
<file path=[Content_Types].xml><?xml version="1.0" encoding="utf-8"?>
<Types xmlns="http://schemas.openxmlformats.org/package/2006/content-types">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Default Extension="jpeg" ContentType="image/jpeg"/>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bookViews>
    <workbookView xWindow="-2115" yWindow="375" windowWidth="20730" windowHeight="11760" tabRatio="761" activeTab="5"/>
  </bookViews>
  <sheets>
    <sheet name="Règles et points" sheetId="1" r:id="rId1"/>
    <sheet name="Coureurs" sheetId="13" r:id="rId2"/>
    <sheet name="Course 1" sheetId="2" r:id="rId3"/>
    <sheet name="Course 2" sheetId="3" r:id="rId4"/>
    <sheet name="Course 3" sheetId="4" r:id="rId5"/>
    <sheet name="Course 4" sheetId="5" r:id="rId6"/>
    <sheet name="Course 5" sheetId="6" r:id="rId7"/>
    <sheet name="Total points" sheetId="15" r:id="rId8"/>
    <sheet name="Classement général" sheetId="7" r:id="rId9"/>
    <sheet name="tab1" sheetId="8" state="hidden" r:id="rId10"/>
    <sheet name="tab2" sheetId="9" state="hidden" r:id="rId11"/>
    <sheet name="tab3" sheetId="10" state="hidden" r:id="rId12"/>
    <sheet name="tab4" sheetId="11" state="hidden" r:id="rId13"/>
    <sheet name="tab5" sheetId="12" state="hidden" r:id="rId14"/>
  </sheets>
  <definedNames>
    <definedName name="_xlnm._FilterDatabase" localSheetId="8" hidden="1">'Classement général'!$F$3:$M$3</definedName>
    <definedName name="_xlnm._FilterDatabase" localSheetId="2" hidden="1">'Course 1'!$E$2:$R$2</definedName>
    <definedName name="_xlnm._FilterDatabase" localSheetId="3" hidden="1">'Course 2'!$E$2:$U$2</definedName>
    <definedName name="_xlnm._FilterDatabase" localSheetId="4" hidden="1">'Course 3'!$E$2:$U$2</definedName>
    <definedName name="_xlnm._FilterDatabase" localSheetId="5" hidden="1">'Course 4'!$E$2:$U$2</definedName>
    <definedName name="_xlnm._FilterDatabase" localSheetId="6" hidden="1">'Course 5'!$E$2:$U$2</definedName>
    <definedName name="_xlnm._FilterDatabase" localSheetId="7" hidden="1">'Total points'!$E$2:$J$2</definedName>
  </definedNames>
  <calcPr calcId="124519"/>
  <extLst>
    <ext xmlns:mx="http://schemas.microsoft.com/office/mac/excel/2008/main" uri="{7523E5D3-25F3-A5E0-1632-64F254C22452}">
      <mx:ArchID Flags="2"/>
    </ext>
  </extLst>
</workbook>
</file>

<file path=xl/calcChain.xml><?xml version="1.0" encoding="utf-8"?>
<calcChain xmlns="http://schemas.openxmlformats.org/spreadsheetml/2006/main">
  <c r="P304" i="7"/>
  <c r="O304"/>
  <c r="N304"/>
  <c r="P303"/>
  <c r="O303"/>
  <c r="N303"/>
  <c r="P302"/>
  <c r="O302"/>
  <c r="N302"/>
  <c r="P301"/>
  <c r="O301"/>
  <c r="N301"/>
  <c r="P300"/>
  <c r="O300"/>
  <c r="N300"/>
  <c r="P299"/>
  <c r="O299"/>
  <c r="N299"/>
  <c r="P298"/>
  <c r="O298"/>
  <c r="N298"/>
  <c r="P297"/>
  <c r="O297"/>
  <c r="N297"/>
  <c r="P296"/>
  <c r="O296"/>
  <c r="N296"/>
  <c r="P295"/>
  <c r="O295"/>
  <c r="N295"/>
  <c r="P294"/>
  <c r="O294"/>
  <c r="N294"/>
  <c r="P293"/>
  <c r="O293"/>
  <c r="N293"/>
  <c r="P292"/>
  <c r="O292"/>
  <c r="N292"/>
  <c r="P291"/>
  <c r="O291"/>
  <c r="N291"/>
  <c r="P290"/>
  <c r="O290"/>
  <c r="N290"/>
  <c r="P289"/>
  <c r="O289"/>
  <c r="N289"/>
  <c r="P288"/>
  <c r="O288"/>
  <c r="N288"/>
  <c r="P287"/>
  <c r="O287"/>
  <c r="N287"/>
  <c r="P286"/>
  <c r="O286"/>
  <c r="N286"/>
  <c r="P285"/>
  <c r="O285"/>
  <c r="N285"/>
  <c r="P284"/>
  <c r="O284"/>
  <c r="N284"/>
  <c r="P283"/>
  <c r="O283"/>
  <c r="N283"/>
  <c r="P282"/>
  <c r="O282"/>
  <c r="N282"/>
  <c r="P281"/>
  <c r="O281"/>
  <c r="N281"/>
  <c r="P280"/>
  <c r="O280"/>
  <c r="N280"/>
  <c r="P279"/>
  <c r="O279"/>
  <c r="N279"/>
  <c r="P278"/>
  <c r="O278"/>
  <c r="N278"/>
  <c r="P277"/>
  <c r="O277"/>
  <c r="N277"/>
  <c r="P276"/>
  <c r="O276"/>
  <c r="N276"/>
  <c r="P275"/>
  <c r="O275"/>
  <c r="N275"/>
  <c r="P274"/>
  <c r="O274"/>
  <c r="N274"/>
  <c r="P273"/>
  <c r="O273"/>
  <c r="N273"/>
  <c r="P272"/>
  <c r="O272"/>
  <c r="N272"/>
  <c r="P271"/>
  <c r="O271"/>
  <c r="N271"/>
  <c r="P270"/>
  <c r="O270"/>
  <c r="N270"/>
  <c r="P269"/>
  <c r="O269"/>
  <c r="N269"/>
  <c r="P268"/>
  <c r="O268"/>
  <c r="N268"/>
  <c r="P267"/>
  <c r="O267"/>
  <c r="N267"/>
  <c r="P266"/>
  <c r="O266"/>
  <c r="N266"/>
  <c r="P265"/>
  <c r="O265"/>
  <c r="N265"/>
  <c r="P264"/>
  <c r="O264"/>
  <c r="N264"/>
  <c r="P263"/>
  <c r="O263"/>
  <c r="N263"/>
  <c r="P262"/>
  <c r="O262"/>
  <c r="N262"/>
  <c r="P261"/>
  <c r="O261"/>
  <c r="N261"/>
  <c r="P260"/>
  <c r="O260"/>
  <c r="N260"/>
  <c r="P259"/>
  <c r="O259"/>
  <c r="N259"/>
  <c r="P258"/>
  <c r="O258"/>
  <c r="N258"/>
  <c r="P257"/>
  <c r="O257"/>
  <c r="N257"/>
  <c r="P256"/>
  <c r="O256"/>
  <c r="N256"/>
  <c r="P255"/>
  <c r="O255"/>
  <c r="N255"/>
  <c r="P254"/>
  <c r="O254"/>
  <c r="N254"/>
  <c r="P253"/>
  <c r="O253"/>
  <c r="N253"/>
  <c r="P252"/>
  <c r="O252"/>
  <c r="N252"/>
  <c r="P251"/>
  <c r="O251"/>
  <c r="N251"/>
  <c r="P250"/>
  <c r="O250"/>
  <c r="N250"/>
  <c r="P249"/>
  <c r="O249"/>
  <c r="N249"/>
  <c r="P248"/>
  <c r="O248"/>
  <c r="N248"/>
  <c r="P247"/>
  <c r="O247"/>
  <c r="N247"/>
  <c r="P246"/>
  <c r="O246"/>
  <c r="N246"/>
  <c r="P245"/>
  <c r="O245"/>
  <c r="N245"/>
  <c r="P244"/>
  <c r="O244"/>
  <c r="N244"/>
  <c r="P243"/>
  <c r="O243"/>
  <c r="N243"/>
  <c r="P242"/>
  <c r="O242"/>
  <c r="N242"/>
  <c r="P241"/>
  <c r="O241"/>
  <c r="N241"/>
  <c r="P240"/>
  <c r="O240"/>
  <c r="N240"/>
  <c r="P239"/>
  <c r="O239"/>
  <c r="N239"/>
  <c r="P238"/>
  <c r="O238"/>
  <c r="N238"/>
  <c r="P237"/>
  <c r="O237"/>
  <c r="N237"/>
  <c r="P236"/>
  <c r="O236"/>
  <c r="N236"/>
  <c r="P235"/>
  <c r="O235"/>
  <c r="N235"/>
  <c r="P234"/>
  <c r="O234"/>
  <c r="N234"/>
  <c r="P233"/>
  <c r="O233"/>
  <c r="N233"/>
  <c r="P232"/>
  <c r="O232"/>
  <c r="N232"/>
  <c r="P231"/>
  <c r="O231"/>
  <c r="N231"/>
  <c r="P230"/>
  <c r="O230"/>
  <c r="N230"/>
  <c r="P229"/>
  <c r="O229"/>
  <c r="N229"/>
  <c r="P228"/>
  <c r="O228"/>
  <c r="N228"/>
  <c r="P227"/>
  <c r="O227"/>
  <c r="N227"/>
  <c r="P226"/>
  <c r="O226"/>
  <c r="N226"/>
  <c r="P225"/>
  <c r="O225"/>
  <c r="N225"/>
  <c r="P224"/>
  <c r="O224"/>
  <c r="N224"/>
  <c r="P223"/>
  <c r="O223"/>
  <c r="N223"/>
  <c r="P222"/>
  <c r="O222"/>
  <c r="N222"/>
  <c r="P221"/>
  <c r="O221"/>
  <c r="N221"/>
  <c r="P220"/>
  <c r="O220"/>
  <c r="N220"/>
  <c r="P219"/>
  <c r="O219"/>
  <c r="N219"/>
  <c r="P218"/>
  <c r="O218"/>
  <c r="N218"/>
  <c r="P217"/>
  <c r="O217"/>
  <c r="N217"/>
  <c r="P216"/>
  <c r="O216"/>
  <c r="N216"/>
  <c r="P215"/>
  <c r="O215"/>
  <c r="N215"/>
  <c r="P214"/>
  <c r="O214"/>
  <c r="N214"/>
  <c r="P213"/>
  <c r="O213"/>
  <c r="N213"/>
  <c r="P212"/>
  <c r="O212"/>
  <c r="N212"/>
  <c r="P211"/>
  <c r="O211"/>
  <c r="N211"/>
  <c r="P210"/>
  <c r="O210"/>
  <c r="N210"/>
  <c r="P209"/>
  <c r="O209"/>
  <c r="N209"/>
  <c r="P208"/>
  <c r="O208"/>
  <c r="N208"/>
  <c r="P207"/>
  <c r="O207"/>
  <c r="N207"/>
  <c r="P206"/>
  <c r="O206"/>
  <c r="N206"/>
  <c r="P205"/>
  <c r="O205"/>
  <c r="N205"/>
  <c r="P204"/>
  <c r="O204"/>
  <c r="N204"/>
  <c r="P203"/>
  <c r="O203"/>
  <c r="N203"/>
  <c r="P202"/>
  <c r="O202"/>
  <c r="N202"/>
  <c r="P201"/>
  <c r="O201"/>
  <c r="N201"/>
  <c r="P200"/>
  <c r="O200"/>
  <c r="N200"/>
  <c r="P199"/>
  <c r="O199"/>
  <c r="N199"/>
  <c r="P198"/>
  <c r="O198"/>
  <c r="N198"/>
  <c r="P197"/>
  <c r="O197"/>
  <c r="N197"/>
  <c r="P196"/>
  <c r="O196"/>
  <c r="N196"/>
  <c r="P195"/>
  <c r="O195"/>
  <c r="N195"/>
  <c r="P194"/>
  <c r="O194"/>
  <c r="N194"/>
  <c r="P193"/>
  <c r="O193"/>
  <c r="N193"/>
  <c r="P192"/>
  <c r="O192"/>
  <c r="N192"/>
  <c r="P191"/>
  <c r="O191"/>
  <c r="N191"/>
  <c r="P190"/>
  <c r="O190"/>
  <c r="N190"/>
  <c r="P189"/>
  <c r="O189"/>
  <c r="N189"/>
  <c r="P188"/>
  <c r="O188"/>
  <c r="N188"/>
  <c r="P187"/>
  <c r="O187"/>
  <c r="N187"/>
  <c r="P186"/>
  <c r="O186"/>
  <c r="N186"/>
  <c r="P185"/>
  <c r="O185"/>
  <c r="N185"/>
  <c r="P184"/>
  <c r="O184"/>
  <c r="N184"/>
  <c r="P183"/>
  <c r="O183"/>
  <c r="N183"/>
  <c r="P182"/>
  <c r="O182"/>
  <c r="N182"/>
  <c r="P181"/>
  <c r="O181"/>
  <c r="N181"/>
  <c r="P180"/>
  <c r="O180"/>
  <c r="N180"/>
  <c r="P179"/>
  <c r="O179"/>
  <c r="N179"/>
  <c r="P178"/>
  <c r="O178"/>
  <c r="N178"/>
  <c r="P177"/>
  <c r="O177"/>
  <c r="N177"/>
  <c r="P176"/>
  <c r="O176"/>
  <c r="N176"/>
  <c r="P175"/>
  <c r="O175"/>
  <c r="N175"/>
  <c r="P174"/>
  <c r="O174"/>
  <c r="N174"/>
  <c r="P173"/>
  <c r="O173"/>
  <c r="N173"/>
  <c r="P172"/>
  <c r="O172"/>
  <c r="N172"/>
  <c r="P171"/>
  <c r="O171"/>
  <c r="N171"/>
  <c r="P170"/>
  <c r="O170"/>
  <c r="N170"/>
  <c r="P169"/>
  <c r="O169"/>
  <c r="N169"/>
  <c r="P168"/>
  <c r="O168"/>
  <c r="N168"/>
  <c r="P167"/>
  <c r="O167"/>
  <c r="N167"/>
  <c r="P166"/>
  <c r="O166"/>
  <c r="N166"/>
  <c r="P165"/>
  <c r="O165"/>
  <c r="N165"/>
  <c r="P164"/>
  <c r="O164"/>
  <c r="N164"/>
  <c r="P163"/>
  <c r="O163"/>
  <c r="N163"/>
  <c r="P162"/>
  <c r="O162"/>
  <c r="N162"/>
  <c r="P161"/>
  <c r="O161"/>
  <c r="N161"/>
  <c r="P160"/>
  <c r="O160"/>
  <c r="N160"/>
  <c r="P159"/>
  <c r="O159"/>
  <c r="N159"/>
  <c r="P158"/>
  <c r="O158"/>
  <c r="N158"/>
  <c r="P157"/>
  <c r="O157"/>
  <c r="N157"/>
  <c r="P156"/>
  <c r="O156"/>
  <c r="N156"/>
  <c r="P155"/>
  <c r="O155"/>
  <c r="N155"/>
  <c r="P154"/>
  <c r="O154"/>
  <c r="N154"/>
  <c r="P153"/>
  <c r="O153"/>
  <c r="N153"/>
  <c r="P152"/>
  <c r="O152"/>
  <c r="N152"/>
  <c r="P151"/>
  <c r="O151"/>
  <c r="N151"/>
  <c r="P150"/>
  <c r="O150"/>
  <c r="N150"/>
  <c r="P149"/>
  <c r="O149"/>
  <c r="N149"/>
  <c r="P148"/>
  <c r="O148"/>
  <c r="N148"/>
  <c r="P147"/>
  <c r="O147"/>
  <c r="N147"/>
  <c r="P146"/>
  <c r="O146"/>
  <c r="N146"/>
  <c r="P145"/>
  <c r="O145"/>
  <c r="N145"/>
  <c r="P144"/>
  <c r="O144"/>
  <c r="N144"/>
  <c r="P143"/>
  <c r="O143"/>
  <c r="N143"/>
  <c r="P142"/>
  <c r="O142"/>
  <c r="N142"/>
  <c r="P141"/>
  <c r="O141"/>
  <c r="N141"/>
  <c r="P140"/>
  <c r="O140"/>
  <c r="N140"/>
  <c r="P139"/>
  <c r="O139"/>
  <c r="N139"/>
  <c r="P138"/>
  <c r="O138"/>
  <c r="N138"/>
  <c r="P137"/>
  <c r="O137"/>
  <c r="N137"/>
  <c r="P136"/>
  <c r="O136"/>
  <c r="N136"/>
  <c r="P135"/>
  <c r="O135"/>
  <c r="N135"/>
  <c r="P134"/>
  <c r="O134"/>
  <c r="N134"/>
  <c r="P133"/>
  <c r="O133"/>
  <c r="N133"/>
  <c r="P132"/>
  <c r="O132"/>
  <c r="N132"/>
  <c r="P131"/>
  <c r="O131"/>
  <c r="N131"/>
  <c r="P130"/>
  <c r="O130"/>
  <c r="N130"/>
  <c r="P129"/>
  <c r="O129"/>
  <c r="N129"/>
  <c r="P128"/>
  <c r="O128"/>
  <c r="N128"/>
  <c r="P127"/>
  <c r="O127"/>
  <c r="N127"/>
  <c r="P126"/>
  <c r="O126"/>
  <c r="N126"/>
  <c r="P125"/>
  <c r="O125"/>
  <c r="N125"/>
  <c r="P124"/>
  <c r="O124"/>
  <c r="N124"/>
  <c r="P123"/>
  <c r="O123"/>
  <c r="N123"/>
  <c r="P122"/>
  <c r="O122"/>
  <c r="N122"/>
  <c r="P121"/>
  <c r="O121"/>
  <c r="N121"/>
  <c r="P120"/>
  <c r="O120"/>
  <c r="N120"/>
  <c r="P119"/>
  <c r="O119"/>
  <c r="N119"/>
  <c r="P118"/>
  <c r="O118"/>
  <c r="N118"/>
  <c r="P117"/>
  <c r="O117"/>
  <c r="N117"/>
  <c r="P116"/>
  <c r="O116"/>
  <c r="N116"/>
  <c r="P115"/>
  <c r="O115"/>
  <c r="N115"/>
  <c r="P114"/>
  <c r="O114"/>
  <c r="N114"/>
  <c r="P113"/>
  <c r="O113"/>
  <c r="N113"/>
  <c r="P112"/>
  <c r="O112"/>
  <c r="N112"/>
  <c r="P111"/>
  <c r="O111"/>
  <c r="N111"/>
  <c r="P110"/>
  <c r="O110"/>
  <c r="N110"/>
  <c r="P109"/>
  <c r="O109"/>
  <c r="N109"/>
  <c r="P108"/>
  <c r="O108"/>
  <c r="N108"/>
  <c r="P107"/>
  <c r="O107"/>
  <c r="N107"/>
  <c r="P106"/>
  <c r="O106"/>
  <c r="N106"/>
  <c r="P105"/>
  <c r="O105"/>
  <c r="N105"/>
  <c r="P104"/>
  <c r="O104"/>
  <c r="N104"/>
  <c r="P103"/>
  <c r="O103"/>
  <c r="N103"/>
  <c r="P102"/>
  <c r="O102"/>
  <c r="N102"/>
  <c r="P101"/>
  <c r="O101"/>
  <c r="N101"/>
  <c r="P100"/>
  <c r="O100"/>
  <c r="N100"/>
  <c r="P99"/>
  <c r="O99"/>
  <c r="N99"/>
  <c r="P98"/>
  <c r="O98"/>
  <c r="N98"/>
  <c r="P97"/>
  <c r="O97"/>
  <c r="N97"/>
  <c r="P96"/>
  <c r="O96"/>
  <c r="N96"/>
  <c r="P95"/>
  <c r="O95"/>
  <c r="N95"/>
  <c r="P94"/>
  <c r="O94"/>
  <c r="N94"/>
  <c r="P93"/>
  <c r="O93"/>
  <c r="N93"/>
  <c r="P92"/>
  <c r="O92"/>
  <c r="N92"/>
  <c r="P91"/>
  <c r="O91"/>
  <c r="N91"/>
  <c r="O90"/>
  <c r="N90"/>
  <c r="O89"/>
  <c r="N89"/>
  <c r="P88"/>
  <c r="O88"/>
  <c r="N88"/>
  <c r="O87"/>
  <c r="N87"/>
  <c r="O86"/>
  <c r="N86"/>
  <c r="P85"/>
  <c r="O85"/>
  <c r="N85"/>
  <c r="P84"/>
  <c r="O84"/>
  <c r="N84"/>
  <c r="O83"/>
  <c r="N83"/>
  <c r="P82"/>
  <c r="O82"/>
  <c r="N82"/>
  <c r="P81"/>
  <c r="O81"/>
  <c r="N81"/>
  <c r="O80"/>
  <c r="N80"/>
  <c r="P79"/>
  <c r="O79"/>
  <c r="N79"/>
  <c r="P78"/>
  <c r="O78"/>
  <c r="N78"/>
  <c r="P77"/>
  <c r="O77"/>
  <c r="N77"/>
  <c r="O76"/>
  <c r="N76"/>
  <c r="O75"/>
  <c r="N75"/>
  <c r="P74"/>
  <c r="O74"/>
  <c r="N74"/>
  <c r="P73"/>
  <c r="O73"/>
  <c r="N73"/>
  <c r="P72"/>
  <c r="O72"/>
  <c r="N72"/>
  <c r="O71"/>
  <c r="N71"/>
  <c r="O70"/>
  <c r="N70"/>
  <c r="P69"/>
  <c r="O69"/>
  <c r="N69"/>
  <c r="P68"/>
  <c r="O68"/>
  <c r="N68"/>
  <c r="P67"/>
  <c r="O67"/>
  <c r="N67"/>
  <c r="O66"/>
  <c r="N66"/>
  <c r="P65"/>
  <c r="O65"/>
  <c r="N65"/>
  <c r="O64"/>
  <c r="N64"/>
  <c r="P63"/>
  <c r="O63"/>
  <c r="N63"/>
  <c r="P62"/>
  <c r="O62"/>
  <c r="N62"/>
  <c r="O61"/>
  <c r="N61"/>
  <c r="O60"/>
  <c r="N60"/>
  <c r="P59"/>
  <c r="O59"/>
  <c r="N59"/>
  <c r="P58"/>
  <c r="O58"/>
  <c r="N58"/>
  <c r="P57"/>
  <c r="O57"/>
  <c r="N57"/>
  <c r="P56"/>
  <c r="O56"/>
  <c r="N56"/>
  <c r="P55"/>
  <c r="O55"/>
  <c r="N55"/>
  <c r="P54"/>
  <c r="O54"/>
  <c r="N54"/>
  <c r="O53"/>
  <c r="N53"/>
  <c r="P52"/>
  <c r="O52"/>
  <c r="N52"/>
  <c r="P51"/>
  <c r="O51"/>
  <c r="N51"/>
  <c r="P50"/>
  <c r="O50"/>
  <c r="N50"/>
  <c r="O49"/>
  <c r="N49"/>
  <c r="O48"/>
  <c r="N48"/>
  <c r="P47"/>
  <c r="O47"/>
  <c r="N47"/>
  <c r="P46"/>
  <c r="O46"/>
  <c r="N46"/>
  <c r="P45"/>
  <c r="O45"/>
  <c r="N45"/>
  <c r="P44"/>
  <c r="O44"/>
  <c r="N44"/>
  <c r="P43"/>
  <c r="O43"/>
  <c r="N43"/>
  <c r="P42"/>
  <c r="O42"/>
  <c r="N42"/>
  <c r="O41"/>
  <c r="N41"/>
  <c r="O40"/>
  <c r="N40"/>
  <c r="O39"/>
  <c r="N39"/>
  <c r="O38"/>
  <c r="N38"/>
  <c r="P37"/>
  <c r="O37"/>
  <c r="N37"/>
  <c r="P36"/>
  <c r="O36"/>
  <c r="N36"/>
  <c r="P35"/>
  <c r="O35"/>
  <c r="N35"/>
  <c r="O34"/>
  <c r="N34"/>
  <c r="P33"/>
  <c r="O33"/>
  <c r="N33"/>
  <c r="P32"/>
  <c r="O32"/>
  <c r="N32"/>
  <c r="O31"/>
  <c r="N31"/>
  <c r="P30"/>
  <c r="O30"/>
  <c r="N30"/>
  <c r="P29"/>
  <c r="O29"/>
  <c r="N29"/>
  <c r="P28"/>
  <c r="O28"/>
  <c r="N28"/>
  <c r="P27"/>
  <c r="O27"/>
  <c r="N27"/>
  <c r="P26"/>
  <c r="O26"/>
  <c r="N26"/>
  <c r="P25"/>
  <c r="O25"/>
  <c r="N25"/>
  <c r="P24"/>
  <c r="O24"/>
  <c r="N24"/>
  <c r="P23"/>
  <c r="O23"/>
  <c r="N23"/>
  <c r="P22"/>
  <c r="O22"/>
  <c r="N22"/>
  <c r="P21"/>
  <c r="O21"/>
  <c r="N21"/>
  <c r="P20"/>
  <c r="O20"/>
  <c r="N20"/>
  <c r="P19"/>
  <c r="O19"/>
  <c r="N19"/>
  <c r="P18"/>
  <c r="O18"/>
  <c r="N18"/>
  <c r="P17"/>
  <c r="O17"/>
  <c r="N17"/>
  <c r="P16"/>
  <c r="O16"/>
  <c r="N16"/>
  <c r="P15"/>
  <c r="O15"/>
  <c r="N15"/>
  <c r="P14"/>
  <c r="O14"/>
  <c r="N14"/>
  <c r="P13"/>
  <c r="O13"/>
  <c r="N13"/>
  <c r="P12"/>
  <c r="O12"/>
  <c r="N12"/>
  <c r="P11"/>
  <c r="O11"/>
  <c r="N11"/>
  <c r="P10"/>
  <c r="O10"/>
  <c r="N10"/>
  <c r="P9"/>
  <c r="O9"/>
  <c r="N9"/>
  <c r="P8"/>
  <c r="O8"/>
  <c r="N8"/>
  <c r="P7"/>
  <c r="O7"/>
  <c r="N7"/>
  <c r="P6"/>
  <c r="O6"/>
  <c r="N6"/>
  <c r="Z3"/>
  <c r="AD3"/>
  <c r="AR35" l="1"/>
  <c r="AR34" s="1"/>
  <c r="AR33" s="1"/>
  <c r="AR32" s="1"/>
  <c r="AR31" s="1"/>
  <c r="AR38"/>
  <c r="AR37" s="1"/>
  <c r="AR36" s="1"/>
  <c r="AR40"/>
  <c r="AR39" s="1"/>
  <c r="AR41"/>
  <c r="AR42"/>
  <c r="AS43"/>
  <c r="AS42" s="1"/>
  <c r="AS41" s="1"/>
  <c r="AS40" s="1"/>
  <c r="AR45"/>
  <c r="AR44" s="1"/>
  <c r="AR43" s="1"/>
  <c r="AS45"/>
  <c r="AS44" s="1"/>
  <c r="AS47"/>
  <c r="AS46" s="1"/>
  <c r="AS48"/>
  <c r="AR49"/>
  <c r="AR48" s="1"/>
  <c r="AR47" s="1"/>
  <c r="AR46" s="1"/>
  <c r="AS49"/>
  <c r="AS50"/>
  <c r="AR51"/>
  <c r="AR50" s="1"/>
  <c r="AR52"/>
  <c r="AS52"/>
  <c r="AS51" s="1"/>
  <c r="AR53"/>
  <c r="AS53"/>
  <c r="AQ54"/>
  <c r="AQ53" s="1"/>
  <c r="AQ52" s="1"/>
  <c r="AQ51" s="1"/>
  <c r="AQ50" s="1"/>
  <c r="AQ49" s="1"/>
  <c r="AQ48" s="1"/>
  <c r="AQ47" s="1"/>
  <c r="AQ46" s="1"/>
  <c r="AQ45" s="1"/>
  <c r="AQ44" s="1"/>
  <c r="AQ43" s="1"/>
  <c r="AQ42" s="1"/>
  <c r="AQ41" s="1"/>
  <c r="AQ40" s="1"/>
  <c r="AQ39" s="1"/>
  <c r="AQ38" s="1"/>
  <c r="AQ37" s="1"/>
  <c r="AQ36" s="1"/>
  <c r="AQ35" s="1"/>
  <c r="AQ34" s="1"/>
  <c r="AQ33" s="1"/>
  <c r="AQ32" s="1"/>
  <c r="AQ31" s="1"/>
  <c r="AQ30" s="1"/>
  <c r="AQ29" s="1"/>
  <c r="AQ28" s="1"/>
  <c r="AQ27" s="1"/>
  <c r="AQ26" s="1"/>
  <c r="AQ25" s="1"/>
  <c r="AQ24" s="1"/>
  <c r="AQ23" s="1"/>
  <c r="AQ22" s="1"/>
  <c r="AQ21" s="1"/>
  <c r="AQ20" s="1"/>
  <c r="AQ19" s="1"/>
  <c r="AQ18" s="1"/>
  <c r="AQ17" s="1"/>
  <c r="AQ16" s="1"/>
  <c r="AQ15" s="1"/>
  <c r="AQ14" s="1"/>
  <c r="AQ13" s="1"/>
  <c r="AQ12" s="1"/>
  <c r="AQ11" s="1"/>
  <c r="AQ10" s="1"/>
  <c r="AQ9" s="1"/>
  <c r="AQ8" s="1"/>
  <c r="AQ7" s="1"/>
  <c r="AQ6" s="1"/>
  <c r="AQ5" s="1"/>
  <c r="AQ4" s="1"/>
  <c r="AS54"/>
  <c r="AS55"/>
  <c r="AQ56"/>
  <c r="AQ55" s="1"/>
  <c r="AS56"/>
  <c r="AQ57"/>
  <c r="AS57"/>
  <c r="AS58"/>
  <c r="AS59"/>
  <c r="AR60"/>
  <c r="AR59" s="1"/>
  <c r="AR58" s="1"/>
  <c r="AR57" s="1"/>
  <c r="AR56" s="1"/>
  <c r="AR55" s="1"/>
  <c r="AR54" s="1"/>
  <c r="AS60"/>
  <c r="AQ61"/>
  <c r="AQ60" s="1"/>
  <c r="AQ59" s="1"/>
  <c r="AQ58" s="1"/>
  <c r="AR61"/>
  <c r="AS61"/>
  <c r="AS62"/>
  <c r="AS63"/>
  <c r="AQ64"/>
  <c r="AQ63" s="1"/>
  <c r="AQ62" s="1"/>
  <c r="AR64"/>
  <c r="AR63" s="1"/>
  <c r="AR62" s="1"/>
  <c r="AS64"/>
  <c r="AR65"/>
  <c r="AS65"/>
  <c r="AQ66"/>
  <c r="AQ65" s="1"/>
  <c r="AR66"/>
  <c r="AS66"/>
  <c r="AQ67"/>
  <c r="AR67"/>
  <c r="AS68"/>
  <c r="AS67" s="1"/>
  <c r="AR69"/>
  <c r="AR68" s="1"/>
  <c r="AS69"/>
  <c r="AS70"/>
  <c r="AQ71"/>
  <c r="AQ70" s="1"/>
  <c r="AQ69" s="1"/>
  <c r="AQ68" s="1"/>
  <c r="AS71"/>
  <c r="AQ72"/>
  <c r="AR72"/>
  <c r="AR71" s="1"/>
  <c r="AR70" s="1"/>
  <c r="AS72"/>
  <c r="AR74"/>
  <c r="AR73" s="1"/>
  <c r="AS74"/>
  <c r="AS73" s="1"/>
  <c r="AR75"/>
  <c r="AS75"/>
  <c r="AQ76"/>
  <c r="AQ75" s="1"/>
  <c r="AQ74" s="1"/>
  <c r="AQ73" s="1"/>
  <c r="AR76"/>
  <c r="AS76"/>
  <c r="AQ77"/>
  <c r="AS77"/>
  <c r="AQ78"/>
  <c r="AR78"/>
  <c r="AR77" s="1"/>
  <c r="AS79"/>
  <c r="AS78" s="1"/>
  <c r="AQ80"/>
  <c r="AQ79" s="1"/>
  <c r="AR80"/>
  <c r="AR79" s="1"/>
  <c r="AS80"/>
  <c r="AQ81"/>
  <c r="AR81"/>
  <c r="AR82"/>
  <c r="AR83"/>
  <c r="AS83"/>
  <c r="AS82" s="1"/>
  <c r="AS81" s="1"/>
  <c r="AQ84"/>
  <c r="AQ83" s="1"/>
  <c r="AQ82" s="1"/>
  <c r="AS84"/>
  <c r="AR85"/>
  <c r="AR84" s="1"/>
  <c r="AR86"/>
  <c r="AS86"/>
  <c r="AS85" s="1"/>
  <c r="AQ87"/>
  <c r="AQ86" s="1"/>
  <c r="AQ85" s="1"/>
  <c r="AS87"/>
  <c r="AS88"/>
  <c r="AS89"/>
  <c r="AQ90"/>
  <c r="AQ89" s="1"/>
  <c r="AQ88" s="1"/>
  <c r="AS90"/>
  <c r="AQ91"/>
  <c r="AS91"/>
  <c r="AQ92"/>
  <c r="AR92"/>
  <c r="AR91" s="1"/>
  <c r="AR90" s="1"/>
  <c r="AR89" s="1"/>
  <c r="AR88" s="1"/>
  <c r="AR87" s="1"/>
  <c r="AS92"/>
  <c r="AQ93"/>
  <c r="AR93"/>
  <c r="AS93"/>
  <c r="AQ94"/>
  <c r="AR94"/>
  <c r="AS94"/>
  <c r="AQ95"/>
  <c r="AR95"/>
  <c r="AS95"/>
  <c r="AQ96"/>
  <c r="AR96"/>
  <c r="AS96"/>
  <c r="AQ97"/>
  <c r="AR97"/>
  <c r="AS97"/>
  <c r="AQ98"/>
  <c r="AR98"/>
  <c r="AS98"/>
  <c r="AQ99"/>
  <c r="AR99"/>
  <c r="AS99"/>
  <c r="AQ100"/>
  <c r="AR100"/>
  <c r="AS100"/>
  <c r="AQ101"/>
  <c r="AR101"/>
  <c r="AS101"/>
  <c r="AQ102"/>
  <c r="AR102"/>
  <c r="AS102"/>
  <c r="AQ103"/>
  <c r="AR103"/>
  <c r="AS103"/>
  <c r="AQ104"/>
  <c r="AR104"/>
  <c r="AS104"/>
  <c r="AQ105"/>
  <c r="AR105"/>
  <c r="AS105"/>
  <c r="AQ106"/>
  <c r="AR106"/>
  <c r="AS106"/>
  <c r="AQ107"/>
  <c r="AR107"/>
  <c r="AS107"/>
  <c r="AQ108"/>
  <c r="AR108"/>
  <c r="AS108"/>
  <c r="AQ109"/>
  <c r="AR109"/>
  <c r="AS109"/>
  <c r="AQ110"/>
  <c r="AR110"/>
  <c r="AS110"/>
  <c r="AQ111"/>
  <c r="AR111"/>
  <c r="AS111"/>
  <c r="AQ112"/>
  <c r="AR112"/>
  <c r="AS112"/>
  <c r="AQ113"/>
  <c r="AR113"/>
  <c r="AS113"/>
  <c r="AQ114"/>
  <c r="AR114"/>
  <c r="AS114"/>
  <c r="AQ115"/>
  <c r="AR115"/>
  <c r="AS115"/>
  <c r="AQ116"/>
  <c r="AR116"/>
  <c r="AS116"/>
  <c r="AQ117"/>
  <c r="AR117"/>
  <c r="AS117"/>
  <c r="AQ118"/>
  <c r="AR118"/>
  <c r="AS118"/>
  <c r="AQ119"/>
  <c r="AR119"/>
  <c r="AS119"/>
  <c r="AQ120"/>
  <c r="AR120"/>
  <c r="AS120"/>
  <c r="AQ121"/>
  <c r="AR121"/>
  <c r="AS121"/>
  <c r="AQ122"/>
  <c r="AR122"/>
  <c r="AS122"/>
  <c r="AQ123"/>
  <c r="AR123"/>
  <c r="AS123"/>
  <c r="AQ124"/>
  <c r="AR124"/>
  <c r="AS124"/>
  <c r="AQ125"/>
  <c r="AR125"/>
  <c r="AS125"/>
  <c r="AQ126"/>
  <c r="AR126"/>
  <c r="AS126"/>
  <c r="AQ127"/>
  <c r="AR127"/>
  <c r="AS127"/>
  <c r="AQ128"/>
  <c r="AR128"/>
  <c r="AS128"/>
  <c r="AQ129"/>
  <c r="AR129"/>
  <c r="AS129"/>
  <c r="AQ130"/>
  <c r="AR130"/>
  <c r="AS130"/>
  <c r="AQ131"/>
  <c r="AR131"/>
  <c r="AS131"/>
  <c r="AQ132"/>
  <c r="AR132"/>
  <c r="AS132"/>
  <c r="AQ133"/>
  <c r="AR133"/>
  <c r="AS133"/>
  <c r="AQ134"/>
  <c r="AR134"/>
  <c r="AS134"/>
  <c r="AQ135"/>
  <c r="AR135"/>
  <c r="AS135"/>
  <c r="AQ136"/>
  <c r="AR136"/>
  <c r="AS136"/>
  <c r="AQ137"/>
  <c r="AR137"/>
  <c r="AS137"/>
  <c r="AQ138"/>
  <c r="AR138"/>
  <c r="AS138"/>
  <c r="AQ139"/>
  <c r="AR139"/>
  <c r="AS139"/>
  <c r="AQ140"/>
  <c r="AR140"/>
  <c r="AS140"/>
  <c r="AQ141"/>
  <c r="AR141"/>
  <c r="AS141"/>
  <c r="AQ142"/>
  <c r="AR142"/>
  <c r="AS142"/>
  <c r="AQ143"/>
  <c r="AR143"/>
  <c r="AS143"/>
  <c r="AQ144"/>
  <c r="AR144"/>
  <c r="AS144"/>
  <c r="AQ145"/>
  <c r="AR145"/>
  <c r="AS145"/>
  <c r="AQ146"/>
  <c r="AR146"/>
  <c r="AS146"/>
  <c r="AQ147"/>
  <c r="AR147"/>
  <c r="AS147"/>
  <c r="AQ148"/>
  <c r="AR148"/>
  <c r="AS148"/>
  <c r="AQ149"/>
  <c r="AR149"/>
  <c r="AS149"/>
  <c r="AQ150"/>
  <c r="AR150"/>
  <c r="AS150"/>
  <c r="AQ151"/>
  <c r="AR151"/>
  <c r="AS151"/>
  <c r="AQ152"/>
  <c r="AR152"/>
  <c r="AS152"/>
  <c r="AQ153"/>
  <c r="AR153"/>
  <c r="AS153"/>
  <c r="AQ154"/>
  <c r="AR154"/>
  <c r="AS154"/>
  <c r="AQ155"/>
  <c r="AR155"/>
  <c r="AS155"/>
  <c r="AQ156"/>
  <c r="AR156"/>
  <c r="AS156"/>
  <c r="AQ157"/>
  <c r="AR157"/>
  <c r="AS157"/>
  <c r="AQ158"/>
  <c r="AR158"/>
  <c r="AS158"/>
  <c r="AQ159"/>
  <c r="AR159"/>
  <c r="AS159"/>
  <c r="AQ160"/>
  <c r="AR160"/>
  <c r="AS160"/>
  <c r="AQ161"/>
  <c r="AR161"/>
  <c r="AS161"/>
  <c r="AQ162"/>
  <c r="AR162"/>
  <c r="AS162"/>
  <c r="AQ163"/>
  <c r="AR163"/>
  <c r="AS163"/>
  <c r="AQ164"/>
  <c r="AR164"/>
  <c r="AS164"/>
  <c r="AQ165"/>
  <c r="AR165"/>
  <c r="AS165"/>
  <c r="AQ166"/>
  <c r="AR166"/>
  <c r="AS166"/>
  <c r="AQ167"/>
  <c r="AR167"/>
  <c r="AS167"/>
  <c r="AQ168"/>
  <c r="AR168"/>
  <c r="AS168"/>
  <c r="AQ169"/>
  <c r="AR169"/>
  <c r="AS169"/>
  <c r="AQ170"/>
  <c r="AR170"/>
  <c r="AS170"/>
  <c r="AQ171"/>
  <c r="AR171"/>
  <c r="AS171"/>
  <c r="AQ172"/>
  <c r="AR172"/>
  <c r="AS172"/>
  <c r="AQ173"/>
  <c r="AR173"/>
  <c r="AS173"/>
  <c r="AQ174"/>
  <c r="AR174"/>
  <c r="AS174"/>
  <c r="AQ175"/>
  <c r="AR175"/>
  <c r="AS175"/>
  <c r="AQ176"/>
  <c r="AR176"/>
  <c r="AS176"/>
  <c r="AQ177"/>
  <c r="AR177"/>
  <c r="AS177"/>
  <c r="AQ178"/>
  <c r="AR178"/>
  <c r="AS178"/>
  <c r="AQ179"/>
  <c r="AR179"/>
  <c r="AS179"/>
  <c r="AQ180"/>
  <c r="AR180"/>
  <c r="AS180"/>
  <c r="AQ181"/>
  <c r="AR181"/>
  <c r="AS181"/>
  <c r="AQ182"/>
  <c r="AR182"/>
  <c r="AS182"/>
  <c r="AQ183"/>
  <c r="AR183"/>
  <c r="AS183"/>
  <c r="AQ184"/>
  <c r="AR184"/>
  <c r="AS184"/>
  <c r="AQ185"/>
  <c r="AR185"/>
  <c r="AS185"/>
  <c r="AQ186"/>
  <c r="AR186"/>
  <c r="AS186"/>
  <c r="AQ187"/>
  <c r="AR187"/>
  <c r="AS187"/>
  <c r="AQ188"/>
  <c r="AR188"/>
  <c r="AS188"/>
  <c r="AQ189"/>
  <c r="AR189"/>
  <c r="AS189"/>
  <c r="AQ190"/>
  <c r="AR190"/>
  <c r="AS190"/>
  <c r="AQ191"/>
  <c r="AR191"/>
  <c r="AS191"/>
  <c r="AQ192"/>
  <c r="AR192"/>
  <c r="AS192"/>
  <c r="AQ193"/>
  <c r="AR193"/>
  <c r="AS193"/>
  <c r="AQ194"/>
  <c r="AR194"/>
  <c r="AS194"/>
  <c r="AQ195"/>
  <c r="AR195"/>
  <c r="AS195"/>
  <c r="AQ196"/>
  <c r="AR196"/>
  <c r="AS196"/>
  <c r="AQ197"/>
  <c r="AR197"/>
  <c r="AS197"/>
  <c r="AQ198"/>
  <c r="AR198"/>
  <c r="AS198"/>
  <c r="AQ199"/>
  <c r="AR199"/>
  <c r="AS199"/>
  <c r="AQ200"/>
  <c r="AR200"/>
  <c r="AS200"/>
  <c r="AQ201"/>
  <c r="AR201"/>
  <c r="AS201"/>
  <c r="AQ202"/>
  <c r="AR202"/>
  <c r="AS202"/>
  <c r="AQ203"/>
  <c r="AR203"/>
  <c r="AS203"/>
  <c r="AQ204"/>
  <c r="AR204"/>
  <c r="AS204"/>
  <c r="AQ205"/>
  <c r="AR205"/>
  <c r="AS205"/>
  <c r="AQ206"/>
  <c r="AR206"/>
  <c r="AS206"/>
  <c r="AQ207"/>
  <c r="AR207"/>
  <c r="AS207"/>
  <c r="AQ208"/>
  <c r="AR208"/>
  <c r="AS208"/>
  <c r="AQ209"/>
  <c r="AR209"/>
  <c r="AS209"/>
  <c r="AQ210"/>
  <c r="AR210"/>
  <c r="AS210"/>
  <c r="AQ211"/>
  <c r="AR211"/>
  <c r="AS211"/>
  <c r="AQ212"/>
  <c r="AR212"/>
  <c r="AS212"/>
  <c r="AQ213"/>
  <c r="AR213"/>
  <c r="AS213"/>
  <c r="AQ214"/>
  <c r="AR214"/>
  <c r="AS214"/>
  <c r="AQ215"/>
  <c r="AR215"/>
  <c r="AS215"/>
  <c r="AQ216"/>
  <c r="AR216"/>
  <c r="AS216"/>
  <c r="AQ217"/>
  <c r="AR217"/>
  <c r="AS217"/>
  <c r="AQ218"/>
  <c r="AR218"/>
  <c r="AS218"/>
  <c r="AQ219"/>
  <c r="AR219"/>
  <c r="AS219"/>
  <c r="AQ220"/>
  <c r="AR220"/>
  <c r="AS220"/>
  <c r="AQ221"/>
  <c r="AR221"/>
  <c r="AS221"/>
  <c r="AQ222"/>
  <c r="AR222"/>
  <c r="AS222"/>
  <c r="AQ223"/>
  <c r="AR223"/>
  <c r="AS223"/>
  <c r="AQ224"/>
  <c r="AR224"/>
  <c r="AS224"/>
  <c r="AQ225"/>
  <c r="AR225"/>
  <c r="AS225"/>
  <c r="AQ226"/>
  <c r="AR226"/>
  <c r="AS226"/>
  <c r="AQ227"/>
  <c r="AR227"/>
  <c r="AS227"/>
  <c r="AQ228"/>
  <c r="AR228"/>
  <c r="AS228"/>
  <c r="AQ229"/>
  <c r="AR229"/>
  <c r="AS229"/>
  <c r="AQ230"/>
  <c r="AR230"/>
  <c r="AS230"/>
  <c r="AQ231"/>
  <c r="AR231"/>
  <c r="AS231"/>
  <c r="AQ232"/>
  <c r="AR232"/>
  <c r="AS232"/>
  <c r="AQ233"/>
  <c r="AR233"/>
  <c r="AS233"/>
  <c r="AQ234"/>
  <c r="AR234"/>
  <c r="AS234"/>
  <c r="AQ235"/>
  <c r="AR235"/>
  <c r="AS235"/>
  <c r="AQ236"/>
  <c r="AR236"/>
  <c r="AS236"/>
  <c r="AQ237"/>
  <c r="AR237"/>
  <c r="AS237"/>
  <c r="AQ238"/>
  <c r="AR238"/>
  <c r="AS238"/>
  <c r="AQ239"/>
  <c r="AR239"/>
  <c r="AS239"/>
  <c r="AQ240"/>
  <c r="AR240"/>
  <c r="AS240"/>
  <c r="AQ241"/>
  <c r="AR241"/>
  <c r="AS241"/>
  <c r="AQ242"/>
  <c r="AR242"/>
  <c r="AS242"/>
  <c r="AQ243"/>
  <c r="AR243"/>
  <c r="AS243"/>
  <c r="AQ244"/>
  <c r="AR244"/>
  <c r="AS244"/>
  <c r="AQ245"/>
  <c r="AR245"/>
  <c r="AS245"/>
  <c r="AQ246"/>
  <c r="AR246"/>
  <c r="AQ247"/>
  <c r="AR247"/>
  <c r="AQ248"/>
  <c r="AR248"/>
  <c r="AQ249"/>
  <c r="AR249"/>
  <c r="AQ250"/>
  <c r="AR250"/>
  <c r="AQ251"/>
  <c r="AR251"/>
  <c r="AQ252"/>
  <c r="AQ253"/>
  <c r="AQ254"/>
  <c r="AQ255"/>
  <c r="AQ256"/>
  <c r="AQ257"/>
  <c r="AQ258"/>
  <c r="AQ259"/>
  <c r="AQ260"/>
  <c r="AQ261"/>
  <c r="AQ262"/>
  <c r="AQ263"/>
  <c r="AQ264"/>
  <c r="AQ265"/>
  <c r="AQ266"/>
  <c r="AQ267"/>
  <c r="AQ268"/>
  <c r="AQ269"/>
  <c r="AQ270"/>
  <c r="AQ271"/>
  <c r="AQ272"/>
  <c r="AQ273"/>
  <c r="AR273"/>
  <c r="AR272" s="1"/>
  <c r="AR271" s="1"/>
  <c r="AR270" s="1"/>
  <c r="AR269" s="1"/>
  <c r="AR268" s="1"/>
  <c r="AR267" s="1"/>
  <c r="AR266" s="1"/>
  <c r="AR265" s="1"/>
  <c r="AR264" s="1"/>
  <c r="AR263" s="1"/>
  <c r="AR262" s="1"/>
  <c r="AR261" s="1"/>
  <c r="AR260" s="1"/>
  <c r="AR259" s="1"/>
  <c r="AR258" s="1"/>
  <c r="AR257" s="1"/>
  <c r="AR256" s="1"/>
  <c r="AR255" s="1"/>
  <c r="AR254" s="1"/>
  <c r="AR253" s="1"/>
  <c r="AR252" s="1"/>
  <c r="AS273"/>
  <c r="AS272" s="1"/>
  <c r="AS271" s="1"/>
  <c r="AS270" s="1"/>
  <c r="AS269" s="1"/>
  <c r="AS268" s="1"/>
  <c r="AS267" s="1"/>
  <c r="AS266" s="1"/>
  <c r="AS265" s="1"/>
  <c r="AS264" s="1"/>
  <c r="AS263" s="1"/>
  <c r="AS262" s="1"/>
  <c r="AS261" s="1"/>
  <c r="AS260" s="1"/>
  <c r="AS259" s="1"/>
  <c r="AS258" s="1"/>
  <c r="AS257" s="1"/>
  <c r="AS256" s="1"/>
  <c r="AS255" s="1"/>
  <c r="AS254" s="1"/>
  <c r="AS253" s="1"/>
  <c r="AS252" s="1"/>
  <c r="AS251" s="1"/>
  <c r="AS250" s="1"/>
  <c r="AS249" s="1"/>
  <c r="AS248" s="1"/>
  <c r="AS247" s="1"/>
  <c r="AS246" s="1"/>
  <c r="AQ274"/>
  <c r="AR274"/>
  <c r="AS274"/>
  <c r="AQ275"/>
  <c r="AR275"/>
  <c r="AS275"/>
  <c r="AQ276"/>
  <c r="AR276"/>
  <c r="AS276"/>
  <c r="AQ277"/>
  <c r="AR277"/>
  <c r="AS277"/>
  <c r="AQ278"/>
  <c r="AR278"/>
  <c r="AS278"/>
  <c r="AQ279"/>
  <c r="AR279"/>
  <c r="AS279"/>
  <c r="AQ280"/>
  <c r="AR280"/>
  <c r="AS280"/>
  <c r="AQ281"/>
  <c r="AR281"/>
  <c r="AS281"/>
  <c r="AQ282"/>
  <c r="AR282"/>
  <c r="AS282"/>
  <c r="AQ283"/>
  <c r="AR283"/>
  <c r="AS283"/>
  <c r="AQ284"/>
  <c r="AR284"/>
  <c r="AS284"/>
  <c r="AQ285"/>
  <c r="AR285"/>
  <c r="AS285"/>
  <c r="AQ286"/>
  <c r="AR286"/>
  <c r="AS286"/>
  <c r="AQ287"/>
  <c r="AR287"/>
  <c r="AS287"/>
  <c r="AQ288"/>
  <c r="AR288"/>
  <c r="AS288"/>
  <c r="AQ289"/>
  <c r="AR289"/>
  <c r="AS289"/>
  <c r="AQ290"/>
  <c r="AR290"/>
  <c r="AS290"/>
  <c r="AQ291"/>
  <c r="AR291"/>
  <c r="AS291"/>
  <c r="AQ292"/>
  <c r="AR292"/>
  <c r="AS292"/>
  <c r="AQ293"/>
  <c r="AR293"/>
  <c r="AS293"/>
  <c r="AQ294"/>
  <c r="AR294"/>
  <c r="AS294"/>
  <c r="AQ295"/>
  <c r="AR295"/>
  <c r="AS295"/>
  <c r="AQ296"/>
  <c r="AR296"/>
  <c r="AS296"/>
  <c r="AQ297"/>
  <c r="AR297"/>
  <c r="AS297"/>
  <c r="AQ298"/>
  <c r="AR298"/>
  <c r="AS298"/>
  <c r="AQ299"/>
  <c r="AR299"/>
  <c r="AS299"/>
  <c r="AQ300"/>
  <c r="AR300"/>
  <c r="AS300"/>
  <c r="AQ301"/>
  <c r="AR301"/>
  <c r="AS301"/>
  <c r="AQ302"/>
  <c r="AR302"/>
  <c r="AS302"/>
  <c r="AQ303"/>
  <c r="AR303"/>
  <c r="AS303"/>
  <c r="AQ304"/>
  <c r="AR304"/>
  <c r="AS304"/>
  <c r="D56" i="13"/>
  <c r="D304"/>
  <c r="D303"/>
  <c r="D302"/>
  <c r="D301"/>
  <c r="D300"/>
  <c r="D299"/>
  <c r="D298"/>
  <c r="D297"/>
  <c r="D296"/>
  <c r="D295"/>
  <c r="D294"/>
  <c r="D293"/>
  <c r="D292"/>
  <c r="D291"/>
  <c r="D290"/>
  <c r="D289"/>
  <c r="D288"/>
  <c r="D287"/>
  <c r="D286"/>
  <c r="D285"/>
  <c r="D284"/>
  <c r="D283"/>
  <c r="D282"/>
  <c r="D281"/>
  <c r="D280"/>
  <c r="D280" i="5" s="1"/>
  <c r="D279" i="13"/>
  <c r="D278"/>
  <c r="D277"/>
  <c r="D276"/>
  <c r="D275"/>
  <c r="D274"/>
  <c r="D273"/>
  <c r="D272"/>
  <c r="D271"/>
  <c r="D270"/>
  <c r="D269"/>
  <c r="D268"/>
  <c r="D267"/>
  <c r="D266"/>
  <c r="D265"/>
  <c r="D264"/>
  <c r="D264" i="5" s="1"/>
  <c r="D263" i="13"/>
  <c r="D262"/>
  <c r="D261"/>
  <c r="D260"/>
  <c r="D260" i="2" s="1"/>
  <c r="D259" i="13"/>
  <c r="D258"/>
  <c r="D257"/>
  <c r="D256"/>
  <c r="D255"/>
  <c r="D254"/>
  <c r="D253"/>
  <c r="D252"/>
  <c r="D251"/>
  <c r="D250"/>
  <c r="D249"/>
  <c r="D248"/>
  <c r="D247"/>
  <c r="D246"/>
  <c r="D245"/>
  <c r="D244"/>
  <c r="D243"/>
  <c r="D242"/>
  <c r="D241"/>
  <c r="D240"/>
  <c r="D239"/>
  <c r="D238"/>
  <c r="D237"/>
  <c r="D236"/>
  <c r="D235"/>
  <c r="D234"/>
  <c r="D233"/>
  <c r="D232"/>
  <c r="D231"/>
  <c r="D230"/>
  <c r="D229"/>
  <c r="D228"/>
  <c r="D228" i="4" s="1"/>
  <c r="D227" i="13"/>
  <c r="D226"/>
  <c r="D225"/>
  <c r="D224"/>
  <c r="D223"/>
  <c r="D222"/>
  <c r="D221"/>
  <c r="D220"/>
  <c r="D219"/>
  <c r="D218"/>
  <c r="D217"/>
  <c r="D216"/>
  <c r="D216" i="5" s="1"/>
  <c r="D215" i="13"/>
  <c r="D214"/>
  <c r="D213"/>
  <c r="D212"/>
  <c r="D212" i="4" s="1"/>
  <c r="D211" i="13"/>
  <c r="D210"/>
  <c r="D209"/>
  <c r="D208"/>
  <c r="D207"/>
  <c r="D206"/>
  <c r="D205"/>
  <c r="D204"/>
  <c r="D203"/>
  <c r="D202"/>
  <c r="D201"/>
  <c r="D200"/>
  <c r="D200" i="5" s="1"/>
  <c r="D199" i="13"/>
  <c r="D198"/>
  <c r="D197"/>
  <c r="D196"/>
  <c r="D195"/>
  <c r="D194"/>
  <c r="D193"/>
  <c r="D192"/>
  <c r="D191"/>
  <c r="D190"/>
  <c r="D189"/>
  <c r="D188"/>
  <c r="D187"/>
  <c r="D186"/>
  <c r="D185"/>
  <c r="D184"/>
  <c r="D184" i="5" s="1"/>
  <c r="D183" i="13"/>
  <c r="D182"/>
  <c r="D181"/>
  <c r="D180"/>
  <c r="D180" i="4" s="1"/>
  <c r="D179" i="13"/>
  <c r="D178"/>
  <c r="D177"/>
  <c r="D176"/>
  <c r="D175"/>
  <c r="D174"/>
  <c r="D173"/>
  <c r="D172"/>
  <c r="D171"/>
  <c r="D170"/>
  <c r="D169"/>
  <c r="D168"/>
  <c r="D168" i="5" s="1"/>
  <c r="D167" i="13"/>
  <c r="D166"/>
  <c r="D165"/>
  <c r="D164"/>
  <c r="D164" i="4" s="1"/>
  <c r="D163" i="13"/>
  <c r="D162"/>
  <c r="D161"/>
  <c r="D160"/>
  <c r="D159"/>
  <c r="D158"/>
  <c r="D157"/>
  <c r="D156"/>
  <c r="D155"/>
  <c r="D154"/>
  <c r="D153"/>
  <c r="D152"/>
  <c r="D152" i="5" s="1"/>
  <c r="D151" i="13"/>
  <c r="D150"/>
  <c r="D149"/>
  <c r="D148"/>
  <c r="D147"/>
  <c r="D146"/>
  <c r="D145"/>
  <c r="D144"/>
  <c r="D143"/>
  <c r="D142"/>
  <c r="D141"/>
  <c r="D140"/>
  <c r="D139"/>
  <c r="D138"/>
  <c r="D137"/>
  <c r="D136"/>
  <c r="D135"/>
  <c r="D134"/>
  <c r="D133"/>
  <c r="D132"/>
  <c r="D132" i="4" s="1"/>
  <c r="D131" i="13"/>
  <c r="D130"/>
  <c r="D129"/>
  <c r="D128"/>
  <c r="D127"/>
  <c r="D126"/>
  <c r="D125"/>
  <c r="D124"/>
  <c r="D123"/>
  <c r="D122"/>
  <c r="D121"/>
  <c r="D120"/>
  <c r="D120" i="5" s="1"/>
  <c r="D119" i="13"/>
  <c r="D118"/>
  <c r="D117"/>
  <c r="D116"/>
  <c r="D116" i="4" s="1"/>
  <c r="D115" i="13"/>
  <c r="D114"/>
  <c r="D113"/>
  <c r="D112"/>
  <c r="D111"/>
  <c r="D110"/>
  <c r="D109"/>
  <c r="D108"/>
  <c r="D107"/>
  <c r="D106"/>
  <c r="D105"/>
  <c r="D104"/>
  <c r="D104" i="5" s="1"/>
  <c r="D103" i="13"/>
  <c r="D102"/>
  <c r="D101"/>
  <c r="D100"/>
  <c r="D99"/>
  <c r="D98"/>
  <c r="D97"/>
  <c r="D96"/>
  <c r="D95"/>
  <c r="D94"/>
  <c r="D93"/>
  <c r="D92"/>
  <c r="D91"/>
  <c r="D90"/>
  <c r="D89"/>
  <c r="D88"/>
  <c r="D88" i="5" s="1"/>
  <c r="D87" i="13"/>
  <c r="D86"/>
  <c r="D85"/>
  <c r="D84"/>
  <c r="D84" i="4" s="1"/>
  <c r="D83" i="13"/>
  <c r="D82"/>
  <c r="D81"/>
  <c r="D80"/>
  <c r="D80" i="15" s="1"/>
  <c r="D79" i="13"/>
  <c r="D78"/>
  <c r="D77"/>
  <c r="D76"/>
  <c r="D76" i="6" s="1"/>
  <c r="D75" i="13"/>
  <c r="D74"/>
  <c r="D73"/>
  <c r="D72"/>
  <c r="D72" i="15" s="1"/>
  <c r="D71" i="13"/>
  <c r="D70"/>
  <c r="D69"/>
  <c r="D68"/>
  <c r="D67"/>
  <c r="D66"/>
  <c r="D65"/>
  <c r="D64"/>
  <c r="D63"/>
  <c r="D62"/>
  <c r="D61"/>
  <c r="D60"/>
  <c r="D59"/>
  <c r="D58"/>
  <c r="D57"/>
  <c r="D55"/>
  <c r="D54"/>
  <c r="D53"/>
  <c r="D52"/>
  <c r="D51"/>
  <c r="D50"/>
  <c r="D49"/>
  <c r="D48"/>
  <c r="D47"/>
  <c r="D46"/>
  <c r="D45"/>
  <c r="D44"/>
  <c r="D44" i="2" s="1"/>
  <c r="D43" i="13"/>
  <c r="D42"/>
  <c r="D41"/>
  <c r="D40"/>
  <c r="D39"/>
  <c r="D38"/>
  <c r="D37"/>
  <c r="D36"/>
  <c r="D35"/>
  <c r="D34"/>
  <c r="D33"/>
  <c r="D32"/>
  <c r="D31"/>
  <c r="D30"/>
  <c r="D29"/>
  <c r="D28"/>
  <c r="D27"/>
  <c r="D26"/>
  <c r="D25"/>
  <c r="D24"/>
  <c r="D23"/>
  <c r="D22"/>
  <c r="D21"/>
  <c r="D20"/>
  <c r="D20" i="2" s="1"/>
  <c r="D19" i="13"/>
  <c r="D18"/>
  <c r="D17"/>
  <c r="D16"/>
  <c r="D15"/>
  <c r="D14"/>
  <c r="D13"/>
  <c r="D12"/>
  <c r="D11"/>
  <c r="D10"/>
  <c r="D9"/>
  <c r="D8"/>
  <c r="D8" i="6" s="1"/>
  <c r="D7" i="13"/>
  <c r="D6"/>
  <c r="D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5"/>
  <c r="AK304" i="7"/>
  <c r="AO304"/>
  <c r="AG304"/>
  <c r="M6" i="4"/>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5"/>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L252"/>
  <c r="L253"/>
  <c r="L254"/>
  <c r="L255"/>
  <c r="L256"/>
  <c r="L257"/>
  <c r="L258"/>
  <c r="L259"/>
  <c r="L260"/>
  <c r="L261"/>
  <c r="L262"/>
  <c r="L263"/>
  <c r="L264"/>
  <c r="L265"/>
  <c r="L266"/>
  <c r="L267"/>
  <c r="L268"/>
  <c r="L269"/>
  <c r="L270"/>
  <c r="L271"/>
  <c r="L272"/>
  <c r="L273"/>
  <c r="L274"/>
  <c r="L275"/>
  <c r="L276"/>
  <c r="L277"/>
  <c r="L278"/>
  <c r="L279"/>
  <c r="L280"/>
  <c r="L281"/>
  <c r="L282"/>
  <c r="L283"/>
  <c r="L284"/>
  <c r="L285"/>
  <c r="L286"/>
  <c r="L287"/>
  <c r="L288"/>
  <c r="L289"/>
  <c r="L290"/>
  <c r="L291"/>
  <c r="L292"/>
  <c r="L293"/>
  <c r="L294"/>
  <c r="L295"/>
  <c r="L296"/>
  <c r="L297"/>
  <c r="L298"/>
  <c r="L299"/>
  <c r="L300"/>
  <c r="L301"/>
  <c r="L302"/>
  <c r="L303"/>
  <c r="L304"/>
  <c r="L5"/>
  <c r="M7" i="3"/>
  <c r="M8"/>
  <c r="M12"/>
  <c r="M13"/>
  <c r="M14"/>
  <c r="M18"/>
  <c r="M20"/>
  <c r="M21"/>
  <c r="M22"/>
  <c r="M24"/>
  <c r="M25"/>
  <c r="M29"/>
  <c r="M30"/>
  <c r="M34"/>
  <c r="M36"/>
  <c r="M38"/>
  <c r="M39"/>
  <c r="M40"/>
  <c r="M41"/>
  <c r="M42"/>
  <c r="M43"/>
  <c r="M48"/>
  <c r="M49"/>
  <c r="M50"/>
  <c r="M51"/>
  <c r="M53"/>
  <c r="M55"/>
  <c r="M56"/>
  <c r="M57"/>
  <c r="M59"/>
  <c r="M60"/>
  <c r="M61"/>
  <c r="M62"/>
  <c r="M64"/>
  <c r="M74"/>
  <c r="M77"/>
  <c r="M78"/>
  <c r="M79"/>
  <c r="M80"/>
  <c r="M81"/>
  <c r="M82"/>
  <c r="M83"/>
  <c r="M84"/>
  <c r="M85"/>
  <c r="M86"/>
  <c r="M87"/>
  <c r="M88"/>
  <c r="M90"/>
  <c r="M92"/>
  <c r="M93"/>
  <c r="M94"/>
  <c r="M95"/>
  <c r="M96"/>
  <c r="M97"/>
  <c r="M98"/>
  <c r="M99"/>
  <c r="M100"/>
  <c r="M101"/>
  <c r="M102"/>
  <c r="M103"/>
  <c r="M105"/>
  <c r="M108"/>
  <c r="M109"/>
  <c r="M110"/>
  <c r="M111"/>
  <c r="M112"/>
  <c r="M113"/>
  <c r="M115"/>
  <c r="M116"/>
  <c r="M117"/>
  <c r="M118"/>
  <c r="M119"/>
  <c r="M120"/>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5"/>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L252"/>
  <c r="L253"/>
  <c r="L254"/>
  <c r="L255"/>
  <c r="L256"/>
  <c r="L257"/>
  <c r="L258"/>
  <c r="L259"/>
  <c r="L260"/>
  <c r="L261"/>
  <c r="L262"/>
  <c r="L263"/>
  <c r="L264"/>
  <c r="L265"/>
  <c r="L266"/>
  <c r="L267"/>
  <c r="L268"/>
  <c r="L269"/>
  <c r="L270"/>
  <c r="L271"/>
  <c r="L272"/>
  <c r="L273"/>
  <c r="L274"/>
  <c r="L275"/>
  <c r="L276"/>
  <c r="L277"/>
  <c r="L278"/>
  <c r="L279"/>
  <c r="L280"/>
  <c r="L281"/>
  <c r="L282"/>
  <c r="L283"/>
  <c r="L284"/>
  <c r="L285"/>
  <c r="L286"/>
  <c r="L287"/>
  <c r="L288"/>
  <c r="L289"/>
  <c r="L290"/>
  <c r="L291"/>
  <c r="L292"/>
  <c r="L293"/>
  <c r="L294"/>
  <c r="L295"/>
  <c r="L296"/>
  <c r="L297"/>
  <c r="L298"/>
  <c r="L299"/>
  <c r="L300"/>
  <c r="L301"/>
  <c r="L302"/>
  <c r="L303"/>
  <c r="L304"/>
  <c r="L5"/>
  <c r="M9" i="2"/>
  <c r="M15"/>
  <c r="M16"/>
  <c r="M18"/>
  <c r="M20"/>
  <c r="M21"/>
  <c r="M22"/>
  <c r="M24"/>
  <c r="M29"/>
  <c r="M36"/>
  <c r="M51"/>
  <c r="M54"/>
  <c r="M55"/>
  <c r="M59"/>
  <c r="M67"/>
  <c r="M80"/>
  <c r="M81"/>
  <c r="M83"/>
  <c r="M85"/>
  <c r="M86"/>
  <c r="M88"/>
  <c r="M90"/>
  <c r="M93"/>
  <c r="M94"/>
  <c r="M95"/>
  <c r="M96"/>
  <c r="M97"/>
  <c r="M98"/>
  <c r="M99"/>
  <c r="M100"/>
  <c r="M101"/>
  <c r="M102"/>
  <c r="M103"/>
  <c r="M106"/>
  <c r="M107"/>
  <c r="M108"/>
  <c r="M109"/>
  <c r="M110"/>
  <c r="M111"/>
  <c r="M112"/>
  <c r="M113"/>
  <c r="M114"/>
  <c r="M115"/>
  <c r="M117"/>
  <c r="M118"/>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L8"/>
  <c r="L9"/>
  <c r="L11"/>
  <c r="L12"/>
  <c r="L14"/>
  <c r="L15"/>
  <c r="L16"/>
  <c r="L18"/>
  <c r="L20"/>
  <c r="L21"/>
  <c r="L22"/>
  <c r="L24"/>
  <c r="L25"/>
  <c r="L28"/>
  <c r="L29"/>
  <c r="L31"/>
  <c r="L32"/>
  <c r="L33"/>
  <c r="L34"/>
  <c r="L35"/>
  <c r="L36"/>
  <c r="L38"/>
  <c r="L39"/>
  <c r="L41"/>
  <c r="L42"/>
  <c r="L43"/>
  <c r="L44"/>
  <c r="L45"/>
  <c r="L49"/>
  <c r="L51"/>
  <c r="L54"/>
  <c r="L55"/>
  <c r="L56"/>
  <c r="L57"/>
  <c r="L59"/>
  <c r="L60"/>
  <c r="L61"/>
  <c r="L62"/>
  <c r="L64"/>
  <c r="L65"/>
  <c r="L66"/>
  <c r="L67"/>
  <c r="L73"/>
  <c r="L74"/>
  <c r="L75"/>
  <c r="L77"/>
  <c r="L78"/>
  <c r="L79"/>
  <c r="L80"/>
  <c r="L81"/>
  <c r="L82"/>
  <c r="L83"/>
  <c r="L84"/>
  <c r="L85"/>
  <c r="L86"/>
  <c r="L87"/>
  <c r="L88"/>
  <c r="L90"/>
  <c r="L93"/>
  <c r="L94"/>
  <c r="L95"/>
  <c r="L96"/>
  <c r="L97"/>
  <c r="L98"/>
  <c r="L99"/>
  <c r="L100"/>
  <c r="L101"/>
  <c r="L102"/>
  <c r="L103"/>
  <c r="L106"/>
  <c r="L107"/>
  <c r="L108"/>
  <c r="L109"/>
  <c r="L110"/>
  <c r="L111"/>
  <c r="L112"/>
  <c r="L113"/>
  <c r="L114"/>
  <c r="L115"/>
  <c r="L117"/>
  <c r="L118"/>
  <c r="M12" i="13"/>
  <c r="D35" i="4"/>
  <c r="D41"/>
  <c r="D45" i="6"/>
  <c r="D62" i="15"/>
  <c r="D63"/>
  <c r="D64"/>
  <c r="D65"/>
  <c r="D66"/>
  <c r="D69"/>
  <c r="D70" i="2"/>
  <c r="D71" i="15"/>
  <c r="D74"/>
  <c r="D75"/>
  <c r="D78"/>
  <c r="D85" i="3"/>
  <c r="D89"/>
  <c r="D99"/>
  <c r="D100" i="4"/>
  <c r="D101" i="3"/>
  <c r="D105"/>
  <c r="D113"/>
  <c r="D114" i="4"/>
  <c r="D129" i="2"/>
  <c r="D148" i="4"/>
  <c r="D169" i="3"/>
  <c r="D178" i="15"/>
  <c r="D181" i="3"/>
  <c r="D185" i="6"/>
  <c r="D196" i="4"/>
  <c r="D217" i="3"/>
  <c r="D221"/>
  <c r="D222" i="15"/>
  <c r="D238" i="2"/>
  <c r="D248" i="5"/>
  <c r="D249" i="3"/>
  <c r="D250" i="15"/>
  <c r="D253" i="6"/>
  <c r="D260" i="4"/>
  <c r="D277" i="3"/>
  <c r="D296" i="5"/>
  <c r="D297" i="3"/>
  <c r="D298" i="15"/>
  <c r="D301"/>
  <c r="E48" i="2"/>
  <c r="F48"/>
  <c r="E49"/>
  <c r="F49" i="7" s="1"/>
  <c r="F49" i="2"/>
  <c r="E50"/>
  <c r="F50"/>
  <c r="E51"/>
  <c r="F51" i="7" s="1"/>
  <c r="F51" i="2"/>
  <c r="E52"/>
  <c r="F52"/>
  <c r="C304"/>
  <c r="C304" i="7"/>
  <c r="E304" s="1"/>
  <c r="E304" i="2"/>
  <c r="F304" i="7" s="1"/>
  <c r="F304" i="2"/>
  <c r="G304" i="7"/>
  <c r="M304" i="5"/>
  <c r="AK2" i="7"/>
  <c r="T3"/>
  <c r="AO2"/>
  <c r="X3" s="1"/>
  <c r="D303" i="2"/>
  <c r="C304" i="15"/>
  <c r="E304"/>
  <c r="F304"/>
  <c r="M304" i="6"/>
  <c r="C304" i="4"/>
  <c r="E304"/>
  <c r="F304"/>
  <c r="G304"/>
  <c r="J304"/>
  <c r="K304"/>
  <c r="C303" i="5"/>
  <c r="D303"/>
  <c r="E303"/>
  <c r="F303"/>
  <c r="G303"/>
  <c r="J303"/>
  <c r="K303"/>
  <c r="L303"/>
  <c r="M303"/>
  <c r="C304"/>
  <c r="E304"/>
  <c r="F304"/>
  <c r="G304"/>
  <c r="J304"/>
  <c r="K304"/>
  <c r="L304"/>
  <c r="C304" i="6"/>
  <c r="E304"/>
  <c r="F304"/>
  <c r="G304"/>
  <c r="J304"/>
  <c r="K304"/>
  <c r="L304"/>
  <c r="C304" i="3"/>
  <c r="E304"/>
  <c r="F304"/>
  <c r="G304"/>
  <c r="J304"/>
  <c r="K304"/>
  <c r="G304" i="2"/>
  <c r="J304"/>
  <c r="K304"/>
  <c r="L304"/>
  <c r="D4" i="3"/>
  <c r="E4"/>
  <c r="F4"/>
  <c r="G4"/>
  <c r="J4"/>
  <c r="K4"/>
  <c r="L4"/>
  <c r="M4"/>
  <c r="C3" i="2"/>
  <c r="D8" i="8"/>
  <c r="D32"/>
  <c r="D7"/>
  <c r="D9"/>
  <c r="D10"/>
  <c r="D11"/>
  <c r="D12"/>
  <c r="D13"/>
  <c r="D14"/>
  <c r="D15"/>
  <c r="D16"/>
  <c r="D17"/>
  <c r="D18"/>
  <c r="D19"/>
  <c r="D20"/>
  <c r="D21"/>
  <c r="D22"/>
  <c r="D23"/>
  <c r="D24"/>
  <c r="D25"/>
  <c r="D26"/>
  <c r="D27"/>
  <c r="D28"/>
  <c r="D29"/>
  <c r="D30"/>
  <c r="D31"/>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5"/>
  <c r="D6"/>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M6" i="5"/>
  <c r="M7"/>
  <c r="M8"/>
  <c r="M9"/>
  <c r="C3" i="8"/>
  <c r="C5" s="1"/>
  <c r="D24" i="1"/>
  <c r="F23"/>
  <c r="D5" i="9"/>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C3"/>
  <c r="M10" i="5"/>
  <c r="M11"/>
  <c r="J12" i="3"/>
  <c r="K12"/>
  <c r="M12" i="5"/>
  <c r="M13"/>
  <c r="M14"/>
  <c r="J15" i="2"/>
  <c r="K15"/>
  <c r="M15" i="5"/>
  <c r="M16"/>
  <c r="M17"/>
  <c r="M18"/>
  <c r="M19"/>
  <c r="J20" i="2"/>
  <c r="K20"/>
  <c r="M20" i="5"/>
  <c r="M21"/>
  <c r="M22"/>
  <c r="M23"/>
  <c r="M24"/>
  <c r="M25"/>
  <c r="C7" i="8"/>
  <c r="C11"/>
  <c r="C15"/>
  <c r="C19"/>
  <c r="C23"/>
  <c r="C27"/>
  <c r="C31"/>
  <c r="C35"/>
  <c r="C39"/>
  <c r="C43"/>
  <c r="C47"/>
  <c r="C51"/>
  <c r="C55"/>
  <c r="C59"/>
  <c r="C63"/>
  <c r="C67"/>
  <c r="C71"/>
  <c r="C75"/>
  <c r="C79"/>
  <c r="C83"/>
  <c r="C87"/>
  <c r="C91"/>
  <c r="C95"/>
  <c r="C99"/>
  <c r="C103"/>
  <c r="C107"/>
  <c r="C111"/>
  <c r="C115"/>
  <c r="C119"/>
  <c r="C123"/>
  <c r="C127"/>
  <c r="C131"/>
  <c r="C135"/>
  <c r="C139"/>
  <c r="C143"/>
  <c r="C147"/>
  <c r="C151"/>
  <c r="C155"/>
  <c r="C159"/>
  <c r="C163"/>
  <c r="C167"/>
  <c r="C171"/>
  <c r="C175"/>
  <c r="C179"/>
  <c r="C183"/>
  <c r="C187"/>
  <c r="C191"/>
  <c r="C195"/>
  <c r="C199"/>
  <c r="C203"/>
  <c r="C207"/>
  <c r="C211"/>
  <c r="C215"/>
  <c r="C219"/>
  <c r="C223"/>
  <c r="C227"/>
  <c r="C231"/>
  <c r="C235"/>
  <c r="C239"/>
  <c r="C243"/>
  <c r="C247"/>
  <c r="C251"/>
  <c r="C255"/>
  <c r="C259"/>
  <c r="C263"/>
  <c r="C267"/>
  <c r="C271"/>
  <c r="C275"/>
  <c r="C279"/>
  <c r="C283"/>
  <c r="C287"/>
  <c r="C291"/>
  <c r="C295"/>
  <c r="C299"/>
  <c r="C303"/>
  <c r="C5" i="9"/>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M26" i="5"/>
  <c r="M27"/>
  <c r="M28"/>
  <c r="M29"/>
  <c r="J30" i="3"/>
  <c r="K30"/>
  <c r="M30" i="5"/>
  <c r="M31"/>
  <c r="M32"/>
  <c r="E6" i="8"/>
  <c r="E5"/>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5" i="9"/>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M33" i="5"/>
  <c r="M34"/>
  <c r="M35"/>
  <c r="M36"/>
  <c r="M37"/>
  <c r="M38"/>
  <c r="M39"/>
  <c r="M40"/>
  <c r="F5" i="9"/>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J41" i="3"/>
  <c r="K41"/>
  <c r="M41" i="5"/>
  <c r="M42"/>
  <c r="J43" i="3"/>
  <c r="K43"/>
  <c r="M43" i="5"/>
  <c r="M44"/>
  <c r="M45"/>
  <c r="M46"/>
  <c r="M47"/>
  <c r="M48"/>
  <c r="M49"/>
  <c r="M50"/>
  <c r="M51"/>
  <c r="M52"/>
  <c r="M53"/>
  <c r="M54"/>
  <c r="M55"/>
  <c r="M56"/>
  <c r="M57"/>
  <c r="M58"/>
  <c r="M59"/>
  <c r="M60"/>
  <c r="M61"/>
  <c r="M62"/>
  <c r="M63"/>
  <c r="F6" i="8"/>
  <c r="F5"/>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M64" i="5"/>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J5" i="3"/>
  <c r="K5"/>
  <c r="M5" i="5"/>
  <c r="M4" i="2"/>
  <c r="M4" i="4"/>
  <c r="M4" i="5"/>
  <c r="E6" i="2"/>
  <c r="F6" i="7" s="1"/>
  <c r="F6" i="2"/>
  <c r="G6" i="7" s="1"/>
  <c r="E7" i="2"/>
  <c r="F7" i="7" s="1"/>
  <c r="F7" i="2"/>
  <c r="G7" i="7" s="1"/>
  <c r="E8" i="2"/>
  <c r="F8" i="7" s="1"/>
  <c r="F8" i="2"/>
  <c r="G8" i="7" s="1"/>
  <c r="E9" i="2"/>
  <c r="F9" i="7" s="1"/>
  <c r="F9" i="2"/>
  <c r="G9" i="7" s="1"/>
  <c r="E10" i="2"/>
  <c r="F10" i="7" s="1"/>
  <c r="F10" i="2"/>
  <c r="G10" i="7" s="1"/>
  <c r="E11" i="2"/>
  <c r="F11" i="7" s="1"/>
  <c r="F11" i="2"/>
  <c r="G11" i="7" s="1"/>
  <c r="E12" i="2"/>
  <c r="F12" i="7" s="1"/>
  <c r="F12" i="2"/>
  <c r="G12" i="7" s="1"/>
  <c r="E13" i="2"/>
  <c r="F13" i="7" s="1"/>
  <c r="F13" i="2"/>
  <c r="G13" i="7" s="1"/>
  <c r="E14" i="2"/>
  <c r="F14" i="7" s="1"/>
  <c r="F14" i="2"/>
  <c r="G14" i="7" s="1"/>
  <c r="E15" i="2"/>
  <c r="F15" i="7" s="1"/>
  <c r="F15" i="2"/>
  <c r="G15" i="7" s="1"/>
  <c r="E16" i="2"/>
  <c r="F16" i="7" s="1"/>
  <c r="F16" i="2"/>
  <c r="G16" i="7" s="1"/>
  <c r="E17" i="2"/>
  <c r="F17" i="7" s="1"/>
  <c r="F17" i="2"/>
  <c r="G17" i="7" s="1"/>
  <c r="E18" i="2"/>
  <c r="F18" i="7" s="1"/>
  <c r="F18" i="2"/>
  <c r="G18" i="7" s="1"/>
  <c r="E19" i="2"/>
  <c r="F19" i="7" s="1"/>
  <c r="F19" i="2"/>
  <c r="G19" i="7" s="1"/>
  <c r="E20" i="2"/>
  <c r="F20" i="7" s="1"/>
  <c r="F20" i="2"/>
  <c r="G20" i="7" s="1"/>
  <c r="E21" i="2"/>
  <c r="F21" i="7" s="1"/>
  <c r="F21" i="2"/>
  <c r="G21" i="7" s="1"/>
  <c r="E22" i="2"/>
  <c r="F22" i="7" s="1"/>
  <c r="F22" i="2"/>
  <c r="G22" i="7" s="1"/>
  <c r="E23" i="2"/>
  <c r="F23" i="7" s="1"/>
  <c r="F23" i="2"/>
  <c r="G23" i="7" s="1"/>
  <c r="E24" i="2"/>
  <c r="F24" i="7" s="1"/>
  <c r="F24" i="2"/>
  <c r="G24" i="7" s="1"/>
  <c r="E25" i="2"/>
  <c r="F25" i="7" s="1"/>
  <c r="F25" i="2"/>
  <c r="G25" i="7" s="1"/>
  <c r="E26" i="2"/>
  <c r="F26" i="7" s="1"/>
  <c r="F26" i="2"/>
  <c r="G26" i="7" s="1"/>
  <c r="E27" i="2"/>
  <c r="F27" i="7" s="1"/>
  <c r="F27" i="2"/>
  <c r="G27" i="7" s="1"/>
  <c r="E28" i="2"/>
  <c r="F28" i="7" s="1"/>
  <c r="F28" i="2"/>
  <c r="G28" i="7" s="1"/>
  <c r="E29" i="2"/>
  <c r="F29" i="7" s="1"/>
  <c r="F29" i="2"/>
  <c r="G29" i="7" s="1"/>
  <c r="E30" i="2"/>
  <c r="F30" i="7" s="1"/>
  <c r="F30" i="2"/>
  <c r="G30" i="7" s="1"/>
  <c r="E31" i="2"/>
  <c r="F31" i="7" s="1"/>
  <c r="F31" i="2"/>
  <c r="G31" i="7" s="1"/>
  <c r="E32" i="2"/>
  <c r="F32" i="7" s="1"/>
  <c r="F32" i="2"/>
  <c r="G32" i="7" s="1"/>
  <c r="E33" i="2"/>
  <c r="F33" i="7" s="1"/>
  <c r="F33" i="2"/>
  <c r="G33" i="7" s="1"/>
  <c r="E34" i="2"/>
  <c r="F34" i="7" s="1"/>
  <c r="F34" i="2"/>
  <c r="G34" i="7" s="1"/>
  <c r="E35" i="2"/>
  <c r="F35" i="7" s="1"/>
  <c r="F35" i="2"/>
  <c r="G35" i="7" s="1"/>
  <c r="E36" i="2"/>
  <c r="F36" i="7" s="1"/>
  <c r="F36" i="2"/>
  <c r="G36" i="7" s="1"/>
  <c r="E37" i="2"/>
  <c r="F37" i="7" s="1"/>
  <c r="F37" i="2"/>
  <c r="G37" i="7" s="1"/>
  <c r="E38" i="2"/>
  <c r="F38" i="7" s="1"/>
  <c r="F38" i="2"/>
  <c r="G38" i="7" s="1"/>
  <c r="E39" i="2"/>
  <c r="F39" i="7" s="1"/>
  <c r="F39" i="2"/>
  <c r="G39" i="7" s="1"/>
  <c r="E40" i="2"/>
  <c r="F40" i="7" s="1"/>
  <c r="F40" i="2"/>
  <c r="G40" i="7" s="1"/>
  <c r="E41" i="2"/>
  <c r="F41" i="7" s="1"/>
  <c r="F41" i="2"/>
  <c r="G41" i="7" s="1"/>
  <c r="E42" i="2"/>
  <c r="F42" i="7" s="1"/>
  <c r="F42" i="2"/>
  <c r="G42" i="7" s="1"/>
  <c r="E43" i="2"/>
  <c r="F43" i="7" s="1"/>
  <c r="F43" i="2"/>
  <c r="G43" i="7" s="1"/>
  <c r="E44" i="2"/>
  <c r="F44" i="7" s="1"/>
  <c r="F44" i="2"/>
  <c r="G44" i="7" s="1"/>
  <c r="E45" i="2"/>
  <c r="F45" i="7" s="1"/>
  <c r="F45" i="2"/>
  <c r="G45" i="7" s="1"/>
  <c r="E46" i="2"/>
  <c r="F46" i="7" s="1"/>
  <c r="F46" i="2"/>
  <c r="G46" i="7" s="1"/>
  <c r="E47" i="2"/>
  <c r="F47" i="7" s="1"/>
  <c r="F47" i="2"/>
  <c r="G47" i="7" s="1"/>
  <c r="F48"/>
  <c r="G48"/>
  <c r="G49"/>
  <c r="F50"/>
  <c r="G50"/>
  <c r="G51"/>
  <c r="F52"/>
  <c r="G52"/>
  <c r="E53" i="2"/>
  <c r="F53" i="7" s="1"/>
  <c r="F53" i="2"/>
  <c r="G53" i="7" s="1"/>
  <c r="E54" i="2"/>
  <c r="F54" i="7" s="1"/>
  <c r="F54" i="2"/>
  <c r="G54" i="7" s="1"/>
  <c r="E55" i="2"/>
  <c r="F55" i="7" s="1"/>
  <c r="F55" i="2"/>
  <c r="G55" i="7" s="1"/>
  <c r="E56" i="2"/>
  <c r="F56" i="7" s="1"/>
  <c r="F56" i="2"/>
  <c r="G56" i="7" s="1"/>
  <c r="E57" i="2"/>
  <c r="F57" i="7" s="1"/>
  <c r="F57" i="2"/>
  <c r="G57" i="7" s="1"/>
  <c r="E58" i="2"/>
  <c r="F58" i="7" s="1"/>
  <c r="F58" i="2"/>
  <c r="G58" i="7" s="1"/>
  <c r="E59" i="2"/>
  <c r="F59" i="7" s="1"/>
  <c r="F59" i="2"/>
  <c r="G59" i="7" s="1"/>
  <c r="E60" i="2"/>
  <c r="F60" i="7" s="1"/>
  <c r="F60" i="2"/>
  <c r="G60" i="7" s="1"/>
  <c r="E61" i="2"/>
  <c r="F61" i="7" s="1"/>
  <c r="F61" i="2"/>
  <c r="G61" i="7" s="1"/>
  <c r="E62" i="2"/>
  <c r="F62" i="7" s="1"/>
  <c r="F62" i="2"/>
  <c r="G62" i="7" s="1"/>
  <c r="E63" i="2"/>
  <c r="F63" i="7" s="1"/>
  <c r="F63" i="2"/>
  <c r="G63" i="7" s="1"/>
  <c r="E64" i="2"/>
  <c r="F64" i="7" s="1"/>
  <c r="F64" i="2"/>
  <c r="G64" i="7" s="1"/>
  <c r="E65" i="2"/>
  <c r="F65" i="7" s="1"/>
  <c r="F65" i="2"/>
  <c r="G65" i="7" s="1"/>
  <c r="E66" i="2"/>
  <c r="F66" i="7" s="1"/>
  <c r="F66" i="2"/>
  <c r="G66" i="7" s="1"/>
  <c r="E67" i="2"/>
  <c r="F67" i="7" s="1"/>
  <c r="F67" i="2"/>
  <c r="G67" i="7" s="1"/>
  <c r="E68" i="2"/>
  <c r="F68" i="7" s="1"/>
  <c r="F68" i="2"/>
  <c r="G68" i="7" s="1"/>
  <c r="E69" i="2"/>
  <c r="F69" i="7" s="1"/>
  <c r="F69" i="2"/>
  <c r="G69" i="7" s="1"/>
  <c r="E70" i="2"/>
  <c r="F70" i="7" s="1"/>
  <c r="F70" i="2"/>
  <c r="G70" i="7" s="1"/>
  <c r="E71" i="2"/>
  <c r="F71" i="7" s="1"/>
  <c r="F71" i="2"/>
  <c r="G71" i="7" s="1"/>
  <c r="E72" i="2"/>
  <c r="F72" i="7" s="1"/>
  <c r="F72" i="2"/>
  <c r="G72" i="7" s="1"/>
  <c r="E73" i="2"/>
  <c r="F73" i="7" s="1"/>
  <c r="F73" i="2"/>
  <c r="G73" i="7" s="1"/>
  <c r="E74" i="2"/>
  <c r="F74" i="7" s="1"/>
  <c r="F74" i="2"/>
  <c r="G74" i="7" s="1"/>
  <c r="E75" i="2"/>
  <c r="F75" i="7" s="1"/>
  <c r="F75" i="2"/>
  <c r="G75" i="7" s="1"/>
  <c r="E76" i="2"/>
  <c r="F76" i="7" s="1"/>
  <c r="F76" i="2"/>
  <c r="G76" i="7" s="1"/>
  <c r="E77" i="2"/>
  <c r="F77" i="7" s="1"/>
  <c r="F77" i="2"/>
  <c r="G77" i="7" s="1"/>
  <c r="E78" i="2"/>
  <c r="F78" i="7" s="1"/>
  <c r="F78" i="2"/>
  <c r="G78" i="7" s="1"/>
  <c r="E79" i="2"/>
  <c r="F79" i="7" s="1"/>
  <c r="F79" i="2"/>
  <c r="G79" i="7" s="1"/>
  <c r="E80" i="2"/>
  <c r="F80" i="7" s="1"/>
  <c r="F80" i="2"/>
  <c r="G80" i="7" s="1"/>
  <c r="E81" i="2"/>
  <c r="F81" i="7" s="1"/>
  <c r="F81" i="2"/>
  <c r="G81" i="7" s="1"/>
  <c r="E82" i="2"/>
  <c r="F82" i="7" s="1"/>
  <c r="F82" i="2"/>
  <c r="G82" i="7" s="1"/>
  <c r="E83" i="2"/>
  <c r="F83" i="7" s="1"/>
  <c r="F83" i="2"/>
  <c r="G83" i="7" s="1"/>
  <c r="E84" i="2"/>
  <c r="F84" i="7" s="1"/>
  <c r="F84" i="2"/>
  <c r="G84" i="7" s="1"/>
  <c r="E85" i="2"/>
  <c r="F85" i="7" s="1"/>
  <c r="F85" i="2"/>
  <c r="G85" i="7" s="1"/>
  <c r="E86" i="2"/>
  <c r="F86" i="7" s="1"/>
  <c r="F86" i="2"/>
  <c r="G86" i="7" s="1"/>
  <c r="E87" i="2"/>
  <c r="F87" i="7" s="1"/>
  <c r="F87" i="2"/>
  <c r="G87" i="7" s="1"/>
  <c r="E88" i="2"/>
  <c r="F88" i="7" s="1"/>
  <c r="F88" i="2"/>
  <c r="G88" i="7" s="1"/>
  <c r="E89" i="2"/>
  <c r="F89" i="7" s="1"/>
  <c r="F89" i="2"/>
  <c r="G89" i="7" s="1"/>
  <c r="E90" i="2"/>
  <c r="F90" i="7" s="1"/>
  <c r="F90" i="2"/>
  <c r="G90" i="7" s="1"/>
  <c r="E91" i="2"/>
  <c r="F91" i="7" s="1"/>
  <c r="F91" i="2"/>
  <c r="G91" i="7" s="1"/>
  <c r="E92" i="2"/>
  <c r="F92" i="7" s="1"/>
  <c r="F92" i="2"/>
  <c r="G92" i="7" s="1"/>
  <c r="E93" i="2"/>
  <c r="F93" i="7" s="1"/>
  <c r="F93" i="2"/>
  <c r="G93" i="7" s="1"/>
  <c r="E94" i="2"/>
  <c r="F94" i="7" s="1"/>
  <c r="F94" i="2"/>
  <c r="G94" i="7" s="1"/>
  <c r="E95" i="2"/>
  <c r="F95" i="7" s="1"/>
  <c r="F95" i="2"/>
  <c r="G95" i="7" s="1"/>
  <c r="E96" i="2"/>
  <c r="F96" i="7" s="1"/>
  <c r="F96" i="2"/>
  <c r="G96" i="7" s="1"/>
  <c r="E97" i="2"/>
  <c r="F97" i="7" s="1"/>
  <c r="F97" i="2"/>
  <c r="G97" i="7" s="1"/>
  <c r="E98" i="2"/>
  <c r="F98" i="7" s="1"/>
  <c r="F98" i="2"/>
  <c r="G98" i="7" s="1"/>
  <c r="E99" i="2"/>
  <c r="F99" i="7" s="1"/>
  <c r="F99" i="2"/>
  <c r="G99" i="7" s="1"/>
  <c r="E100" i="2"/>
  <c r="F100" i="7" s="1"/>
  <c r="F100" i="2"/>
  <c r="G100" i="7" s="1"/>
  <c r="E101" i="2"/>
  <c r="F101" i="7" s="1"/>
  <c r="F101" i="2"/>
  <c r="G101" i="7" s="1"/>
  <c r="E102" i="2"/>
  <c r="F102" i="7" s="1"/>
  <c r="F102" i="2"/>
  <c r="G102" i="7" s="1"/>
  <c r="E103" i="2"/>
  <c r="F103" i="7" s="1"/>
  <c r="F103" i="2"/>
  <c r="G103" i="7" s="1"/>
  <c r="E104" i="2"/>
  <c r="F104" i="7" s="1"/>
  <c r="F104" i="2"/>
  <c r="G104" i="7" s="1"/>
  <c r="E105" i="2"/>
  <c r="F105" i="7" s="1"/>
  <c r="F105" i="2"/>
  <c r="G105" i="7" s="1"/>
  <c r="E106" i="2"/>
  <c r="F106" i="7" s="1"/>
  <c r="F106" i="2"/>
  <c r="G106" i="7" s="1"/>
  <c r="E107" i="2"/>
  <c r="F107" i="7" s="1"/>
  <c r="F107" i="2"/>
  <c r="G107" i="7" s="1"/>
  <c r="E108" i="2"/>
  <c r="F108" i="7" s="1"/>
  <c r="F108" i="2"/>
  <c r="G108" i="7" s="1"/>
  <c r="E109" i="2"/>
  <c r="F109" i="7" s="1"/>
  <c r="F109" i="2"/>
  <c r="G109" i="7" s="1"/>
  <c r="E110" i="2"/>
  <c r="F110" i="7" s="1"/>
  <c r="F110" i="2"/>
  <c r="G110" i="7" s="1"/>
  <c r="E111" i="2"/>
  <c r="F111" i="7" s="1"/>
  <c r="F111" i="2"/>
  <c r="G111" i="7" s="1"/>
  <c r="E112" i="2"/>
  <c r="F112" i="7" s="1"/>
  <c r="F112" i="2"/>
  <c r="G112" i="7" s="1"/>
  <c r="E113" i="2"/>
  <c r="F113" i="7" s="1"/>
  <c r="F113" i="2"/>
  <c r="G113" i="7" s="1"/>
  <c r="E114" i="2"/>
  <c r="F114" i="7" s="1"/>
  <c r="F114" i="2"/>
  <c r="G114" i="7" s="1"/>
  <c r="E115" i="2"/>
  <c r="F115" i="7" s="1"/>
  <c r="F115" i="2"/>
  <c r="G115" i="7" s="1"/>
  <c r="E116" i="2"/>
  <c r="F116" i="7" s="1"/>
  <c r="F116" i="2"/>
  <c r="G116" i="7" s="1"/>
  <c r="E117" i="2"/>
  <c r="F117" i="7" s="1"/>
  <c r="F117" i="2"/>
  <c r="G117" i="7" s="1"/>
  <c r="E118" i="2"/>
  <c r="F118" i="7" s="1"/>
  <c r="F118" i="2"/>
  <c r="G118" i="7" s="1"/>
  <c r="E119" i="2"/>
  <c r="F119" i="7" s="1"/>
  <c r="F119" i="2"/>
  <c r="G119" i="7" s="1"/>
  <c r="E120" i="2"/>
  <c r="F120" i="7" s="1"/>
  <c r="F120" i="2"/>
  <c r="G120" i="7" s="1"/>
  <c r="E121" i="2"/>
  <c r="F121" i="7" s="1"/>
  <c r="F121" i="2"/>
  <c r="G121" i="7" s="1"/>
  <c r="E122" i="2"/>
  <c r="F122" i="7" s="1"/>
  <c r="F122" i="2"/>
  <c r="G122" i="7" s="1"/>
  <c r="E123" i="2"/>
  <c r="F123" i="7" s="1"/>
  <c r="F123" i="2"/>
  <c r="G123" i="7" s="1"/>
  <c r="E124" i="2"/>
  <c r="F124" i="7" s="1"/>
  <c r="F124" i="2"/>
  <c r="G124" i="7" s="1"/>
  <c r="E125" i="2"/>
  <c r="F125" i="7" s="1"/>
  <c r="F125" i="2"/>
  <c r="G125" i="7" s="1"/>
  <c r="E126" i="2"/>
  <c r="F126" i="7" s="1"/>
  <c r="F126" i="2"/>
  <c r="G126" i="7" s="1"/>
  <c r="E127" i="2"/>
  <c r="F127" i="7" s="1"/>
  <c r="F127" i="2"/>
  <c r="G127" i="7" s="1"/>
  <c r="E128" i="2"/>
  <c r="F128" i="7" s="1"/>
  <c r="F128" i="2"/>
  <c r="G128" i="7" s="1"/>
  <c r="E129" i="2"/>
  <c r="F129" i="7" s="1"/>
  <c r="F129" i="2"/>
  <c r="G129" i="7"/>
  <c r="E130" i="2"/>
  <c r="F130" i="7" s="1"/>
  <c r="F130" i="2"/>
  <c r="G130" i="7"/>
  <c r="E131" i="2"/>
  <c r="F131" i="7" s="1"/>
  <c r="F131" i="2"/>
  <c r="G131" i="7" s="1"/>
  <c r="E132" i="2"/>
  <c r="F132" i="7" s="1"/>
  <c r="F132" i="2"/>
  <c r="G132" i="7" s="1"/>
  <c r="E133" i="2"/>
  <c r="F133" i="7" s="1"/>
  <c r="F133" i="2"/>
  <c r="G133" i="7"/>
  <c r="E134" i="2"/>
  <c r="F134" i="7" s="1"/>
  <c r="F134" i="2"/>
  <c r="G134" i="7"/>
  <c r="E135" i="2"/>
  <c r="F135" i="7" s="1"/>
  <c r="F135" i="2"/>
  <c r="G135" i="7"/>
  <c r="E136" i="2"/>
  <c r="F136" i="7" s="1"/>
  <c r="F136" i="2"/>
  <c r="G136" i="7" s="1"/>
  <c r="E137" i="2"/>
  <c r="F137" i="7" s="1"/>
  <c r="F137" i="2"/>
  <c r="G137" i="7"/>
  <c r="E138" i="2"/>
  <c r="F138" i="7" s="1"/>
  <c r="F138" i="2"/>
  <c r="G138" i="7" s="1"/>
  <c r="E139" i="2"/>
  <c r="F139" i="7" s="1"/>
  <c r="F139" i="2"/>
  <c r="G139" i="7" s="1"/>
  <c r="E140" i="2"/>
  <c r="F140" i="7" s="1"/>
  <c r="F140" i="2"/>
  <c r="G140" i="7" s="1"/>
  <c r="E141" i="2"/>
  <c r="F141" i="7" s="1"/>
  <c r="F141" i="2"/>
  <c r="G141" i="7" s="1"/>
  <c r="E142" i="2"/>
  <c r="F142" i="7" s="1"/>
  <c r="F142" i="2"/>
  <c r="G142" i="7" s="1"/>
  <c r="E143" i="2"/>
  <c r="F143" i="7" s="1"/>
  <c r="F143" i="2"/>
  <c r="G143" i="7" s="1"/>
  <c r="E144" i="2"/>
  <c r="F144" i="7" s="1"/>
  <c r="F144" i="2"/>
  <c r="G144" i="7" s="1"/>
  <c r="E145" i="2"/>
  <c r="F145" i="7" s="1"/>
  <c r="F145" i="2"/>
  <c r="G145" i="7" s="1"/>
  <c r="E146" i="2"/>
  <c r="F146" i="7" s="1"/>
  <c r="F146" i="2"/>
  <c r="G146" i="7" s="1"/>
  <c r="E147" i="2"/>
  <c r="F147" i="7" s="1"/>
  <c r="F147" i="2"/>
  <c r="G147" i="7" s="1"/>
  <c r="E148" i="2"/>
  <c r="F148" i="7" s="1"/>
  <c r="F148" i="2"/>
  <c r="G148" i="7" s="1"/>
  <c r="E149" i="2"/>
  <c r="F149" i="7" s="1"/>
  <c r="F149" i="2"/>
  <c r="G149" i="7" s="1"/>
  <c r="E150" i="2"/>
  <c r="F150" i="7" s="1"/>
  <c r="F150" i="2"/>
  <c r="G150" i="7" s="1"/>
  <c r="E151" i="2"/>
  <c r="F151" i="7" s="1"/>
  <c r="F151" i="2"/>
  <c r="G151" i="7" s="1"/>
  <c r="E152" i="2"/>
  <c r="F152" i="7" s="1"/>
  <c r="F152" i="2"/>
  <c r="G152" i="7" s="1"/>
  <c r="E153" i="2"/>
  <c r="F153" i="7" s="1"/>
  <c r="F153" i="2"/>
  <c r="G153" i="7" s="1"/>
  <c r="E154" i="2"/>
  <c r="F154" i="7" s="1"/>
  <c r="F154" i="2"/>
  <c r="G154" i="7" s="1"/>
  <c r="E155" i="2"/>
  <c r="F155" i="7" s="1"/>
  <c r="F155" i="2"/>
  <c r="G155" i="7" s="1"/>
  <c r="E156" i="2"/>
  <c r="F156" i="7" s="1"/>
  <c r="F156" i="2"/>
  <c r="G156" i="7" s="1"/>
  <c r="E157" i="2"/>
  <c r="F157" i="7" s="1"/>
  <c r="F157" i="2"/>
  <c r="G157" i="7" s="1"/>
  <c r="E158" i="2"/>
  <c r="F158" i="7" s="1"/>
  <c r="F158" i="2"/>
  <c r="G158" i="7" s="1"/>
  <c r="E159" i="2"/>
  <c r="F159" i="7" s="1"/>
  <c r="F159" i="2"/>
  <c r="G159" i="7" s="1"/>
  <c r="E160" i="2"/>
  <c r="F160" i="7" s="1"/>
  <c r="F160" i="2"/>
  <c r="G160" i="7" s="1"/>
  <c r="E161" i="2"/>
  <c r="F161" i="7" s="1"/>
  <c r="F161" i="2"/>
  <c r="G161" i="7" s="1"/>
  <c r="E162" i="2"/>
  <c r="F162" i="7" s="1"/>
  <c r="F162" i="2"/>
  <c r="G162" i="7" s="1"/>
  <c r="E163" i="2"/>
  <c r="F163" i="7" s="1"/>
  <c r="F163" i="2"/>
  <c r="G163" i="7" s="1"/>
  <c r="E164" i="2"/>
  <c r="F164" i="7" s="1"/>
  <c r="F164" i="2"/>
  <c r="G164" i="7" s="1"/>
  <c r="E165" i="2"/>
  <c r="F165" i="7" s="1"/>
  <c r="F165" i="2"/>
  <c r="G165" i="7" s="1"/>
  <c r="E166" i="2"/>
  <c r="F166" i="7" s="1"/>
  <c r="F166" i="2"/>
  <c r="G166" i="7" s="1"/>
  <c r="E167" i="2"/>
  <c r="F167" i="7" s="1"/>
  <c r="F167" i="2"/>
  <c r="G167" i="7" s="1"/>
  <c r="E168" i="2"/>
  <c r="F168" i="7" s="1"/>
  <c r="F168" i="2"/>
  <c r="G168" i="7" s="1"/>
  <c r="E169" i="2"/>
  <c r="F169" i="7" s="1"/>
  <c r="F169" i="2"/>
  <c r="G169" i="7" s="1"/>
  <c r="E170" i="2"/>
  <c r="F170" i="7" s="1"/>
  <c r="F170" i="2"/>
  <c r="G170" i="7" s="1"/>
  <c r="E171" i="2"/>
  <c r="F171" i="7" s="1"/>
  <c r="F171" i="2"/>
  <c r="G171" i="7" s="1"/>
  <c r="E172" i="2"/>
  <c r="F172" i="7" s="1"/>
  <c r="F172" i="2"/>
  <c r="G172" i="7" s="1"/>
  <c r="E173" i="2"/>
  <c r="F173" i="7" s="1"/>
  <c r="F173" i="2"/>
  <c r="G173" i="7" s="1"/>
  <c r="E174" i="2"/>
  <c r="F174" i="7" s="1"/>
  <c r="F174" i="2"/>
  <c r="G174" i="7" s="1"/>
  <c r="E175" i="2"/>
  <c r="F175" i="7" s="1"/>
  <c r="F175" i="2"/>
  <c r="G175" i="7" s="1"/>
  <c r="E176" i="2"/>
  <c r="F176" i="7" s="1"/>
  <c r="F176" i="2"/>
  <c r="G176" i="7" s="1"/>
  <c r="E177" i="2"/>
  <c r="F177" i="7" s="1"/>
  <c r="F177" i="2"/>
  <c r="G177" i="7" s="1"/>
  <c r="E178" i="2"/>
  <c r="F178" i="7" s="1"/>
  <c r="F178" i="2"/>
  <c r="G178" i="7" s="1"/>
  <c r="E179" i="2"/>
  <c r="F179" i="7" s="1"/>
  <c r="F179" i="2"/>
  <c r="G179" i="7" s="1"/>
  <c r="E180" i="2"/>
  <c r="F180" i="7" s="1"/>
  <c r="F180" i="2"/>
  <c r="G180" i="7" s="1"/>
  <c r="E181" i="2"/>
  <c r="F181" i="7" s="1"/>
  <c r="F181" i="2"/>
  <c r="G181" i="7" s="1"/>
  <c r="E182" i="2"/>
  <c r="F182" i="7" s="1"/>
  <c r="F182" i="2"/>
  <c r="G182" i="7" s="1"/>
  <c r="E183" i="2"/>
  <c r="F183" i="7" s="1"/>
  <c r="F183" i="2"/>
  <c r="G183" i="7" s="1"/>
  <c r="E184" i="2"/>
  <c r="F184" i="7" s="1"/>
  <c r="F184" i="2"/>
  <c r="G184" i="7" s="1"/>
  <c r="E185" i="2"/>
  <c r="F185" i="7" s="1"/>
  <c r="F185" i="2"/>
  <c r="G185" i="7" s="1"/>
  <c r="E186" i="2"/>
  <c r="F186" i="7" s="1"/>
  <c r="F186" i="2"/>
  <c r="G186" i="7" s="1"/>
  <c r="E187" i="2"/>
  <c r="F187" i="7" s="1"/>
  <c r="F187" i="2"/>
  <c r="G187" i="7" s="1"/>
  <c r="E188" i="2"/>
  <c r="F188" i="7" s="1"/>
  <c r="F188" i="2"/>
  <c r="G188" i="7" s="1"/>
  <c r="E189" i="2"/>
  <c r="F189" i="7" s="1"/>
  <c r="F189" i="2"/>
  <c r="G189" i="7" s="1"/>
  <c r="E190" i="2"/>
  <c r="F190" i="7" s="1"/>
  <c r="F190" i="2"/>
  <c r="G190" i="7" s="1"/>
  <c r="E191" i="2"/>
  <c r="F191" i="7" s="1"/>
  <c r="F191" i="2"/>
  <c r="G191" i="7" s="1"/>
  <c r="E192" i="2"/>
  <c r="F192" i="7" s="1"/>
  <c r="F192" i="2"/>
  <c r="G192" i="7" s="1"/>
  <c r="E193" i="2"/>
  <c r="F193" i="7" s="1"/>
  <c r="F193" i="2"/>
  <c r="G193" i="7" s="1"/>
  <c r="E194" i="2"/>
  <c r="F194" i="7" s="1"/>
  <c r="F194" i="2"/>
  <c r="G194" i="7" s="1"/>
  <c r="E195" i="2"/>
  <c r="F195" i="7" s="1"/>
  <c r="F195" i="2"/>
  <c r="G195" i="7" s="1"/>
  <c r="E196" i="2"/>
  <c r="F196" i="7" s="1"/>
  <c r="F196" i="2"/>
  <c r="G196" i="7" s="1"/>
  <c r="E197" i="2"/>
  <c r="F197" i="7" s="1"/>
  <c r="F197" i="2"/>
  <c r="G197" i="7" s="1"/>
  <c r="E198" i="2"/>
  <c r="F198" i="7" s="1"/>
  <c r="F198" i="2"/>
  <c r="G198" i="7" s="1"/>
  <c r="E199" i="2"/>
  <c r="F199" i="7" s="1"/>
  <c r="F199" i="2"/>
  <c r="G199" i="7" s="1"/>
  <c r="E200" i="2"/>
  <c r="F200" i="7" s="1"/>
  <c r="F200" i="2"/>
  <c r="G200" i="7" s="1"/>
  <c r="E201" i="2"/>
  <c r="F201" i="7" s="1"/>
  <c r="F201" i="2"/>
  <c r="G201" i="7" s="1"/>
  <c r="E202" i="2"/>
  <c r="F202" i="7" s="1"/>
  <c r="F202" i="2"/>
  <c r="G202" i="7" s="1"/>
  <c r="E203" i="2"/>
  <c r="F203" i="7" s="1"/>
  <c r="F203" i="2"/>
  <c r="G203" i="7" s="1"/>
  <c r="E204" i="2"/>
  <c r="F204" i="7" s="1"/>
  <c r="F204" i="2"/>
  <c r="G204" i="7" s="1"/>
  <c r="E205" i="2"/>
  <c r="F205" i="7" s="1"/>
  <c r="F205" i="2"/>
  <c r="G205" i="7" s="1"/>
  <c r="E206" i="2"/>
  <c r="F206" i="7" s="1"/>
  <c r="F206" i="2"/>
  <c r="G206" i="7" s="1"/>
  <c r="E207" i="2"/>
  <c r="F207" i="7" s="1"/>
  <c r="F207" i="2"/>
  <c r="G207" i="7" s="1"/>
  <c r="E208" i="2"/>
  <c r="F208" i="7" s="1"/>
  <c r="F208" i="2"/>
  <c r="G208" i="7" s="1"/>
  <c r="E209" i="2"/>
  <c r="F209" i="7" s="1"/>
  <c r="F209" i="2"/>
  <c r="G209" i="7" s="1"/>
  <c r="E210" i="2"/>
  <c r="F210" i="7" s="1"/>
  <c r="F210" i="2"/>
  <c r="G210" i="7" s="1"/>
  <c r="E211" i="2"/>
  <c r="F211" i="7" s="1"/>
  <c r="F211" i="2"/>
  <c r="G211" i="7" s="1"/>
  <c r="E212" i="2"/>
  <c r="F212" i="7" s="1"/>
  <c r="F212" i="2"/>
  <c r="G212" i="7" s="1"/>
  <c r="E213" i="2"/>
  <c r="F213" i="7" s="1"/>
  <c r="F213" i="2"/>
  <c r="G213" i="7" s="1"/>
  <c r="E214" i="2"/>
  <c r="F214" i="7" s="1"/>
  <c r="F214" i="2"/>
  <c r="G214" i="7" s="1"/>
  <c r="E215" i="2"/>
  <c r="F215" i="7" s="1"/>
  <c r="F215" i="2"/>
  <c r="G215" i="7" s="1"/>
  <c r="E216" i="2"/>
  <c r="F216" i="7" s="1"/>
  <c r="F216" i="2"/>
  <c r="G216" i="7" s="1"/>
  <c r="E217" i="2"/>
  <c r="F217" i="7" s="1"/>
  <c r="F217" i="2"/>
  <c r="G217" i="7" s="1"/>
  <c r="E218" i="2"/>
  <c r="F218" i="7" s="1"/>
  <c r="F218" i="2"/>
  <c r="G218" i="7" s="1"/>
  <c r="E219" i="2"/>
  <c r="F219" i="7" s="1"/>
  <c r="F219" i="2"/>
  <c r="G219" i="7" s="1"/>
  <c r="E220" i="2"/>
  <c r="F220" i="7" s="1"/>
  <c r="F220" i="2"/>
  <c r="G220" i="7" s="1"/>
  <c r="E221" i="2"/>
  <c r="F221" i="7" s="1"/>
  <c r="F221" i="2"/>
  <c r="G221" i="7" s="1"/>
  <c r="E222" i="2"/>
  <c r="F222" i="7" s="1"/>
  <c r="F222" i="2"/>
  <c r="G222" i="7" s="1"/>
  <c r="E223" i="2"/>
  <c r="F223" i="7" s="1"/>
  <c r="F223" i="2"/>
  <c r="G223" i="7" s="1"/>
  <c r="E224" i="2"/>
  <c r="F224" i="7" s="1"/>
  <c r="F224" i="2"/>
  <c r="G224" i="7" s="1"/>
  <c r="E225" i="2"/>
  <c r="F225" i="7" s="1"/>
  <c r="F225" i="2"/>
  <c r="G225" i="7" s="1"/>
  <c r="E226" i="2"/>
  <c r="F226" i="7" s="1"/>
  <c r="F226" i="2"/>
  <c r="G226" i="7" s="1"/>
  <c r="E227" i="2"/>
  <c r="F227" i="7" s="1"/>
  <c r="F227" i="2"/>
  <c r="G227" i="7" s="1"/>
  <c r="E228" i="2"/>
  <c r="F228" i="7" s="1"/>
  <c r="F228" i="2"/>
  <c r="G228" i="7" s="1"/>
  <c r="E229" i="2"/>
  <c r="F229" i="7" s="1"/>
  <c r="F229" i="2"/>
  <c r="G229" i="7" s="1"/>
  <c r="E230" i="2"/>
  <c r="F230" i="7" s="1"/>
  <c r="F230" i="2"/>
  <c r="G230" i="7" s="1"/>
  <c r="E231" i="2"/>
  <c r="F231" i="7" s="1"/>
  <c r="F231" i="2"/>
  <c r="G231" i="7" s="1"/>
  <c r="E232" i="2"/>
  <c r="F232" i="7" s="1"/>
  <c r="F232" i="2"/>
  <c r="G232" i="7" s="1"/>
  <c r="E233" i="2"/>
  <c r="F233" i="7" s="1"/>
  <c r="F233" i="2"/>
  <c r="G233" i="7" s="1"/>
  <c r="E234" i="2"/>
  <c r="F234" i="7" s="1"/>
  <c r="F234" i="2"/>
  <c r="G234" i="7" s="1"/>
  <c r="E235" i="2"/>
  <c r="F235" i="7" s="1"/>
  <c r="F235" i="2"/>
  <c r="G235" i="7" s="1"/>
  <c r="E236" i="2"/>
  <c r="F236" i="7" s="1"/>
  <c r="F236" i="2"/>
  <c r="G236" i="7" s="1"/>
  <c r="E237" i="2"/>
  <c r="F237" i="7" s="1"/>
  <c r="F237" i="2"/>
  <c r="G237" i="7" s="1"/>
  <c r="E238" i="2"/>
  <c r="F238" i="7" s="1"/>
  <c r="F238" i="2"/>
  <c r="G238" i="7" s="1"/>
  <c r="E239" i="2"/>
  <c r="F239" i="7" s="1"/>
  <c r="F239" i="2"/>
  <c r="G239" i="7" s="1"/>
  <c r="E240" i="2"/>
  <c r="F240" i="7" s="1"/>
  <c r="F240" i="2"/>
  <c r="G240" i="7" s="1"/>
  <c r="E241" i="2"/>
  <c r="F241" i="7" s="1"/>
  <c r="F241" i="2"/>
  <c r="G241" i="7" s="1"/>
  <c r="E242" i="2"/>
  <c r="F242" i="7" s="1"/>
  <c r="F242" i="2"/>
  <c r="G242" i="7" s="1"/>
  <c r="E243" i="2"/>
  <c r="F243" i="7" s="1"/>
  <c r="F243" i="2"/>
  <c r="G243" i="7" s="1"/>
  <c r="E244" i="2"/>
  <c r="F244" i="7" s="1"/>
  <c r="F244" i="2"/>
  <c r="G244" i="7" s="1"/>
  <c r="E245" i="2"/>
  <c r="F245" i="7" s="1"/>
  <c r="F245" i="2"/>
  <c r="G245" i="7" s="1"/>
  <c r="E246" i="2"/>
  <c r="F246" i="7" s="1"/>
  <c r="F246" i="2"/>
  <c r="G246" i="7" s="1"/>
  <c r="E247" i="2"/>
  <c r="F247" i="7" s="1"/>
  <c r="F247" i="2"/>
  <c r="G247" i="7" s="1"/>
  <c r="E248" i="2"/>
  <c r="F248" i="7" s="1"/>
  <c r="F248" i="2"/>
  <c r="G248" i="7" s="1"/>
  <c r="E249" i="2"/>
  <c r="F249" i="7" s="1"/>
  <c r="F249" i="2"/>
  <c r="G249" i="7" s="1"/>
  <c r="E250" i="2"/>
  <c r="F250" i="7" s="1"/>
  <c r="F250" i="2"/>
  <c r="G250" i="7" s="1"/>
  <c r="E251" i="2"/>
  <c r="F251" i="7" s="1"/>
  <c r="F251" i="2"/>
  <c r="G251" i="7" s="1"/>
  <c r="E252" i="2"/>
  <c r="F252" i="7" s="1"/>
  <c r="F252" i="2"/>
  <c r="G252" i="7" s="1"/>
  <c r="E253" i="2"/>
  <c r="F253" i="7" s="1"/>
  <c r="F253" i="2"/>
  <c r="G253" i="7" s="1"/>
  <c r="E254" i="2"/>
  <c r="F254" i="7" s="1"/>
  <c r="F254" i="2"/>
  <c r="G254" i="7"/>
  <c r="E255" i="2"/>
  <c r="F255" i="7" s="1"/>
  <c r="F255" i="2"/>
  <c r="G255" i="7" s="1"/>
  <c r="E256" i="2"/>
  <c r="F256" i="7" s="1"/>
  <c r="F256" i="2"/>
  <c r="G256" i="7" s="1"/>
  <c r="E257" i="2"/>
  <c r="F257" i="7" s="1"/>
  <c r="F257" i="2"/>
  <c r="G257" i="7"/>
  <c r="E258" i="2"/>
  <c r="F258" i="7" s="1"/>
  <c r="F258" i="2"/>
  <c r="G258" i="7"/>
  <c r="E259" i="2"/>
  <c r="F259" i="7" s="1"/>
  <c r="F259" i="2"/>
  <c r="G259" i="7" s="1"/>
  <c r="E260" i="2"/>
  <c r="F260" i="7" s="1"/>
  <c r="F260" i="2"/>
  <c r="G260" i="7" s="1"/>
  <c r="E261" i="2"/>
  <c r="F261" i="7" s="1"/>
  <c r="F261" i="2"/>
  <c r="G261" i="7"/>
  <c r="E262" i="2"/>
  <c r="F262" i="7" s="1"/>
  <c r="F262" i="2"/>
  <c r="G262" i="7"/>
  <c r="E263" i="2"/>
  <c r="F263" i="7" s="1"/>
  <c r="F263" i="2"/>
  <c r="G263" i="7" s="1"/>
  <c r="E264" i="2"/>
  <c r="F264" i="7" s="1"/>
  <c r="F264" i="2"/>
  <c r="G264" i="7" s="1"/>
  <c r="E265" i="2"/>
  <c r="F265" i="7" s="1"/>
  <c r="F265" i="2"/>
  <c r="G265" i="7"/>
  <c r="E266" i="2"/>
  <c r="F266" i="7" s="1"/>
  <c r="F266" i="2"/>
  <c r="G266" i="7"/>
  <c r="E267" i="2"/>
  <c r="F267" i="7" s="1"/>
  <c r="F267" i="2"/>
  <c r="G267" i="7" s="1"/>
  <c r="E268" i="2"/>
  <c r="F268" i="7" s="1"/>
  <c r="F268" i="2"/>
  <c r="G268" i="7" s="1"/>
  <c r="E269" i="2"/>
  <c r="F269" i="7" s="1"/>
  <c r="F269" i="2"/>
  <c r="G269" i="7"/>
  <c r="E270" i="2"/>
  <c r="F270" i="7" s="1"/>
  <c r="F270" i="2"/>
  <c r="G270" i="7"/>
  <c r="E271" i="2"/>
  <c r="F271" i="7" s="1"/>
  <c r="F271" i="2"/>
  <c r="G271" i="7" s="1"/>
  <c r="E272" i="2"/>
  <c r="F272" i="7" s="1"/>
  <c r="F272" i="2"/>
  <c r="G272" i="7" s="1"/>
  <c r="E273" i="2"/>
  <c r="F273" i="7" s="1"/>
  <c r="F273" i="2"/>
  <c r="G273" i="7"/>
  <c r="E274" i="2"/>
  <c r="F274" i="7" s="1"/>
  <c r="F274" i="2"/>
  <c r="G274" i="7"/>
  <c r="E275" i="2"/>
  <c r="F275" i="7" s="1"/>
  <c r="F275" i="2"/>
  <c r="G275" i="7" s="1"/>
  <c r="E276" i="2"/>
  <c r="F276" i="7" s="1"/>
  <c r="F276" i="2"/>
  <c r="G276" i="7" s="1"/>
  <c r="E277" i="2"/>
  <c r="F277" i="7" s="1"/>
  <c r="F277" i="2"/>
  <c r="G277" i="7"/>
  <c r="E278" i="2"/>
  <c r="F278" i="7" s="1"/>
  <c r="F278" i="2"/>
  <c r="G278" i="7"/>
  <c r="E279" i="2"/>
  <c r="F279" i="7" s="1"/>
  <c r="F279" i="2"/>
  <c r="G279" i="7" s="1"/>
  <c r="E280" i="2"/>
  <c r="F280" i="7" s="1"/>
  <c r="F280" i="2"/>
  <c r="G280" i="7" s="1"/>
  <c r="E281" i="2"/>
  <c r="F281" i="7" s="1"/>
  <c r="F281" i="2"/>
  <c r="G281" i="7"/>
  <c r="E282" i="2"/>
  <c r="F282" i="7" s="1"/>
  <c r="F282" i="2"/>
  <c r="G282" i="7"/>
  <c r="E283" i="2"/>
  <c r="F283" i="7" s="1"/>
  <c r="F283" i="2"/>
  <c r="G283" i="7" s="1"/>
  <c r="E284" i="2"/>
  <c r="F284" i="7" s="1"/>
  <c r="F284" i="2"/>
  <c r="G284" i="7" s="1"/>
  <c r="E285" i="2"/>
  <c r="F285" i="7" s="1"/>
  <c r="F285" i="2"/>
  <c r="G285" i="7"/>
  <c r="E286" i="2"/>
  <c r="F286" i="7" s="1"/>
  <c r="F286" i="2"/>
  <c r="G286" i="7"/>
  <c r="E287" i="2"/>
  <c r="F287" i="7" s="1"/>
  <c r="F287" i="2"/>
  <c r="G287" i="7" s="1"/>
  <c r="E288" i="2"/>
  <c r="F288" i="7" s="1"/>
  <c r="F288" i="2"/>
  <c r="G288" i="7" s="1"/>
  <c r="E289" i="2"/>
  <c r="F289" i="7" s="1"/>
  <c r="F289" i="2"/>
  <c r="G289" i="7"/>
  <c r="E290" i="2"/>
  <c r="F290" i="7" s="1"/>
  <c r="F290" i="2"/>
  <c r="G290" i="7"/>
  <c r="E291" i="2"/>
  <c r="F291" i="7" s="1"/>
  <c r="F291" i="2"/>
  <c r="G291" i="7" s="1"/>
  <c r="E292" i="2"/>
  <c r="F292" i="7" s="1"/>
  <c r="F292" i="2"/>
  <c r="G292" i="7" s="1"/>
  <c r="E293" i="2"/>
  <c r="F293" i="7" s="1"/>
  <c r="F293" i="2"/>
  <c r="G293" i="7"/>
  <c r="E294" i="2"/>
  <c r="F294" i="7" s="1"/>
  <c r="F294" i="2"/>
  <c r="G294" i="7"/>
  <c r="E295" i="2"/>
  <c r="F295" i="7" s="1"/>
  <c r="F295" i="2"/>
  <c r="G295" i="7" s="1"/>
  <c r="E296" i="2"/>
  <c r="F296" i="7" s="1"/>
  <c r="F296" i="2"/>
  <c r="G296" i="7" s="1"/>
  <c r="E297" i="2"/>
  <c r="F297" i="7" s="1"/>
  <c r="F297" i="2"/>
  <c r="G297" i="7"/>
  <c r="E298" i="2"/>
  <c r="F298" i="7" s="1"/>
  <c r="F298" i="2"/>
  <c r="G298" i="7"/>
  <c r="E299" i="2"/>
  <c r="F299" i="7" s="1"/>
  <c r="F299" i="2"/>
  <c r="G299" i="7" s="1"/>
  <c r="E300" i="2"/>
  <c r="F300" i="7" s="1"/>
  <c r="F300" i="2"/>
  <c r="G300" i="7" s="1"/>
  <c r="E301" i="2"/>
  <c r="F301" i="7" s="1"/>
  <c r="F301" i="2"/>
  <c r="G301" i="7"/>
  <c r="E302" i="2"/>
  <c r="F302" i="7" s="1"/>
  <c r="F302" i="2"/>
  <c r="G302" i="7"/>
  <c r="E303" i="2"/>
  <c r="F303" i="7" s="1"/>
  <c r="F303" i="2"/>
  <c r="G303" i="7"/>
  <c r="E5" i="2"/>
  <c r="F5" i="7" s="1"/>
  <c r="F5" i="2"/>
  <c r="G5" i="7" s="1"/>
  <c r="F4" i="2"/>
  <c r="E4"/>
  <c r="C303" i="15"/>
  <c r="E303"/>
  <c r="F303"/>
  <c r="M303" i="6"/>
  <c r="C303"/>
  <c r="C303" i="4"/>
  <c r="C303" i="3"/>
  <c r="C303" i="2"/>
  <c r="C303" i="7" s="1"/>
  <c r="C122" i="2"/>
  <c r="C122" i="7"/>
  <c r="E122" s="1"/>
  <c r="C123" i="2"/>
  <c r="C123" i="7"/>
  <c r="C124" i="2"/>
  <c r="C124" i="7"/>
  <c r="C125" i="2"/>
  <c r="C125" i="7"/>
  <c r="C126" i="2"/>
  <c r="C126" i="7"/>
  <c r="C127" i="2"/>
  <c r="C127" i="7"/>
  <c r="C128" i="2"/>
  <c r="C128" i="7"/>
  <c r="C129" i="2"/>
  <c r="C129" i="7" s="1"/>
  <c r="C130" i="2"/>
  <c r="C130" i="7"/>
  <c r="E130" s="1"/>
  <c r="C131" i="2"/>
  <c r="C131" i="7" s="1"/>
  <c r="E131" s="1"/>
  <c r="C132" i="2"/>
  <c r="C132" i="7"/>
  <c r="C133" i="2"/>
  <c r="C133" i="7" s="1"/>
  <c r="C134" i="2"/>
  <c r="C134" i="7"/>
  <c r="C135" i="2"/>
  <c r="C135" i="7" s="1"/>
  <c r="D135" s="1"/>
  <c r="C136" i="2"/>
  <c r="C136" i="7"/>
  <c r="C137" i="2"/>
  <c r="C137" i="7" s="1"/>
  <c r="D137" s="1"/>
  <c r="C138" i="2"/>
  <c r="C138" i="7"/>
  <c r="E138" s="1"/>
  <c r="C139" i="2"/>
  <c r="C139" i="7" s="1"/>
  <c r="C140" i="2"/>
  <c r="C140" i="7"/>
  <c r="D140" s="1"/>
  <c r="C141" i="2"/>
  <c r="C141" i="7" s="1"/>
  <c r="E141" s="1"/>
  <c r="C142" i="2"/>
  <c r="C142" i="7"/>
  <c r="C143" i="2"/>
  <c r="C143" i="7" s="1"/>
  <c r="C144" i="2"/>
  <c r="C144" i="7"/>
  <c r="C145" i="2"/>
  <c r="C145" i="7" s="1"/>
  <c r="E145" s="1"/>
  <c r="C146" i="2"/>
  <c r="C146" i="7"/>
  <c r="D146" s="1"/>
  <c r="C147" i="2"/>
  <c r="C147" i="7" s="1"/>
  <c r="D147" s="1"/>
  <c r="C148" i="2"/>
  <c r="C148" i="7"/>
  <c r="C149" i="2"/>
  <c r="C149" i="7" s="1"/>
  <c r="D149" s="1"/>
  <c r="C150" i="2"/>
  <c r="C150" i="7"/>
  <c r="C151" i="2"/>
  <c r="C151" i="7" s="1"/>
  <c r="D151" s="1"/>
  <c r="C152" i="2"/>
  <c r="C152" i="7"/>
  <c r="D152" s="1"/>
  <c r="C153" i="2"/>
  <c r="C153" i="7" s="1"/>
  <c r="C154" i="2"/>
  <c r="C154" i="7"/>
  <c r="D154" s="1"/>
  <c r="C155" i="2"/>
  <c r="C155" i="7" s="1"/>
  <c r="C156" i="2"/>
  <c r="C156" i="7"/>
  <c r="C157" i="2"/>
  <c r="C157" i="7" s="1"/>
  <c r="E157" s="1"/>
  <c r="C158" i="2"/>
  <c r="C158" i="7"/>
  <c r="D158" s="1"/>
  <c r="C159" i="2"/>
  <c r="C159" i="7" s="1"/>
  <c r="E159" s="1"/>
  <c r="C160" i="2"/>
  <c r="C160" i="7"/>
  <c r="D160" s="1"/>
  <c r="C161" i="2"/>
  <c r="C161" i="7" s="1"/>
  <c r="C162" i="2"/>
  <c r="C162" i="7"/>
  <c r="E162" s="1"/>
  <c r="C163" i="2"/>
  <c r="C163" i="7" s="1"/>
  <c r="C164" i="2"/>
  <c r="C164" i="7"/>
  <c r="E164" s="1"/>
  <c r="C165" i="2"/>
  <c r="C165" i="7" s="1"/>
  <c r="D165" s="1"/>
  <c r="C166" i="2"/>
  <c r="C166" i="7"/>
  <c r="C167" i="2"/>
  <c r="C167" i="7" s="1"/>
  <c r="C168" i="2"/>
  <c r="C168" i="7"/>
  <c r="D168" s="1"/>
  <c r="C169" i="2"/>
  <c r="C169" i="7" s="1"/>
  <c r="E169" s="1"/>
  <c r="C170" i="2"/>
  <c r="C170" i="7"/>
  <c r="E170" s="1"/>
  <c r="C171" i="2"/>
  <c r="C171" i="7" s="1"/>
  <c r="E171" s="1"/>
  <c r="C172" i="2"/>
  <c r="C172" i="7"/>
  <c r="C173" i="2"/>
  <c r="C173" i="7" s="1"/>
  <c r="D173" s="1"/>
  <c r="C174" i="2"/>
  <c r="C174" i="7"/>
  <c r="D174" s="1"/>
  <c r="C175" i="2"/>
  <c r="C175" i="7" s="1"/>
  <c r="C176" i="2"/>
  <c r="C176" i="7"/>
  <c r="D176" s="1"/>
  <c r="C177" i="2"/>
  <c r="C177" i="7" s="1"/>
  <c r="C178" i="2"/>
  <c r="C178" i="7"/>
  <c r="E178" s="1"/>
  <c r="C179" i="2"/>
  <c r="C179" i="7" s="1"/>
  <c r="E179" s="1"/>
  <c r="C180" i="2"/>
  <c r="C180" i="7"/>
  <c r="C181" i="2"/>
  <c r="C181" i="7" s="1"/>
  <c r="E181" s="1"/>
  <c r="S181" s="1"/>
  <c r="C182" i="2"/>
  <c r="C182" i="7"/>
  <c r="D182" s="1"/>
  <c r="C183" i="2"/>
  <c r="C183" i="7" s="1"/>
  <c r="C184" i="2"/>
  <c r="C184" i="7"/>
  <c r="C185" i="2"/>
  <c r="C185" i="7" s="1"/>
  <c r="C186" i="2"/>
  <c r="C186" i="7"/>
  <c r="E186" s="1"/>
  <c r="C187" i="2"/>
  <c r="C187" i="7" s="1"/>
  <c r="C188" i="2"/>
  <c r="C188" i="7"/>
  <c r="C189" i="2"/>
  <c r="C189" i="7" s="1"/>
  <c r="C190" i="2"/>
  <c r="C190" i="7"/>
  <c r="C191" i="2"/>
  <c r="C191" i="7" s="1"/>
  <c r="E191" s="1"/>
  <c r="C192" i="2"/>
  <c r="C192" i="7"/>
  <c r="C193" i="2"/>
  <c r="C193" i="7" s="1"/>
  <c r="C194" i="2"/>
  <c r="C194" i="7"/>
  <c r="E194" s="1"/>
  <c r="C195" i="2"/>
  <c r="C195" i="7" s="1"/>
  <c r="E195" s="1"/>
  <c r="C196" i="2"/>
  <c r="C196" i="7"/>
  <c r="D196" s="1"/>
  <c r="C197" i="2"/>
  <c r="C197" i="7" s="1"/>
  <c r="C198" i="2"/>
  <c r="C198" i="7"/>
  <c r="C199" i="2"/>
  <c r="C199" i="7" s="1"/>
  <c r="E199" s="1"/>
  <c r="C200" i="2"/>
  <c r="C200" i="7"/>
  <c r="C201" i="2"/>
  <c r="C201" i="7" s="1"/>
  <c r="C202" i="2"/>
  <c r="C202" i="7"/>
  <c r="D202" s="1"/>
  <c r="C203" i="2"/>
  <c r="C203" i="7" s="1"/>
  <c r="D203" s="1"/>
  <c r="C204" i="2"/>
  <c r="C204" i="7"/>
  <c r="C205" i="2"/>
  <c r="C205" i="7" s="1"/>
  <c r="E205" s="1"/>
  <c r="X205" s="1"/>
  <c r="C206" i="2"/>
  <c r="C206" i="7"/>
  <c r="C207" i="2"/>
  <c r="C207" i="7" s="1"/>
  <c r="C208" i="2"/>
  <c r="C208" i="7"/>
  <c r="C209" i="2"/>
  <c r="C209" i="7" s="1"/>
  <c r="C210" i="2"/>
  <c r="C210" i="7"/>
  <c r="D210" s="1"/>
  <c r="C211" i="2"/>
  <c r="C211" i="7" s="1"/>
  <c r="C212" i="2"/>
  <c r="C212" i="7"/>
  <c r="C213" i="2"/>
  <c r="C213" i="7" s="1"/>
  <c r="D213" s="1"/>
  <c r="C214" i="2"/>
  <c r="C214" i="7"/>
  <c r="D214" s="1"/>
  <c r="C215" i="2"/>
  <c r="C215" i="7" s="1"/>
  <c r="C216" i="2"/>
  <c r="C216" i="7"/>
  <c r="D216" s="1"/>
  <c r="C217" i="2"/>
  <c r="C217" i="7" s="1"/>
  <c r="D217" s="1"/>
  <c r="C218" i="2"/>
  <c r="C218" i="7"/>
  <c r="E218" s="1"/>
  <c r="C219" i="2"/>
  <c r="C219" i="7" s="1"/>
  <c r="C220" i="2"/>
  <c r="C220" i="7"/>
  <c r="C221" i="2"/>
  <c r="C221" i="7" s="1"/>
  <c r="C222" i="2"/>
  <c r="C222" i="7"/>
  <c r="D222" s="1"/>
  <c r="C223" i="2"/>
  <c r="C223" i="7" s="1"/>
  <c r="E223" s="1"/>
  <c r="C224" i="2"/>
  <c r="C224" i="7"/>
  <c r="E224" s="1"/>
  <c r="C225" i="2"/>
  <c r="C225" i="7" s="1"/>
  <c r="E225" s="1"/>
  <c r="C226" i="2"/>
  <c r="C226" i="7"/>
  <c r="D226" s="1"/>
  <c r="C227" i="2"/>
  <c r="C227" i="7" s="1"/>
  <c r="C228" i="2"/>
  <c r="C228" i="7"/>
  <c r="C229" i="2"/>
  <c r="C229" i="7" s="1"/>
  <c r="D229" s="1"/>
  <c r="C230" i="2"/>
  <c r="C230" i="7"/>
  <c r="C231" i="2"/>
  <c r="C231" i="7" s="1"/>
  <c r="C232" i="2"/>
  <c r="C232" i="7"/>
  <c r="C233" i="2"/>
  <c r="C233" i="7" s="1"/>
  <c r="D233" s="1"/>
  <c r="C234" i="2"/>
  <c r="C234" i="7"/>
  <c r="E234" s="1"/>
  <c r="C235" i="2"/>
  <c r="C235" i="7" s="1"/>
  <c r="C236" i="2"/>
  <c r="C236" i="7"/>
  <c r="C237" i="2"/>
  <c r="C237" i="7" s="1"/>
  <c r="E237" s="1"/>
  <c r="C238" i="2"/>
  <c r="C238" i="7"/>
  <c r="C239" i="2"/>
  <c r="C239" i="7" s="1"/>
  <c r="E239" s="1"/>
  <c r="C240" i="2"/>
  <c r="C240" i="7"/>
  <c r="D240" s="1"/>
  <c r="C241" i="2"/>
  <c r="C241" i="7" s="1"/>
  <c r="E241" s="1"/>
  <c r="C242" i="2"/>
  <c r="C242" i="7"/>
  <c r="E242" s="1"/>
  <c r="C243" i="2"/>
  <c r="C243" i="7" s="1"/>
  <c r="C244" i="2"/>
  <c r="C244" i="7"/>
  <c r="E244" s="1"/>
  <c r="C245" i="2"/>
  <c r="C245" i="7" s="1"/>
  <c r="D245" s="1"/>
  <c r="C246" i="2"/>
  <c r="C246" i="7"/>
  <c r="C247" i="2"/>
  <c r="C247" i="7" s="1"/>
  <c r="E247" s="1"/>
  <c r="C248" i="2"/>
  <c r="C248" i="7"/>
  <c r="C249" i="2"/>
  <c r="C249" i="7" s="1"/>
  <c r="C250" i="2"/>
  <c r="C250" i="7"/>
  <c r="E250" s="1"/>
  <c r="C251" i="2"/>
  <c r="C251" i="7" s="1"/>
  <c r="E251" s="1"/>
  <c r="C252" i="2"/>
  <c r="C252" i="7"/>
  <c r="C253" i="2"/>
  <c r="C253" i="7" s="1"/>
  <c r="E253" s="1"/>
  <c r="C254" i="2"/>
  <c r="C254" i="7"/>
  <c r="C255" i="2"/>
  <c r="C255" i="7" s="1"/>
  <c r="C256" i="2"/>
  <c r="C256" i="7"/>
  <c r="C257" i="2"/>
  <c r="C257" i="7" s="1"/>
  <c r="E257" s="1"/>
  <c r="C258" i="2"/>
  <c r="C258" i="7"/>
  <c r="D258" s="1"/>
  <c r="C259" i="2"/>
  <c r="C259" i="7" s="1"/>
  <c r="E259" s="1"/>
  <c r="C260" i="2"/>
  <c r="C260" i="7"/>
  <c r="C261" i="2"/>
  <c r="C261" i="7" s="1"/>
  <c r="E261" s="1"/>
  <c r="C262" i="2"/>
  <c r="C262" i="7"/>
  <c r="C263" i="2"/>
  <c r="C263" i="7" s="1"/>
  <c r="D263" s="1"/>
  <c r="C264" i="2"/>
  <c r="C264" i="7"/>
  <c r="C265" i="2"/>
  <c r="C265" i="7" s="1"/>
  <c r="E265" s="1"/>
  <c r="C266" i="2"/>
  <c r="C266" i="7"/>
  <c r="E266" s="1"/>
  <c r="C267" i="2"/>
  <c r="C267" i="7" s="1"/>
  <c r="C268" i="2"/>
  <c r="C268" i="7"/>
  <c r="C269" i="2"/>
  <c r="C269" i="7" s="1"/>
  <c r="D269" s="1"/>
  <c r="C270" i="2"/>
  <c r="C270" i="7"/>
  <c r="E270" s="1"/>
  <c r="C271" i="2"/>
  <c r="C271" i="7" s="1"/>
  <c r="E271" s="1"/>
  <c r="C272" i="2"/>
  <c r="C272" i="7"/>
  <c r="C273" i="2"/>
  <c r="C273" i="7" s="1"/>
  <c r="C274" i="2"/>
  <c r="C274" i="7"/>
  <c r="D274" s="1"/>
  <c r="C275" i="2"/>
  <c r="C275" i="7" s="1"/>
  <c r="C276" i="2"/>
  <c r="C276" i="7"/>
  <c r="C277" i="2"/>
  <c r="C277" i="7" s="1"/>
  <c r="D277" s="1"/>
  <c r="C278" i="2"/>
  <c r="C278" i="7"/>
  <c r="C279" i="2"/>
  <c r="C279" i="7" s="1"/>
  <c r="C280" i="2"/>
  <c r="C280" i="7"/>
  <c r="D280" s="1"/>
  <c r="C281" i="2"/>
  <c r="C281" i="7" s="1"/>
  <c r="C282" i="2"/>
  <c r="C282" i="7"/>
  <c r="E282" s="1"/>
  <c r="C283" i="2"/>
  <c r="C283" i="7" s="1"/>
  <c r="D283" s="1"/>
  <c r="C284" i="2"/>
  <c r="C284" i="7"/>
  <c r="C285" i="2"/>
  <c r="C285" i="7" s="1"/>
  <c r="D285" s="1"/>
  <c r="C286" i="2"/>
  <c r="C286" i="7"/>
  <c r="C287" i="2"/>
  <c r="C287" i="7" s="1"/>
  <c r="D287" s="1"/>
  <c r="C288" i="2"/>
  <c r="C288" i="7"/>
  <c r="D288" s="1"/>
  <c r="C289" i="2"/>
  <c r="C289" i="7" s="1"/>
  <c r="D289" s="1"/>
  <c r="C290" i="2"/>
  <c r="C290" i="7"/>
  <c r="D290" s="1"/>
  <c r="C291" i="2"/>
  <c r="C291" i="7" s="1"/>
  <c r="D291" s="1"/>
  <c r="C292" i="2"/>
  <c r="C292" i="7"/>
  <c r="C293" i="2"/>
  <c r="C293" i="7" s="1"/>
  <c r="E293" s="1"/>
  <c r="T293" s="1"/>
  <c r="C294" i="2"/>
  <c r="C294" i="7"/>
  <c r="C295" i="2"/>
  <c r="C295" i="7" s="1"/>
  <c r="C296" i="2"/>
  <c r="C296" i="7"/>
  <c r="C297" i="2"/>
  <c r="C297" i="7" s="1"/>
  <c r="C298" i="2"/>
  <c r="C298" i="7"/>
  <c r="E298" s="1"/>
  <c r="C299" i="2"/>
  <c r="C299" i="7" s="1"/>
  <c r="E299" s="1"/>
  <c r="C300" i="2"/>
  <c r="C300" i="7"/>
  <c r="C301" i="2"/>
  <c r="C301" i="7" s="1"/>
  <c r="D301" s="1"/>
  <c r="C302" i="2"/>
  <c r="C302" i="7"/>
  <c r="C4" i="2"/>
  <c r="E303" i="6"/>
  <c r="F303"/>
  <c r="G303"/>
  <c r="J303"/>
  <c r="K303"/>
  <c r="L303"/>
  <c r="D303" i="4"/>
  <c r="E303"/>
  <c r="F303"/>
  <c r="G303"/>
  <c r="J303"/>
  <c r="K303"/>
  <c r="E303" i="3"/>
  <c r="F303"/>
  <c r="G303"/>
  <c r="J303"/>
  <c r="K303"/>
  <c r="G303" i="2"/>
  <c r="J303"/>
  <c r="K303"/>
  <c r="L303"/>
  <c r="M16" i="13"/>
  <c r="M32"/>
  <c r="M31"/>
  <c r="M27"/>
  <c r="M36"/>
  <c r="M30"/>
  <c r="M34"/>
  <c r="M281" i="6"/>
  <c r="M282"/>
  <c r="M283"/>
  <c r="M284"/>
  <c r="M285"/>
  <c r="M286"/>
  <c r="M287"/>
  <c r="M288"/>
  <c r="M289"/>
  <c r="M290"/>
  <c r="M291"/>
  <c r="M292"/>
  <c r="M293"/>
  <c r="M294"/>
  <c r="M295"/>
  <c r="M296"/>
  <c r="M297"/>
  <c r="M298"/>
  <c r="M299"/>
  <c r="M300"/>
  <c r="M301"/>
  <c r="M302"/>
  <c r="M261"/>
  <c r="M262"/>
  <c r="M263"/>
  <c r="M264"/>
  <c r="M265"/>
  <c r="M266"/>
  <c r="M267"/>
  <c r="M268"/>
  <c r="M269"/>
  <c r="M270"/>
  <c r="M271"/>
  <c r="M272"/>
  <c r="M273"/>
  <c r="M274"/>
  <c r="M275"/>
  <c r="M276"/>
  <c r="M277"/>
  <c r="M278"/>
  <c r="M279"/>
  <c r="M280"/>
  <c r="M236"/>
  <c r="M237"/>
  <c r="M238"/>
  <c r="M239"/>
  <c r="M240"/>
  <c r="M241"/>
  <c r="M242"/>
  <c r="M243"/>
  <c r="M244"/>
  <c r="M245"/>
  <c r="M246"/>
  <c r="M247"/>
  <c r="M248"/>
  <c r="M249"/>
  <c r="M250"/>
  <c r="M251"/>
  <c r="M252"/>
  <c r="M253"/>
  <c r="M254"/>
  <c r="M255"/>
  <c r="M256"/>
  <c r="M257"/>
  <c r="M258"/>
  <c r="M259"/>
  <c r="M260"/>
  <c r="M212"/>
  <c r="M213"/>
  <c r="M214"/>
  <c r="M215"/>
  <c r="M216"/>
  <c r="M217"/>
  <c r="M218"/>
  <c r="M219"/>
  <c r="M220"/>
  <c r="M221"/>
  <c r="M222"/>
  <c r="M223"/>
  <c r="M224"/>
  <c r="M225"/>
  <c r="M226"/>
  <c r="M227"/>
  <c r="M228"/>
  <c r="M229"/>
  <c r="M230"/>
  <c r="M231"/>
  <c r="M232"/>
  <c r="M233"/>
  <c r="M234"/>
  <c r="M235"/>
  <c r="M196"/>
  <c r="M197"/>
  <c r="M198"/>
  <c r="M199"/>
  <c r="M200"/>
  <c r="M201"/>
  <c r="M202"/>
  <c r="M203"/>
  <c r="M204"/>
  <c r="M205"/>
  <c r="M206"/>
  <c r="M207"/>
  <c r="M208"/>
  <c r="M209"/>
  <c r="M210"/>
  <c r="M211"/>
  <c r="M185"/>
  <c r="M186"/>
  <c r="M187"/>
  <c r="M188"/>
  <c r="M189"/>
  <c r="M190"/>
  <c r="M191"/>
  <c r="M192"/>
  <c r="M193"/>
  <c r="M194"/>
  <c r="M195"/>
  <c r="M168"/>
  <c r="M169"/>
  <c r="M170"/>
  <c r="M171"/>
  <c r="M172"/>
  <c r="M173"/>
  <c r="M174"/>
  <c r="M175"/>
  <c r="M176"/>
  <c r="M177"/>
  <c r="M178"/>
  <c r="M179"/>
  <c r="M180"/>
  <c r="M181"/>
  <c r="M182"/>
  <c r="M183"/>
  <c r="M184"/>
  <c r="M146"/>
  <c r="M147"/>
  <c r="M148"/>
  <c r="M149"/>
  <c r="M150"/>
  <c r="M151"/>
  <c r="M152"/>
  <c r="M153"/>
  <c r="M154"/>
  <c r="M155"/>
  <c r="M156"/>
  <c r="M157"/>
  <c r="M158"/>
  <c r="M159"/>
  <c r="M160"/>
  <c r="M161"/>
  <c r="M162"/>
  <c r="M163"/>
  <c r="M164"/>
  <c r="M165"/>
  <c r="M166"/>
  <c r="M167"/>
  <c r="M140"/>
  <c r="M141"/>
  <c r="M142"/>
  <c r="M143"/>
  <c r="M144"/>
  <c r="M145"/>
  <c r="M121"/>
  <c r="M122"/>
  <c r="M123"/>
  <c r="M124"/>
  <c r="M125"/>
  <c r="M126"/>
  <c r="M127"/>
  <c r="M128"/>
  <c r="M129"/>
  <c r="M130"/>
  <c r="M131"/>
  <c r="M132"/>
  <c r="M133"/>
  <c r="M134"/>
  <c r="M135"/>
  <c r="M136"/>
  <c r="M137"/>
  <c r="M138"/>
  <c r="M139"/>
  <c r="M98"/>
  <c r="M99"/>
  <c r="M100"/>
  <c r="M101"/>
  <c r="M102"/>
  <c r="M103"/>
  <c r="M104"/>
  <c r="M105"/>
  <c r="M106"/>
  <c r="M107"/>
  <c r="M108"/>
  <c r="M109"/>
  <c r="M110"/>
  <c r="M111"/>
  <c r="M112"/>
  <c r="M113"/>
  <c r="M114"/>
  <c r="M115"/>
  <c r="M116"/>
  <c r="M117"/>
  <c r="M118"/>
  <c r="M119"/>
  <c r="M120"/>
  <c r="M81"/>
  <c r="M82"/>
  <c r="M83"/>
  <c r="M84"/>
  <c r="M85"/>
  <c r="M86"/>
  <c r="M87"/>
  <c r="M88"/>
  <c r="M89"/>
  <c r="M90"/>
  <c r="M91"/>
  <c r="M92"/>
  <c r="M93"/>
  <c r="M94"/>
  <c r="M95"/>
  <c r="M96"/>
  <c r="M97"/>
  <c r="M70"/>
  <c r="M71"/>
  <c r="M72"/>
  <c r="M73"/>
  <c r="M74"/>
  <c r="M75"/>
  <c r="M76"/>
  <c r="M77"/>
  <c r="M78"/>
  <c r="M79"/>
  <c r="M80"/>
  <c r="M60"/>
  <c r="M61"/>
  <c r="M62"/>
  <c r="M63"/>
  <c r="M64"/>
  <c r="M65"/>
  <c r="M66"/>
  <c r="M67"/>
  <c r="M68"/>
  <c r="M69"/>
  <c r="E301" i="15"/>
  <c r="F301"/>
  <c r="E302"/>
  <c r="F302"/>
  <c r="M54" i="6"/>
  <c r="M55"/>
  <c r="M56"/>
  <c r="M57"/>
  <c r="M58"/>
  <c r="M59"/>
  <c r="M5"/>
  <c r="M6"/>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26" i="13"/>
  <c r="D61" i="15"/>
  <c r="M14" i="13"/>
  <c r="M11"/>
  <c r="D67" i="15"/>
  <c r="M23" i="13"/>
  <c r="D70" i="15"/>
  <c r="M24" i="13"/>
  <c r="D73" i="15"/>
  <c r="D77"/>
  <c r="D81"/>
  <c r="C302" i="3"/>
  <c r="E302"/>
  <c r="F302"/>
  <c r="G302"/>
  <c r="J302"/>
  <c r="K302"/>
  <c r="J8"/>
  <c r="K8"/>
  <c r="G79" i="2"/>
  <c r="AH3" i="7"/>
  <c r="J54" i="2"/>
  <c r="J55"/>
  <c r="J59"/>
  <c r="K59"/>
  <c r="M35" i="13"/>
  <c r="AM3" i="7"/>
  <c r="C302" i="15"/>
  <c r="C301"/>
  <c r="F300"/>
  <c r="E300"/>
  <c r="C300"/>
  <c r="F299"/>
  <c r="E299"/>
  <c r="C299"/>
  <c r="F298"/>
  <c r="E298"/>
  <c r="C298"/>
  <c r="F297"/>
  <c r="E297"/>
  <c r="C297"/>
  <c r="F296"/>
  <c r="E296"/>
  <c r="C296"/>
  <c r="F295"/>
  <c r="E295"/>
  <c r="C295"/>
  <c r="F294"/>
  <c r="E294"/>
  <c r="C294"/>
  <c r="F293"/>
  <c r="E293"/>
  <c r="C293"/>
  <c r="F292"/>
  <c r="E292"/>
  <c r="C292"/>
  <c r="F291"/>
  <c r="E291"/>
  <c r="C291"/>
  <c r="F290"/>
  <c r="E290"/>
  <c r="C290"/>
  <c r="F289"/>
  <c r="E289"/>
  <c r="C289"/>
  <c r="F288"/>
  <c r="E288"/>
  <c r="C288"/>
  <c r="F287"/>
  <c r="E287"/>
  <c r="C287"/>
  <c r="F286"/>
  <c r="E286"/>
  <c r="C286"/>
  <c r="F285"/>
  <c r="E285"/>
  <c r="C285"/>
  <c r="F284"/>
  <c r="E284"/>
  <c r="C284"/>
  <c r="F283"/>
  <c r="E283"/>
  <c r="C283"/>
  <c r="F282"/>
  <c r="E282"/>
  <c r="C282"/>
  <c r="F281"/>
  <c r="E281"/>
  <c r="C281"/>
  <c r="F280"/>
  <c r="E280"/>
  <c r="C280"/>
  <c r="F279"/>
  <c r="E279"/>
  <c r="C279"/>
  <c r="F278"/>
  <c r="E278"/>
  <c r="C278"/>
  <c r="F277"/>
  <c r="E277"/>
  <c r="C277"/>
  <c r="F276"/>
  <c r="E276"/>
  <c r="C276"/>
  <c r="F275"/>
  <c r="E275"/>
  <c r="C275"/>
  <c r="F274"/>
  <c r="E274"/>
  <c r="C274"/>
  <c r="F273"/>
  <c r="E273"/>
  <c r="C273"/>
  <c r="F272"/>
  <c r="E272"/>
  <c r="C272"/>
  <c r="F271"/>
  <c r="E271"/>
  <c r="C271"/>
  <c r="F270"/>
  <c r="E270"/>
  <c r="C270"/>
  <c r="F269"/>
  <c r="E269"/>
  <c r="C269"/>
  <c r="F268"/>
  <c r="E268"/>
  <c r="C268"/>
  <c r="F267"/>
  <c r="E267"/>
  <c r="C267"/>
  <c r="F266"/>
  <c r="E266"/>
  <c r="C266"/>
  <c r="F265"/>
  <c r="E265"/>
  <c r="C265"/>
  <c r="F264"/>
  <c r="E264"/>
  <c r="C264"/>
  <c r="F263"/>
  <c r="E263"/>
  <c r="C263"/>
  <c r="F262"/>
  <c r="E262"/>
  <c r="C262"/>
  <c r="F261"/>
  <c r="E261"/>
  <c r="C261"/>
  <c r="F260"/>
  <c r="E260"/>
  <c r="C260"/>
  <c r="F259"/>
  <c r="E259"/>
  <c r="C259"/>
  <c r="F258"/>
  <c r="E258"/>
  <c r="C258"/>
  <c r="F257"/>
  <c r="E257"/>
  <c r="C257"/>
  <c r="F256"/>
  <c r="E256"/>
  <c r="C256"/>
  <c r="F255"/>
  <c r="E255"/>
  <c r="C255"/>
  <c r="F254"/>
  <c r="E254"/>
  <c r="C254"/>
  <c r="F253"/>
  <c r="E253"/>
  <c r="C253"/>
  <c r="F252"/>
  <c r="E252"/>
  <c r="C252"/>
  <c r="F251"/>
  <c r="E251"/>
  <c r="C251"/>
  <c r="F250"/>
  <c r="E250"/>
  <c r="C250"/>
  <c r="F249"/>
  <c r="E249"/>
  <c r="C249"/>
  <c r="F248"/>
  <c r="E248"/>
  <c r="C248"/>
  <c r="F247"/>
  <c r="E247"/>
  <c r="C247"/>
  <c r="F246"/>
  <c r="E246"/>
  <c r="C246"/>
  <c r="F245"/>
  <c r="E245"/>
  <c r="C245"/>
  <c r="F244"/>
  <c r="E244"/>
  <c r="C244"/>
  <c r="F243"/>
  <c r="E243"/>
  <c r="C243"/>
  <c r="F242"/>
  <c r="E242"/>
  <c r="C242"/>
  <c r="F241"/>
  <c r="E241"/>
  <c r="C241"/>
  <c r="F240"/>
  <c r="E240"/>
  <c r="C240"/>
  <c r="F239"/>
  <c r="E239"/>
  <c r="C239"/>
  <c r="F238"/>
  <c r="E238"/>
  <c r="C238"/>
  <c r="F237"/>
  <c r="E237"/>
  <c r="C237"/>
  <c r="F236"/>
  <c r="E236"/>
  <c r="C236"/>
  <c r="F235"/>
  <c r="E235"/>
  <c r="C235"/>
  <c r="F234"/>
  <c r="E234"/>
  <c r="C234"/>
  <c r="F233"/>
  <c r="E233"/>
  <c r="C233"/>
  <c r="F232"/>
  <c r="E232"/>
  <c r="C232"/>
  <c r="F231"/>
  <c r="E231"/>
  <c r="C231"/>
  <c r="F230"/>
  <c r="E230"/>
  <c r="C230"/>
  <c r="F229"/>
  <c r="E229"/>
  <c r="C229"/>
  <c r="F228"/>
  <c r="E228"/>
  <c r="C228"/>
  <c r="F227"/>
  <c r="E227"/>
  <c r="C227"/>
  <c r="F226"/>
  <c r="E226"/>
  <c r="C226"/>
  <c r="F225"/>
  <c r="E225"/>
  <c r="C225"/>
  <c r="F224"/>
  <c r="E224"/>
  <c r="C224"/>
  <c r="F223"/>
  <c r="E223"/>
  <c r="C223"/>
  <c r="F222"/>
  <c r="E222"/>
  <c r="C222"/>
  <c r="F221"/>
  <c r="E221"/>
  <c r="C221"/>
  <c r="F220"/>
  <c r="E220"/>
  <c r="C220"/>
  <c r="F219"/>
  <c r="E219"/>
  <c r="C219"/>
  <c r="F218"/>
  <c r="E218"/>
  <c r="C218"/>
  <c r="F217"/>
  <c r="E217"/>
  <c r="C217"/>
  <c r="F216"/>
  <c r="E216"/>
  <c r="C216"/>
  <c r="F215"/>
  <c r="E215"/>
  <c r="C215"/>
  <c r="F214"/>
  <c r="E214"/>
  <c r="C214"/>
  <c r="F213"/>
  <c r="E213"/>
  <c r="C213"/>
  <c r="F212"/>
  <c r="E212"/>
  <c r="C212"/>
  <c r="F211"/>
  <c r="E211"/>
  <c r="C211"/>
  <c r="F210"/>
  <c r="E210"/>
  <c r="C210"/>
  <c r="F209"/>
  <c r="E209"/>
  <c r="C209"/>
  <c r="F208"/>
  <c r="E208"/>
  <c r="C208"/>
  <c r="F207"/>
  <c r="E207"/>
  <c r="C207"/>
  <c r="F206"/>
  <c r="E206"/>
  <c r="C206"/>
  <c r="F205"/>
  <c r="E205"/>
  <c r="C205"/>
  <c r="F204"/>
  <c r="E204"/>
  <c r="C204"/>
  <c r="F203"/>
  <c r="E203"/>
  <c r="C203"/>
  <c r="F202"/>
  <c r="E202"/>
  <c r="C202"/>
  <c r="F201"/>
  <c r="E201"/>
  <c r="C201"/>
  <c r="F200"/>
  <c r="E200"/>
  <c r="C200"/>
  <c r="F199"/>
  <c r="E199"/>
  <c r="C199"/>
  <c r="F198"/>
  <c r="E198"/>
  <c r="C198"/>
  <c r="F197"/>
  <c r="E197"/>
  <c r="C197"/>
  <c r="F196"/>
  <c r="E196"/>
  <c r="C196"/>
  <c r="F195"/>
  <c r="E195"/>
  <c r="C195"/>
  <c r="F194"/>
  <c r="E194"/>
  <c r="C194"/>
  <c r="F193"/>
  <c r="E193"/>
  <c r="C193"/>
  <c r="F192"/>
  <c r="E192"/>
  <c r="C192"/>
  <c r="F191"/>
  <c r="E191"/>
  <c r="C191"/>
  <c r="F190"/>
  <c r="E190"/>
  <c r="C190"/>
  <c r="F189"/>
  <c r="E189"/>
  <c r="C189"/>
  <c r="F188"/>
  <c r="E188"/>
  <c r="C188"/>
  <c r="F187"/>
  <c r="E187"/>
  <c r="C187"/>
  <c r="F186"/>
  <c r="E186"/>
  <c r="C186"/>
  <c r="F185"/>
  <c r="E185"/>
  <c r="C185"/>
  <c r="F184"/>
  <c r="E184"/>
  <c r="C184"/>
  <c r="F183"/>
  <c r="E183"/>
  <c r="C183"/>
  <c r="F182"/>
  <c r="E182"/>
  <c r="C182"/>
  <c r="F181"/>
  <c r="E181"/>
  <c r="C181"/>
  <c r="F180"/>
  <c r="E180"/>
  <c r="C180"/>
  <c r="F179"/>
  <c r="E179"/>
  <c r="C179"/>
  <c r="F178"/>
  <c r="E178"/>
  <c r="C178"/>
  <c r="F177"/>
  <c r="E177"/>
  <c r="C177"/>
  <c r="F176"/>
  <c r="E176"/>
  <c r="C176"/>
  <c r="F175"/>
  <c r="E175"/>
  <c r="C175"/>
  <c r="F174"/>
  <c r="E174"/>
  <c r="C174"/>
  <c r="F173"/>
  <c r="E173"/>
  <c r="C173"/>
  <c r="F172"/>
  <c r="E172"/>
  <c r="C172"/>
  <c r="F171"/>
  <c r="E171"/>
  <c r="C171"/>
  <c r="F170"/>
  <c r="E170"/>
  <c r="C170"/>
  <c r="F169"/>
  <c r="E169"/>
  <c r="C169"/>
  <c r="F168"/>
  <c r="E168"/>
  <c r="C168"/>
  <c r="F167"/>
  <c r="E167"/>
  <c r="C167"/>
  <c r="F166"/>
  <c r="E166"/>
  <c r="C166"/>
  <c r="F165"/>
  <c r="E165"/>
  <c r="C165"/>
  <c r="F164"/>
  <c r="E164"/>
  <c r="C164"/>
  <c r="F163"/>
  <c r="E163"/>
  <c r="C163"/>
  <c r="F162"/>
  <c r="E162"/>
  <c r="C162"/>
  <c r="F161"/>
  <c r="E161"/>
  <c r="C161"/>
  <c r="F160"/>
  <c r="E160"/>
  <c r="C160"/>
  <c r="F159"/>
  <c r="E159"/>
  <c r="C159"/>
  <c r="F158"/>
  <c r="E158"/>
  <c r="C158"/>
  <c r="F157"/>
  <c r="E157"/>
  <c r="C157"/>
  <c r="F156"/>
  <c r="E156"/>
  <c r="C156"/>
  <c r="F155"/>
  <c r="E155"/>
  <c r="C155"/>
  <c r="F154"/>
  <c r="E154"/>
  <c r="C154"/>
  <c r="F153"/>
  <c r="E153"/>
  <c r="C153"/>
  <c r="F152"/>
  <c r="E152"/>
  <c r="C152"/>
  <c r="F151"/>
  <c r="E151"/>
  <c r="C151"/>
  <c r="F150"/>
  <c r="E150"/>
  <c r="C150"/>
  <c r="F149"/>
  <c r="E149"/>
  <c r="C149"/>
  <c r="F148"/>
  <c r="E148"/>
  <c r="C148"/>
  <c r="F147"/>
  <c r="E147"/>
  <c r="C147"/>
  <c r="F146"/>
  <c r="E146"/>
  <c r="C146"/>
  <c r="F145"/>
  <c r="E145"/>
  <c r="C145"/>
  <c r="F144"/>
  <c r="E144"/>
  <c r="C144"/>
  <c r="F143"/>
  <c r="E143"/>
  <c r="C143"/>
  <c r="F142"/>
  <c r="E142"/>
  <c r="C142"/>
  <c r="F141"/>
  <c r="E141"/>
  <c r="C141"/>
  <c r="F140"/>
  <c r="E140"/>
  <c r="C140"/>
  <c r="F139"/>
  <c r="E139"/>
  <c r="C139"/>
  <c r="F138"/>
  <c r="E138"/>
  <c r="C138"/>
  <c r="F137"/>
  <c r="E137"/>
  <c r="C137"/>
  <c r="F136"/>
  <c r="E136"/>
  <c r="C136"/>
  <c r="F135"/>
  <c r="E135"/>
  <c r="C135"/>
  <c r="F134"/>
  <c r="E134"/>
  <c r="C134"/>
  <c r="F133"/>
  <c r="E133"/>
  <c r="C133"/>
  <c r="F132"/>
  <c r="E132"/>
  <c r="C132"/>
  <c r="F131"/>
  <c r="E131"/>
  <c r="C131"/>
  <c r="F130"/>
  <c r="E130"/>
  <c r="C130"/>
  <c r="F129"/>
  <c r="E129"/>
  <c r="C129"/>
  <c r="F128"/>
  <c r="E128"/>
  <c r="C128"/>
  <c r="F127"/>
  <c r="E127"/>
  <c r="C127"/>
  <c r="F126"/>
  <c r="E126"/>
  <c r="C126"/>
  <c r="F125"/>
  <c r="E125"/>
  <c r="C125"/>
  <c r="F124"/>
  <c r="E124"/>
  <c r="C124"/>
  <c r="F123"/>
  <c r="E123"/>
  <c r="C123"/>
  <c r="F122"/>
  <c r="E122"/>
  <c r="C122"/>
  <c r="F121"/>
  <c r="E121"/>
  <c r="F120"/>
  <c r="E120"/>
  <c r="F119"/>
  <c r="E119"/>
  <c r="F118"/>
  <c r="E118"/>
  <c r="F117"/>
  <c r="E117"/>
  <c r="F116"/>
  <c r="E116"/>
  <c r="F115"/>
  <c r="E115"/>
  <c r="F114"/>
  <c r="E114"/>
  <c r="F113"/>
  <c r="E113"/>
  <c r="F112"/>
  <c r="E112"/>
  <c r="F111"/>
  <c r="E111"/>
  <c r="F110"/>
  <c r="E110"/>
  <c r="F109"/>
  <c r="E109"/>
  <c r="F108"/>
  <c r="E108"/>
  <c r="F107"/>
  <c r="E107"/>
  <c r="F106"/>
  <c r="E106"/>
  <c r="F105"/>
  <c r="E105"/>
  <c r="F104"/>
  <c r="E104"/>
  <c r="F103"/>
  <c r="E103"/>
  <c r="F102"/>
  <c r="E102"/>
  <c r="F101"/>
  <c r="E101"/>
  <c r="F100"/>
  <c r="E100"/>
  <c r="F99"/>
  <c r="E99"/>
  <c r="F98"/>
  <c r="E98"/>
  <c r="F97"/>
  <c r="E97"/>
  <c r="F96"/>
  <c r="E96"/>
  <c r="F95"/>
  <c r="E95"/>
  <c r="F94"/>
  <c r="E94"/>
  <c r="F93"/>
  <c r="E93"/>
  <c r="F92"/>
  <c r="E92"/>
  <c r="F91"/>
  <c r="E91"/>
  <c r="F90"/>
  <c r="E90"/>
  <c r="F89"/>
  <c r="E89"/>
  <c r="F88"/>
  <c r="E88"/>
  <c r="F87"/>
  <c r="E87"/>
  <c r="F86"/>
  <c r="E86"/>
  <c r="F85"/>
  <c r="E85"/>
  <c r="F84"/>
  <c r="E84"/>
  <c r="F83"/>
  <c r="E83"/>
  <c r="F82"/>
  <c r="E82"/>
  <c r="F81"/>
  <c r="E81"/>
  <c r="F80"/>
  <c r="E80"/>
  <c r="F79"/>
  <c r="E79"/>
  <c r="F78"/>
  <c r="E78"/>
  <c r="F77"/>
  <c r="E77"/>
  <c r="F76"/>
  <c r="E76"/>
  <c r="F75"/>
  <c r="E75"/>
  <c r="F74"/>
  <c r="E74"/>
  <c r="F73"/>
  <c r="E73"/>
  <c r="F72"/>
  <c r="E72"/>
  <c r="F71"/>
  <c r="E71"/>
  <c r="F70"/>
  <c r="E70"/>
  <c r="F69"/>
  <c r="E69"/>
  <c r="F68"/>
  <c r="E68"/>
  <c r="F67"/>
  <c r="E67"/>
  <c r="F66"/>
  <c r="E66"/>
  <c r="F65"/>
  <c r="E65"/>
  <c r="F64"/>
  <c r="E64"/>
  <c r="F63"/>
  <c r="E63"/>
  <c r="F62"/>
  <c r="E62"/>
  <c r="F60"/>
  <c r="E60"/>
  <c r="F59"/>
  <c r="E59"/>
  <c r="F58"/>
  <c r="E58"/>
  <c r="F57"/>
  <c r="E57"/>
  <c r="F56"/>
  <c r="E56"/>
  <c r="F55"/>
  <c r="E55"/>
  <c r="F54"/>
  <c r="E54"/>
  <c r="F53"/>
  <c r="E53"/>
  <c r="F52"/>
  <c r="E52"/>
  <c r="F51"/>
  <c r="E51"/>
  <c r="F50"/>
  <c r="E50"/>
  <c r="F49"/>
  <c r="E49"/>
  <c r="F48"/>
  <c r="E48"/>
  <c r="F47"/>
  <c r="E47"/>
  <c r="F46"/>
  <c r="E46"/>
  <c r="F45"/>
  <c r="E45"/>
  <c r="F44"/>
  <c r="E44"/>
  <c r="F43"/>
  <c r="E43"/>
  <c r="F42"/>
  <c r="E42"/>
  <c r="F41"/>
  <c r="E41"/>
  <c r="F40"/>
  <c r="E40"/>
  <c r="F39"/>
  <c r="E39"/>
  <c r="F38"/>
  <c r="E38"/>
  <c r="F37"/>
  <c r="E37"/>
  <c r="F36"/>
  <c r="E36"/>
  <c r="F35"/>
  <c r="E35"/>
  <c r="F34"/>
  <c r="E34"/>
  <c r="F33"/>
  <c r="E33"/>
  <c r="F32"/>
  <c r="E32"/>
  <c r="F31"/>
  <c r="E31"/>
  <c r="F30"/>
  <c r="E30"/>
  <c r="F29"/>
  <c r="E29"/>
  <c r="F28"/>
  <c r="E28"/>
  <c r="F27"/>
  <c r="E27"/>
  <c r="F26"/>
  <c r="E26"/>
  <c r="F25"/>
  <c r="E25"/>
  <c r="F24"/>
  <c r="E24"/>
  <c r="F23"/>
  <c r="E23"/>
  <c r="F22"/>
  <c r="E22"/>
  <c r="F21"/>
  <c r="E21"/>
  <c r="F20"/>
  <c r="E20"/>
  <c r="F19"/>
  <c r="E19"/>
  <c r="F18"/>
  <c r="E18"/>
  <c r="F17"/>
  <c r="E17"/>
  <c r="F16"/>
  <c r="E16"/>
  <c r="F15"/>
  <c r="E15"/>
  <c r="F14"/>
  <c r="E14"/>
  <c r="F13"/>
  <c r="E13"/>
  <c r="F12"/>
  <c r="E12"/>
  <c r="F11"/>
  <c r="E11"/>
  <c r="F10"/>
  <c r="E10"/>
  <c r="F9"/>
  <c r="E9"/>
  <c r="F8"/>
  <c r="E8"/>
  <c r="F7"/>
  <c r="E7"/>
  <c r="F6"/>
  <c r="E6"/>
  <c r="F5"/>
  <c r="E5"/>
  <c r="F4"/>
  <c r="E4"/>
  <c r="C4"/>
  <c r="C3"/>
  <c r="AL3" i="7"/>
  <c r="D77" i="3"/>
  <c r="M13" i="13"/>
  <c r="M15"/>
  <c r="D33" i="3"/>
  <c r="M17" i="13"/>
  <c r="M18"/>
  <c r="M19"/>
  <c r="D61" i="6"/>
  <c r="M20" i="13"/>
  <c r="M21"/>
  <c r="M22"/>
  <c r="M25"/>
  <c r="M28"/>
  <c r="M29"/>
  <c r="M33"/>
  <c r="D31" i="15"/>
  <c r="M37" i="13"/>
  <c r="M38"/>
  <c r="M39"/>
  <c r="M40"/>
  <c r="D86" i="15"/>
  <c r="D91"/>
  <c r="D97" i="3"/>
  <c r="D103" i="15"/>
  <c r="D109" i="3"/>
  <c r="D114" i="15"/>
  <c r="D119"/>
  <c r="D129" i="3"/>
  <c r="D136" i="5"/>
  <c r="D143" i="15"/>
  <c r="D149" i="3"/>
  <c r="D153" i="6"/>
  <c r="D158" i="15"/>
  <c r="D171"/>
  <c r="D179"/>
  <c r="D183"/>
  <c r="D189" i="6"/>
  <c r="D195" i="15"/>
  <c r="D207"/>
  <c r="D214"/>
  <c r="D219"/>
  <c r="D227"/>
  <c r="D232" i="5"/>
  <c r="D238" i="15"/>
  <c r="D245" i="3"/>
  <c r="D249" i="6"/>
  <c r="D254" i="15"/>
  <c r="D265" i="3"/>
  <c r="D271" i="15"/>
  <c r="D278"/>
  <c r="D282"/>
  <c r="D287"/>
  <c r="D295"/>
  <c r="G4" i="2"/>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K54"/>
  <c r="G55"/>
  <c r="G56"/>
  <c r="G57"/>
  <c r="G58"/>
  <c r="G59"/>
  <c r="G60"/>
  <c r="G61"/>
  <c r="G62"/>
  <c r="G63"/>
  <c r="G64"/>
  <c r="G65"/>
  <c r="G66"/>
  <c r="G67"/>
  <c r="G68"/>
  <c r="G69"/>
  <c r="G70"/>
  <c r="G71"/>
  <c r="G72"/>
  <c r="G73"/>
  <c r="G74"/>
  <c r="G75"/>
  <c r="G76"/>
  <c r="G77"/>
  <c r="G78"/>
  <c r="G80"/>
  <c r="J80"/>
  <c r="K80"/>
  <c r="G81"/>
  <c r="J81"/>
  <c r="K81"/>
  <c r="G82"/>
  <c r="D83"/>
  <c r="G83"/>
  <c r="J83"/>
  <c r="K83"/>
  <c r="G84"/>
  <c r="G85"/>
  <c r="D86"/>
  <c r="G86"/>
  <c r="J86"/>
  <c r="K86"/>
  <c r="G87"/>
  <c r="G88"/>
  <c r="J88"/>
  <c r="K88"/>
  <c r="G89"/>
  <c r="G90"/>
  <c r="J90"/>
  <c r="K90"/>
  <c r="G91"/>
  <c r="G92"/>
  <c r="G93"/>
  <c r="J93"/>
  <c r="K93"/>
  <c r="G94"/>
  <c r="J94"/>
  <c r="K94"/>
  <c r="G95"/>
  <c r="J95"/>
  <c r="K95"/>
  <c r="G96"/>
  <c r="J96"/>
  <c r="K96"/>
  <c r="G97"/>
  <c r="J97"/>
  <c r="K97"/>
  <c r="G98"/>
  <c r="J98"/>
  <c r="K98"/>
  <c r="G99"/>
  <c r="J99"/>
  <c r="K99"/>
  <c r="G100"/>
  <c r="J100"/>
  <c r="K100"/>
  <c r="G101"/>
  <c r="J101"/>
  <c r="K101"/>
  <c r="G102"/>
  <c r="J102"/>
  <c r="K102"/>
  <c r="G103"/>
  <c r="J103"/>
  <c r="K103"/>
  <c r="G104"/>
  <c r="G105"/>
  <c r="G106"/>
  <c r="J106"/>
  <c r="K106"/>
  <c r="G107"/>
  <c r="J107"/>
  <c r="K107"/>
  <c r="G108"/>
  <c r="J108"/>
  <c r="K108"/>
  <c r="G109"/>
  <c r="J109"/>
  <c r="K109"/>
  <c r="G110"/>
  <c r="J110"/>
  <c r="K110"/>
  <c r="G111"/>
  <c r="J111"/>
  <c r="K111"/>
  <c r="G112"/>
  <c r="J112"/>
  <c r="K112"/>
  <c r="G113"/>
  <c r="J113"/>
  <c r="K113"/>
  <c r="G114"/>
  <c r="J114"/>
  <c r="K114"/>
  <c r="G115"/>
  <c r="J115"/>
  <c r="K115"/>
  <c r="G116"/>
  <c r="G117"/>
  <c r="J117"/>
  <c r="K117"/>
  <c r="G118"/>
  <c r="J118"/>
  <c r="K118"/>
  <c r="G119"/>
  <c r="G120"/>
  <c r="G121"/>
  <c r="L121"/>
  <c r="E123" i="7"/>
  <c r="G122" i="2"/>
  <c r="J122"/>
  <c r="K122"/>
  <c r="L122"/>
  <c r="G123"/>
  <c r="J123"/>
  <c r="K123"/>
  <c r="L123"/>
  <c r="D125" i="7"/>
  <c r="G124" i="2"/>
  <c r="J124"/>
  <c r="K124"/>
  <c r="L124"/>
  <c r="G125"/>
  <c r="J125"/>
  <c r="K125"/>
  <c r="L125"/>
  <c r="D127" i="7"/>
  <c r="G126" i="2"/>
  <c r="J126"/>
  <c r="K126"/>
  <c r="L126"/>
  <c r="G127"/>
  <c r="J127"/>
  <c r="K127"/>
  <c r="L127"/>
  <c r="G128"/>
  <c r="J128"/>
  <c r="K128"/>
  <c r="L128"/>
  <c r="G129"/>
  <c r="J129"/>
  <c r="K129"/>
  <c r="L129"/>
  <c r="G130"/>
  <c r="J130"/>
  <c r="K130"/>
  <c r="L130"/>
  <c r="G131"/>
  <c r="J131"/>
  <c r="K131"/>
  <c r="L131"/>
  <c r="G132"/>
  <c r="J132"/>
  <c r="K132"/>
  <c r="L132"/>
  <c r="G133"/>
  <c r="J133"/>
  <c r="K133"/>
  <c r="L133"/>
  <c r="G134"/>
  <c r="J134"/>
  <c r="K134"/>
  <c r="L134"/>
  <c r="G135"/>
  <c r="J135"/>
  <c r="K135"/>
  <c r="L135"/>
  <c r="G136"/>
  <c r="J136"/>
  <c r="K136"/>
  <c r="L136"/>
  <c r="G137"/>
  <c r="J137"/>
  <c r="K137"/>
  <c r="L137"/>
  <c r="G138"/>
  <c r="J138"/>
  <c r="K138"/>
  <c r="L138"/>
  <c r="G139"/>
  <c r="J139"/>
  <c r="K139"/>
  <c r="L139"/>
  <c r="G140"/>
  <c r="J140"/>
  <c r="K140"/>
  <c r="L140"/>
  <c r="G141"/>
  <c r="J141"/>
  <c r="K141"/>
  <c r="L141"/>
  <c r="G142"/>
  <c r="J142"/>
  <c r="K142"/>
  <c r="L142"/>
  <c r="D143"/>
  <c r="G143"/>
  <c r="J143"/>
  <c r="K143"/>
  <c r="L143"/>
  <c r="G144"/>
  <c r="J144"/>
  <c r="K144"/>
  <c r="L144"/>
  <c r="G145"/>
  <c r="J145"/>
  <c r="K145"/>
  <c r="L145"/>
  <c r="G146"/>
  <c r="J146"/>
  <c r="K146"/>
  <c r="L146"/>
  <c r="G147"/>
  <c r="J147"/>
  <c r="K147"/>
  <c r="L147"/>
  <c r="G148"/>
  <c r="J148"/>
  <c r="K148"/>
  <c r="L148"/>
  <c r="G149"/>
  <c r="J149"/>
  <c r="K149"/>
  <c r="L149"/>
  <c r="G150"/>
  <c r="J150"/>
  <c r="K150"/>
  <c r="L150"/>
  <c r="G151"/>
  <c r="J151"/>
  <c r="K151"/>
  <c r="L151"/>
  <c r="G152"/>
  <c r="J152"/>
  <c r="K152"/>
  <c r="L152"/>
  <c r="G153"/>
  <c r="J153"/>
  <c r="K153"/>
  <c r="L153"/>
  <c r="G154"/>
  <c r="J154"/>
  <c r="K154"/>
  <c r="L154"/>
  <c r="G155"/>
  <c r="J155"/>
  <c r="K155"/>
  <c r="L155"/>
  <c r="G156"/>
  <c r="J156"/>
  <c r="K156"/>
  <c r="L156"/>
  <c r="G157"/>
  <c r="J157"/>
  <c r="K157"/>
  <c r="L157"/>
  <c r="G158"/>
  <c r="J158"/>
  <c r="K158"/>
  <c r="L158"/>
  <c r="G159"/>
  <c r="J159"/>
  <c r="K159"/>
  <c r="L159"/>
  <c r="G160"/>
  <c r="J160"/>
  <c r="K160"/>
  <c r="L160"/>
  <c r="G161"/>
  <c r="J161"/>
  <c r="K161"/>
  <c r="L161"/>
  <c r="G162"/>
  <c r="J162"/>
  <c r="K162"/>
  <c r="L162"/>
  <c r="G163"/>
  <c r="J163"/>
  <c r="K163"/>
  <c r="L163"/>
  <c r="G164"/>
  <c r="J164"/>
  <c r="K164"/>
  <c r="L164"/>
  <c r="G165"/>
  <c r="J165"/>
  <c r="K165"/>
  <c r="L165"/>
  <c r="G166"/>
  <c r="J166"/>
  <c r="K166"/>
  <c r="L166"/>
  <c r="G167"/>
  <c r="J167"/>
  <c r="K167"/>
  <c r="L167"/>
  <c r="G168"/>
  <c r="J168"/>
  <c r="K168"/>
  <c r="L168"/>
  <c r="G169"/>
  <c r="J169"/>
  <c r="K169"/>
  <c r="L169"/>
  <c r="G170"/>
  <c r="J170"/>
  <c r="K170"/>
  <c r="L170"/>
  <c r="D171"/>
  <c r="G171"/>
  <c r="J171"/>
  <c r="K171"/>
  <c r="L171"/>
  <c r="G172"/>
  <c r="J172"/>
  <c r="K172"/>
  <c r="L172"/>
  <c r="G173"/>
  <c r="J173"/>
  <c r="K173"/>
  <c r="L173"/>
  <c r="G174"/>
  <c r="J174"/>
  <c r="K174"/>
  <c r="L174"/>
  <c r="G175"/>
  <c r="J175"/>
  <c r="K175"/>
  <c r="L175"/>
  <c r="G176"/>
  <c r="J176"/>
  <c r="K176"/>
  <c r="L176"/>
  <c r="G177"/>
  <c r="J177"/>
  <c r="K177"/>
  <c r="L177"/>
  <c r="G178"/>
  <c r="J178"/>
  <c r="K178"/>
  <c r="L178"/>
  <c r="G179"/>
  <c r="J179"/>
  <c r="K179"/>
  <c r="L179"/>
  <c r="G180"/>
  <c r="J180"/>
  <c r="K180"/>
  <c r="L180"/>
  <c r="G181"/>
  <c r="J181"/>
  <c r="K181"/>
  <c r="L181"/>
  <c r="G182"/>
  <c r="J182"/>
  <c r="K182"/>
  <c r="L182"/>
  <c r="G183"/>
  <c r="J183"/>
  <c r="K183"/>
  <c r="L183"/>
  <c r="G184"/>
  <c r="J184"/>
  <c r="K184"/>
  <c r="L184"/>
  <c r="G185"/>
  <c r="J185"/>
  <c r="K185"/>
  <c r="L185"/>
  <c r="G186"/>
  <c r="J186"/>
  <c r="K186"/>
  <c r="L186"/>
  <c r="D187"/>
  <c r="G187"/>
  <c r="J187"/>
  <c r="K187"/>
  <c r="L187"/>
  <c r="G188"/>
  <c r="J188"/>
  <c r="K188"/>
  <c r="L188"/>
  <c r="G189"/>
  <c r="J189"/>
  <c r="K189"/>
  <c r="L189"/>
  <c r="G190"/>
  <c r="J190"/>
  <c r="K190"/>
  <c r="L190"/>
  <c r="G191"/>
  <c r="J191"/>
  <c r="K191"/>
  <c r="L191"/>
  <c r="G192"/>
  <c r="J192"/>
  <c r="K192"/>
  <c r="L192"/>
  <c r="G193"/>
  <c r="J193"/>
  <c r="K193"/>
  <c r="L193"/>
  <c r="G194"/>
  <c r="J194"/>
  <c r="K194"/>
  <c r="L194"/>
  <c r="G195"/>
  <c r="J195"/>
  <c r="K195"/>
  <c r="L195"/>
  <c r="G196"/>
  <c r="J196"/>
  <c r="K196"/>
  <c r="L196"/>
  <c r="G197"/>
  <c r="J197"/>
  <c r="K197"/>
  <c r="L197"/>
  <c r="G198"/>
  <c r="J198"/>
  <c r="K198"/>
  <c r="L198"/>
  <c r="G199"/>
  <c r="J199"/>
  <c r="K199"/>
  <c r="L199"/>
  <c r="G200"/>
  <c r="J200"/>
  <c r="K200"/>
  <c r="L200"/>
  <c r="G201"/>
  <c r="J201"/>
  <c r="K201"/>
  <c r="L201"/>
  <c r="G202"/>
  <c r="J202"/>
  <c r="K202"/>
  <c r="L202"/>
  <c r="D203"/>
  <c r="G203"/>
  <c r="J203"/>
  <c r="K203"/>
  <c r="L203"/>
  <c r="G204"/>
  <c r="J204"/>
  <c r="K204"/>
  <c r="L204"/>
  <c r="G205"/>
  <c r="J205"/>
  <c r="K205"/>
  <c r="L205"/>
  <c r="G206"/>
  <c r="J206"/>
  <c r="K206"/>
  <c r="L206"/>
  <c r="G207"/>
  <c r="J207"/>
  <c r="K207"/>
  <c r="L207"/>
  <c r="G208"/>
  <c r="J208"/>
  <c r="K208"/>
  <c r="L208"/>
  <c r="G209"/>
  <c r="J209"/>
  <c r="K209"/>
  <c r="L209"/>
  <c r="D210"/>
  <c r="G210"/>
  <c r="J210"/>
  <c r="K210"/>
  <c r="L210"/>
  <c r="G211"/>
  <c r="J211"/>
  <c r="K211"/>
  <c r="L211"/>
  <c r="G212"/>
  <c r="J212"/>
  <c r="K212"/>
  <c r="L212"/>
  <c r="G213"/>
  <c r="J213"/>
  <c r="K213"/>
  <c r="L213"/>
  <c r="D214"/>
  <c r="G214"/>
  <c r="J214"/>
  <c r="K214"/>
  <c r="L214"/>
  <c r="G215"/>
  <c r="J215"/>
  <c r="K215"/>
  <c r="L215"/>
  <c r="G216"/>
  <c r="J216"/>
  <c r="K216"/>
  <c r="L216"/>
  <c r="G217"/>
  <c r="J217"/>
  <c r="K217"/>
  <c r="L217"/>
  <c r="G218"/>
  <c r="J218"/>
  <c r="K218"/>
  <c r="L218"/>
  <c r="G219"/>
  <c r="J219"/>
  <c r="K219"/>
  <c r="L219"/>
  <c r="G220"/>
  <c r="J220"/>
  <c r="K220"/>
  <c r="L220"/>
  <c r="G221"/>
  <c r="J221"/>
  <c r="K221"/>
  <c r="L221"/>
  <c r="G222"/>
  <c r="J222"/>
  <c r="K222"/>
  <c r="L222"/>
  <c r="G223"/>
  <c r="J223"/>
  <c r="K223"/>
  <c r="L223"/>
  <c r="G224"/>
  <c r="J224"/>
  <c r="K224"/>
  <c r="L224"/>
  <c r="G225"/>
  <c r="J225"/>
  <c r="K225"/>
  <c r="L225"/>
  <c r="G226"/>
  <c r="J226"/>
  <c r="K226"/>
  <c r="L226"/>
  <c r="D228" i="7"/>
  <c r="G227" i="2"/>
  <c r="J227"/>
  <c r="K227"/>
  <c r="L227"/>
  <c r="G228"/>
  <c r="J228"/>
  <c r="K228"/>
  <c r="L228"/>
  <c r="G229"/>
  <c r="J229"/>
  <c r="K229"/>
  <c r="L229"/>
  <c r="D230"/>
  <c r="G230"/>
  <c r="J230"/>
  <c r="K230"/>
  <c r="L230"/>
  <c r="G231"/>
  <c r="J231"/>
  <c r="K231"/>
  <c r="L231"/>
  <c r="G232"/>
  <c r="J232"/>
  <c r="K232"/>
  <c r="L232"/>
  <c r="G233"/>
  <c r="J233"/>
  <c r="K233"/>
  <c r="L233"/>
  <c r="D234"/>
  <c r="G234"/>
  <c r="J234"/>
  <c r="K234"/>
  <c r="L234"/>
  <c r="G235"/>
  <c r="J235"/>
  <c r="K235"/>
  <c r="L235"/>
  <c r="G236"/>
  <c r="J236"/>
  <c r="K236"/>
  <c r="L236"/>
  <c r="G237"/>
  <c r="J237"/>
  <c r="K237"/>
  <c r="L237"/>
  <c r="G238"/>
  <c r="J238"/>
  <c r="K238"/>
  <c r="L238"/>
  <c r="G239"/>
  <c r="J239"/>
  <c r="K239"/>
  <c r="L239"/>
  <c r="G240"/>
  <c r="J240"/>
  <c r="K240"/>
  <c r="L240"/>
  <c r="G241"/>
  <c r="J241"/>
  <c r="K241"/>
  <c r="L241"/>
  <c r="G242"/>
  <c r="J242"/>
  <c r="K242"/>
  <c r="L242"/>
  <c r="D243"/>
  <c r="G243"/>
  <c r="J243"/>
  <c r="K243"/>
  <c r="L243"/>
  <c r="G244"/>
  <c r="J244"/>
  <c r="K244"/>
  <c r="L244"/>
  <c r="G245"/>
  <c r="J245"/>
  <c r="K245"/>
  <c r="L245"/>
  <c r="G246"/>
  <c r="J246"/>
  <c r="K246"/>
  <c r="L246"/>
  <c r="G247"/>
  <c r="J247"/>
  <c r="K247"/>
  <c r="L247"/>
  <c r="G248"/>
  <c r="J248"/>
  <c r="K248"/>
  <c r="L248"/>
  <c r="G249"/>
  <c r="J249"/>
  <c r="K249"/>
  <c r="L249"/>
  <c r="D250"/>
  <c r="G250"/>
  <c r="J250"/>
  <c r="K250"/>
  <c r="L250"/>
  <c r="G251"/>
  <c r="J251"/>
  <c r="K251"/>
  <c r="L251"/>
  <c r="G252"/>
  <c r="J252"/>
  <c r="K252"/>
  <c r="L252"/>
  <c r="G253"/>
  <c r="J253"/>
  <c r="K253"/>
  <c r="L253"/>
  <c r="G254"/>
  <c r="J254"/>
  <c r="K254"/>
  <c r="L254"/>
  <c r="G255"/>
  <c r="J255"/>
  <c r="K255"/>
  <c r="L255"/>
  <c r="G256"/>
  <c r="J256"/>
  <c r="K256"/>
  <c r="L256"/>
  <c r="G257"/>
  <c r="J257"/>
  <c r="K257"/>
  <c r="L257"/>
  <c r="G258"/>
  <c r="J258"/>
  <c r="K258"/>
  <c r="L258"/>
  <c r="G259"/>
  <c r="J259"/>
  <c r="K259"/>
  <c r="L259"/>
  <c r="G260"/>
  <c r="J260"/>
  <c r="K260"/>
  <c r="L260"/>
  <c r="G261"/>
  <c r="J261"/>
  <c r="K261"/>
  <c r="L261"/>
  <c r="G262"/>
  <c r="J262"/>
  <c r="K262"/>
  <c r="L262"/>
  <c r="D263"/>
  <c r="G263"/>
  <c r="J263"/>
  <c r="K263"/>
  <c r="L263"/>
  <c r="G264"/>
  <c r="J264"/>
  <c r="K264"/>
  <c r="L264"/>
  <c r="G265"/>
  <c r="J265"/>
  <c r="K265"/>
  <c r="L265"/>
  <c r="G266"/>
  <c r="J266"/>
  <c r="K266"/>
  <c r="L266"/>
  <c r="G267"/>
  <c r="J267"/>
  <c r="K267"/>
  <c r="L267"/>
  <c r="G268"/>
  <c r="J268"/>
  <c r="K268"/>
  <c r="L268"/>
  <c r="G269"/>
  <c r="J269"/>
  <c r="K269"/>
  <c r="L269"/>
  <c r="G270"/>
  <c r="J270"/>
  <c r="K270"/>
  <c r="L270"/>
  <c r="G271"/>
  <c r="J271"/>
  <c r="K271"/>
  <c r="L271"/>
  <c r="G272"/>
  <c r="J272"/>
  <c r="K272"/>
  <c r="L272"/>
  <c r="G273"/>
  <c r="J273"/>
  <c r="K273"/>
  <c r="L273"/>
  <c r="G274"/>
  <c r="J274"/>
  <c r="K274"/>
  <c r="L274"/>
  <c r="G275"/>
  <c r="J275"/>
  <c r="K275"/>
  <c r="L275"/>
  <c r="G276"/>
  <c r="J276"/>
  <c r="K276"/>
  <c r="L276"/>
  <c r="G277"/>
  <c r="J277"/>
  <c r="K277"/>
  <c r="L277"/>
  <c r="D278"/>
  <c r="G278"/>
  <c r="J278"/>
  <c r="K278"/>
  <c r="L278"/>
  <c r="G279"/>
  <c r="J279"/>
  <c r="K279"/>
  <c r="L279"/>
  <c r="G280"/>
  <c r="J280"/>
  <c r="K280"/>
  <c r="L280"/>
  <c r="G281"/>
  <c r="J281"/>
  <c r="K281"/>
  <c r="L281"/>
  <c r="G282"/>
  <c r="J282"/>
  <c r="K282"/>
  <c r="L282"/>
  <c r="D283"/>
  <c r="G283"/>
  <c r="J283"/>
  <c r="K283"/>
  <c r="L283"/>
  <c r="G284"/>
  <c r="J284"/>
  <c r="K284"/>
  <c r="L284"/>
  <c r="G285"/>
  <c r="J285"/>
  <c r="K285"/>
  <c r="L285"/>
  <c r="G286"/>
  <c r="J286"/>
  <c r="K286"/>
  <c r="L286"/>
  <c r="D287"/>
  <c r="G287"/>
  <c r="J287"/>
  <c r="K287"/>
  <c r="L287"/>
  <c r="G288"/>
  <c r="J288"/>
  <c r="K288"/>
  <c r="L288"/>
  <c r="G289"/>
  <c r="J289"/>
  <c r="K289"/>
  <c r="L289"/>
  <c r="G290"/>
  <c r="J290"/>
  <c r="K290"/>
  <c r="L290"/>
  <c r="D292" i="7"/>
  <c r="D291" i="2"/>
  <c r="G291"/>
  <c r="J291"/>
  <c r="K291"/>
  <c r="L291"/>
  <c r="G292"/>
  <c r="J292"/>
  <c r="K292"/>
  <c r="L292"/>
  <c r="G293"/>
  <c r="J293"/>
  <c r="K293"/>
  <c r="L293"/>
  <c r="G294"/>
  <c r="J294"/>
  <c r="K294"/>
  <c r="L294"/>
  <c r="G295"/>
  <c r="J295"/>
  <c r="K295"/>
  <c r="L295"/>
  <c r="G296"/>
  <c r="J296"/>
  <c r="K296"/>
  <c r="L296"/>
  <c r="G297"/>
  <c r="J297"/>
  <c r="K297"/>
  <c r="L297"/>
  <c r="G298"/>
  <c r="J298"/>
  <c r="K298"/>
  <c r="L298"/>
  <c r="G299"/>
  <c r="J299"/>
  <c r="K299"/>
  <c r="L299"/>
  <c r="G300"/>
  <c r="J300"/>
  <c r="K300"/>
  <c r="L300"/>
  <c r="G301"/>
  <c r="J301"/>
  <c r="K301"/>
  <c r="L301"/>
  <c r="G302"/>
  <c r="J302"/>
  <c r="K302"/>
  <c r="L302"/>
  <c r="C3" i="3"/>
  <c r="C4"/>
  <c r="E5"/>
  <c r="F5"/>
  <c r="G5"/>
  <c r="E6"/>
  <c r="F6"/>
  <c r="G6"/>
  <c r="E7"/>
  <c r="F7"/>
  <c r="G7"/>
  <c r="E8"/>
  <c r="F8"/>
  <c r="G8"/>
  <c r="E9"/>
  <c r="F9"/>
  <c r="G9"/>
  <c r="E10"/>
  <c r="F10"/>
  <c r="G10"/>
  <c r="E11"/>
  <c r="F11"/>
  <c r="G11"/>
  <c r="E12"/>
  <c r="F12"/>
  <c r="G12"/>
  <c r="E13"/>
  <c r="F13"/>
  <c r="G13"/>
  <c r="E14"/>
  <c r="F14"/>
  <c r="G14"/>
  <c r="E15"/>
  <c r="F15"/>
  <c r="G15"/>
  <c r="E16"/>
  <c r="F16"/>
  <c r="G16"/>
  <c r="E17"/>
  <c r="F17"/>
  <c r="G17"/>
  <c r="E18"/>
  <c r="F18"/>
  <c r="G18"/>
  <c r="E19"/>
  <c r="F19"/>
  <c r="G19"/>
  <c r="E20"/>
  <c r="F20"/>
  <c r="G20"/>
  <c r="E21"/>
  <c r="F21"/>
  <c r="G21"/>
  <c r="E22"/>
  <c r="F22"/>
  <c r="G22"/>
  <c r="E23"/>
  <c r="F23"/>
  <c r="G23"/>
  <c r="E24"/>
  <c r="F24"/>
  <c r="G24"/>
  <c r="E25"/>
  <c r="F25"/>
  <c r="G25"/>
  <c r="E26"/>
  <c r="F26"/>
  <c r="G26"/>
  <c r="E27"/>
  <c r="F27"/>
  <c r="G27"/>
  <c r="E28"/>
  <c r="F28"/>
  <c r="G28"/>
  <c r="E29"/>
  <c r="F29"/>
  <c r="G29"/>
  <c r="E30"/>
  <c r="F30"/>
  <c r="G30"/>
  <c r="E31"/>
  <c r="F31"/>
  <c r="G31"/>
  <c r="E32"/>
  <c r="F32"/>
  <c r="G32"/>
  <c r="E33"/>
  <c r="F33"/>
  <c r="G33"/>
  <c r="E34"/>
  <c r="F34"/>
  <c r="G34"/>
  <c r="E35"/>
  <c r="F35"/>
  <c r="G35"/>
  <c r="E36"/>
  <c r="F36"/>
  <c r="G36"/>
  <c r="E37"/>
  <c r="F37"/>
  <c r="G37"/>
  <c r="E38"/>
  <c r="F38"/>
  <c r="G38"/>
  <c r="E39"/>
  <c r="F39"/>
  <c r="G39"/>
  <c r="E40"/>
  <c r="F40"/>
  <c r="G40"/>
  <c r="E41"/>
  <c r="F41"/>
  <c r="G41"/>
  <c r="E42"/>
  <c r="F42"/>
  <c r="G42"/>
  <c r="E43"/>
  <c r="F43"/>
  <c r="G43"/>
  <c r="E44"/>
  <c r="F44"/>
  <c r="G44"/>
  <c r="E45"/>
  <c r="F45"/>
  <c r="G45"/>
  <c r="E46"/>
  <c r="F46"/>
  <c r="G46"/>
  <c r="E47"/>
  <c r="F47"/>
  <c r="G47"/>
  <c r="E48"/>
  <c r="F48"/>
  <c r="G48"/>
  <c r="E49"/>
  <c r="F49"/>
  <c r="G49"/>
  <c r="J49"/>
  <c r="K49"/>
  <c r="E50"/>
  <c r="F50"/>
  <c r="G50"/>
  <c r="J50"/>
  <c r="K50"/>
  <c r="E51"/>
  <c r="F51"/>
  <c r="G51"/>
  <c r="E52"/>
  <c r="F52"/>
  <c r="G52"/>
  <c r="E53"/>
  <c r="F53"/>
  <c r="G53"/>
  <c r="J53"/>
  <c r="K53"/>
  <c r="E54"/>
  <c r="F54"/>
  <c r="G54"/>
  <c r="E55"/>
  <c r="F55"/>
  <c r="G55"/>
  <c r="E56"/>
  <c r="F56"/>
  <c r="G56"/>
  <c r="J56"/>
  <c r="K56"/>
  <c r="E57"/>
  <c r="F57"/>
  <c r="G57"/>
  <c r="E58"/>
  <c r="F58"/>
  <c r="G58"/>
  <c r="E59"/>
  <c r="F59"/>
  <c r="G59"/>
  <c r="J59"/>
  <c r="K59"/>
  <c r="E60"/>
  <c r="F60"/>
  <c r="G60"/>
  <c r="J60"/>
  <c r="K60"/>
  <c r="E61"/>
  <c r="F61"/>
  <c r="G61"/>
  <c r="E62"/>
  <c r="F62"/>
  <c r="G62"/>
  <c r="J62"/>
  <c r="K62"/>
  <c r="E63"/>
  <c r="F63"/>
  <c r="G63"/>
  <c r="E64"/>
  <c r="F64"/>
  <c r="G64"/>
  <c r="J64"/>
  <c r="K64"/>
  <c r="E65"/>
  <c r="F65"/>
  <c r="G65"/>
  <c r="E66"/>
  <c r="F66"/>
  <c r="G66"/>
  <c r="E67"/>
  <c r="F67"/>
  <c r="G67"/>
  <c r="E68"/>
  <c r="F68"/>
  <c r="G68"/>
  <c r="E69"/>
  <c r="F69"/>
  <c r="G69"/>
  <c r="E70"/>
  <c r="F70"/>
  <c r="G70"/>
  <c r="E71"/>
  <c r="F71"/>
  <c r="G71"/>
  <c r="E72"/>
  <c r="F72"/>
  <c r="G72"/>
  <c r="E73"/>
  <c r="F73"/>
  <c r="G73"/>
  <c r="E74"/>
  <c r="F74"/>
  <c r="G74"/>
  <c r="J74"/>
  <c r="K74"/>
  <c r="E75"/>
  <c r="F75"/>
  <c r="G75"/>
  <c r="E76"/>
  <c r="F76"/>
  <c r="G76"/>
  <c r="E77"/>
  <c r="F77"/>
  <c r="G77"/>
  <c r="E78"/>
  <c r="F78"/>
  <c r="G78"/>
  <c r="J78"/>
  <c r="K78"/>
  <c r="E79"/>
  <c r="F79"/>
  <c r="G79"/>
  <c r="J79"/>
  <c r="K79"/>
  <c r="E80"/>
  <c r="F80"/>
  <c r="G80"/>
  <c r="J80"/>
  <c r="K80"/>
  <c r="E81"/>
  <c r="F81"/>
  <c r="G81"/>
  <c r="J81"/>
  <c r="K81"/>
  <c r="E82"/>
  <c r="F82"/>
  <c r="G82"/>
  <c r="J82"/>
  <c r="K82"/>
  <c r="E83"/>
  <c r="F83"/>
  <c r="G83"/>
  <c r="J83"/>
  <c r="K83"/>
  <c r="E84"/>
  <c r="F84"/>
  <c r="G84"/>
  <c r="J84"/>
  <c r="K84"/>
  <c r="E85"/>
  <c r="F85"/>
  <c r="G85"/>
  <c r="J85"/>
  <c r="K85"/>
  <c r="E86"/>
  <c r="F86"/>
  <c r="G86"/>
  <c r="J86"/>
  <c r="K86"/>
  <c r="E87"/>
  <c r="F87"/>
  <c r="G87"/>
  <c r="J87"/>
  <c r="K87"/>
  <c r="E88"/>
  <c r="F88"/>
  <c r="G88"/>
  <c r="J88"/>
  <c r="K88"/>
  <c r="E89"/>
  <c r="F89"/>
  <c r="G89"/>
  <c r="D90"/>
  <c r="E90"/>
  <c r="F90"/>
  <c r="G90"/>
  <c r="J90"/>
  <c r="K90"/>
  <c r="E91"/>
  <c r="F91"/>
  <c r="G91"/>
  <c r="E92"/>
  <c r="F92"/>
  <c r="G92"/>
  <c r="J92"/>
  <c r="K92"/>
  <c r="E93"/>
  <c r="F93"/>
  <c r="G93"/>
  <c r="J93"/>
  <c r="K93"/>
  <c r="E94"/>
  <c r="F94"/>
  <c r="G94"/>
  <c r="J94"/>
  <c r="K94"/>
  <c r="E95"/>
  <c r="F95"/>
  <c r="G95"/>
  <c r="J95"/>
  <c r="K95"/>
  <c r="E96"/>
  <c r="F96"/>
  <c r="G96"/>
  <c r="J96"/>
  <c r="K96"/>
  <c r="E97"/>
  <c r="F97"/>
  <c r="G97"/>
  <c r="J97"/>
  <c r="K97"/>
  <c r="E98"/>
  <c r="F98"/>
  <c r="G98"/>
  <c r="J98"/>
  <c r="K98"/>
  <c r="E99"/>
  <c r="F99"/>
  <c r="G99"/>
  <c r="J99"/>
  <c r="K99"/>
  <c r="E100"/>
  <c r="F100"/>
  <c r="G100"/>
  <c r="J100"/>
  <c r="K100"/>
  <c r="E101"/>
  <c r="F101"/>
  <c r="G101"/>
  <c r="J101"/>
  <c r="K101"/>
  <c r="E102"/>
  <c r="F102"/>
  <c r="G102"/>
  <c r="J102"/>
  <c r="K102"/>
  <c r="D103"/>
  <c r="E103"/>
  <c r="F103"/>
  <c r="G103"/>
  <c r="J103"/>
  <c r="K103"/>
  <c r="E104"/>
  <c r="F104"/>
  <c r="G104"/>
  <c r="E105"/>
  <c r="F105"/>
  <c r="G105"/>
  <c r="J105"/>
  <c r="K105"/>
  <c r="D106"/>
  <c r="E106"/>
  <c r="F106"/>
  <c r="G106"/>
  <c r="E107"/>
  <c r="F107"/>
  <c r="G107"/>
  <c r="E108"/>
  <c r="F108"/>
  <c r="G108"/>
  <c r="J108"/>
  <c r="K108"/>
  <c r="E109"/>
  <c r="F109"/>
  <c r="G109"/>
  <c r="J109"/>
  <c r="K109"/>
  <c r="E110"/>
  <c r="F110"/>
  <c r="G110"/>
  <c r="J110"/>
  <c r="K110"/>
  <c r="D111"/>
  <c r="E111"/>
  <c r="F111"/>
  <c r="G111"/>
  <c r="J111"/>
  <c r="K111"/>
  <c r="E112"/>
  <c r="F112"/>
  <c r="G112"/>
  <c r="J112"/>
  <c r="K112"/>
  <c r="E113"/>
  <c r="F113"/>
  <c r="G113"/>
  <c r="J113"/>
  <c r="K113"/>
  <c r="D114"/>
  <c r="E114"/>
  <c r="F114"/>
  <c r="G114"/>
  <c r="E115"/>
  <c r="F115"/>
  <c r="G115"/>
  <c r="J115"/>
  <c r="K115"/>
  <c r="E116"/>
  <c r="F116"/>
  <c r="G116"/>
  <c r="J116"/>
  <c r="K116"/>
  <c r="E117"/>
  <c r="F117"/>
  <c r="G117"/>
  <c r="J117"/>
  <c r="K117"/>
  <c r="E118"/>
  <c r="F118"/>
  <c r="G118"/>
  <c r="J118"/>
  <c r="K118"/>
  <c r="D119"/>
  <c r="E119"/>
  <c r="F119"/>
  <c r="G119"/>
  <c r="J119"/>
  <c r="K119"/>
  <c r="E120"/>
  <c r="F120"/>
  <c r="G120"/>
  <c r="J120"/>
  <c r="K120"/>
  <c r="E121"/>
  <c r="F121"/>
  <c r="G121"/>
  <c r="C122"/>
  <c r="E122"/>
  <c r="F122"/>
  <c r="G122"/>
  <c r="J122"/>
  <c r="K122"/>
  <c r="C123"/>
  <c r="E123"/>
  <c r="F123"/>
  <c r="G123"/>
  <c r="J123"/>
  <c r="K123"/>
  <c r="C124"/>
  <c r="E124"/>
  <c r="F124"/>
  <c r="G124"/>
  <c r="J124"/>
  <c r="K124"/>
  <c r="C125"/>
  <c r="D125"/>
  <c r="E125"/>
  <c r="F125"/>
  <c r="G125"/>
  <c r="J125"/>
  <c r="K125"/>
  <c r="C126"/>
  <c r="E126"/>
  <c r="F126"/>
  <c r="G126"/>
  <c r="J126"/>
  <c r="K126"/>
  <c r="C127"/>
  <c r="E127"/>
  <c r="F127"/>
  <c r="G127"/>
  <c r="J127"/>
  <c r="K127"/>
  <c r="C128"/>
  <c r="E128"/>
  <c r="F128"/>
  <c r="G128"/>
  <c r="J128"/>
  <c r="K128"/>
  <c r="C129"/>
  <c r="E129"/>
  <c r="F129"/>
  <c r="G129"/>
  <c r="J129"/>
  <c r="K129"/>
  <c r="C130"/>
  <c r="E130"/>
  <c r="F130"/>
  <c r="G130"/>
  <c r="J130"/>
  <c r="K130"/>
  <c r="C131"/>
  <c r="E131"/>
  <c r="F131"/>
  <c r="G131"/>
  <c r="J131"/>
  <c r="K131"/>
  <c r="C132"/>
  <c r="E132"/>
  <c r="F132"/>
  <c r="G132"/>
  <c r="J132"/>
  <c r="K132"/>
  <c r="C133"/>
  <c r="E133"/>
  <c r="F133"/>
  <c r="G133"/>
  <c r="J133"/>
  <c r="K133"/>
  <c r="C134"/>
  <c r="E134"/>
  <c r="F134"/>
  <c r="G134"/>
  <c r="J134"/>
  <c r="K134"/>
  <c r="C135"/>
  <c r="E135"/>
  <c r="F135"/>
  <c r="G135"/>
  <c r="J135"/>
  <c r="K135"/>
  <c r="C136"/>
  <c r="E136"/>
  <c r="F136"/>
  <c r="G136"/>
  <c r="J136"/>
  <c r="K136"/>
  <c r="C137"/>
  <c r="E137"/>
  <c r="F137"/>
  <c r="G137"/>
  <c r="J137"/>
  <c r="K137"/>
  <c r="C138"/>
  <c r="D138"/>
  <c r="E138"/>
  <c r="F138"/>
  <c r="G138"/>
  <c r="J138"/>
  <c r="K138"/>
  <c r="C139"/>
  <c r="E139"/>
  <c r="F139"/>
  <c r="G139"/>
  <c r="J139"/>
  <c r="K139"/>
  <c r="C140"/>
  <c r="E140"/>
  <c r="F140"/>
  <c r="G140"/>
  <c r="J140"/>
  <c r="K140"/>
  <c r="C141"/>
  <c r="E141"/>
  <c r="F141"/>
  <c r="G141"/>
  <c r="J141"/>
  <c r="K141"/>
  <c r="C142"/>
  <c r="E142"/>
  <c r="F142"/>
  <c r="G142"/>
  <c r="J142"/>
  <c r="K142"/>
  <c r="C143"/>
  <c r="E143"/>
  <c r="F143"/>
  <c r="G143"/>
  <c r="J143"/>
  <c r="K143"/>
  <c r="C144"/>
  <c r="E144"/>
  <c r="F144"/>
  <c r="G144"/>
  <c r="J144"/>
  <c r="K144"/>
  <c r="C145"/>
  <c r="E145"/>
  <c r="F145"/>
  <c r="G145"/>
  <c r="J145"/>
  <c r="K145"/>
  <c r="C146"/>
  <c r="D146"/>
  <c r="E146"/>
  <c r="F146"/>
  <c r="G146"/>
  <c r="J146"/>
  <c r="K146"/>
  <c r="C147"/>
  <c r="E147"/>
  <c r="F147"/>
  <c r="G147"/>
  <c r="J147"/>
  <c r="K147"/>
  <c r="C148"/>
  <c r="E148"/>
  <c r="F148"/>
  <c r="G148"/>
  <c r="J148"/>
  <c r="K148"/>
  <c r="C149"/>
  <c r="E149"/>
  <c r="F149"/>
  <c r="G149"/>
  <c r="J149"/>
  <c r="K149"/>
  <c r="C150"/>
  <c r="E150"/>
  <c r="F150"/>
  <c r="G150"/>
  <c r="J150"/>
  <c r="K150"/>
  <c r="C151"/>
  <c r="E151"/>
  <c r="F151"/>
  <c r="G151"/>
  <c r="J151"/>
  <c r="K151"/>
  <c r="C152"/>
  <c r="E152"/>
  <c r="F152"/>
  <c r="G152"/>
  <c r="J152"/>
  <c r="K152"/>
  <c r="C153"/>
  <c r="E153"/>
  <c r="F153"/>
  <c r="G153"/>
  <c r="J153"/>
  <c r="K153"/>
  <c r="C154"/>
  <c r="E154"/>
  <c r="F154"/>
  <c r="G154"/>
  <c r="J154"/>
  <c r="K154"/>
  <c r="C155"/>
  <c r="D155"/>
  <c r="E155"/>
  <c r="F155"/>
  <c r="G155"/>
  <c r="J155"/>
  <c r="K155"/>
  <c r="C156"/>
  <c r="E156"/>
  <c r="F156"/>
  <c r="G156"/>
  <c r="J156"/>
  <c r="K156"/>
  <c r="C157"/>
  <c r="E157"/>
  <c r="F157"/>
  <c r="G157"/>
  <c r="J157"/>
  <c r="K157"/>
  <c r="C158"/>
  <c r="D158"/>
  <c r="E158"/>
  <c r="F158"/>
  <c r="G158"/>
  <c r="J158"/>
  <c r="K158"/>
  <c r="C159"/>
  <c r="E159"/>
  <c r="F159"/>
  <c r="G159"/>
  <c r="J159"/>
  <c r="K159"/>
  <c r="C160"/>
  <c r="E160"/>
  <c r="F160"/>
  <c r="G160"/>
  <c r="J160"/>
  <c r="K160"/>
  <c r="C161"/>
  <c r="E161"/>
  <c r="F161"/>
  <c r="G161"/>
  <c r="J161"/>
  <c r="K161"/>
  <c r="C162"/>
  <c r="E162"/>
  <c r="F162"/>
  <c r="G162"/>
  <c r="J162"/>
  <c r="K162"/>
  <c r="C163"/>
  <c r="E163"/>
  <c r="F163"/>
  <c r="G163"/>
  <c r="J163"/>
  <c r="K163"/>
  <c r="C164"/>
  <c r="E164"/>
  <c r="F164"/>
  <c r="G164"/>
  <c r="J164"/>
  <c r="K164"/>
  <c r="C165"/>
  <c r="E165"/>
  <c r="F165"/>
  <c r="G165"/>
  <c r="J165"/>
  <c r="K165"/>
  <c r="C166"/>
  <c r="D166"/>
  <c r="E166"/>
  <c r="F166"/>
  <c r="G166"/>
  <c r="J166"/>
  <c r="K166"/>
  <c r="C167"/>
  <c r="E167"/>
  <c r="F167"/>
  <c r="G167"/>
  <c r="J167"/>
  <c r="K167"/>
  <c r="C168"/>
  <c r="E168"/>
  <c r="F168"/>
  <c r="G168"/>
  <c r="J168"/>
  <c r="K168"/>
  <c r="C169"/>
  <c r="E169"/>
  <c r="F169"/>
  <c r="G169"/>
  <c r="J169"/>
  <c r="K169"/>
  <c r="C170"/>
  <c r="E170"/>
  <c r="F170"/>
  <c r="G170"/>
  <c r="J170"/>
  <c r="K170"/>
  <c r="C171"/>
  <c r="D171"/>
  <c r="E171"/>
  <c r="F171"/>
  <c r="G171"/>
  <c r="J171"/>
  <c r="K171"/>
  <c r="C172"/>
  <c r="E172"/>
  <c r="F172"/>
  <c r="G172"/>
  <c r="J172"/>
  <c r="K172"/>
  <c r="C173"/>
  <c r="E173"/>
  <c r="F173"/>
  <c r="G173"/>
  <c r="J173"/>
  <c r="K173"/>
  <c r="C174"/>
  <c r="E174"/>
  <c r="F174"/>
  <c r="G174"/>
  <c r="J174"/>
  <c r="K174"/>
  <c r="C175"/>
  <c r="E175"/>
  <c r="F175"/>
  <c r="G175"/>
  <c r="J175"/>
  <c r="K175"/>
  <c r="C176"/>
  <c r="E176"/>
  <c r="F176"/>
  <c r="G176"/>
  <c r="J176"/>
  <c r="K176"/>
  <c r="C177"/>
  <c r="E177"/>
  <c r="F177"/>
  <c r="G177"/>
  <c r="J177"/>
  <c r="K177"/>
  <c r="C178"/>
  <c r="E178"/>
  <c r="F178"/>
  <c r="G178"/>
  <c r="J178"/>
  <c r="K178"/>
  <c r="C179"/>
  <c r="E179"/>
  <c r="F179"/>
  <c r="G179"/>
  <c r="J179"/>
  <c r="K179"/>
  <c r="C180"/>
  <c r="E180"/>
  <c r="F180"/>
  <c r="G180"/>
  <c r="J180"/>
  <c r="K180"/>
  <c r="C181"/>
  <c r="E181"/>
  <c r="F181"/>
  <c r="G181"/>
  <c r="J181"/>
  <c r="K181"/>
  <c r="C182"/>
  <c r="E182"/>
  <c r="F182"/>
  <c r="G182"/>
  <c r="J182"/>
  <c r="K182"/>
  <c r="C183"/>
  <c r="E183"/>
  <c r="F183"/>
  <c r="G183"/>
  <c r="J183"/>
  <c r="K183"/>
  <c r="C184"/>
  <c r="E184"/>
  <c r="F184"/>
  <c r="G184"/>
  <c r="J184"/>
  <c r="K184"/>
  <c r="C185"/>
  <c r="E185"/>
  <c r="F185"/>
  <c r="G185"/>
  <c r="J185"/>
  <c r="K185"/>
  <c r="C186"/>
  <c r="D186"/>
  <c r="E186"/>
  <c r="F186"/>
  <c r="G186"/>
  <c r="J186"/>
  <c r="K186"/>
  <c r="C187"/>
  <c r="E187"/>
  <c r="F187"/>
  <c r="G187"/>
  <c r="J187"/>
  <c r="K187"/>
  <c r="C188"/>
  <c r="E188"/>
  <c r="F188"/>
  <c r="G188"/>
  <c r="J188"/>
  <c r="K188"/>
  <c r="C189"/>
  <c r="D189"/>
  <c r="E189"/>
  <c r="F189"/>
  <c r="G189"/>
  <c r="J189"/>
  <c r="K189"/>
  <c r="C190"/>
  <c r="E190"/>
  <c r="F190"/>
  <c r="G190"/>
  <c r="J190"/>
  <c r="K190"/>
  <c r="C191"/>
  <c r="E191"/>
  <c r="F191"/>
  <c r="G191"/>
  <c r="J191"/>
  <c r="K191"/>
  <c r="C192"/>
  <c r="E192"/>
  <c r="F192"/>
  <c r="G192"/>
  <c r="J192"/>
  <c r="K192"/>
  <c r="C193"/>
  <c r="E193"/>
  <c r="F193"/>
  <c r="G193"/>
  <c r="J193"/>
  <c r="K193"/>
  <c r="C194"/>
  <c r="E194"/>
  <c r="F194"/>
  <c r="G194"/>
  <c r="J194"/>
  <c r="K194"/>
  <c r="C195"/>
  <c r="E195"/>
  <c r="F195"/>
  <c r="G195"/>
  <c r="J195"/>
  <c r="K195"/>
  <c r="C196"/>
  <c r="E196"/>
  <c r="F196"/>
  <c r="G196"/>
  <c r="J196"/>
  <c r="K196"/>
  <c r="C197"/>
  <c r="E197"/>
  <c r="F197"/>
  <c r="G197"/>
  <c r="J197"/>
  <c r="K197"/>
  <c r="C198"/>
  <c r="E198"/>
  <c r="F198"/>
  <c r="G198"/>
  <c r="J198"/>
  <c r="K198"/>
  <c r="C199"/>
  <c r="E199"/>
  <c r="F199"/>
  <c r="G199"/>
  <c r="J199"/>
  <c r="K199"/>
  <c r="C200"/>
  <c r="E200"/>
  <c r="F200"/>
  <c r="G200"/>
  <c r="J200"/>
  <c r="K200"/>
  <c r="C201"/>
  <c r="E201"/>
  <c r="F201"/>
  <c r="G201"/>
  <c r="J201"/>
  <c r="K201"/>
  <c r="C202"/>
  <c r="D202"/>
  <c r="E202"/>
  <c r="F202"/>
  <c r="G202"/>
  <c r="J202"/>
  <c r="K202"/>
  <c r="C203"/>
  <c r="E203"/>
  <c r="F203"/>
  <c r="G203"/>
  <c r="J203"/>
  <c r="K203"/>
  <c r="C204"/>
  <c r="E204"/>
  <c r="F204"/>
  <c r="G204"/>
  <c r="J204"/>
  <c r="K204"/>
  <c r="C205"/>
  <c r="E205"/>
  <c r="F205"/>
  <c r="G205"/>
  <c r="J205"/>
  <c r="K205"/>
  <c r="C206"/>
  <c r="E206"/>
  <c r="F206"/>
  <c r="G206"/>
  <c r="J206"/>
  <c r="K206"/>
  <c r="C207"/>
  <c r="E207"/>
  <c r="F207"/>
  <c r="G207"/>
  <c r="J207"/>
  <c r="K207"/>
  <c r="C208"/>
  <c r="E208"/>
  <c r="F208"/>
  <c r="G208"/>
  <c r="J208"/>
  <c r="K208"/>
  <c r="C209"/>
  <c r="E209"/>
  <c r="F209"/>
  <c r="G209"/>
  <c r="J209"/>
  <c r="K209"/>
  <c r="C210"/>
  <c r="D210"/>
  <c r="E210"/>
  <c r="F210"/>
  <c r="G210"/>
  <c r="J210"/>
  <c r="K210"/>
  <c r="C211"/>
  <c r="E211"/>
  <c r="F211"/>
  <c r="G211"/>
  <c r="J211"/>
  <c r="K211"/>
  <c r="C212"/>
  <c r="E212"/>
  <c r="F212"/>
  <c r="G212"/>
  <c r="J212"/>
  <c r="K212"/>
  <c r="C213"/>
  <c r="E213"/>
  <c r="F213"/>
  <c r="G213"/>
  <c r="J213"/>
  <c r="K213"/>
  <c r="C214"/>
  <c r="E214"/>
  <c r="F214"/>
  <c r="G214"/>
  <c r="J214"/>
  <c r="K214"/>
  <c r="C215"/>
  <c r="E215"/>
  <c r="F215"/>
  <c r="G215"/>
  <c r="J215"/>
  <c r="K215"/>
  <c r="C216"/>
  <c r="E216"/>
  <c r="F216"/>
  <c r="G216"/>
  <c r="J216"/>
  <c r="K216"/>
  <c r="C217"/>
  <c r="E217"/>
  <c r="F217"/>
  <c r="G217"/>
  <c r="J217"/>
  <c r="K217"/>
  <c r="C218"/>
  <c r="E218"/>
  <c r="F218"/>
  <c r="G218"/>
  <c r="J218"/>
  <c r="K218"/>
  <c r="C219"/>
  <c r="D219"/>
  <c r="E219"/>
  <c r="F219"/>
  <c r="G219"/>
  <c r="J219"/>
  <c r="K219"/>
  <c r="C220"/>
  <c r="E220"/>
  <c r="F220"/>
  <c r="G220"/>
  <c r="J220"/>
  <c r="K220"/>
  <c r="C221"/>
  <c r="E221"/>
  <c r="F221"/>
  <c r="G221"/>
  <c r="J221"/>
  <c r="K221"/>
  <c r="C222"/>
  <c r="E222"/>
  <c r="F222"/>
  <c r="G222"/>
  <c r="J222"/>
  <c r="K222"/>
  <c r="C223"/>
  <c r="E223"/>
  <c r="F223"/>
  <c r="G223"/>
  <c r="J223"/>
  <c r="K223"/>
  <c r="C224"/>
  <c r="E224"/>
  <c r="F224"/>
  <c r="G224"/>
  <c r="J224"/>
  <c r="K224"/>
  <c r="C225"/>
  <c r="E225"/>
  <c r="F225"/>
  <c r="G225"/>
  <c r="J225"/>
  <c r="K225"/>
  <c r="C226"/>
  <c r="E226"/>
  <c r="F226"/>
  <c r="G226"/>
  <c r="J226"/>
  <c r="K226"/>
  <c r="C227"/>
  <c r="D227"/>
  <c r="E227"/>
  <c r="F227"/>
  <c r="G227"/>
  <c r="J227"/>
  <c r="K227"/>
  <c r="C228"/>
  <c r="E228"/>
  <c r="F228"/>
  <c r="G228"/>
  <c r="J228"/>
  <c r="K228"/>
  <c r="C229"/>
  <c r="E229"/>
  <c r="F229"/>
  <c r="G229"/>
  <c r="J229"/>
  <c r="K229"/>
  <c r="C230"/>
  <c r="E230"/>
  <c r="F230"/>
  <c r="G230"/>
  <c r="J230"/>
  <c r="K230"/>
  <c r="C231"/>
  <c r="E231"/>
  <c r="F231"/>
  <c r="G231"/>
  <c r="J231"/>
  <c r="K231"/>
  <c r="C232"/>
  <c r="E232"/>
  <c r="F232"/>
  <c r="G232"/>
  <c r="J232"/>
  <c r="K232"/>
  <c r="C233"/>
  <c r="E233"/>
  <c r="F233"/>
  <c r="G233"/>
  <c r="J233"/>
  <c r="K233"/>
  <c r="C234"/>
  <c r="D234"/>
  <c r="E234"/>
  <c r="F234"/>
  <c r="G234"/>
  <c r="J234"/>
  <c r="K234"/>
  <c r="C235"/>
  <c r="E235"/>
  <c r="F235"/>
  <c r="G235"/>
  <c r="J235"/>
  <c r="K235"/>
  <c r="C236"/>
  <c r="E236"/>
  <c r="F236"/>
  <c r="G236"/>
  <c r="J236"/>
  <c r="K236"/>
  <c r="C237"/>
  <c r="E237"/>
  <c r="F237"/>
  <c r="G237"/>
  <c r="J237"/>
  <c r="K237"/>
  <c r="C238"/>
  <c r="E238"/>
  <c r="F238"/>
  <c r="G238"/>
  <c r="J238"/>
  <c r="K238"/>
  <c r="C239"/>
  <c r="D239"/>
  <c r="E239"/>
  <c r="F239"/>
  <c r="G239"/>
  <c r="J239"/>
  <c r="K239"/>
  <c r="C240"/>
  <c r="E240"/>
  <c r="F240"/>
  <c r="G240"/>
  <c r="J240"/>
  <c r="K240"/>
  <c r="C241"/>
  <c r="E241"/>
  <c r="F241"/>
  <c r="G241"/>
  <c r="J241"/>
  <c r="K241"/>
  <c r="C242"/>
  <c r="E242"/>
  <c r="F242"/>
  <c r="G242"/>
  <c r="J242"/>
  <c r="K242"/>
  <c r="C243"/>
  <c r="E243"/>
  <c r="F243"/>
  <c r="G243"/>
  <c r="J243"/>
  <c r="K243"/>
  <c r="C244"/>
  <c r="E244"/>
  <c r="F244"/>
  <c r="G244"/>
  <c r="J244"/>
  <c r="K244"/>
  <c r="C245"/>
  <c r="E245"/>
  <c r="F245"/>
  <c r="G245"/>
  <c r="J245"/>
  <c r="K245"/>
  <c r="C246"/>
  <c r="E246"/>
  <c r="F246"/>
  <c r="G246"/>
  <c r="J246"/>
  <c r="K246"/>
  <c r="C247"/>
  <c r="D247"/>
  <c r="E247"/>
  <c r="F247"/>
  <c r="G247"/>
  <c r="J247"/>
  <c r="K247"/>
  <c r="C248"/>
  <c r="E248"/>
  <c r="F248"/>
  <c r="G248"/>
  <c r="J248"/>
  <c r="K248"/>
  <c r="C249"/>
  <c r="E249"/>
  <c r="F249"/>
  <c r="G249"/>
  <c r="J249"/>
  <c r="K249"/>
  <c r="C250"/>
  <c r="D250"/>
  <c r="E250"/>
  <c r="F250"/>
  <c r="G250"/>
  <c r="J250"/>
  <c r="K250"/>
  <c r="C251"/>
  <c r="E251"/>
  <c r="F251"/>
  <c r="G251"/>
  <c r="J251"/>
  <c r="K251"/>
  <c r="C252"/>
  <c r="E252"/>
  <c r="F252"/>
  <c r="G252"/>
  <c r="J252"/>
  <c r="K252"/>
  <c r="C253"/>
  <c r="D253"/>
  <c r="E253"/>
  <c r="F253"/>
  <c r="G253"/>
  <c r="J253"/>
  <c r="K253"/>
  <c r="C254"/>
  <c r="E254"/>
  <c r="F254"/>
  <c r="G254"/>
  <c r="J254"/>
  <c r="K254"/>
  <c r="C255"/>
  <c r="E255"/>
  <c r="F255"/>
  <c r="G255"/>
  <c r="J255"/>
  <c r="K255"/>
  <c r="C256"/>
  <c r="E256"/>
  <c r="F256"/>
  <c r="G256"/>
  <c r="J256"/>
  <c r="K256"/>
  <c r="C257"/>
  <c r="E257"/>
  <c r="F257"/>
  <c r="G257"/>
  <c r="J257"/>
  <c r="K257"/>
  <c r="C258"/>
  <c r="E258"/>
  <c r="F258"/>
  <c r="G258"/>
  <c r="J258"/>
  <c r="K258"/>
  <c r="C259"/>
  <c r="E259"/>
  <c r="F259"/>
  <c r="G259"/>
  <c r="J259"/>
  <c r="K259"/>
  <c r="C260"/>
  <c r="E260"/>
  <c r="F260"/>
  <c r="G260"/>
  <c r="J260"/>
  <c r="K260"/>
  <c r="C261"/>
  <c r="E261"/>
  <c r="F261"/>
  <c r="G261"/>
  <c r="J261"/>
  <c r="K261"/>
  <c r="C262"/>
  <c r="E262"/>
  <c r="F262"/>
  <c r="G262"/>
  <c r="J262"/>
  <c r="K262"/>
  <c r="C263"/>
  <c r="E263"/>
  <c r="F263"/>
  <c r="G263"/>
  <c r="J263"/>
  <c r="K263"/>
  <c r="C264"/>
  <c r="E264"/>
  <c r="F264"/>
  <c r="G264"/>
  <c r="J264"/>
  <c r="K264"/>
  <c r="C265"/>
  <c r="E265"/>
  <c r="F265"/>
  <c r="G265"/>
  <c r="J265"/>
  <c r="K265"/>
  <c r="C266"/>
  <c r="D266"/>
  <c r="E266"/>
  <c r="F266"/>
  <c r="G266"/>
  <c r="J266"/>
  <c r="K266"/>
  <c r="C267"/>
  <c r="E267"/>
  <c r="F267"/>
  <c r="G267"/>
  <c r="J267"/>
  <c r="K267"/>
  <c r="C268"/>
  <c r="E268"/>
  <c r="F268"/>
  <c r="G268"/>
  <c r="J268"/>
  <c r="K268"/>
  <c r="C269"/>
  <c r="E269"/>
  <c r="F269"/>
  <c r="G269"/>
  <c r="J269"/>
  <c r="K269"/>
  <c r="C270"/>
  <c r="E270"/>
  <c r="F270"/>
  <c r="G270"/>
  <c r="J270"/>
  <c r="K270"/>
  <c r="C271"/>
  <c r="E271"/>
  <c r="F271"/>
  <c r="G271"/>
  <c r="J271"/>
  <c r="K271"/>
  <c r="C272"/>
  <c r="E272"/>
  <c r="F272"/>
  <c r="G272"/>
  <c r="J272"/>
  <c r="K272"/>
  <c r="C273"/>
  <c r="E273"/>
  <c r="F273"/>
  <c r="G273"/>
  <c r="J273"/>
  <c r="K273"/>
  <c r="C274"/>
  <c r="D274"/>
  <c r="E274"/>
  <c r="F274"/>
  <c r="G274"/>
  <c r="J274"/>
  <c r="K274"/>
  <c r="C275"/>
  <c r="E275"/>
  <c r="F275"/>
  <c r="G275"/>
  <c r="J275"/>
  <c r="K275"/>
  <c r="C276"/>
  <c r="E276"/>
  <c r="F276"/>
  <c r="G276"/>
  <c r="J276"/>
  <c r="K276"/>
  <c r="C277"/>
  <c r="E277"/>
  <c r="F277"/>
  <c r="G277"/>
  <c r="J277"/>
  <c r="K277"/>
  <c r="C278"/>
  <c r="E278"/>
  <c r="F278"/>
  <c r="G278"/>
  <c r="J278"/>
  <c r="K278"/>
  <c r="C279"/>
  <c r="E279"/>
  <c r="F279"/>
  <c r="G279"/>
  <c r="J279"/>
  <c r="K279"/>
  <c r="C280"/>
  <c r="E280"/>
  <c r="F280"/>
  <c r="G280"/>
  <c r="J280"/>
  <c r="K280"/>
  <c r="C281"/>
  <c r="E281"/>
  <c r="F281"/>
  <c r="G281"/>
  <c r="J281"/>
  <c r="K281"/>
  <c r="C282"/>
  <c r="E282"/>
  <c r="F282"/>
  <c r="G282"/>
  <c r="J282"/>
  <c r="K282"/>
  <c r="C283"/>
  <c r="D283"/>
  <c r="E283"/>
  <c r="F283"/>
  <c r="G283"/>
  <c r="J283"/>
  <c r="K283"/>
  <c r="C284"/>
  <c r="E284"/>
  <c r="F284"/>
  <c r="G284"/>
  <c r="J284"/>
  <c r="K284"/>
  <c r="C285"/>
  <c r="E285"/>
  <c r="F285"/>
  <c r="G285"/>
  <c r="J285"/>
  <c r="K285"/>
  <c r="C286"/>
  <c r="D286"/>
  <c r="E286"/>
  <c r="F286"/>
  <c r="G286"/>
  <c r="J286"/>
  <c r="K286"/>
  <c r="C287"/>
  <c r="E287"/>
  <c r="F287"/>
  <c r="G287"/>
  <c r="J287"/>
  <c r="K287"/>
  <c r="C288"/>
  <c r="E288"/>
  <c r="F288"/>
  <c r="G288"/>
  <c r="J288"/>
  <c r="K288"/>
  <c r="C289"/>
  <c r="E289"/>
  <c r="F289"/>
  <c r="G289"/>
  <c r="J289"/>
  <c r="K289"/>
  <c r="C290"/>
  <c r="E290"/>
  <c r="F290"/>
  <c r="G290"/>
  <c r="J290"/>
  <c r="K290"/>
  <c r="C291"/>
  <c r="E291"/>
  <c r="F291"/>
  <c r="G291"/>
  <c r="J291"/>
  <c r="K291"/>
  <c r="C292"/>
  <c r="E292"/>
  <c r="F292"/>
  <c r="G292"/>
  <c r="J292"/>
  <c r="K292"/>
  <c r="C293"/>
  <c r="E293"/>
  <c r="F293"/>
  <c r="G293"/>
  <c r="J293"/>
  <c r="K293"/>
  <c r="C294"/>
  <c r="D294"/>
  <c r="E294"/>
  <c r="F294"/>
  <c r="G294"/>
  <c r="J294"/>
  <c r="K294"/>
  <c r="C295"/>
  <c r="E295"/>
  <c r="F295"/>
  <c r="G295"/>
  <c r="J295"/>
  <c r="K295"/>
  <c r="C296"/>
  <c r="E296"/>
  <c r="F296"/>
  <c r="G296"/>
  <c r="J296"/>
  <c r="K296"/>
  <c r="C297"/>
  <c r="E297"/>
  <c r="F297"/>
  <c r="G297"/>
  <c r="J297"/>
  <c r="K297"/>
  <c r="C298"/>
  <c r="E298"/>
  <c r="F298"/>
  <c r="G298"/>
  <c r="J298"/>
  <c r="K298"/>
  <c r="C299"/>
  <c r="D299"/>
  <c r="E299"/>
  <c r="F299"/>
  <c r="G299"/>
  <c r="J299"/>
  <c r="K299"/>
  <c r="C300"/>
  <c r="E300"/>
  <c r="F300"/>
  <c r="G300"/>
  <c r="J300"/>
  <c r="K300"/>
  <c r="C301"/>
  <c r="E301"/>
  <c r="F301"/>
  <c r="G301"/>
  <c r="J301"/>
  <c r="K301"/>
  <c r="C3" i="4"/>
  <c r="C4"/>
  <c r="E4"/>
  <c r="F4"/>
  <c r="G4"/>
  <c r="L4"/>
  <c r="E5"/>
  <c r="F5"/>
  <c r="G5"/>
  <c r="E6"/>
  <c r="F6"/>
  <c r="G6"/>
  <c r="E7"/>
  <c r="F7"/>
  <c r="G7"/>
  <c r="E8"/>
  <c r="F8"/>
  <c r="G8"/>
  <c r="E9"/>
  <c r="F9"/>
  <c r="G9"/>
  <c r="E10"/>
  <c r="F10"/>
  <c r="G10"/>
  <c r="E11"/>
  <c r="F11"/>
  <c r="G11"/>
  <c r="E12"/>
  <c r="F12"/>
  <c r="G12"/>
  <c r="E13"/>
  <c r="F13"/>
  <c r="G13"/>
  <c r="E14"/>
  <c r="F14"/>
  <c r="G14"/>
  <c r="E15"/>
  <c r="F15"/>
  <c r="G15"/>
  <c r="E16"/>
  <c r="F16"/>
  <c r="G16"/>
  <c r="E17"/>
  <c r="F17"/>
  <c r="G17"/>
  <c r="E18"/>
  <c r="F18"/>
  <c r="G18"/>
  <c r="E19"/>
  <c r="F19"/>
  <c r="G19"/>
  <c r="E20"/>
  <c r="F20"/>
  <c r="G20"/>
  <c r="E21"/>
  <c r="F21"/>
  <c r="G21"/>
  <c r="E22"/>
  <c r="F22"/>
  <c r="G22"/>
  <c r="J22"/>
  <c r="K22"/>
  <c r="E23"/>
  <c r="F23"/>
  <c r="G23"/>
  <c r="E24"/>
  <c r="F24"/>
  <c r="G24"/>
  <c r="E25"/>
  <c r="F25"/>
  <c r="G25"/>
  <c r="E26"/>
  <c r="F26"/>
  <c r="G26"/>
  <c r="E27"/>
  <c r="F27"/>
  <c r="G27"/>
  <c r="E28"/>
  <c r="F28"/>
  <c r="G28"/>
  <c r="E29"/>
  <c r="F29"/>
  <c r="G29"/>
  <c r="J29"/>
  <c r="K29"/>
  <c r="E30"/>
  <c r="F30"/>
  <c r="G30"/>
  <c r="E31"/>
  <c r="F31"/>
  <c r="G31"/>
  <c r="E32"/>
  <c r="F32"/>
  <c r="G32"/>
  <c r="E33"/>
  <c r="F33"/>
  <c r="G33"/>
  <c r="E34"/>
  <c r="F34"/>
  <c r="G34"/>
  <c r="J34"/>
  <c r="K34"/>
  <c r="E35"/>
  <c r="F35"/>
  <c r="G35"/>
  <c r="E36"/>
  <c r="F36"/>
  <c r="G36"/>
  <c r="J36"/>
  <c r="K36"/>
  <c r="E37"/>
  <c r="F37"/>
  <c r="G37"/>
  <c r="E38"/>
  <c r="F38"/>
  <c r="G38"/>
  <c r="E39"/>
  <c r="F39"/>
  <c r="G39"/>
  <c r="E40"/>
  <c r="F40"/>
  <c r="G40"/>
  <c r="E41"/>
  <c r="F41"/>
  <c r="G41"/>
  <c r="E42"/>
  <c r="F42"/>
  <c r="G42"/>
  <c r="E43"/>
  <c r="F43"/>
  <c r="G43"/>
  <c r="J43"/>
  <c r="K43"/>
  <c r="E44"/>
  <c r="F44"/>
  <c r="G44"/>
  <c r="E45"/>
  <c r="F45"/>
  <c r="G45"/>
  <c r="E46"/>
  <c r="F46"/>
  <c r="G46"/>
  <c r="E47"/>
  <c r="F47"/>
  <c r="G47"/>
  <c r="J47"/>
  <c r="K47"/>
  <c r="E48"/>
  <c r="F48"/>
  <c r="G48"/>
  <c r="E49"/>
  <c r="F49"/>
  <c r="G49"/>
  <c r="E50"/>
  <c r="F50"/>
  <c r="G50"/>
  <c r="E51"/>
  <c r="F51"/>
  <c r="G51"/>
  <c r="J51"/>
  <c r="K51"/>
  <c r="E52"/>
  <c r="F52"/>
  <c r="G52"/>
  <c r="J52"/>
  <c r="K52"/>
  <c r="E53"/>
  <c r="F53"/>
  <c r="G53"/>
  <c r="J53"/>
  <c r="K53"/>
  <c r="E54"/>
  <c r="F54"/>
  <c r="G54"/>
  <c r="E55"/>
  <c r="F55"/>
  <c r="G55"/>
  <c r="E56"/>
  <c r="F56"/>
  <c r="G56"/>
  <c r="E57"/>
  <c r="F57"/>
  <c r="G57"/>
  <c r="E58"/>
  <c r="F58"/>
  <c r="G58"/>
  <c r="E59"/>
  <c r="F59"/>
  <c r="G59"/>
  <c r="E60"/>
  <c r="F60"/>
  <c r="G60"/>
  <c r="E61"/>
  <c r="F61"/>
  <c r="G61"/>
  <c r="E62"/>
  <c r="F62"/>
  <c r="G62"/>
  <c r="E63"/>
  <c r="F63"/>
  <c r="G63"/>
  <c r="E64"/>
  <c r="F64"/>
  <c r="G64"/>
  <c r="E65"/>
  <c r="F65"/>
  <c r="G65"/>
  <c r="E66"/>
  <c r="F66"/>
  <c r="G66"/>
  <c r="E67"/>
  <c r="F67"/>
  <c r="G67"/>
  <c r="E68"/>
  <c r="F68"/>
  <c r="G68"/>
  <c r="J68"/>
  <c r="K68"/>
  <c r="E69"/>
  <c r="F69"/>
  <c r="G69"/>
  <c r="J69"/>
  <c r="K69"/>
  <c r="E70"/>
  <c r="F70"/>
  <c r="G70"/>
  <c r="E71"/>
  <c r="F71"/>
  <c r="G71"/>
  <c r="E72"/>
  <c r="F72"/>
  <c r="G72"/>
  <c r="J72"/>
  <c r="K72"/>
  <c r="E73"/>
  <c r="F73"/>
  <c r="G73"/>
  <c r="J73"/>
  <c r="K73"/>
  <c r="E74"/>
  <c r="F74"/>
  <c r="G74"/>
  <c r="J74"/>
  <c r="K74"/>
  <c r="E75"/>
  <c r="F75"/>
  <c r="G75"/>
  <c r="J75"/>
  <c r="K75"/>
  <c r="E76"/>
  <c r="F76"/>
  <c r="G76"/>
  <c r="E77"/>
  <c r="F77"/>
  <c r="G77"/>
  <c r="E78"/>
  <c r="F78"/>
  <c r="G78"/>
  <c r="J78"/>
  <c r="K78"/>
  <c r="D79"/>
  <c r="E79"/>
  <c r="F79"/>
  <c r="G79"/>
  <c r="E80"/>
  <c r="F80"/>
  <c r="G80"/>
  <c r="J80"/>
  <c r="K80"/>
  <c r="E81"/>
  <c r="F81"/>
  <c r="G81"/>
  <c r="J81"/>
  <c r="K81"/>
  <c r="E82"/>
  <c r="F82"/>
  <c r="G82"/>
  <c r="J82"/>
  <c r="K82"/>
  <c r="D83"/>
  <c r="E83"/>
  <c r="F83"/>
  <c r="G83"/>
  <c r="J83"/>
  <c r="K83"/>
  <c r="E84"/>
  <c r="F84"/>
  <c r="G84"/>
  <c r="J84"/>
  <c r="K84"/>
  <c r="E85"/>
  <c r="F85"/>
  <c r="G85"/>
  <c r="J85"/>
  <c r="K85"/>
  <c r="E86"/>
  <c r="F86"/>
  <c r="G86"/>
  <c r="J86"/>
  <c r="K86"/>
  <c r="E87"/>
  <c r="F87"/>
  <c r="G87"/>
  <c r="J87"/>
  <c r="K87"/>
  <c r="E88"/>
  <c r="F88"/>
  <c r="G88"/>
  <c r="J88"/>
  <c r="K88"/>
  <c r="E89"/>
  <c r="F89"/>
  <c r="G89"/>
  <c r="J89"/>
  <c r="K89"/>
  <c r="E90"/>
  <c r="F90"/>
  <c r="G90"/>
  <c r="J90"/>
  <c r="K90"/>
  <c r="E91"/>
  <c r="F91"/>
  <c r="G91"/>
  <c r="J91"/>
  <c r="K91"/>
  <c r="E92"/>
  <c r="F92"/>
  <c r="G92"/>
  <c r="J92"/>
  <c r="K92"/>
  <c r="E93"/>
  <c r="F93"/>
  <c r="G93"/>
  <c r="J93"/>
  <c r="K93"/>
  <c r="E94"/>
  <c r="F94"/>
  <c r="G94"/>
  <c r="J94"/>
  <c r="K94"/>
  <c r="E95"/>
  <c r="F95"/>
  <c r="G95"/>
  <c r="J95"/>
  <c r="K95"/>
  <c r="E96"/>
  <c r="F96"/>
  <c r="G96"/>
  <c r="J96"/>
  <c r="K96"/>
  <c r="E97"/>
  <c r="F97"/>
  <c r="G97"/>
  <c r="J97"/>
  <c r="K97"/>
  <c r="E98"/>
  <c r="F98"/>
  <c r="G98"/>
  <c r="J98"/>
  <c r="K98"/>
  <c r="E99"/>
  <c r="F99"/>
  <c r="G99"/>
  <c r="J99"/>
  <c r="K99"/>
  <c r="E100"/>
  <c r="F100"/>
  <c r="G100"/>
  <c r="J100"/>
  <c r="K100"/>
  <c r="E101"/>
  <c r="F101"/>
  <c r="G101"/>
  <c r="J101"/>
  <c r="K101"/>
  <c r="D102"/>
  <c r="E102"/>
  <c r="F102"/>
  <c r="G102"/>
  <c r="J102"/>
  <c r="K102"/>
  <c r="E103"/>
  <c r="F103"/>
  <c r="G103"/>
  <c r="J103"/>
  <c r="K103"/>
  <c r="E104"/>
  <c r="F104"/>
  <c r="G104"/>
  <c r="J104"/>
  <c r="K104"/>
  <c r="E105"/>
  <c r="F105"/>
  <c r="G105"/>
  <c r="J105"/>
  <c r="K105"/>
  <c r="E106"/>
  <c r="F106"/>
  <c r="G106"/>
  <c r="J106"/>
  <c r="K106"/>
  <c r="D107"/>
  <c r="E107"/>
  <c r="F107"/>
  <c r="G107"/>
  <c r="J107"/>
  <c r="K107"/>
  <c r="E108"/>
  <c r="F108"/>
  <c r="G108"/>
  <c r="J108"/>
  <c r="K108"/>
  <c r="E109"/>
  <c r="F109"/>
  <c r="G109"/>
  <c r="J109"/>
  <c r="K109"/>
  <c r="D110"/>
  <c r="E110"/>
  <c r="F110"/>
  <c r="G110"/>
  <c r="J110"/>
  <c r="K110"/>
  <c r="E111"/>
  <c r="F111"/>
  <c r="G111"/>
  <c r="J111"/>
  <c r="K111"/>
  <c r="E112"/>
  <c r="F112"/>
  <c r="G112"/>
  <c r="J112"/>
  <c r="K112"/>
  <c r="E113"/>
  <c r="F113"/>
  <c r="G113"/>
  <c r="J113"/>
  <c r="K113"/>
  <c r="E114"/>
  <c r="F114"/>
  <c r="G114"/>
  <c r="J114"/>
  <c r="K114"/>
  <c r="D115"/>
  <c r="E115"/>
  <c r="F115"/>
  <c r="G115"/>
  <c r="J115"/>
  <c r="K115"/>
  <c r="E116"/>
  <c r="F116"/>
  <c r="G116"/>
  <c r="J116"/>
  <c r="K116"/>
  <c r="E117"/>
  <c r="F117"/>
  <c r="G117"/>
  <c r="J117"/>
  <c r="K117"/>
  <c r="D118"/>
  <c r="E118"/>
  <c r="F118"/>
  <c r="G118"/>
  <c r="J118"/>
  <c r="K118"/>
  <c r="E119"/>
  <c r="F119"/>
  <c r="G119"/>
  <c r="J119"/>
  <c r="K119"/>
  <c r="E120"/>
  <c r="F120"/>
  <c r="G120"/>
  <c r="J120"/>
  <c r="K120"/>
  <c r="E121"/>
  <c r="F121"/>
  <c r="G121"/>
  <c r="J121"/>
  <c r="K121"/>
  <c r="C122"/>
  <c r="E122"/>
  <c r="F122"/>
  <c r="G122"/>
  <c r="J122"/>
  <c r="K122"/>
  <c r="C123"/>
  <c r="E123"/>
  <c r="F123"/>
  <c r="G123"/>
  <c r="J123"/>
  <c r="K123"/>
  <c r="C124"/>
  <c r="E124"/>
  <c r="F124"/>
  <c r="G124"/>
  <c r="J124"/>
  <c r="K124"/>
  <c r="C125"/>
  <c r="E125"/>
  <c r="F125"/>
  <c r="G125"/>
  <c r="J125"/>
  <c r="K125"/>
  <c r="C126"/>
  <c r="D126"/>
  <c r="E126"/>
  <c r="F126"/>
  <c r="G126"/>
  <c r="J126"/>
  <c r="K126"/>
  <c r="C127"/>
  <c r="E127"/>
  <c r="F127"/>
  <c r="G127"/>
  <c r="J127"/>
  <c r="K127"/>
  <c r="C128"/>
  <c r="E128"/>
  <c r="F128"/>
  <c r="G128"/>
  <c r="J128"/>
  <c r="K128"/>
  <c r="C129"/>
  <c r="E129"/>
  <c r="F129"/>
  <c r="G129"/>
  <c r="J129"/>
  <c r="K129"/>
  <c r="C130"/>
  <c r="E130"/>
  <c r="F130"/>
  <c r="G130"/>
  <c r="J130"/>
  <c r="K130"/>
  <c r="C131"/>
  <c r="D131"/>
  <c r="E131"/>
  <c r="F131"/>
  <c r="G131"/>
  <c r="J131"/>
  <c r="K131"/>
  <c r="C132"/>
  <c r="E132"/>
  <c r="F132"/>
  <c r="G132"/>
  <c r="J132"/>
  <c r="K132"/>
  <c r="C133"/>
  <c r="E133"/>
  <c r="F133"/>
  <c r="G133"/>
  <c r="J133"/>
  <c r="K133"/>
  <c r="C134"/>
  <c r="D134"/>
  <c r="E134"/>
  <c r="F134"/>
  <c r="G134"/>
  <c r="J134"/>
  <c r="K134"/>
  <c r="C135"/>
  <c r="E135"/>
  <c r="F135"/>
  <c r="G135"/>
  <c r="J135"/>
  <c r="K135"/>
  <c r="C136"/>
  <c r="E136"/>
  <c r="F136"/>
  <c r="G136"/>
  <c r="J136"/>
  <c r="K136"/>
  <c r="C137"/>
  <c r="E137"/>
  <c r="F137"/>
  <c r="G137"/>
  <c r="J137"/>
  <c r="K137"/>
  <c r="C138"/>
  <c r="E138"/>
  <c r="F138"/>
  <c r="G138"/>
  <c r="J138"/>
  <c r="K138"/>
  <c r="C139"/>
  <c r="E139"/>
  <c r="F139"/>
  <c r="G139"/>
  <c r="J139"/>
  <c r="K139"/>
  <c r="C140"/>
  <c r="E140"/>
  <c r="F140"/>
  <c r="G140"/>
  <c r="J140"/>
  <c r="K140"/>
  <c r="C141"/>
  <c r="E141"/>
  <c r="F141"/>
  <c r="G141"/>
  <c r="J141"/>
  <c r="K141"/>
  <c r="C142"/>
  <c r="D142"/>
  <c r="E142"/>
  <c r="F142"/>
  <c r="G142"/>
  <c r="J142"/>
  <c r="K142"/>
  <c r="C143"/>
  <c r="E143"/>
  <c r="F143"/>
  <c r="G143"/>
  <c r="J143"/>
  <c r="K143"/>
  <c r="C144"/>
  <c r="E144"/>
  <c r="F144"/>
  <c r="G144"/>
  <c r="J144"/>
  <c r="K144"/>
  <c r="C145"/>
  <c r="E145"/>
  <c r="F145"/>
  <c r="G145"/>
  <c r="J145"/>
  <c r="K145"/>
  <c r="C146"/>
  <c r="E146"/>
  <c r="F146"/>
  <c r="G146"/>
  <c r="J146"/>
  <c r="K146"/>
  <c r="C147"/>
  <c r="E147"/>
  <c r="F147"/>
  <c r="G147"/>
  <c r="J147"/>
  <c r="K147"/>
  <c r="C148"/>
  <c r="E148"/>
  <c r="F148"/>
  <c r="G148"/>
  <c r="J148"/>
  <c r="K148"/>
  <c r="C149"/>
  <c r="E149"/>
  <c r="F149"/>
  <c r="G149"/>
  <c r="J149"/>
  <c r="K149"/>
  <c r="C150"/>
  <c r="D150"/>
  <c r="E150"/>
  <c r="F150"/>
  <c r="G150"/>
  <c r="J150"/>
  <c r="K150"/>
  <c r="C151"/>
  <c r="E151"/>
  <c r="F151"/>
  <c r="G151"/>
  <c r="J151"/>
  <c r="K151"/>
  <c r="C152"/>
  <c r="E152"/>
  <c r="F152"/>
  <c r="G152"/>
  <c r="J152"/>
  <c r="K152"/>
  <c r="C153"/>
  <c r="E153"/>
  <c r="F153"/>
  <c r="G153"/>
  <c r="J153"/>
  <c r="K153"/>
  <c r="C154"/>
  <c r="E154"/>
  <c r="F154"/>
  <c r="G154"/>
  <c r="J154"/>
  <c r="K154"/>
  <c r="C155"/>
  <c r="E155"/>
  <c r="F155"/>
  <c r="G155"/>
  <c r="J155"/>
  <c r="K155"/>
  <c r="C156"/>
  <c r="E156"/>
  <c r="F156"/>
  <c r="G156"/>
  <c r="J156"/>
  <c r="K156"/>
  <c r="C157"/>
  <c r="E157"/>
  <c r="F157"/>
  <c r="G157"/>
  <c r="J157"/>
  <c r="K157"/>
  <c r="C158"/>
  <c r="D158"/>
  <c r="E158"/>
  <c r="F158"/>
  <c r="G158"/>
  <c r="J158"/>
  <c r="K158"/>
  <c r="C159"/>
  <c r="E159"/>
  <c r="F159"/>
  <c r="G159"/>
  <c r="J159"/>
  <c r="K159"/>
  <c r="C160"/>
  <c r="E160"/>
  <c r="F160"/>
  <c r="G160"/>
  <c r="J160"/>
  <c r="K160"/>
  <c r="C161"/>
  <c r="E161"/>
  <c r="F161"/>
  <c r="G161"/>
  <c r="J161"/>
  <c r="K161"/>
  <c r="C162"/>
  <c r="E162"/>
  <c r="F162"/>
  <c r="G162"/>
  <c r="J162"/>
  <c r="K162"/>
  <c r="C163"/>
  <c r="E163"/>
  <c r="F163"/>
  <c r="G163"/>
  <c r="J163"/>
  <c r="K163"/>
  <c r="C164"/>
  <c r="E164"/>
  <c r="F164"/>
  <c r="G164"/>
  <c r="J164"/>
  <c r="K164"/>
  <c r="C165"/>
  <c r="E165"/>
  <c r="F165"/>
  <c r="G165"/>
  <c r="J165"/>
  <c r="K165"/>
  <c r="C166"/>
  <c r="D166"/>
  <c r="E166"/>
  <c r="F166"/>
  <c r="G166"/>
  <c r="J166"/>
  <c r="K166"/>
  <c r="C167"/>
  <c r="E167"/>
  <c r="F167"/>
  <c r="G167"/>
  <c r="J167"/>
  <c r="K167"/>
  <c r="C168"/>
  <c r="E168"/>
  <c r="F168"/>
  <c r="G168"/>
  <c r="J168"/>
  <c r="K168"/>
  <c r="C169"/>
  <c r="E169"/>
  <c r="F169"/>
  <c r="G169"/>
  <c r="J169"/>
  <c r="K169"/>
  <c r="C170"/>
  <c r="E170"/>
  <c r="F170"/>
  <c r="G170"/>
  <c r="J170"/>
  <c r="K170"/>
  <c r="C171"/>
  <c r="D171"/>
  <c r="E171"/>
  <c r="F171"/>
  <c r="G171"/>
  <c r="J171"/>
  <c r="K171"/>
  <c r="C172"/>
  <c r="E172"/>
  <c r="F172"/>
  <c r="G172"/>
  <c r="J172"/>
  <c r="K172"/>
  <c r="C173"/>
  <c r="E173"/>
  <c r="F173"/>
  <c r="G173"/>
  <c r="J173"/>
  <c r="K173"/>
  <c r="C174"/>
  <c r="E174"/>
  <c r="F174"/>
  <c r="G174"/>
  <c r="J174"/>
  <c r="K174"/>
  <c r="C175"/>
  <c r="E175"/>
  <c r="F175"/>
  <c r="G175"/>
  <c r="J175"/>
  <c r="K175"/>
  <c r="C176"/>
  <c r="E176"/>
  <c r="F176"/>
  <c r="G176"/>
  <c r="J176"/>
  <c r="K176"/>
  <c r="C177"/>
  <c r="E177"/>
  <c r="F177"/>
  <c r="G177"/>
  <c r="J177"/>
  <c r="K177"/>
  <c r="C178"/>
  <c r="E178"/>
  <c r="F178"/>
  <c r="G178"/>
  <c r="J178"/>
  <c r="K178"/>
  <c r="C179"/>
  <c r="E179"/>
  <c r="F179"/>
  <c r="G179"/>
  <c r="J179"/>
  <c r="K179"/>
  <c r="C180"/>
  <c r="E180"/>
  <c r="F180"/>
  <c r="G180"/>
  <c r="J180"/>
  <c r="K180"/>
  <c r="C181"/>
  <c r="E181"/>
  <c r="F181"/>
  <c r="G181"/>
  <c r="J181"/>
  <c r="K181"/>
  <c r="C182"/>
  <c r="E182"/>
  <c r="F182"/>
  <c r="G182"/>
  <c r="J182"/>
  <c r="K182"/>
  <c r="C183"/>
  <c r="E183"/>
  <c r="F183"/>
  <c r="G183"/>
  <c r="J183"/>
  <c r="K183"/>
  <c r="C184"/>
  <c r="E184"/>
  <c r="F184"/>
  <c r="G184"/>
  <c r="J184"/>
  <c r="K184"/>
  <c r="C185"/>
  <c r="E185"/>
  <c r="F185"/>
  <c r="G185"/>
  <c r="J185"/>
  <c r="K185"/>
  <c r="C186"/>
  <c r="D186"/>
  <c r="E186"/>
  <c r="F186"/>
  <c r="G186"/>
  <c r="J186"/>
  <c r="K186"/>
  <c r="C187"/>
  <c r="E187"/>
  <c r="F187"/>
  <c r="G187"/>
  <c r="J187"/>
  <c r="K187"/>
  <c r="C188"/>
  <c r="E188"/>
  <c r="F188"/>
  <c r="G188"/>
  <c r="J188"/>
  <c r="K188"/>
  <c r="C189"/>
  <c r="E189"/>
  <c r="F189"/>
  <c r="G189"/>
  <c r="J189"/>
  <c r="K189"/>
  <c r="C190"/>
  <c r="E190"/>
  <c r="F190"/>
  <c r="G190"/>
  <c r="J190"/>
  <c r="K190"/>
  <c r="C191"/>
  <c r="E191"/>
  <c r="F191"/>
  <c r="G191"/>
  <c r="J191"/>
  <c r="K191"/>
  <c r="C192"/>
  <c r="E192"/>
  <c r="F192"/>
  <c r="G192"/>
  <c r="J192"/>
  <c r="K192"/>
  <c r="C193"/>
  <c r="E193"/>
  <c r="F193"/>
  <c r="G193"/>
  <c r="J193"/>
  <c r="K193"/>
  <c r="C194"/>
  <c r="E194"/>
  <c r="F194"/>
  <c r="G194"/>
  <c r="J194"/>
  <c r="K194"/>
  <c r="C195"/>
  <c r="E195"/>
  <c r="F195"/>
  <c r="G195"/>
  <c r="J195"/>
  <c r="K195"/>
  <c r="C196"/>
  <c r="E196"/>
  <c r="F196"/>
  <c r="G196"/>
  <c r="J196"/>
  <c r="K196"/>
  <c r="C197"/>
  <c r="E197"/>
  <c r="F197"/>
  <c r="G197"/>
  <c r="J197"/>
  <c r="K197"/>
  <c r="C198"/>
  <c r="E198"/>
  <c r="F198"/>
  <c r="G198"/>
  <c r="J198"/>
  <c r="K198"/>
  <c r="C199"/>
  <c r="D199"/>
  <c r="E199"/>
  <c r="F199"/>
  <c r="G199"/>
  <c r="J199"/>
  <c r="K199"/>
  <c r="C200"/>
  <c r="E200"/>
  <c r="F200"/>
  <c r="G200"/>
  <c r="J200"/>
  <c r="K200"/>
  <c r="C201"/>
  <c r="E201"/>
  <c r="F201"/>
  <c r="G201"/>
  <c r="J201"/>
  <c r="K201"/>
  <c r="C202"/>
  <c r="E202"/>
  <c r="F202"/>
  <c r="G202"/>
  <c r="J202"/>
  <c r="K202"/>
  <c r="C203"/>
  <c r="E203"/>
  <c r="F203"/>
  <c r="G203"/>
  <c r="J203"/>
  <c r="K203"/>
  <c r="C204"/>
  <c r="E204"/>
  <c r="F204"/>
  <c r="G204"/>
  <c r="J204"/>
  <c r="K204"/>
  <c r="C205"/>
  <c r="E205"/>
  <c r="F205"/>
  <c r="G205"/>
  <c r="J205"/>
  <c r="K205"/>
  <c r="C206"/>
  <c r="E206"/>
  <c r="F206"/>
  <c r="G206"/>
  <c r="J206"/>
  <c r="K206"/>
  <c r="C207"/>
  <c r="D207"/>
  <c r="E207"/>
  <c r="F207"/>
  <c r="G207"/>
  <c r="J207"/>
  <c r="K207"/>
  <c r="C208"/>
  <c r="E208"/>
  <c r="F208"/>
  <c r="G208"/>
  <c r="J208"/>
  <c r="K208"/>
  <c r="C209"/>
  <c r="E209"/>
  <c r="F209"/>
  <c r="G209"/>
  <c r="J209"/>
  <c r="K209"/>
  <c r="C210"/>
  <c r="E210"/>
  <c r="F210"/>
  <c r="G210"/>
  <c r="J210"/>
  <c r="K210"/>
  <c r="C211"/>
  <c r="E211"/>
  <c r="F211"/>
  <c r="G211"/>
  <c r="J211"/>
  <c r="K211"/>
  <c r="C212"/>
  <c r="E212"/>
  <c r="F212"/>
  <c r="G212"/>
  <c r="J212"/>
  <c r="K212"/>
  <c r="C213"/>
  <c r="E213"/>
  <c r="F213"/>
  <c r="G213"/>
  <c r="J213"/>
  <c r="K213"/>
  <c r="C214"/>
  <c r="E214"/>
  <c r="F214"/>
  <c r="G214"/>
  <c r="J214"/>
  <c r="K214"/>
  <c r="C215"/>
  <c r="D215"/>
  <c r="E215"/>
  <c r="F215"/>
  <c r="G215"/>
  <c r="J215"/>
  <c r="K215"/>
  <c r="C216"/>
  <c r="E216"/>
  <c r="F216"/>
  <c r="G216"/>
  <c r="J216"/>
  <c r="K216"/>
  <c r="C217"/>
  <c r="E217"/>
  <c r="F217"/>
  <c r="G217"/>
  <c r="J217"/>
  <c r="K217"/>
  <c r="C218"/>
  <c r="E218"/>
  <c r="F218"/>
  <c r="G218"/>
  <c r="J218"/>
  <c r="K218"/>
  <c r="C219"/>
  <c r="E219"/>
  <c r="F219"/>
  <c r="G219"/>
  <c r="J219"/>
  <c r="K219"/>
  <c r="C220"/>
  <c r="E220"/>
  <c r="F220"/>
  <c r="G220"/>
  <c r="J220"/>
  <c r="K220"/>
  <c r="C221"/>
  <c r="E221"/>
  <c r="F221"/>
  <c r="G221"/>
  <c r="J221"/>
  <c r="K221"/>
  <c r="C222"/>
  <c r="E222"/>
  <c r="F222"/>
  <c r="G222"/>
  <c r="J222"/>
  <c r="K222"/>
  <c r="C223"/>
  <c r="E223"/>
  <c r="F223"/>
  <c r="G223"/>
  <c r="J223"/>
  <c r="K223"/>
  <c r="C224"/>
  <c r="E224"/>
  <c r="F224"/>
  <c r="G224"/>
  <c r="J224"/>
  <c r="K224"/>
  <c r="C225"/>
  <c r="E225"/>
  <c r="F225"/>
  <c r="G225"/>
  <c r="J225"/>
  <c r="K225"/>
  <c r="C226"/>
  <c r="E226"/>
  <c r="F226"/>
  <c r="G226"/>
  <c r="J226"/>
  <c r="K226"/>
  <c r="C227"/>
  <c r="E227"/>
  <c r="F227"/>
  <c r="G227"/>
  <c r="J227"/>
  <c r="K227"/>
  <c r="C228"/>
  <c r="E228"/>
  <c r="F228"/>
  <c r="G228"/>
  <c r="J228"/>
  <c r="K228"/>
  <c r="C229"/>
  <c r="E229"/>
  <c r="F229"/>
  <c r="G229"/>
  <c r="J229"/>
  <c r="K229"/>
  <c r="C230"/>
  <c r="D230"/>
  <c r="E230"/>
  <c r="F230"/>
  <c r="G230"/>
  <c r="J230"/>
  <c r="K230"/>
  <c r="C231"/>
  <c r="E231"/>
  <c r="F231"/>
  <c r="G231"/>
  <c r="J231"/>
  <c r="K231"/>
  <c r="C232"/>
  <c r="E232"/>
  <c r="F232"/>
  <c r="G232"/>
  <c r="J232"/>
  <c r="K232"/>
  <c r="C233"/>
  <c r="E233"/>
  <c r="F233"/>
  <c r="G233"/>
  <c r="J233"/>
  <c r="K233"/>
  <c r="C234"/>
  <c r="E234"/>
  <c r="F234"/>
  <c r="G234"/>
  <c r="J234"/>
  <c r="K234"/>
  <c r="C235"/>
  <c r="D235"/>
  <c r="E235"/>
  <c r="F235"/>
  <c r="G235"/>
  <c r="J235"/>
  <c r="K235"/>
  <c r="C236"/>
  <c r="E236"/>
  <c r="F236"/>
  <c r="G236"/>
  <c r="J236"/>
  <c r="K236"/>
  <c r="C237"/>
  <c r="E237"/>
  <c r="F237"/>
  <c r="G237"/>
  <c r="J237"/>
  <c r="K237"/>
  <c r="C238"/>
  <c r="E238"/>
  <c r="F238"/>
  <c r="G238"/>
  <c r="J238"/>
  <c r="K238"/>
  <c r="C239"/>
  <c r="E239"/>
  <c r="F239"/>
  <c r="G239"/>
  <c r="J239"/>
  <c r="K239"/>
  <c r="C240"/>
  <c r="E240"/>
  <c r="F240"/>
  <c r="G240"/>
  <c r="J240"/>
  <c r="K240"/>
  <c r="C241"/>
  <c r="E241"/>
  <c r="F241"/>
  <c r="G241"/>
  <c r="J241"/>
  <c r="K241"/>
  <c r="C242"/>
  <c r="D242"/>
  <c r="E242"/>
  <c r="F242"/>
  <c r="G242"/>
  <c r="J242"/>
  <c r="K242"/>
  <c r="C243"/>
  <c r="E243"/>
  <c r="F243"/>
  <c r="G243"/>
  <c r="J243"/>
  <c r="K243"/>
  <c r="C244"/>
  <c r="E244"/>
  <c r="F244"/>
  <c r="G244"/>
  <c r="J244"/>
  <c r="K244"/>
  <c r="C245"/>
  <c r="E245"/>
  <c r="F245"/>
  <c r="G245"/>
  <c r="J245"/>
  <c r="K245"/>
  <c r="C246"/>
  <c r="E246"/>
  <c r="F246"/>
  <c r="G246"/>
  <c r="J246"/>
  <c r="K246"/>
  <c r="C247"/>
  <c r="E247"/>
  <c r="F247"/>
  <c r="G247"/>
  <c r="J247"/>
  <c r="K247"/>
  <c r="C248"/>
  <c r="E248"/>
  <c r="F248"/>
  <c r="G248"/>
  <c r="J248"/>
  <c r="K248"/>
  <c r="C249"/>
  <c r="E249"/>
  <c r="F249"/>
  <c r="G249"/>
  <c r="J249"/>
  <c r="K249"/>
  <c r="C250"/>
  <c r="D250"/>
  <c r="E250"/>
  <c r="F250"/>
  <c r="G250"/>
  <c r="J250"/>
  <c r="K250"/>
  <c r="C251"/>
  <c r="E251"/>
  <c r="F251"/>
  <c r="G251"/>
  <c r="J251"/>
  <c r="K251"/>
  <c r="C252"/>
  <c r="E252"/>
  <c r="F252"/>
  <c r="G252"/>
  <c r="J252"/>
  <c r="K252"/>
  <c r="C253"/>
  <c r="E253"/>
  <c r="F253"/>
  <c r="G253"/>
  <c r="J253"/>
  <c r="K253"/>
  <c r="C254"/>
  <c r="E254"/>
  <c r="F254"/>
  <c r="G254"/>
  <c r="J254"/>
  <c r="K254"/>
  <c r="C255"/>
  <c r="E255"/>
  <c r="F255"/>
  <c r="G255"/>
  <c r="J255"/>
  <c r="K255"/>
  <c r="C256"/>
  <c r="E256"/>
  <c r="F256"/>
  <c r="G256"/>
  <c r="J256"/>
  <c r="K256"/>
  <c r="C257"/>
  <c r="E257"/>
  <c r="F257"/>
  <c r="G257"/>
  <c r="J257"/>
  <c r="K257"/>
  <c r="C258"/>
  <c r="D258"/>
  <c r="E258"/>
  <c r="F258"/>
  <c r="G258"/>
  <c r="J258"/>
  <c r="K258"/>
  <c r="C259"/>
  <c r="E259"/>
  <c r="F259"/>
  <c r="G259"/>
  <c r="J259"/>
  <c r="K259"/>
  <c r="C260"/>
  <c r="E260"/>
  <c r="F260"/>
  <c r="G260"/>
  <c r="J260"/>
  <c r="K260"/>
  <c r="C261"/>
  <c r="E261"/>
  <c r="F261"/>
  <c r="G261"/>
  <c r="J261"/>
  <c r="K261"/>
  <c r="C262"/>
  <c r="E262"/>
  <c r="F262"/>
  <c r="G262"/>
  <c r="J262"/>
  <c r="K262"/>
  <c r="C263"/>
  <c r="E263"/>
  <c r="F263"/>
  <c r="G263"/>
  <c r="J263"/>
  <c r="K263"/>
  <c r="C264"/>
  <c r="E264"/>
  <c r="F264"/>
  <c r="G264"/>
  <c r="J264"/>
  <c r="K264"/>
  <c r="C265"/>
  <c r="E265"/>
  <c r="F265"/>
  <c r="G265"/>
  <c r="J265"/>
  <c r="K265"/>
  <c r="C266"/>
  <c r="E266"/>
  <c r="F266"/>
  <c r="G266"/>
  <c r="J266"/>
  <c r="K266"/>
  <c r="C267"/>
  <c r="D267"/>
  <c r="E267"/>
  <c r="F267"/>
  <c r="G267"/>
  <c r="J267"/>
  <c r="K267"/>
  <c r="C268"/>
  <c r="E268"/>
  <c r="F268"/>
  <c r="G268"/>
  <c r="J268"/>
  <c r="K268"/>
  <c r="C269"/>
  <c r="E269"/>
  <c r="F269"/>
  <c r="G269"/>
  <c r="J269"/>
  <c r="K269"/>
  <c r="C270"/>
  <c r="E270"/>
  <c r="F270"/>
  <c r="G270"/>
  <c r="J270"/>
  <c r="K270"/>
  <c r="C271"/>
  <c r="E271"/>
  <c r="F271"/>
  <c r="G271"/>
  <c r="J271"/>
  <c r="K271"/>
  <c r="C272"/>
  <c r="E272"/>
  <c r="F272"/>
  <c r="G272"/>
  <c r="J272"/>
  <c r="K272"/>
  <c r="C273"/>
  <c r="E273"/>
  <c r="F273"/>
  <c r="G273"/>
  <c r="J273"/>
  <c r="K273"/>
  <c r="C274"/>
  <c r="E274"/>
  <c r="F274"/>
  <c r="G274"/>
  <c r="J274"/>
  <c r="K274"/>
  <c r="C275"/>
  <c r="D275"/>
  <c r="E275"/>
  <c r="F275"/>
  <c r="G275"/>
  <c r="J275"/>
  <c r="K275"/>
  <c r="C276"/>
  <c r="E276"/>
  <c r="F276"/>
  <c r="G276"/>
  <c r="J276"/>
  <c r="K276"/>
  <c r="C277"/>
  <c r="E277"/>
  <c r="F277"/>
  <c r="G277"/>
  <c r="J277"/>
  <c r="K277"/>
  <c r="C278"/>
  <c r="E278"/>
  <c r="F278"/>
  <c r="G278"/>
  <c r="J278"/>
  <c r="K278"/>
  <c r="C279"/>
  <c r="E279"/>
  <c r="F279"/>
  <c r="G279"/>
  <c r="J279"/>
  <c r="K279"/>
  <c r="C280"/>
  <c r="E280"/>
  <c r="F280"/>
  <c r="G280"/>
  <c r="J280"/>
  <c r="K280"/>
  <c r="C281"/>
  <c r="E281"/>
  <c r="F281"/>
  <c r="G281"/>
  <c r="J281"/>
  <c r="K281"/>
  <c r="C282"/>
  <c r="E282"/>
  <c r="F282"/>
  <c r="G282"/>
  <c r="J282"/>
  <c r="K282"/>
  <c r="C283"/>
  <c r="D283"/>
  <c r="E283"/>
  <c r="F283"/>
  <c r="G283"/>
  <c r="J283"/>
  <c r="K283"/>
  <c r="C284"/>
  <c r="E284"/>
  <c r="F284"/>
  <c r="G284"/>
  <c r="J284"/>
  <c r="K284"/>
  <c r="C285"/>
  <c r="E285"/>
  <c r="F285"/>
  <c r="G285"/>
  <c r="J285"/>
  <c r="K285"/>
  <c r="C286"/>
  <c r="E286"/>
  <c r="F286"/>
  <c r="G286"/>
  <c r="J286"/>
  <c r="K286"/>
  <c r="C287"/>
  <c r="E287"/>
  <c r="F287"/>
  <c r="G287"/>
  <c r="J287"/>
  <c r="K287"/>
  <c r="C288"/>
  <c r="E288"/>
  <c r="F288"/>
  <c r="G288"/>
  <c r="J288"/>
  <c r="K288"/>
  <c r="C289"/>
  <c r="E289"/>
  <c r="F289"/>
  <c r="G289"/>
  <c r="J289"/>
  <c r="K289"/>
  <c r="C290"/>
  <c r="E290"/>
  <c r="F290"/>
  <c r="G290"/>
  <c r="J290"/>
  <c r="K290"/>
  <c r="C291"/>
  <c r="D291"/>
  <c r="E291"/>
  <c r="F291"/>
  <c r="G291"/>
  <c r="J291"/>
  <c r="K291"/>
  <c r="C292"/>
  <c r="E292"/>
  <c r="F292"/>
  <c r="G292"/>
  <c r="J292"/>
  <c r="K292"/>
  <c r="C293"/>
  <c r="E293"/>
  <c r="F293"/>
  <c r="G293"/>
  <c r="J293"/>
  <c r="K293"/>
  <c r="C294"/>
  <c r="E294"/>
  <c r="F294"/>
  <c r="G294"/>
  <c r="J294"/>
  <c r="K294"/>
  <c r="C295"/>
  <c r="E295"/>
  <c r="F295"/>
  <c r="G295"/>
  <c r="J295"/>
  <c r="K295"/>
  <c r="C296"/>
  <c r="E296"/>
  <c r="F296"/>
  <c r="G296"/>
  <c r="J296"/>
  <c r="K296"/>
  <c r="C297"/>
  <c r="E297"/>
  <c r="F297"/>
  <c r="G297"/>
  <c r="J297"/>
  <c r="K297"/>
  <c r="C298"/>
  <c r="E298"/>
  <c r="F298"/>
  <c r="G298"/>
  <c r="J298"/>
  <c r="K298"/>
  <c r="C299"/>
  <c r="E299"/>
  <c r="F299"/>
  <c r="G299"/>
  <c r="J299"/>
  <c r="K299"/>
  <c r="C300"/>
  <c r="E300"/>
  <c r="F300"/>
  <c r="G300"/>
  <c r="J300"/>
  <c r="K300"/>
  <c r="C301"/>
  <c r="E301"/>
  <c r="F301"/>
  <c r="G301"/>
  <c r="J301"/>
  <c r="K301"/>
  <c r="C302"/>
  <c r="E302"/>
  <c r="F302"/>
  <c r="G302"/>
  <c r="J302"/>
  <c r="K302"/>
  <c r="C3" i="5"/>
  <c r="C4"/>
  <c r="E4"/>
  <c r="F4"/>
  <c r="G4"/>
  <c r="J4"/>
  <c r="K4"/>
  <c r="L4"/>
  <c r="E5"/>
  <c r="F5"/>
  <c r="G5"/>
  <c r="J5"/>
  <c r="K5"/>
  <c r="L5"/>
  <c r="E6"/>
  <c r="F6"/>
  <c r="G6"/>
  <c r="J6"/>
  <c r="K6"/>
  <c r="L6"/>
  <c r="E7"/>
  <c r="F7"/>
  <c r="G7"/>
  <c r="J7"/>
  <c r="K7"/>
  <c r="L7"/>
  <c r="E8"/>
  <c r="F8"/>
  <c r="G8"/>
  <c r="J8"/>
  <c r="K8"/>
  <c r="L8"/>
  <c r="E9"/>
  <c r="F9"/>
  <c r="G9"/>
  <c r="J9"/>
  <c r="K9"/>
  <c r="L9"/>
  <c r="E10"/>
  <c r="F10"/>
  <c r="G10"/>
  <c r="J10"/>
  <c r="K10"/>
  <c r="L10"/>
  <c r="E11"/>
  <c r="F11"/>
  <c r="G11"/>
  <c r="J11"/>
  <c r="K11"/>
  <c r="L11"/>
  <c r="E12"/>
  <c r="F12"/>
  <c r="G12"/>
  <c r="J12"/>
  <c r="K12"/>
  <c r="L12"/>
  <c r="E13"/>
  <c r="F13"/>
  <c r="G13"/>
  <c r="J13"/>
  <c r="K13"/>
  <c r="L13"/>
  <c r="E14"/>
  <c r="F14"/>
  <c r="G14"/>
  <c r="J14"/>
  <c r="K14"/>
  <c r="L14"/>
  <c r="E15"/>
  <c r="F15"/>
  <c r="G15"/>
  <c r="J15"/>
  <c r="K15"/>
  <c r="L15"/>
  <c r="E16"/>
  <c r="F16"/>
  <c r="G16"/>
  <c r="J16"/>
  <c r="K16"/>
  <c r="L16"/>
  <c r="E17"/>
  <c r="F17"/>
  <c r="G17"/>
  <c r="J17"/>
  <c r="K17"/>
  <c r="L17"/>
  <c r="E18"/>
  <c r="F18"/>
  <c r="G18"/>
  <c r="J18"/>
  <c r="K18"/>
  <c r="L18"/>
  <c r="E19"/>
  <c r="F19"/>
  <c r="G19"/>
  <c r="J19"/>
  <c r="K19"/>
  <c r="L19"/>
  <c r="E20"/>
  <c r="F20"/>
  <c r="G20"/>
  <c r="J20"/>
  <c r="K20"/>
  <c r="L20"/>
  <c r="E21"/>
  <c r="F21"/>
  <c r="G21"/>
  <c r="J21"/>
  <c r="K21"/>
  <c r="L21"/>
  <c r="E22"/>
  <c r="F22"/>
  <c r="G22"/>
  <c r="J22"/>
  <c r="K22"/>
  <c r="L22"/>
  <c r="E23"/>
  <c r="F23"/>
  <c r="G23"/>
  <c r="J23"/>
  <c r="K23"/>
  <c r="L23"/>
  <c r="E24"/>
  <c r="F24"/>
  <c r="G24"/>
  <c r="J24"/>
  <c r="K24"/>
  <c r="L24"/>
  <c r="E25"/>
  <c r="F25"/>
  <c r="G25"/>
  <c r="J25"/>
  <c r="K25"/>
  <c r="L25"/>
  <c r="E26"/>
  <c r="F26"/>
  <c r="G26"/>
  <c r="J26"/>
  <c r="K26"/>
  <c r="L26"/>
  <c r="E27"/>
  <c r="F27"/>
  <c r="G27"/>
  <c r="J27"/>
  <c r="K27"/>
  <c r="L27"/>
  <c r="E28"/>
  <c r="F28"/>
  <c r="G28"/>
  <c r="J28"/>
  <c r="K28"/>
  <c r="L28"/>
  <c r="E29"/>
  <c r="F29"/>
  <c r="G29"/>
  <c r="J29"/>
  <c r="K29"/>
  <c r="L29"/>
  <c r="E30"/>
  <c r="F30"/>
  <c r="G30"/>
  <c r="J30"/>
  <c r="K30"/>
  <c r="L30"/>
  <c r="E31"/>
  <c r="F31"/>
  <c r="G31"/>
  <c r="J31"/>
  <c r="K31"/>
  <c r="L31"/>
  <c r="E32"/>
  <c r="F32"/>
  <c r="G32"/>
  <c r="J32"/>
  <c r="K32"/>
  <c r="L32"/>
  <c r="E33"/>
  <c r="F33"/>
  <c r="G33"/>
  <c r="J33"/>
  <c r="K33"/>
  <c r="L33"/>
  <c r="E34"/>
  <c r="F34"/>
  <c r="G34"/>
  <c r="J34"/>
  <c r="K34"/>
  <c r="L34"/>
  <c r="E35"/>
  <c r="F35"/>
  <c r="G35"/>
  <c r="J35"/>
  <c r="K35"/>
  <c r="L35"/>
  <c r="E36"/>
  <c r="F36"/>
  <c r="G36"/>
  <c r="J36"/>
  <c r="K36"/>
  <c r="L36"/>
  <c r="E37"/>
  <c r="F37"/>
  <c r="G37"/>
  <c r="J37"/>
  <c r="K37"/>
  <c r="L37"/>
  <c r="E38"/>
  <c r="F38"/>
  <c r="G38"/>
  <c r="J38"/>
  <c r="K38"/>
  <c r="L38"/>
  <c r="E39"/>
  <c r="F39"/>
  <c r="G39"/>
  <c r="J39"/>
  <c r="K39"/>
  <c r="L39"/>
  <c r="E40"/>
  <c r="F40"/>
  <c r="G40"/>
  <c r="J40"/>
  <c r="K40"/>
  <c r="L40"/>
  <c r="E41"/>
  <c r="F41"/>
  <c r="G41"/>
  <c r="J41"/>
  <c r="K41"/>
  <c r="L41"/>
  <c r="E42"/>
  <c r="F42"/>
  <c r="G42"/>
  <c r="J42"/>
  <c r="K42"/>
  <c r="L42"/>
  <c r="E43"/>
  <c r="F43"/>
  <c r="G43"/>
  <c r="J43"/>
  <c r="K43"/>
  <c r="L43"/>
  <c r="E44"/>
  <c r="F44"/>
  <c r="G44"/>
  <c r="J44"/>
  <c r="K44"/>
  <c r="L44"/>
  <c r="E45"/>
  <c r="F45"/>
  <c r="G45"/>
  <c r="J45"/>
  <c r="K45"/>
  <c r="L45"/>
  <c r="E46"/>
  <c r="F46"/>
  <c r="G46"/>
  <c r="J46"/>
  <c r="K46"/>
  <c r="L46"/>
  <c r="E47"/>
  <c r="F47"/>
  <c r="G47"/>
  <c r="J47"/>
  <c r="K47"/>
  <c r="L47"/>
  <c r="E48"/>
  <c r="F48"/>
  <c r="G48"/>
  <c r="J48"/>
  <c r="K48"/>
  <c r="L48"/>
  <c r="E49"/>
  <c r="F49"/>
  <c r="G49"/>
  <c r="J49"/>
  <c r="K49"/>
  <c r="L49"/>
  <c r="E50"/>
  <c r="F50"/>
  <c r="G50"/>
  <c r="J50"/>
  <c r="K50"/>
  <c r="L50"/>
  <c r="E51"/>
  <c r="F51"/>
  <c r="G51"/>
  <c r="J51"/>
  <c r="K51"/>
  <c r="L51"/>
  <c r="E52"/>
  <c r="F52"/>
  <c r="G52"/>
  <c r="J52"/>
  <c r="K52"/>
  <c r="L52"/>
  <c r="E53"/>
  <c r="F53"/>
  <c r="G53"/>
  <c r="J53"/>
  <c r="K53"/>
  <c r="L53"/>
  <c r="E54"/>
  <c r="F54"/>
  <c r="G54"/>
  <c r="J54"/>
  <c r="K54"/>
  <c r="L54"/>
  <c r="E55"/>
  <c r="F55"/>
  <c r="G55"/>
  <c r="J55"/>
  <c r="K55"/>
  <c r="L55"/>
  <c r="E56"/>
  <c r="F56"/>
  <c r="G56"/>
  <c r="J56"/>
  <c r="K56"/>
  <c r="L56"/>
  <c r="E57"/>
  <c r="F57"/>
  <c r="G57"/>
  <c r="J57"/>
  <c r="K57"/>
  <c r="L57"/>
  <c r="E58"/>
  <c r="F58"/>
  <c r="G58"/>
  <c r="J58"/>
  <c r="K58"/>
  <c r="L58"/>
  <c r="E59"/>
  <c r="F59"/>
  <c r="G59"/>
  <c r="J59"/>
  <c r="K59"/>
  <c r="L59"/>
  <c r="E60"/>
  <c r="F60"/>
  <c r="G60"/>
  <c r="J60"/>
  <c r="K60"/>
  <c r="L60"/>
  <c r="E61"/>
  <c r="F61"/>
  <c r="G61"/>
  <c r="J61"/>
  <c r="K61"/>
  <c r="L61"/>
  <c r="E62"/>
  <c r="F62"/>
  <c r="G62"/>
  <c r="J62"/>
  <c r="K62"/>
  <c r="L62"/>
  <c r="E63"/>
  <c r="F63"/>
  <c r="G63"/>
  <c r="J63"/>
  <c r="K63"/>
  <c r="L63"/>
  <c r="E64"/>
  <c r="F64"/>
  <c r="G64"/>
  <c r="J64"/>
  <c r="K64"/>
  <c r="L64"/>
  <c r="E65"/>
  <c r="F65"/>
  <c r="G65"/>
  <c r="J65"/>
  <c r="K65"/>
  <c r="L65"/>
  <c r="E66"/>
  <c r="F66"/>
  <c r="G66"/>
  <c r="J66"/>
  <c r="K66"/>
  <c r="L66"/>
  <c r="E67"/>
  <c r="F67"/>
  <c r="G67"/>
  <c r="J67"/>
  <c r="K67"/>
  <c r="L67"/>
  <c r="E68"/>
  <c r="F68"/>
  <c r="G68"/>
  <c r="J68"/>
  <c r="K68"/>
  <c r="L68"/>
  <c r="E69"/>
  <c r="F69"/>
  <c r="G69"/>
  <c r="J69"/>
  <c r="K69"/>
  <c r="L69"/>
  <c r="E70"/>
  <c r="F70"/>
  <c r="G70"/>
  <c r="J70"/>
  <c r="K70"/>
  <c r="L70"/>
  <c r="E71"/>
  <c r="F71"/>
  <c r="G71"/>
  <c r="J71"/>
  <c r="K71"/>
  <c r="L71"/>
  <c r="E72"/>
  <c r="F72"/>
  <c r="G72"/>
  <c r="J72"/>
  <c r="K72"/>
  <c r="L72"/>
  <c r="E73"/>
  <c r="F73"/>
  <c r="G73"/>
  <c r="J73"/>
  <c r="K73"/>
  <c r="L73"/>
  <c r="E74"/>
  <c r="F74"/>
  <c r="G74"/>
  <c r="J74"/>
  <c r="K74"/>
  <c r="L74"/>
  <c r="E75"/>
  <c r="F75"/>
  <c r="G75"/>
  <c r="J75"/>
  <c r="K75"/>
  <c r="L75"/>
  <c r="E76"/>
  <c r="F76"/>
  <c r="G76"/>
  <c r="J76"/>
  <c r="K76"/>
  <c r="L76"/>
  <c r="E77"/>
  <c r="F77"/>
  <c r="G77"/>
  <c r="J77"/>
  <c r="K77"/>
  <c r="L77"/>
  <c r="E78"/>
  <c r="F78"/>
  <c r="G78"/>
  <c r="J78"/>
  <c r="K78"/>
  <c r="L78"/>
  <c r="E79"/>
  <c r="F79"/>
  <c r="G79"/>
  <c r="J79"/>
  <c r="K79"/>
  <c r="L79"/>
  <c r="E80"/>
  <c r="F80"/>
  <c r="G80"/>
  <c r="J80"/>
  <c r="K80"/>
  <c r="L80"/>
  <c r="E81"/>
  <c r="F81"/>
  <c r="G81"/>
  <c r="J81"/>
  <c r="K81"/>
  <c r="L81"/>
  <c r="E82"/>
  <c r="F82"/>
  <c r="G82"/>
  <c r="J82"/>
  <c r="K82"/>
  <c r="L82"/>
  <c r="D83"/>
  <c r="E83"/>
  <c r="F83"/>
  <c r="G83"/>
  <c r="J83"/>
  <c r="K83"/>
  <c r="L83"/>
  <c r="E84"/>
  <c r="F84"/>
  <c r="G84"/>
  <c r="J84"/>
  <c r="K84"/>
  <c r="L84"/>
  <c r="E85"/>
  <c r="F85"/>
  <c r="G85"/>
  <c r="J85"/>
  <c r="K85"/>
  <c r="L85"/>
  <c r="E86"/>
  <c r="F86"/>
  <c r="G86"/>
  <c r="J86"/>
  <c r="K86"/>
  <c r="L86"/>
  <c r="D87"/>
  <c r="E87"/>
  <c r="F87"/>
  <c r="G87"/>
  <c r="J87"/>
  <c r="K87"/>
  <c r="L87"/>
  <c r="E88"/>
  <c r="F88"/>
  <c r="G88"/>
  <c r="J88"/>
  <c r="K88"/>
  <c r="L88"/>
  <c r="E89"/>
  <c r="F89"/>
  <c r="G89"/>
  <c r="J89"/>
  <c r="K89"/>
  <c r="L89"/>
  <c r="E90"/>
  <c r="F90"/>
  <c r="G90"/>
  <c r="J90"/>
  <c r="K90"/>
  <c r="L90"/>
  <c r="D91"/>
  <c r="E91"/>
  <c r="F91"/>
  <c r="G91"/>
  <c r="J91"/>
  <c r="K91"/>
  <c r="L91"/>
  <c r="E92"/>
  <c r="F92"/>
  <c r="G92"/>
  <c r="J92"/>
  <c r="K92"/>
  <c r="L92"/>
  <c r="E93"/>
  <c r="F93"/>
  <c r="G93"/>
  <c r="J93"/>
  <c r="K93"/>
  <c r="L93"/>
  <c r="E94"/>
  <c r="F94"/>
  <c r="G94"/>
  <c r="J94"/>
  <c r="K94"/>
  <c r="L94"/>
  <c r="D95"/>
  <c r="E95"/>
  <c r="F95"/>
  <c r="G95"/>
  <c r="J95"/>
  <c r="K95"/>
  <c r="L95"/>
  <c r="E96"/>
  <c r="F96"/>
  <c r="G96"/>
  <c r="J96"/>
  <c r="K96"/>
  <c r="L96"/>
  <c r="E97"/>
  <c r="F97"/>
  <c r="G97"/>
  <c r="J97"/>
  <c r="K97"/>
  <c r="L97"/>
  <c r="E98"/>
  <c r="F98"/>
  <c r="G98"/>
  <c r="J98"/>
  <c r="K98"/>
  <c r="L98"/>
  <c r="D99"/>
  <c r="E99"/>
  <c r="F99"/>
  <c r="G99"/>
  <c r="J99"/>
  <c r="K99"/>
  <c r="L99"/>
  <c r="E100"/>
  <c r="F100"/>
  <c r="G100"/>
  <c r="J100"/>
  <c r="K100"/>
  <c r="L100"/>
  <c r="E101"/>
  <c r="F101"/>
  <c r="G101"/>
  <c r="J101"/>
  <c r="K101"/>
  <c r="L101"/>
  <c r="E102"/>
  <c r="F102"/>
  <c r="G102"/>
  <c r="J102"/>
  <c r="K102"/>
  <c r="L102"/>
  <c r="E103"/>
  <c r="F103"/>
  <c r="G103"/>
  <c r="J103"/>
  <c r="K103"/>
  <c r="L103"/>
  <c r="E104"/>
  <c r="F104"/>
  <c r="G104"/>
  <c r="J104"/>
  <c r="K104"/>
  <c r="L104"/>
  <c r="E105"/>
  <c r="F105"/>
  <c r="G105"/>
  <c r="J105"/>
  <c r="K105"/>
  <c r="L105"/>
  <c r="D106"/>
  <c r="E106"/>
  <c r="F106"/>
  <c r="G106"/>
  <c r="J106"/>
  <c r="K106"/>
  <c r="L106"/>
  <c r="E107"/>
  <c r="F107"/>
  <c r="G107"/>
  <c r="J107"/>
  <c r="K107"/>
  <c r="L107"/>
  <c r="E108"/>
  <c r="F108"/>
  <c r="G108"/>
  <c r="J108"/>
  <c r="K108"/>
  <c r="L108"/>
  <c r="E109"/>
  <c r="F109"/>
  <c r="G109"/>
  <c r="J109"/>
  <c r="K109"/>
  <c r="L109"/>
  <c r="D110"/>
  <c r="E110"/>
  <c r="F110"/>
  <c r="G110"/>
  <c r="J110"/>
  <c r="K110"/>
  <c r="L110"/>
  <c r="E111"/>
  <c r="F111"/>
  <c r="G111"/>
  <c r="J111"/>
  <c r="K111"/>
  <c r="L111"/>
  <c r="E112"/>
  <c r="F112"/>
  <c r="G112"/>
  <c r="J112"/>
  <c r="K112"/>
  <c r="L112"/>
  <c r="E113"/>
  <c r="F113"/>
  <c r="G113"/>
  <c r="J113"/>
  <c r="K113"/>
  <c r="L113"/>
  <c r="D114"/>
  <c r="E114"/>
  <c r="F114"/>
  <c r="G114"/>
  <c r="J114"/>
  <c r="K114"/>
  <c r="L114"/>
  <c r="E115"/>
  <c r="F115"/>
  <c r="G115"/>
  <c r="J115"/>
  <c r="K115"/>
  <c r="L115"/>
  <c r="E116"/>
  <c r="F116"/>
  <c r="G116"/>
  <c r="J116"/>
  <c r="K116"/>
  <c r="L116"/>
  <c r="E117"/>
  <c r="F117"/>
  <c r="G117"/>
  <c r="J117"/>
  <c r="K117"/>
  <c r="L117"/>
  <c r="D118"/>
  <c r="E118"/>
  <c r="F118"/>
  <c r="G118"/>
  <c r="J118"/>
  <c r="K118"/>
  <c r="L118"/>
  <c r="E119"/>
  <c r="F119"/>
  <c r="G119"/>
  <c r="J119"/>
  <c r="K119"/>
  <c r="L119"/>
  <c r="E120"/>
  <c r="F120"/>
  <c r="G120"/>
  <c r="J120"/>
  <c r="K120"/>
  <c r="L120"/>
  <c r="E121"/>
  <c r="F121"/>
  <c r="G121"/>
  <c r="J121"/>
  <c r="K121"/>
  <c r="L121"/>
  <c r="C122"/>
  <c r="E122"/>
  <c r="F122"/>
  <c r="G122"/>
  <c r="J122"/>
  <c r="K122"/>
  <c r="L122"/>
  <c r="C123"/>
  <c r="D123"/>
  <c r="E123"/>
  <c r="F123"/>
  <c r="G123"/>
  <c r="J123"/>
  <c r="K123"/>
  <c r="L123"/>
  <c r="C124"/>
  <c r="E124"/>
  <c r="F124"/>
  <c r="G124"/>
  <c r="J124"/>
  <c r="K124"/>
  <c r="L124"/>
  <c r="C125"/>
  <c r="E125"/>
  <c r="F125"/>
  <c r="G125"/>
  <c r="J125"/>
  <c r="K125"/>
  <c r="L125"/>
  <c r="C126"/>
  <c r="D126"/>
  <c r="E126"/>
  <c r="F126"/>
  <c r="G126"/>
  <c r="J126"/>
  <c r="K126"/>
  <c r="L126"/>
  <c r="C127"/>
  <c r="D127"/>
  <c r="E127"/>
  <c r="F127"/>
  <c r="G127"/>
  <c r="J127"/>
  <c r="K127"/>
  <c r="L127"/>
  <c r="C128"/>
  <c r="E128"/>
  <c r="F128"/>
  <c r="G128"/>
  <c r="J128"/>
  <c r="K128"/>
  <c r="L128"/>
  <c r="C129"/>
  <c r="E129"/>
  <c r="F129"/>
  <c r="G129"/>
  <c r="J129"/>
  <c r="K129"/>
  <c r="L129"/>
  <c r="C130"/>
  <c r="E130"/>
  <c r="F130"/>
  <c r="G130"/>
  <c r="J130"/>
  <c r="K130"/>
  <c r="L130"/>
  <c r="C131"/>
  <c r="E131"/>
  <c r="F131"/>
  <c r="G131"/>
  <c r="J131"/>
  <c r="K131"/>
  <c r="L131"/>
  <c r="C132"/>
  <c r="E132"/>
  <c r="F132"/>
  <c r="G132"/>
  <c r="J132"/>
  <c r="K132"/>
  <c r="L132"/>
  <c r="C133"/>
  <c r="E133"/>
  <c r="F133"/>
  <c r="G133"/>
  <c r="J133"/>
  <c r="K133"/>
  <c r="L133"/>
  <c r="C134"/>
  <c r="E134"/>
  <c r="F134"/>
  <c r="G134"/>
  <c r="J134"/>
  <c r="K134"/>
  <c r="L134"/>
  <c r="C135"/>
  <c r="E135"/>
  <c r="F135"/>
  <c r="G135"/>
  <c r="J135"/>
  <c r="K135"/>
  <c r="L135"/>
  <c r="C136"/>
  <c r="E136"/>
  <c r="F136"/>
  <c r="G136"/>
  <c r="J136"/>
  <c r="K136"/>
  <c r="L136"/>
  <c r="C137"/>
  <c r="E137"/>
  <c r="F137"/>
  <c r="G137"/>
  <c r="J137"/>
  <c r="K137"/>
  <c r="L137"/>
  <c r="C138"/>
  <c r="E138"/>
  <c r="F138"/>
  <c r="G138"/>
  <c r="J138"/>
  <c r="K138"/>
  <c r="L138"/>
  <c r="C139"/>
  <c r="E139"/>
  <c r="F139"/>
  <c r="G139"/>
  <c r="J139"/>
  <c r="K139"/>
  <c r="L139"/>
  <c r="C140"/>
  <c r="E140"/>
  <c r="F140"/>
  <c r="G140"/>
  <c r="J140"/>
  <c r="K140"/>
  <c r="L140"/>
  <c r="C141"/>
  <c r="E141"/>
  <c r="F141"/>
  <c r="G141"/>
  <c r="J141"/>
  <c r="K141"/>
  <c r="L141"/>
  <c r="C142"/>
  <c r="E142"/>
  <c r="F142"/>
  <c r="G142"/>
  <c r="J142"/>
  <c r="K142"/>
  <c r="L142"/>
  <c r="C143"/>
  <c r="E143"/>
  <c r="F143"/>
  <c r="G143"/>
  <c r="J143"/>
  <c r="K143"/>
  <c r="L143"/>
  <c r="C144"/>
  <c r="E144"/>
  <c r="F144"/>
  <c r="G144"/>
  <c r="J144"/>
  <c r="K144"/>
  <c r="L144"/>
  <c r="C145"/>
  <c r="E145"/>
  <c r="F145"/>
  <c r="G145"/>
  <c r="J145"/>
  <c r="K145"/>
  <c r="L145"/>
  <c r="C146"/>
  <c r="E146"/>
  <c r="F146"/>
  <c r="G146"/>
  <c r="J146"/>
  <c r="K146"/>
  <c r="L146"/>
  <c r="C147"/>
  <c r="E147"/>
  <c r="F147"/>
  <c r="G147"/>
  <c r="J147"/>
  <c r="K147"/>
  <c r="L147"/>
  <c r="C148"/>
  <c r="E148"/>
  <c r="F148"/>
  <c r="G148"/>
  <c r="J148"/>
  <c r="K148"/>
  <c r="L148"/>
  <c r="C149"/>
  <c r="E149"/>
  <c r="F149"/>
  <c r="G149"/>
  <c r="J149"/>
  <c r="K149"/>
  <c r="L149"/>
  <c r="C150"/>
  <c r="E150"/>
  <c r="F150"/>
  <c r="G150"/>
  <c r="J150"/>
  <c r="K150"/>
  <c r="L150"/>
  <c r="C151"/>
  <c r="E151"/>
  <c r="F151"/>
  <c r="G151"/>
  <c r="J151"/>
  <c r="K151"/>
  <c r="L151"/>
  <c r="C152"/>
  <c r="E152"/>
  <c r="F152"/>
  <c r="G152"/>
  <c r="J152"/>
  <c r="K152"/>
  <c r="L152"/>
  <c r="C153"/>
  <c r="E153"/>
  <c r="F153"/>
  <c r="G153"/>
  <c r="J153"/>
  <c r="K153"/>
  <c r="L153"/>
  <c r="C154"/>
  <c r="E154"/>
  <c r="F154"/>
  <c r="G154"/>
  <c r="J154"/>
  <c r="K154"/>
  <c r="L154"/>
  <c r="C155"/>
  <c r="E155"/>
  <c r="F155"/>
  <c r="G155"/>
  <c r="J155"/>
  <c r="K155"/>
  <c r="L155"/>
  <c r="C156"/>
  <c r="E156"/>
  <c r="F156"/>
  <c r="G156"/>
  <c r="J156"/>
  <c r="K156"/>
  <c r="L156"/>
  <c r="C157"/>
  <c r="E157"/>
  <c r="F157"/>
  <c r="G157"/>
  <c r="J157"/>
  <c r="K157"/>
  <c r="L157"/>
  <c r="C158"/>
  <c r="E158"/>
  <c r="F158"/>
  <c r="G158"/>
  <c r="J158"/>
  <c r="K158"/>
  <c r="L158"/>
  <c r="C159"/>
  <c r="E159"/>
  <c r="F159"/>
  <c r="G159"/>
  <c r="J159"/>
  <c r="K159"/>
  <c r="L159"/>
  <c r="C160"/>
  <c r="E160"/>
  <c r="F160"/>
  <c r="G160"/>
  <c r="J160"/>
  <c r="K160"/>
  <c r="L160"/>
  <c r="C161"/>
  <c r="E161"/>
  <c r="F161"/>
  <c r="G161"/>
  <c r="J161"/>
  <c r="K161"/>
  <c r="L161"/>
  <c r="C162"/>
  <c r="E162"/>
  <c r="F162"/>
  <c r="G162"/>
  <c r="J162"/>
  <c r="K162"/>
  <c r="L162"/>
  <c r="C163"/>
  <c r="E163"/>
  <c r="F163"/>
  <c r="G163"/>
  <c r="J163"/>
  <c r="K163"/>
  <c r="L163"/>
  <c r="C164"/>
  <c r="E164"/>
  <c r="F164"/>
  <c r="G164"/>
  <c r="J164"/>
  <c r="K164"/>
  <c r="L164"/>
  <c r="C165"/>
  <c r="E165"/>
  <c r="F165"/>
  <c r="G165"/>
  <c r="J165"/>
  <c r="K165"/>
  <c r="L165"/>
  <c r="C166"/>
  <c r="E166"/>
  <c r="F166"/>
  <c r="G166"/>
  <c r="J166"/>
  <c r="K166"/>
  <c r="L166"/>
  <c r="C167"/>
  <c r="E167"/>
  <c r="F167"/>
  <c r="G167"/>
  <c r="J167"/>
  <c r="K167"/>
  <c r="L167"/>
  <c r="C168"/>
  <c r="E168"/>
  <c r="F168"/>
  <c r="G168"/>
  <c r="J168"/>
  <c r="K168"/>
  <c r="L168"/>
  <c r="C169"/>
  <c r="E169"/>
  <c r="F169"/>
  <c r="G169"/>
  <c r="J169"/>
  <c r="K169"/>
  <c r="L169"/>
  <c r="C170"/>
  <c r="D170"/>
  <c r="E170"/>
  <c r="F170"/>
  <c r="G170"/>
  <c r="J170"/>
  <c r="K170"/>
  <c r="L170"/>
  <c r="C171"/>
  <c r="D171"/>
  <c r="E171"/>
  <c r="F171"/>
  <c r="G171"/>
  <c r="J171"/>
  <c r="K171"/>
  <c r="L171"/>
  <c r="C172"/>
  <c r="E172"/>
  <c r="F172"/>
  <c r="G172"/>
  <c r="J172"/>
  <c r="K172"/>
  <c r="L172"/>
  <c r="C173"/>
  <c r="E173"/>
  <c r="F173"/>
  <c r="G173"/>
  <c r="J173"/>
  <c r="K173"/>
  <c r="L173"/>
  <c r="C174"/>
  <c r="D174"/>
  <c r="E174"/>
  <c r="F174"/>
  <c r="G174"/>
  <c r="J174"/>
  <c r="K174"/>
  <c r="L174"/>
  <c r="C175"/>
  <c r="D175"/>
  <c r="E175"/>
  <c r="F175"/>
  <c r="G175"/>
  <c r="J175"/>
  <c r="K175"/>
  <c r="L175"/>
  <c r="C176"/>
  <c r="E176"/>
  <c r="F176"/>
  <c r="G176"/>
  <c r="J176"/>
  <c r="K176"/>
  <c r="L176"/>
  <c r="C177"/>
  <c r="E177"/>
  <c r="F177"/>
  <c r="G177"/>
  <c r="J177"/>
  <c r="K177"/>
  <c r="L177"/>
  <c r="C178"/>
  <c r="D178"/>
  <c r="E178"/>
  <c r="F178"/>
  <c r="G178"/>
  <c r="J178"/>
  <c r="K178"/>
  <c r="L178"/>
  <c r="C179"/>
  <c r="D179"/>
  <c r="E179"/>
  <c r="F179"/>
  <c r="G179"/>
  <c r="J179"/>
  <c r="K179"/>
  <c r="L179"/>
  <c r="C180"/>
  <c r="E180"/>
  <c r="F180"/>
  <c r="G180"/>
  <c r="J180"/>
  <c r="K180"/>
  <c r="L180"/>
  <c r="C181"/>
  <c r="E181"/>
  <c r="F181"/>
  <c r="G181"/>
  <c r="J181"/>
  <c r="K181"/>
  <c r="L181"/>
  <c r="C182"/>
  <c r="D182"/>
  <c r="E182"/>
  <c r="F182"/>
  <c r="G182"/>
  <c r="J182"/>
  <c r="K182"/>
  <c r="L182"/>
  <c r="C183"/>
  <c r="D183"/>
  <c r="E183"/>
  <c r="F183"/>
  <c r="G183"/>
  <c r="J183"/>
  <c r="K183"/>
  <c r="L183"/>
  <c r="C184"/>
  <c r="E184"/>
  <c r="F184"/>
  <c r="G184"/>
  <c r="J184"/>
  <c r="K184"/>
  <c r="L184"/>
  <c r="C185"/>
  <c r="E185"/>
  <c r="F185"/>
  <c r="G185"/>
  <c r="J185"/>
  <c r="K185"/>
  <c r="L185"/>
  <c r="C186"/>
  <c r="E186"/>
  <c r="F186"/>
  <c r="G186"/>
  <c r="J186"/>
  <c r="K186"/>
  <c r="L186"/>
  <c r="C187"/>
  <c r="E187"/>
  <c r="F187"/>
  <c r="G187"/>
  <c r="J187"/>
  <c r="K187"/>
  <c r="L187"/>
  <c r="C188"/>
  <c r="E188"/>
  <c r="F188"/>
  <c r="G188"/>
  <c r="J188"/>
  <c r="K188"/>
  <c r="L188"/>
  <c r="C189"/>
  <c r="E189"/>
  <c r="F189"/>
  <c r="G189"/>
  <c r="J189"/>
  <c r="K189"/>
  <c r="L189"/>
  <c r="C190"/>
  <c r="E190"/>
  <c r="F190"/>
  <c r="G190"/>
  <c r="J190"/>
  <c r="K190"/>
  <c r="L190"/>
  <c r="C191"/>
  <c r="E191"/>
  <c r="F191"/>
  <c r="G191"/>
  <c r="J191"/>
  <c r="K191"/>
  <c r="L191"/>
  <c r="C192"/>
  <c r="E192"/>
  <c r="F192"/>
  <c r="G192"/>
  <c r="J192"/>
  <c r="K192"/>
  <c r="L192"/>
  <c r="C193"/>
  <c r="E193"/>
  <c r="F193"/>
  <c r="G193"/>
  <c r="J193"/>
  <c r="K193"/>
  <c r="L193"/>
  <c r="C194"/>
  <c r="E194"/>
  <c r="F194"/>
  <c r="G194"/>
  <c r="J194"/>
  <c r="K194"/>
  <c r="L194"/>
  <c r="C195"/>
  <c r="E195"/>
  <c r="F195"/>
  <c r="G195"/>
  <c r="J195"/>
  <c r="K195"/>
  <c r="L195"/>
  <c r="C196"/>
  <c r="E196"/>
  <c r="F196"/>
  <c r="G196"/>
  <c r="J196"/>
  <c r="K196"/>
  <c r="L196"/>
  <c r="C197"/>
  <c r="E197"/>
  <c r="F197"/>
  <c r="G197"/>
  <c r="J197"/>
  <c r="K197"/>
  <c r="L197"/>
  <c r="C198"/>
  <c r="D198"/>
  <c r="E198"/>
  <c r="F198"/>
  <c r="G198"/>
  <c r="J198"/>
  <c r="K198"/>
  <c r="L198"/>
  <c r="C199"/>
  <c r="D199"/>
  <c r="E199"/>
  <c r="F199"/>
  <c r="G199"/>
  <c r="J199"/>
  <c r="K199"/>
  <c r="L199"/>
  <c r="C200"/>
  <c r="E200"/>
  <c r="F200"/>
  <c r="G200"/>
  <c r="J200"/>
  <c r="K200"/>
  <c r="L200"/>
  <c r="C201"/>
  <c r="E201"/>
  <c r="F201"/>
  <c r="G201"/>
  <c r="J201"/>
  <c r="K201"/>
  <c r="L201"/>
  <c r="C202"/>
  <c r="D202"/>
  <c r="E202"/>
  <c r="F202"/>
  <c r="G202"/>
  <c r="J202"/>
  <c r="K202"/>
  <c r="L202"/>
  <c r="C203"/>
  <c r="D203"/>
  <c r="E203"/>
  <c r="F203"/>
  <c r="G203"/>
  <c r="J203"/>
  <c r="K203"/>
  <c r="L203"/>
  <c r="C204"/>
  <c r="E204"/>
  <c r="F204"/>
  <c r="G204"/>
  <c r="J204"/>
  <c r="K204"/>
  <c r="L204"/>
  <c r="C205"/>
  <c r="E205"/>
  <c r="F205"/>
  <c r="G205"/>
  <c r="J205"/>
  <c r="K205"/>
  <c r="L205"/>
  <c r="C206"/>
  <c r="D206"/>
  <c r="E206"/>
  <c r="F206"/>
  <c r="G206"/>
  <c r="J206"/>
  <c r="K206"/>
  <c r="L206"/>
  <c r="C207"/>
  <c r="D207"/>
  <c r="E207"/>
  <c r="F207"/>
  <c r="G207"/>
  <c r="J207"/>
  <c r="K207"/>
  <c r="L207"/>
  <c r="C208"/>
  <c r="E208"/>
  <c r="F208"/>
  <c r="G208"/>
  <c r="J208"/>
  <c r="K208"/>
  <c r="L208"/>
  <c r="C209"/>
  <c r="E209"/>
  <c r="F209"/>
  <c r="G209"/>
  <c r="J209"/>
  <c r="K209"/>
  <c r="L209"/>
  <c r="C210"/>
  <c r="D210"/>
  <c r="E210"/>
  <c r="F210"/>
  <c r="G210"/>
  <c r="J210"/>
  <c r="K210"/>
  <c r="L210"/>
  <c r="C211"/>
  <c r="D211"/>
  <c r="E211"/>
  <c r="F211"/>
  <c r="G211"/>
  <c r="J211"/>
  <c r="K211"/>
  <c r="L211"/>
  <c r="C212"/>
  <c r="E212"/>
  <c r="F212"/>
  <c r="G212"/>
  <c r="J212"/>
  <c r="K212"/>
  <c r="L212"/>
  <c r="C213"/>
  <c r="E213"/>
  <c r="F213"/>
  <c r="G213"/>
  <c r="J213"/>
  <c r="K213"/>
  <c r="L213"/>
  <c r="C214"/>
  <c r="D214"/>
  <c r="E214"/>
  <c r="F214"/>
  <c r="G214"/>
  <c r="J214"/>
  <c r="K214"/>
  <c r="L214"/>
  <c r="C215"/>
  <c r="D215"/>
  <c r="E215"/>
  <c r="F215"/>
  <c r="G215"/>
  <c r="J215"/>
  <c r="K215"/>
  <c r="L215"/>
  <c r="C216"/>
  <c r="E216"/>
  <c r="F216"/>
  <c r="G216"/>
  <c r="J216"/>
  <c r="K216"/>
  <c r="L216"/>
  <c r="C217"/>
  <c r="E217"/>
  <c r="F217"/>
  <c r="G217"/>
  <c r="J217"/>
  <c r="K217"/>
  <c r="L217"/>
  <c r="C218"/>
  <c r="D218"/>
  <c r="E218"/>
  <c r="F218"/>
  <c r="G218"/>
  <c r="J218"/>
  <c r="K218"/>
  <c r="L218"/>
  <c r="C219"/>
  <c r="D219"/>
  <c r="E219"/>
  <c r="F219"/>
  <c r="G219"/>
  <c r="J219"/>
  <c r="K219"/>
  <c r="L219"/>
  <c r="C220"/>
  <c r="E220"/>
  <c r="F220"/>
  <c r="G220"/>
  <c r="J220"/>
  <c r="K220"/>
  <c r="L220"/>
  <c r="C221"/>
  <c r="E221"/>
  <c r="F221"/>
  <c r="G221"/>
  <c r="J221"/>
  <c r="K221"/>
  <c r="L221"/>
  <c r="C222"/>
  <c r="E222"/>
  <c r="F222"/>
  <c r="G222"/>
  <c r="J222"/>
  <c r="K222"/>
  <c r="L222"/>
  <c r="C223"/>
  <c r="E223"/>
  <c r="F223"/>
  <c r="G223"/>
  <c r="J223"/>
  <c r="K223"/>
  <c r="L223"/>
  <c r="C224"/>
  <c r="E224"/>
  <c r="F224"/>
  <c r="G224"/>
  <c r="J224"/>
  <c r="K224"/>
  <c r="L224"/>
  <c r="C225"/>
  <c r="E225"/>
  <c r="F225"/>
  <c r="G225"/>
  <c r="J225"/>
  <c r="K225"/>
  <c r="L225"/>
  <c r="C226"/>
  <c r="E226"/>
  <c r="F226"/>
  <c r="G226"/>
  <c r="J226"/>
  <c r="K226"/>
  <c r="L226"/>
  <c r="C227"/>
  <c r="E227"/>
  <c r="F227"/>
  <c r="G227"/>
  <c r="J227"/>
  <c r="K227"/>
  <c r="L227"/>
  <c r="C228"/>
  <c r="E228"/>
  <c r="F228"/>
  <c r="G228"/>
  <c r="J228"/>
  <c r="K228"/>
  <c r="L228"/>
  <c r="C229"/>
  <c r="E229"/>
  <c r="F229"/>
  <c r="G229"/>
  <c r="J229"/>
  <c r="K229"/>
  <c r="L229"/>
  <c r="C230"/>
  <c r="E230"/>
  <c r="F230"/>
  <c r="G230"/>
  <c r="J230"/>
  <c r="K230"/>
  <c r="L230"/>
  <c r="C231"/>
  <c r="E231"/>
  <c r="F231"/>
  <c r="G231"/>
  <c r="J231"/>
  <c r="K231"/>
  <c r="L231"/>
  <c r="C232"/>
  <c r="E232"/>
  <c r="F232"/>
  <c r="G232"/>
  <c r="J232"/>
  <c r="K232"/>
  <c r="L232"/>
  <c r="C233"/>
  <c r="E233"/>
  <c r="F233"/>
  <c r="G233"/>
  <c r="J233"/>
  <c r="K233"/>
  <c r="L233"/>
  <c r="C234"/>
  <c r="E234"/>
  <c r="F234"/>
  <c r="G234"/>
  <c r="J234"/>
  <c r="K234"/>
  <c r="L234"/>
  <c r="C235"/>
  <c r="E235"/>
  <c r="F235"/>
  <c r="G235"/>
  <c r="J235"/>
  <c r="K235"/>
  <c r="L235"/>
  <c r="C236"/>
  <c r="E236"/>
  <c r="F236"/>
  <c r="G236"/>
  <c r="J236"/>
  <c r="K236"/>
  <c r="L236"/>
  <c r="C237"/>
  <c r="E237"/>
  <c r="F237"/>
  <c r="G237"/>
  <c r="J237"/>
  <c r="K237"/>
  <c r="L237"/>
  <c r="C238"/>
  <c r="E238"/>
  <c r="F238"/>
  <c r="G238"/>
  <c r="J238"/>
  <c r="K238"/>
  <c r="L238"/>
  <c r="C239"/>
  <c r="D239"/>
  <c r="E239"/>
  <c r="F239"/>
  <c r="G239"/>
  <c r="J239"/>
  <c r="K239"/>
  <c r="L239"/>
  <c r="C240"/>
  <c r="E240"/>
  <c r="F240"/>
  <c r="G240"/>
  <c r="J240"/>
  <c r="K240"/>
  <c r="L240"/>
  <c r="C241"/>
  <c r="E241"/>
  <c r="F241"/>
  <c r="G241"/>
  <c r="J241"/>
  <c r="K241"/>
  <c r="L241"/>
  <c r="C242"/>
  <c r="D242"/>
  <c r="E242"/>
  <c r="F242"/>
  <c r="G242"/>
  <c r="J242"/>
  <c r="K242"/>
  <c r="L242"/>
  <c r="C243"/>
  <c r="D243"/>
  <c r="E243"/>
  <c r="F243"/>
  <c r="G243"/>
  <c r="J243"/>
  <c r="K243"/>
  <c r="L243"/>
  <c r="C244"/>
  <c r="E244"/>
  <c r="F244"/>
  <c r="G244"/>
  <c r="J244"/>
  <c r="K244"/>
  <c r="L244"/>
  <c r="C245"/>
  <c r="E245"/>
  <c r="F245"/>
  <c r="G245"/>
  <c r="J245"/>
  <c r="K245"/>
  <c r="L245"/>
  <c r="C246"/>
  <c r="D246"/>
  <c r="E246"/>
  <c r="F246"/>
  <c r="G246"/>
  <c r="J246"/>
  <c r="K246"/>
  <c r="L246"/>
  <c r="C247"/>
  <c r="D247"/>
  <c r="E247"/>
  <c r="F247"/>
  <c r="G247"/>
  <c r="J247"/>
  <c r="K247"/>
  <c r="L247"/>
  <c r="C248"/>
  <c r="E248"/>
  <c r="F248"/>
  <c r="G248"/>
  <c r="J248"/>
  <c r="K248"/>
  <c r="L248"/>
  <c r="C249"/>
  <c r="E249"/>
  <c r="F249"/>
  <c r="G249"/>
  <c r="J249"/>
  <c r="K249"/>
  <c r="L249"/>
  <c r="C250"/>
  <c r="D250"/>
  <c r="E250"/>
  <c r="F250"/>
  <c r="G250"/>
  <c r="J250"/>
  <c r="K250"/>
  <c r="L250"/>
  <c r="C251"/>
  <c r="D251"/>
  <c r="E251"/>
  <c r="F251"/>
  <c r="G251"/>
  <c r="J251"/>
  <c r="K251"/>
  <c r="L251"/>
  <c r="C252"/>
  <c r="E252"/>
  <c r="F252"/>
  <c r="G252"/>
  <c r="J252"/>
  <c r="K252"/>
  <c r="L252"/>
  <c r="C253"/>
  <c r="E253"/>
  <c r="F253"/>
  <c r="G253"/>
  <c r="J253"/>
  <c r="K253"/>
  <c r="L253"/>
  <c r="C254"/>
  <c r="D254"/>
  <c r="E254"/>
  <c r="F254"/>
  <c r="G254"/>
  <c r="J254"/>
  <c r="K254"/>
  <c r="L254"/>
  <c r="C255"/>
  <c r="D255"/>
  <c r="E255"/>
  <c r="F255"/>
  <c r="G255"/>
  <c r="J255"/>
  <c r="K255"/>
  <c r="L255"/>
  <c r="C256"/>
  <c r="E256"/>
  <c r="F256"/>
  <c r="G256"/>
  <c r="J256"/>
  <c r="K256"/>
  <c r="L256"/>
  <c r="C257"/>
  <c r="E257"/>
  <c r="F257"/>
  <c r="G257"/>
  <c r="J257"/>
  <c r="K257"/>
  <c r="L257"/>
  <c r="C258"/>
  <c r="E258"/>
  <c r="F258"/>
  <c r="G258"/>
  <c r="J258"/>
  <c r="K258"/>
  <c r="L258"/>
  <c r="C259"/>
  <c r="E259"/>
  <c r="F259"/>
  <c r="G259"/>
  <c r="J259"/>
  <c r="K259"/>
  <c r="L259"/>
  <c r="C260"/>
  <c r="E260"/>
  <c r="F260"/>
  <c r="G260"/>
  <c r="J260"/>
  <c r="K260"/>
  <c r="L260"/>
  <c r="C261"/>
  <c r="E261"/>
  <c r="F261"/>
  <c r="G261"/>
  <c r="J261"/>
  <c r="K261"/>
  <c r="L261"/>
  <c r="C262"/>
  <c r="E262"/>
  <c r="F262"/>
  <c r="G262"/>
  <c r="J262"/>
  <c r="K262"/>
  <c r="L262"/>
  <c r="C263"/>
  <c r="E263"/>
  <c r="F263"/>
  <c r="G263"/>
  <c r="J263"/>
  <c r="K263"/>
  <c r="L263"/>
  <c r="C264"/>
  <c r="E264"/>
  <c r="F264"/>
  <c r="G264"/>
  <c r="J264"/>
  <c r="K264"/>
  <c r="L264"/>
  <c r="C265"/>
  <c r="E265"/>
  <c r="F265"/>
  <c r="G265"/>
  <c r="J265"/>
  <c r="K265"/>
  <c r="L265"/>
  <c r="C266"/>
  <c r="E266"/>
  <c r="F266"/>
  <c r="G266"/>
  <c r="J266"/>
  <c r="K266"/>
  <c r="L266"/>
  <c r="C267"/>
  <c r="E267"/>
  <c r="F267"/>
  <c r="G267"/>
  <c r="J267"/>
  <c r="K267"/>
  <c r="L267"/>
  <c r="C268"/>
  <c r="E268"/>
  <c r="F268"/>
  <c r="G268"/>
  <c r="J268"/>
  <c r="K268"/>
  <c r="L268"/>
  <c r="C269"/>
  <c r="E269"/>
  <c r="F269"/>
  <c r="G269"/>
  <c r="J269"/>
  <c r="K269"/>
  <c r="L269"/>
  <c r="C270"/>
  <c r="E270"/>
  <c r="F270"/>
  <c r="G270"/>
  <c r="J270"/>
  <c r="K270"/>
  <c r="L270"/>
  <c r="C271"/>
  <c r="E271"/>
  <c r="F271"/>
  <c r="G271"/>
  <c r="J271"/>
  <c r="K271"/>
  <c r="L271"/>
  <c r="C272"/>
  <c r="E272"/>
  <c r="F272"/>
  <c r="G272"/>
  <c r="J272"/>
  <c r="K272"/>
  <c r="L272"/>
  <c r="C273"/>
  <c r="E273"/>
  <c r="F273"/>
  <c r="G273"/>
  <c r="J273"/>
  <c r="K273"/>
  <c r="L273"/>
  <c r="C274"/>
  <c r="E274"/>
  <c r="F274"/>
  <c r="G274"/>
  <c r="J274"/>
  <c r="K274"/>
  <c r="L274"/>
  <c r="C275"/>
  <c r="E275"/>
  <c r="F275"/>
  <c r="G275"/>
  <c r="J275"/>
  <c r="K275"/>
  <c r="L275"/>
  <c r="C276"/>
  <c r="E276"/>
  <c r="F276"/>
  <c r="G276"/>
  <c r="J276"/>
  <c r="K276"/>
  <c r="L276"/>
  <c r="C277"/>
  <c r="E277"/>
  <c r="F277"/>
  <c r="G277"/>
  <c r="J277"/>
  <c r="K277"/>
  <c r="L277"/>
  <c r="C278"/>
  <c r="E278"/>
  <c r="F278"/>
  <c r="G278"/>
  <c r="J278"/>
  <c r="K278"/>
  <c r="L278"/>
  <c r="C279"/>
  <c r="E279"/>
  <c r="F279"/>
  <c r="G279"/>
  <c r="J279"/>
  <c r="K279"/>
  <c r="L279"/>
  <c r="C280"/>
  <c r="E280"/>
  <c r="F280"/>
  <c r="G280"/>
  <c r="J280"/>
  <c r="K280"/>
  <c r="L280"/>
  <c r="C281"/>
  <c r="E281"/>
  <c r="F281"/>
  <c r="G281"/>
  <c r="J281"/>
  <c r="K281"/>
  <c r="L281"/>
  <c r="C282"/>
  <c r="E282"/>
  <c r="F282"/>
  <c r="G282"/>
  <c r="J282"/>
  <c r="K282"/>
  <c r="L282"/>
  <c r="C283"/>
  <c r="E283"/>
  <c r="F283"/>
  <c r="G283"/>
  <c r="J283"/>
  <c r="K283"/>
  <c r="L283"/>
  <c r="C284"/>
  <c r="E284"/>
  <c r="F284"/>
  <c r="G284"/>
  <c r="J284"/>
  <c r="K284"/>
  <c r="L284"/>
  <c r="C285"/>
  <c r="E285"/>
  <c r="F285"/>
  <c r="G285"/>
  <c r="J285"/>
  <c r="K285"/>
  <c r="L285"/>
  <c r="C286"/>
  <c r="E286"/>
  <c r="F286"/>
  <c r="G286"/>
  <c r="J286"/>
  <c r="K286"/>
  <c r="L286"/>
  <c r="C287"/>
  <c r="E287"/>
  <c r="F287"/>
  <c r="G287"/>
  <c r="J287"/>
  <c r="K287"/>
  <c r="L287"/>
  <c r="C288"/>
  <c r="E288"/>
  <c r="F288"/>
  <c r="G288"/>
  <c r="J288"/>
  <c r="K288"/>
  <c r="L288"/>
  <c r="C289"/>
  <c r="E289"/>
  <c r="F289"/>
  <c r="G289"/>
  <c r="J289"/>
  <c r="K289"/>
  <c r="L289"/>
  <c r="C290"/>
  <c r="E290"/>
  <c r="F290"/>
  <c r="G290"/>
  <c r="J290"/>
  <c r="K290"/>
  <c r="L290"/>
  <c r="C291"/>
  <c r="E291"/>
  <c r="F291"/>
  <c r="G291"/>
  <c r="J291"/>
  <c r="K291"/>
  <c r="L291"/>
  <c r="C292"/>
  <c r="E292"/>
  <c r="F292"/>
  <c r="G292"/>
  <c r="J292"/>
  <c r="K292"/>
  <c r="L292"/>
  <c r="C293"/>
  <c r="E293"/>
  <c r="F293"/>
  <c r="G293"/>
  <c r="J293"/>
  <c r="K293"/>
  <c r="L293"/>
  <c r="C294"/>
  <c r="E294"/>
  <c r="F294"/>
  <c r="G294"/>
  <c r="J294"/>
  <c r="K294"/>
  <c r="L294"/>
  <c r="C295"/>
  <c r="E295"/>
  <c r="F295"/>
  <c r="G295"/>
  <c r="J295"/>
  <c r="K295"/>
  <c r="L295"/>
  <c r="C296"/>
  <c r="E296"/>
  <c r="F296"/>
  <c r="G296"/>
  <c r="J296"/>
  <c r="K296"/>
  <c r="L296"/>
  <c r="C297"/>
  <c r="E297"/>
  <c r="F297"/>
  <c r="G297"/>
  <c r="J297"/>
  <c r="K297"/>
  <c r="L297"/>
  <c r="C298"/>
  <c r="E298"/>
  <c r="F298"/>
  <c r="G298"/>
  <c r="J298"/>
  <c r="K298"/>
  <c r="L298"/>
  <c r="C299"/>
  <c r="E299"/>
  <c r="F299"/>
  <c r="G299"/>
  <c r="J299"/>
  <c r="K299"/>
  <c r="L299"/>
  <c r="C300"/>
  <c r="E300"/>
  <c r="F300"/>
  <c r="G300"/>
  <c r="J300"/>
  <c r="K300"/>
  <c r="L300"/>
  <c r="C301"/>
  <c r="E301"/>
  <c r="F301"/>
  <c r="G301"/>
  <c r="J301"/>
  <c r="K301"/>
  <c r="L301"/>
  <c r="C302"/>
  <c r="E302"/>
  <c r="F302"/>
  <c r="G302"/>
  <c r="J302"/>
  <c r="K302"/>
  <c r="L302"/>
  <c r="C3" i="6"/>
  <c r="C4"/>
  <c r="E4"/>
  <c r="F4"/>
  <c r="G4"/>
  <c r="J4"/>
  <c r="K4"/>
  <c r="L4"/>
  <c r="M4"/>
  <c r="E5"/>
  <c r="F5"/>
  <c r="G5"/>
  <c r="J5"/>
  <c r="K5"/>
  <c r="L5"/>
  <c r="E6"/>
  <c r="F6"/>
  <c r="G6"/>
  <c r="J6"/>
  <c r="K6"/>
  <c r="L6"/>
  <c r="E7"/>
  <c r="F7"/>
  <c r="G7"/>
  <c r="J7"/>
  <c r="K7"/>
  <c r="L7"/>
  <c r="E8"/>
  <c r="F8"/>
  <c r="G8"/>
  <c r="J8"/>
  <c r="K8"/>
  <c r="L8"/>
  <c r="E9"/>
  <c r="F9"/>
  <c r="G9"/>
  <c r="J9"/>
  <c r="K9"/>
  <c r="L9"/>
  <c r="E10"/>
  <c r="F10"/>
  <c r="G10"/>
  <c r="J10"/>
  <c r="K10"/>
  <c r="L10"/>
  <c r="E11"/>
  <c r="F11"/>
  <c r="G11"/>
  <c r="J11"/>
  <c r="K11"/>
  <c r="L11"/>
  <c r="E12"/>
  <c r="F12"/>
  <c r="G12"/>
  <c r="J12"/>
  <c r="K12"/>
  <c r="L12"/>
  <c r="E13"/>
  <c r="F13"/>
  <c r="G13"/>
  <c r="J13"/>
  <c r="K13"/>
  <c r="L13"/>
  <c r="E14"/>
  <c r="F14"/>
  <c r="G14"/>
  <c r="J14"/>
  <c r="K14"/>
  <c r="L14"/>
  <c r="E15"/>
  <c r="F15"/>
  <c r="G15"/>
  <c r="J15"/>
  <c r="K15"/>
  <c r="L15"/>
  <c r="E16"/>
  <c r="F16"/>
  <c r="G16"/>
  <c r="J16"/>
  <c r="K16"/>
  <c r="L16"/>
  <c r="E17"/>
  <c r="F17"/>
  <c r="G17"/>
  <c r="J17"/>
  <c r="K17"/>
  <c r="L17"/>
  <c r="E18"/>
  <c r="F18"/>
  <c r="G18"/>
  <c r="J18"/>
  <c r="K18"/>
  <c r="L18"/>
  <c r="E19"/>
  <c r="F19"/>
  <c r="G19"/>
  <c r="J19"/>
  <c r="K19"/>
  <c r="L19"/>
  <c r="E20"/>
  <c r="F20"/>
  <c r="G20"/>
  <c r="J20"/>
  <c r="K20"/>
  <c r="L20"/>
  <c r="E21"/>
  <c r="F21"/>
  <c r="G21"/>
  <c r="J21"/>
  <c r="K21"/>
  <c r="L21"/>
  <c r="E22"/>
  <c r="F22"/>
  <c r="G22"/>
  <c r="J22"/>
  <c r="K22"/>
  <c r="L22"/>
  <c r="E23"/>
  <c r="F23"/>
  <c r="G23"/>
  <c r="J23"/>
  <c r="K23"/>
  <c r="L23"/>
  <c r="E24"/>
  <c r="F24"/>
  <c r="G24"/>
  <c r="J24"/>
  <c r="K24"/>
  <c r="L24"/>
  <c r="E25"/>
  <c r="F25"/>
  <c r="G25"/>
  <c r="J25"/>
  <c r="K25"/>
  <c r="L25"/>
  <c r="E26"/>
  <c r="F26"/>
  <c r="G26"/>
  <c r="J26"/>
  <c r="K26"/>
  <c r="L26"/>
  <c r="E27"/>
  <c r="F27"/>
  <c r="G27"/>
  <c r="J27"/>
  <c r="K27"/>
  <c r="L27"/>
  <c r="E28"/>
  <c r="F28"/>
  <c r="G28"/>
  <c r="J28"/>
  <c r="K28"/>
  <c r="L28"/>
  <c r="E29"/>
  <c r="F29"/>
  <c r="G29"/>
  <c r="J29"/>
  <c r="K29"/>
  <c r="L29"/>
  <c r="E30"/>
  <c r="F30"/>
  <c r="G30"/>
  <c r="J30"/>
  <c r="K30"/>
  <c r="L30"/>
  <c r="E31"/>
  <c r="F31"/>
  <c r="G31"/>
  <c r="J31"/>
  <c r="K31"/>
  <c r="L31"/>
  <c r="E32"/>
  <c r="F32"/>
  <c r="G32"/>
  <c r="J32"/>
  <c r="K32"/>
  <c r="L32"/>
  <c r="E33"/>
  <c r="F33"/>
  <c r="G33"/>
  <c r="J33"/>
  <c r="K33"/>
  <c r="L33"/>
  <c r="E34"/>
  <c r="F34"/>
  <c r="G34"/>
  <c r="J34"/>
  <c r="K34"/>
  <c r="L34"/>
  <c r="E35"/>
  <c r="F35"/>
  <c r="G35"/>
  <c r="J35"/>
  <c r="K35"/>
  <c r="L35"/>
  <c r="E36"/>
  <c r="F36"/>
  <c r="G36"/>
  <c r="J36"/>
  <c r="K36"/>
  <c r="L36"/>
  <c r="E37"/>
  <c r="F37"/>
  <c r="G37"/>
  <c r="J37"/>
  <c r="K37"/>
  <c r="L37"/>
  <c r="E38"/>
  <c r="F38"/>
  <c r="G38"/>
  <c r="J38"/>
  <c r="K38"/>
  <c r="L38"/>
  <c r="E39"/>
  <c r="F39"/>
  <c r="G39"/>
  <c r="J39"/>
  <c r="K39"/>
  <c r="L39"/>
  <c r="E40"/>
  <c r="F40"/>
  <c r="G40"/>
  <c r="J40"/>
  <c r="K40"/>
  <c r="L40"/>
  <c r="E41"/>
  <c r="F41"/>
  <c r="G41"/>
  <c r="J41"/>
  <c r="K41"/>
  <c r="L41"/>
  <c r="E42"/>
  <c r="F42"/>
  <c r="G42"/>
  <c r="J42"/>
  <c r="K42"/>
  <c r="L42"/>
  <c r="E43"/>
  <c r="F43"/>
  <c r="G43"/>
  <c r="J43"/>
  <c r="K43"/>
  <c r="L43"/>
  <c r="E44"/>
  <c r="F44"/>
  <c r="G44"/>
  <c r="J44"/>
  <c r="K44"/>
  <c r="L44"/>
  <c r="E45"/>
  <c r="F45"/>
  <c r="G45"/>
  <c r="J45"/>
  <c r="K45"/>
  <c r="L45"/>
  <c r="E46"/>
  <c r="F46"/>
  <c r="G46"/>
  <c r="J46"/>
  <c r="K46"/>
  <c r="L46"/>
  <c r="E47"/>
  <c r="F47"/>
  <c r="G47"/>
  <c r="J47"/>
  <c r="K47"/>
  <c r="L47"/>
  <c r="E48"/>
  <c r="F48"/>
  <c r="G48"/>
  <c r="J48"/>
  <c r="K48"/>
  <c r="L48"/>
  <c r="E49"/>
  <c r="F49"/>
  <c r="G49"/>
  <c r="J49"/>
  <c r="K49"/>
  <c r="L49"/>
  <c r="E50"/>
  <c r="F50"/>
  <c r="G50"/>
  <c r="J50"/>
  <c r="K50"/>
  <c r="L50"/>
  <c r="E51"/>
  <c r="F51"/>
  <c r="G51"/>
  <c r="J51"/>
  <c r="K51"/>
  <c r="L51"/>
  <c r="E52"/>
  <c r="F52"/>
  <c r="G52"/>
  <c r="J52"/>
  <c r="K52"/>
  <c r="L52"/>
  <c r="E53"/>
  <c r="F53"/>
  <c r="G53"/>
  <c r="J53"/>
  <c r="K53"/>
  <c r="L53"/>
  <c r="E54"/>
  <c r="F54"/>
  <c r="G54"/>
  <c r="J54"/>
  <c r="K54"/>
  <c r="L54"/>
  <c r="E55"/>
  <c r="F55"/>
  <c r="G55"/>
  <c r="J55"/>
  <c r="K55"/>
  <c r="L55"/>
  <c r="E56"/>
  <c r="F56"/>
  <c r="G56"/>
  <c r="J56"/>
  <c r="K56"/>
  <c r="L56"/>
  <c r="E57"/>
  <c r="F57"/>
  <c r="G57"/>
  <c r="J57"/>
  <c r="K57"/>
  <c r="L57"/>
  <c r="E58"/>
  <c r="F58"/>
  <c r="G58"/>
  <c r="J58"/>
  <c r="K58"/>
  <c r="L58"/>
  <c r="E59"/>
  <c r="F59"/>
  <c r="G59"/>
  <c r="J59"/>
  <c r="K59"/>
  <c r="L59"/>
  <c r="E60"/>
  <c r="F60"/>
  <c r="G60"/>
  <c r="J60"/>
  <c r="K60"/>
  <c r="L60"/>
  <c r="E61"/>
  <c r="F61"/>
  <c r="G61"/>
  <c r="J61"/>
  <c r="K61"/>
  <c r="L61"/>
  <c r="E62"/>
  <c r="F62"/>
  <c r="G62"/>
  <c r="J62"/>
  <c r="K62"/>
  <c r="L62"/>
  <c r="E63"/>
  <c r="F63"/>
  <c r="G63"/>
  <c r="J63"/>
  <c r="K63"/>
  <c r="L63"/>
  <c r="E64"/>
  <c r="F64"/>
  <c r="G64"/>
  <c r="J64"/>
  <c r="K64"/>
  <c r="L64"/>
  <c r="E65"/>
  <c r="F65"/>
  <c r="G65"/>
  <c r="J65"/>
  <c r="K65"/>
  <c r="L65"/>
  <c r="E66"/>
  <c r="F66"/>
  <c r="G66"/>
  <c r="J66"/>
  <c r="K66"/>
  <c r="L66"/>
  <c r="E67"/>
  <c r="F67"/>
  <c r="G67"/>
  <c r="J67"/>
  <c r="K67"/>
  <c r="L67"/>
  <c r="E68"/>
  <c r="F68"/>
  <c r="G68"/>
  <c r="J68"/>
  <c r="K68"/>
  <c r="L68"/>
  <c r="E69"/>
  <c r="F69"/>
  <c r="G69"/>
  <c r="J69"/>
  <c r="K69"/>
  <c r="L69"/>
  <c r="E70"/>
  <c r="F70"/>
  <c r="G70"/>
  <c r="J70"/>
  <c r="K70"/>
  <c r="L70"/>
  <c r="E71"/>
  <c r="F71"/>
  <c r="G71"/>
  <c r="J71"/>
  <c r="K71"/>
  <c r="L71"/>
  <c r="E72"/>
  <c r="F72"/>
  <c r="G72"/>
  <c r="J72"/>
  <c r="K72"/>
  <c r="L72"/>
  <c r="E73"/>
  <c r="F73"/>
  <c r="G73"/>
  <c r="J73"/>
  <c r="K73"/>
  <c r="L73"/>
  <c r="E74"/>
  <c r="F74"/>
  <c r="G74"/>
  <c r="J74"/>
  <c r="K74"/>
  <c r="L74"/>
  <c r="E75"/>
  <c r="F75"/>
  <c r="G75"/>
  <c r="J75"/>
  <c r="K75"/>
  <c r="L75"/>
  <c r="E76"/>
  <c r="F76"/>
  <c r="G76"/>
  <c r="J76"/>
  <c r="K76"/>
  <c r="L76"/>
  <c r="E77"/>
  <c r="F77"/>
  <c r="G77"/>
  <c r="J77"/>
  <c r="K77"/>
  <c r="L77"/>
  <c r="E78"/>
  <c r="F78"/>
  <c r="G78"/>
  <c r="J78"/>
  <c r="K78"/>
  <c r="L78"/>
  <c r="E79"/>
  <c r="F79"/>
  <c r="G79"/>
  <c r="J79"/>
  <c r="K79"/>
  <c r="L79"/>
  <c r="E80"/>
  <c r="F80"/>
  <c r="G80"/>
  <c r="J80"/>
  <c r="K80"/>
  <c r="L80"/>
  <c r="E81"/>
  <c r="F81"/>
  <c r="G81"/>
  <c r="J81"/>
  <c r="K81"/>
  <c r="L81"/>
  <c r="D82"/>
  <c r="E82"/>
  <c r="F82"/>
  <c r="G82"/>
  <c r="J82"/>
  <c r="K82"/>
  <c r="L82"/>
  <c r="D83"/>
  <c r="E83"/>
  <c r="F83"/>
  <c r="G83"/>
  <c r="J83"/>
  <c r="K83"/>
  <c r="L83"/>
  <c r="E84"/>
  <c r="F84"/>
  <c r="G84"/>
  <c r="J84"/>
  <c r="K84"/>
  <c r="L84"/>
  <c r="D85"/>
  <c r="E85"/>
  <c r="F85"/>
  <c r="G85"/>
  <c r="J85"/>
  <c r="K85"/>
  <c r="L85"/>
  <c r="D86"/>
  <c r="E86"/>
  <c r="F86"/>
  <c r="G86"/>
  <c r="J86"/>
  <c r="K86"/>
  <c r="L86"/>
  <c r="D87"/>
  <c r="E87"/>
  <c r="F87"/>
  <c r="G87"/>
  <c r="J87"/>
  <c r="K87"/>
  <c r="L87"/>
  <c r="E88"/>
  <c r="F88"/>
  <c r="G88"/>
  <c r="J88"/>
  <c r="K88"/>
  <c r="L88"/>
  <c r="D89"/>
  <c r="E89"/>
  <c r="F89"/>
  <c r="G89"/>
  <c r="J89"/>
  <c r="K89"/>
  <c r="L89"/>
  <c r="D90"/>
  <c r="E90"/>
  <c r="F90"/>
  <c r="G90"/>
  <c r="J90"/>
  <c r="K90"/>
  <c r="L90"/>
  <c r="D91"/>
  <c r="E91"/>
  <c r="F91"/>
  <c r="G91"/>
  <c r="J91"/>
  <c r="K91"/>
  <c r="L91"/>
  <c r="E92"/>
  <c r="F92"/>
  <c r="G92"/>
  <c r="J92"/>
  <c r="K92"/>
  <c r="L92"/>
  <c r="E93"/>
  <c r="F93"/>
  <c r="G93"/>
  <c r="J93"/>
  <c r="K93"/>
  <c r="L93"/>
  <c r="D94"/>
  <c r="E94"/>
  <c r="F94"/>
  <c r="G94"/>
  <c r="J94"/>
  <c r="K94"/>
  <c r="L94"/>
  <c r="D95"/>
  <c r="E95"/>
  <c r="F95"/>
  <c r="G95"/>
  <c r="J95"/>
  <c r="K95"/>
  <c r="L95"/>
  <c r="E96"/>
  <c r="F96"/>
  <c r="G96"/>
  <c r="J96"/>
  <c r="K96"/>
  <c r="L96"/>
  <c r="E97"/>
  <c r="F97"/>
  <c r="G97"/>
  <c r="J97"/>
  <c r="K97"/>
  <c r="L97"/>
  <c r="D98"/>
  <c r="E98"/>
  <c r="F98"/>
  <c r="G98"/>
  <c r="J98"/>
  <c r="K98"/>
  <c r="L98"/>
  <c r="E99"/>
  <c r="F99"/>
  <c r="G99"/>
  <c r="J99"/>
  <c r="K99"/>
  <c r="L99"/>
  <c r="E100"/>
  <c r="F100"/>
  <c r="G100"/>
  <c r="J100"/>
  <c r="K100"/>
  <c r="L100"/>
  <c r="E101"/>
  <c r="F101"/>
  <c r="G101"/>
  <c r="J101"/>
  <c r="K101"/>
  <c r="L101"/>
  <c r="D102"/>
  <c r="E102"/>
  <c r="F102"/>
  <c r="G102"/>
  <c r="J102"/>
  <c r="K102"/>
  <c r="L102"/>
  <c r="D103"/>
  <c r="E103"/>
  <c r="F103"/>
  <c r="G103"/>
  <c r="J103"/>
  <c r="K103"/>
  <c r="L103"/>
  <c r="E104"/>
  <c r="F104"/>
  <c r="G104"/>
  <c r="J104"/>
  <c r="K104"/>
  <c r="L104"/>
  <c r="E105"/>
  <c r="F105"/>
  <c r="G105"/>
  <c r="J105"/>
  <c r="K105"/>
  <c r="L105"/>
  <c r="D106"/>
  <c r="E106"/>
  <c r="F106"/>
  <c r="G106"/>
  <c r="J106"/>
  <c r="K106"/>
  <c r="L106"/>
  <c r="D107"/>
  <c r="E107"/>
  <c r="F107"/>
  <c r="G107"/>
  <c r="J107"/>
  <c r="K107"/>
  <c r="L107"/>
  <c r="E108"/>
  <c r="F108"/>
  <c r="G108"/>
  <c r="J108"/>
  <c r="K108"/>
  <c r="L108"/>
  <c r="E109"/>
  <c r="F109"/>
  <c r="G109"/>
  <c r="J109"/>
  <c r="K109"/>
  <c r="L109"/>
  <c r="D110"/>
  <c r="E110"/>
  <c r="F110"/>
  <c r="G110"/>
  <c r="J110"/>
  <c r="K110"/>
  <c r="L110"/>
  <c r="D111"/>
  <c r="E111"/>
  <c r="F111"/>
  <c r="G111"/>
  <c r="J111"/>
  <c r="K111"/>
  <c r="L111"/>
  <c r="E112"/>
  <c r="F112"/>
  <c r="G112"/>
  <c r="J112"/>
  <c r="K112"/>
  <c r="L112"/>
  <c r="E113"/>
  <c r="F113"/>
  <c r="G113"/>
  <c r="J113"/>
  <c r="K113"/>
  <c r="L113"/>
  <c r="D114"/>
  <c r="E114"/>
  <c r="F114"/>
  <c r="G114"/>
  <c r="J114"/>
  <c r="K114"/>
  <c r="L114"/>
  <c r="D115"/>
  <c r="E115"/>
  <c r="F115"/>
  <c r="G115"/>
  <c r="J115"/>
  <c r="K115"/>
  <c r="L115"/>
  <c r="E116"/>
  <c r="F116"/>
  <c r="G116"/>
  <c r="J116"/>
  <c r="K116"/>
  <c r="L116"/>
  <c r="E117"/>
  <c r="F117"/>
  <c r="G117"/>
  <c r="J117"/>
  <c r="K117"/>
  <c r="L117"/>
  <c r="D118"/>
  <c r="E118"/>
  <c r="F118"/>
  <c r="G118"/>
  <c r="J118"/>
  <c r="K118"/>
  <c r="L118"/>
  <c r="D119"/>
  <c r="E119"/>
  <c r="F119"/>
  <c r="G119"/>
  <c r="J119"/>
  <c r="K119"/>
  <c r="L119"/>
  <c r="E120"/>
  <c r="F120"/>
  <c r="G120"/>
  <c r="J120"/>
  <c r="K120"/>
  <c r="L120"/>
  <c r="E121"/>
  <c r="F121"/>
  <c r="G121"/>
  <c r="J121"/>
  <c r="K121"/>
  <c r="L121"/>
  <c r="C122"/>
  <c r="E122"/>
  <c r="F122"/>
  <c r="G122"/>
  <c r="J122"/>
  <c r="K122"/>
  <c r="L122"/>
  <c r="C123"/>
  <c r="D123"/>
  <c r="E123"/>
  <c r="F123"/>
  <c r="G123"/>
  <c r="J123"/>
  <c r="K123"/>
  <c r="L123"/>
  <c r="C124"/>
  <c r="E124"/>
  <c r="F124"/>
  <c r="G124"/>
  <c r="J124"/>
  <c r="K124"/>
  <c r="L124"/>
  <c r="C125"/>
  <c r="E125"/>
  <c r="F125"/>
  <c r="G125"/>
  <c r="J125"/>
  <c r="K125"/>
  <c r="L125"/>
  <c r="C126"/>
  <c r="D126"/>
  <c r="E126"/>
  <c r="F126"/>
  <c r="G126"/>
  <c r="J126"/>
  <c r="K126"/>
  <c r="L126"/>
  <c r="C127"/>
  <c r="D127"/>
  <c r="E127"/>
  <c r="F127"/>
  <c r="G127"/>
  <c r="J127"/>
  <c r="K127"/>
  <c r="L127"/>
  <c r="C128"/>
  <c r="E128"/>
  <c r="F128"/>
  <c r="G128"/>
  <c r="J128"/>
  <c r="K128"/>
  <c r="L128"/>
  <c r="C129"/>
  <c r="E129"/>
  <c r="F129"/>
  <c r="G129"/>
  <c r="J129"/>
  <c r="K129"/>
  <c r="L129"/>
  <c r="C130"/>
  <c r="E130"/>
  <c r="F130"/>
  <c r="G130"/>
  <c r="J130"/>
  <c r="K130"/>
  <c r="L130"/>
  <c r="C131"/>
  <c r="D131"/>
  <c r="E131"/>
  <c r="F131"/>
  <c r="G131"/>
  <c r="J131"/>
  <c r="K131"/>
  <c r="L131"/>
  <c r="C132"/>
  <c r="E132"/>
  <c r="F132"/>
  <c r="G132"/>
  <c r="J132"/>
  <c r="K132"/>
  <c r="L132"/>
  <c r="C133"/>
  <c r="E133"/>
  <c r="F133"/>
  <c r="G133"/>
  <c r="J133"/>
  <c r="K133"/>
  <c r="L133"/>
  <c r="C134"/>
  <c r="D134"/>
  <c r="E134"/>
  <c r="F134"/>
  <c r="G134"/>
  <c r="J134"/>
  <c r="K134"/>
  <c r="L134"/>
  <c r="C135"/>
  <c r="D135"/>
  <c r="E135"/>
  <c r="F135"/>
  <c r="G135"/>
  <c r="J135"/>
  <c r="K135"/>
  <c r="L135"/>
  <c r="C136"/>
  <c r="E136"/>
  <c r="F136"/>
  <c r="G136"/>
  <c r="J136"/>
  <c r="K136"/>
  <c r="L136"/>
  <c r="C137"/>
  <c r="E137"/>
  <c r="F137"/>
  <c r="G137"/>
  <c r="J137"/>
  <c r="K137"/>
  <c r="L137"/>
  <c r="C138"/>
  <c r="D138"/>
  <c r="E138"/>
  <c r="F138"/>
  <c r="G138"/>
  <c r="J138"/>
  <c r="K138"/>
  <c r="L138"/>
  <c r="C139"/>
  <c r="D139"/>
  <c r="E139"/>
  <c r="F139"/>
  <c r="G139"/>
  <c r="J139"/>
  <c r="K139"/>
  <c r="L139"/>
  <c r="C140"/>
  <c r="E140"/>
  <c r="F140"/>
  <c r="G140"/>
  <c r="J140"/>
  <c r="K140"/>
  <c r="L140"/>
  <c r="C141"/>
  <c r="E141"/>
  <c r="F141"/>
  <c r="G141"/>
  <c r="J141"/>
  <c r="K141"/>
  <c r="L141"/>
  <c r="C142"/>
  <c r="D142"/>
  <c r="E142"/>
  <c r="F142"/>
  <c r="G142"/>
  <c r="J142"/>
  <c r="K142"/>
  <c r="L142"/>
  <c r="C143"/>
  <c r="D143"/>
  <c r="E143"/>
  <c r="F143"/>
  <c r="G143"/>
  <c r="J143"/>
  <c r="K143"/>
  <c r="L143"/>
  <c r="C144"/>
  <c r="E144"/>
  <c r="F144"/>
  <c r="G144"/>
  <c r="J144"/>
  <c r="K144"/>
  <c r="L144"/>
  <c r="C145"/>
  <c r="E145"/>
  <c r="F145"/>
  <c r="G145"/>
  <c r="J145"/>
  <c r="K145"/>
  <c r="L145"/>
  <c r="C146"/>
  <c r="D146"/>
  <c r="E146"/>
  <c r="F146"/>
  <c r="G146"/>
  <c r="J146"/>
  <c r="K146"/>
  <c r="L146"/>
  <c r="C147"/>
  <c r="D147"/>
  <c r="E147"/>
  <c r="F147"/>
  <c r="G147"/>
  <c r="J147"/>
  <c r="K147"/>
  <c r="L147"/>
  <c r="C148"/>
  <c r="E148"/>
  <c r="F148"/>
  <c r="G148"/>
  <c r="J148"/>
  <c r="K148"/>
  <c r="L148"/>
  <c r="C149"/>
  <c r="D149"/>
  <c r="E149"/>
  <c r="F149"/>
  <c r="G149"/>
  <c r="J149"/>
  <c r="K149"/>
  <c r="L149"/>
  <c r="C150"/>
  <c r="D150"/>
  <c r="E150"/>
  <c r="F150"/>
  <c r="G150"/>
  <c r="J150"/>
  <c r="K150"/>
  <c r="L150"/>
  <c r="C151"/>
  <c r="D151"/>
  <c r="E151"/>
  <c r="F151"/>
  <c r="G151"/>
  <c r="J151"/>
  <c r="K151"/>
  <c r="L151"/>
  <c r="C152"/>
  <c r="E152"/>
  <c r="F152"/>
  <c r="G152"/>
  <c r="J152"/>
  <c r="K152"/>
  <c r="L152"/>
  <c r="C153"/>
  <c r="E153"/>
  <c r="F153"/>
  <c r="G153"/>
  <c r="J153"/>
  <c r="K153"/>
  <c r="L153"/>
  <c r="C154"/>
  <c r="D154"/>
  <c r="E154"/>
  <c r="F154"/>
  <c r="G154"/>
  <c r="J154"/>
  <c r="K154"/>
  <c r="L154"/>
  <c r="C155"/>
  <c r="D155"/>
  <c r="E155"/>
  <c r="F155"/>
  <c r="G155"/>
  <c r="J155"/>
  <c r="K155"/>
  <c r="L155"/>
  <c r="C156"/>
  <c r="E156"/>
  <c r="F156"/>
  <c r="G156"/>
  <c r="J156"/>
  <c r="K156"/>
  <c r="L156"/>
  <c r="C157"/>
  <c r="E157"/>
  <c r="F157"/>
  <c r="G157"/>
  <c r="J157"/>
  <c r="K157"/>
  <c r="L157"/>
  <c r="C158"/>
  <c r="D158"/>
  <c r="E158"/>
  <c r="F158"/>
  <c r="G158"/>
  <c r="J158"/>
  <c r="K158"/>
  <c r="L158"/>
  <c r="C159"/>
  <c r="D159"/>
  <c r="E159"/>
  <c r="F159"/>
  <c r="G159"/>
  <c r="J159"/>
  <c r="K159"/>
  <c r="L159"/>
  <c r="C160"/>
  <c r="E160"/>
  <c r="F160"/>
  <c r="G160"/>
  <c r="J160"/>
  <c r="K160"/>
  <c r="L160"/>
  <c r="C161"/>
  <c r="E161"/>
  <c r="F161"/>
  <c r="G161"/>
  <c r="J161"/>
  <c r="K161"/>
  <c r="L161"/>
  <c r="C162"/>
  <c r="D162"/>
  <c r="E162"/>
  <c r="F162"/>
  <c r="G162"/>
  <c r="J162"/>
  <c r="K162"/>
  <c r="L162"/>
  <c r="C163"/>
  <c r="D163"/>
  <c r="E163"/>
  <c r="F163"/>
  <c r="G163"/>
  <c r="J163"/>
  <c r="K163"/>
  <c r="L163"/>
  <c r="C164"/>
  <c r="E164"/>
  <c r="F164"/>
  <c r="G164"/>
  <c r="J164"/>
  <c r="K164"/>
  <c r="L164"/>
  <c r="C165"/>
  <c r="E165"/>
  <c r="F165"/>
  <c r="G165"/>
  <c r="J165"/>
  <c r="K165"/>
  <c r="L165"/>
  <c r="C166"/>
  <c r="D166"/>
  <c r="E166"/>
  <c r="F166"/>
  <c r="G166"/>
  <c r="J166"/>
  <c r="K166"/>
  <c r="L166"/>
  <c r="C167"/>
  <c r="D167"/>
  <c r="E167"/>
  <c r="F167"/>
  <c r="G167"/>
  <c r="J167"/>
  <c r="K167"/>
  <c r="L167"/>
  <c r="C168"/>
  <c r="E168"/>
  <c r="F168"/>
  <c r="G168"/>
  <c r="J168"/>
  <c r="K168"/>
  <c r="L168"/>
  <c r="C169"/>
  <c r="D169"/>
  <c r="E169"/>
  <c r="F169"/>
  <c r="G169"/>
  <c r="J169"/>
  <c r="K169"/>
  <c r="L169"/>
  <c r="C170"/>
  <c r="E170"/>
  <c r="F170"/>
  <c r="G170"/>
  <c r="J170"/>
  <c r="K170"/>
  <c r="L170"/>
  <c r="C171"/>
  <c r="D171"/>
  <c r="E171"/>
  <c r="F171"/>
  <c r="G171"/>
  <c r="J171"/>
  <c r="K171"/>
  <c r="L171"/>
  <c r="C172"/>
  <c r="E172"/>
  <c r="F172"/>
  <c r="G172"/>
  <c r="J172"/>
  <c r="K172"/>
  <c r="L172"/>
  <c r="C173"/>
  <c r="E173"/>
  <c r="F173"/>
  <c r="G173"/>
  <c r="J173"/>
  <c r="K173"/>
  <c r="L173"/>
  <c r="C174"/>
  <c r="D174"/>
  <c r="E174"/>
  <c r="F174"/>
  <c r="G174"/>
  <c r="J174"/>
  <c r="K174"/>
  <c r="L174"/>
  <c r="C175"/>
  <c r="D175"/>
  <c r="E175"/>
  <c r="F175"/>
  <c r="G175"/>
  <c r="J175"/>
  <c r="K175"/>
  <c r="L175"/>
  <c r="C176"/>
  <c r="E176"/>
  <c r="F176"/>
  <c r="G176"/>
  <c r="J176"/>
  <c r="K176"/>
  <c r="L176"/>
  <c r="C177"/>
  <c r="E177"/>
  <c r="F177"/>
  <c r="G177"/>
  <c r="J177"/>
  <c r="K177"/>
  <c r="L177"/>
  <c r="C178"/>
  <c r="E178"/>
  <c r="F178"/>
  <c r="G178"/>
  <c r="J178"/>
  <c r="K178"/>
  <c r="L178"/>
  <c r="C179"/>
  <c r="D179"/>
  <c r="E179"/>
  <c r="F179"/>
  <c r="G179"/>
  <c r="J179"/>
  <c r="K179"/>
  <c r="L179"/>
  <c r="C180"/>
  <c r="E180"/>
  <c r="F180"/>
  <c r="G180"/>
  <c r="J180"/>
  <c r="K180"/>
  <c r="L180"/>
  <c r="C181"/>
  <c r="D181"/>
  <c r="E181"/>
  <c r="F181"/>
  <c r="G181"/>
  <c r="J181"/>
  <c r="K181"/>
  <c r="L181"/>
  <c r="C182"/>
  <c r="D182"/>
  <c r="E182"/>
  <c r="F182"/>
  <c r="G182"/>
  <c r="J182"/>
  <c r="K182"/>
  <c r="L182"/>
  <c r="C183"/>
  <c r="D183"/>
  <c r="E183"/>
  <c r="F183"/>
  <c r="G183"/>
  <c r="J183"/>
  <c r="K183"/>
  <c r="L183"/>
  <c r="C184"/>
  <c r="E184"/>
  <c r="F184"/>
  <c r="G184"/>
  <c r="J184"/>
  <c r="K184"/>
  <c r="L184"/>
  <c r="C185"/>
  <c r="E185"/>
  <c r="F185"/>
  <c r="G185"/>
  <c r="J185"/>
  <c r="K185"/>
  <c r="L185"/>
  <c r="C186"/>
  <c r="D186"/>
  <c r="E186"/>
  <c r="F186"/>
  <c r="G186"/>
  <c r="J186"/>
  <c r="K186"/>
  <c r="L186"/>
  <c r="C187"/>
  <c r="D187"/>
  <c r="E187"/>
  <c r="F187"/>
  <c r="G187"/>
  <c r="J187"/>
  <c r="K187"/>
  <c r="L187"/>
  <c r="C188"/>
  <c r="E188"/>
  <c r="F188"/>
  <c r="G188"/>
  <c r="J188"/>
  <c r="K188"/>
  <c r="L188"/>
  <c r="C189"/>
  <c r="E189"/>
  <c r="F189"/>
  <c r="G189"/>
  <c r="J189"/>
  <c r="K189"/>
  <c r="L189"/>
  <c r="C190"/>
  <c r="D190"/>
  <c r="E190"/>
  <c r="F190"/>
  <c r="G190"/>
  <c r="J190"/>
  <c r="K190"/>
  <c r="L190"/>
  <c r="C191"/>
  <c r="D191"/>
  <c r="E191"/>
  <c r="F191"/>
  <c r="G191"/>
  <c r="J191"/>
  <c r="K191"/>
  <c r="L191"/>
  <c r="C192"/>
  <c r="E192"/>
  <c r="F192"/>
  <c r="G192"/>
  <c r="J192"/>
  <c r="K192"/>
  <c r="L192"/>
  <c r="C193"/>
  <c r="E193"/>
  <c r="F193"/>
  <c r="G193"/>
  <c r="J193"/>
  <c r="K193"/>
  <c r="L193"/>
  <c r="C194"/>
  <c r="D194"/>
  <c r="E194"/>
  <c r="F194"/>
  <c r="G194"/>
  <c r="J194"/>
  <c r="K194"/>
  <c r="L194"/>
  <c r="C195"/>
  <c r="E195"/>
  <c r="F195"/>
  <c r="G195"/>
  <c r="J195"/>
  <c r="K195"/>
  <c r="L195"/>
  <c r="C196"/>
  <c r="E196"/>
  <c r="F196"/>
  <c r="G196"/>
  <c r="J196"/>
  <c r="K196"/>
  <c r="L196"/>
  <c r="C197"/>
  <c r="E197"/>
  <c r="F197"/>
  <c r="G197"/>
  <c r="J197"/>
  <c r="K197"/>
  <c r="L197"/>
  <c r="C198"/>
  <c r="D198"/>
  <c r="E198"/>
  <c r="F198"/>
  <c r="G198"/>
  <c r="J198"/>
  <c r="K198"/>
  <c r="L198"/>
  <c r="C199"/>
  <c r="D199"/>
  <c r="E199"/>
  <c r="F199"/>
  <c r="G199"/>
  <c r="J199"/>
  <c r="K199"/>
  <c r="L199"/>
  <c r="C200"/>
  <c r="E200"/>
  <c r="F200"/>
  <c r="G200"/>
  <c r="J200"/>
  <c r="K200"/>
  <c r="L200"/>
  <c r="C201"/>
  <c r="D201"/>
  <c r="E201"/>
  <c r="F201"/>
  <c r="G201"/>
  <c r="J201"/>
  <c r="K201"/>
  <c r="L201"/>
  <c r="C202"/>
  <c r="D202"/>
  <c r="E202"/>
  <c r="F202"/>
  <c r="G202"/>
  <c r="J202"/>
  <c r="K202"/>
  <c r="L202"/>
  <c r="C203"/>
  <c r="D203"/>
  <c r="E203"/>
  <c r="F203"/>
  <c r="G203"/>
  <c r="J203"/>
  <c r="K203"/>
  <c r="L203"/>
  <c r="C204"/>
  <c r="E204"/>
  <c r="F204"/>
  <c r="G204"/>
  <c r="J204"/>
  <c r="K204"/>
  <c r="L204"/>
  <c r="C205"/>
  <c r="E205"/>
  <c r="F205"/>
  <c r="G205"/>
  <c r="J205"/>
  <c r="K205"/>
  <c r="L205"/>
  <c r="C206"/>
  <c r="D206"/>
  <c r="E206"/>
  <c r="F206"/>
  <c r="G206"/>
  <c r="J206"/>
  <c r="K206"/>
  <c r="L206"/>
  <c r="C207"/>
  <c r="D207"/>
  <c r="E207"/>
  <c r="F207"/>
  <c r="G207"/>
  <c r="J207"/>
  <c r="K207"/>
  <c r="L207"/>
  <c r="C208"/>
  <c r="E208"/>
  <c r="F208"/>
  <c r="G208"/>
  <c r="J208"/>
  <c r="K208"/>
  <c r="L208"/>
  <c r="C209"/>
  <c r="E209"/>
  <c r="F209"/>
  <c r="G209"/>
  <c r="J209"/>
  <c r="K209"/>
  <c r="L209"/>
  <c r="C210"/>
  <c r="D210"/>
  <c r="E210"/>
  <c r="F210"/>
  <c r="G210"/>
  <c r="J210"/>
  <c r="K210"/>
  <c r="L210"/>
  <c r="C211"/>
  <c r="D211"/>
  <c r="E211"/>
  <c r="F211"/>
  <c r="G211"/>
  <c r="J211"/>
  <c r="K211"/>
  <c r="L211"/>
  <c r="C212"/>
  <c r="E212"/>
  <c r="F212"/>
  <c r="G212"/>
  <c r="J212"/>
  <c r="K212"/>
  <c r="L212"/>
  <c r="C213"/>
  <c r="D213"/>
  <c r="E213"/>
  <c r="F213"/>
  <c r="G213"/>
  <c r="J213"/>
  <c r="K213"/>
  <c r="L213"/>
  <c r="C214"/>
  <c r="D214"/>
  <c r="E214"/>
  <c r="F214"/>
  <c r="G214"/>
  <c r="J214"/>
  <c r="K214"/>
  <c r="L214"/>
  <c r="C215"/>
  <c r="D215"/>
  <c r="E215"/>
  <c r="F215"/>
  <c r="G215"/>
  <c r="J215"/>
  <c r="K215"/>
  <c r="L215"/>
  <c r="C216"/>
  <c r="E216"/>
  <c r="F216"/>
  <c r="G216"/>
  <c r="J216"/>
  <c r="K216"/>
  <c r="L216"/>
  <c r="C217"/>
  <c r="E217"/>
  <c r="F217"/>
  <c r="G217"/>
  <c r="J217"/>
  <c r="K217"/>
  <c r="L217"/>
  <c r="C218"/>
  <c r="D218"/>
  <c r="E218"/>
  <c r="F218"/>
  <c r="G218"/>
  <c r="J218"/>
  <c r="K218"/>
  <c r="L218"/>
  <c r="C219"/>
  <c r="D219"/>
  <c r="E219"/>
  <c r="F219"/>
  <c r="G219"/>
  <c r="J219"/>
  <c r="K219"/>
  <c r="L219"/>
  <c r="C220"/>
  <c r="E220"/>
  <c r="F220"/>
  <c r="G220"/>
  <c r="J220"/>
  <c r="K220"/>
  <c r="L220"/>
  <c r="C221"/>
  <c r="E221"/>
  <c r="F221"/>
  <c r="G221"/>
  <c r="J221"/>
  <c r="K221"/>
  <c r="L221"/>
  <c r="C222"/>
  <c r="E222"/>
  <c r="F222"/>
  <c r="G222"/>
  <c r="J222"/>
  <c r="K222"/>
  <c r="L222"/>
  <c r="C223"/>
  <c r="D223"/>
  <c r="E223"/>
  <c r="F223"/>
  <c r="G223"/>
  <c r="J223"/>
  <c r="K223"/>
  <c r="L223"/>
  <c r="C224"/>
  <c r="E224"/>
  <c r="F224"/>
  <c r="G224"/>
  <c r="J224"/>
  <c r="K224"/>
  <c r="L224"/>
  <c r="C225"/>
  <c r="E225"/>
  <c r="F225"/>
  <c r="G225"/>
  <c r="J225"/>
  <c r="K225"/>
  <c r="L225"/>
  <c r="C226"/>
  <c r="D226"/>
  <c r="E226"/>
  <c r="F226"/>
  <c r="G226"/>
  <c r="J226"/>
  <c r="K226"/>
  <c r="L226"/>
  <c r="C227"/>
  <c r="D227"/>
  <c r="E227"/>
  <c r="F227"/>
  <c r="G227"/>
  <c r="J227"/>
  <c r="K227"/>
  <c r="L227"/>
  <c r="C228"/>
  <c r="E228"/>
  <c r="F228"/>
  <c r="G228"/>
  <c r="J228"/>
  <c r="K228"/>
  <c r="L228"/>
  <c r="C229"/>
  <c r="E229"/>
  <c r="F229"/>
  <c r="G229"/>
  <c r="J229"/>
  <c r="K229"/>
  <c r="L229"/>
  <c r="C230"/>
  <c r="D230"/>
  <c r="E230"/>
  <c r="F230"/>
  <c r="G230"/>
  <c r="J230"/>
  <c r="K230"/>
  <c r="L230"/>
  <c r="C231"/>
  <c r="E231"/>
  <c r="F231"/>
  <c r="G231"/>
  <c r="J231"/>
  <c r="K231"/>
  <c r="L231"/>
  <c r="C232"/>
  <c r="E232"/>
  <c r="F232"/>
  <c r="G232"/>
  <c r="J232"/>
  <c r="K232"/>
  <c r="L232"/>
  <c r="C233"/>
  <c r="D233"/>
  <c r="E233"/>
  <c r="F233"/>
  <c r="G233"/>
  <c r="J233"/>
  <c r="K233"/>
  <c r="L233"/>
  <c r="C234"/>
  <c r="D234"/>
  <c r="E234"/>
  <c r="F234"/>
  <c r="G234"/>
  <c r="J234"/>
  <c r="K234"/>
  <c r="L234"/>
  <c r="C235"/>
  <c r="D235"/>
  <c r="E235"/>
  <c r="F235"/>
  <c r="G235"/>
  <c r="J235"/>
  <c r="K235"/>
  <c r="L235"/>
  <c r="C236"/>
  <c r="E236"/>
  <c r="F236"/>
  <c r="G236"/>
  <c r="J236"/>
  <c r="K236"/>
  <c r="L236"/>
  <c r="C237"/>
  <c r="E237"/>
  <c r="F237"/>
  <c r="G237"/>
  <c r="J237"/>
  <c r="K237"/>
  <c r="L237"/>
  <c r="C238"/>
  <c r="E238"/>
  <c r="F238"/>
  <c r="G238"/>
  <c r="J238"/>
  <c r="K238"/>
  <c r="L238"/>
  <c r="C239"/>
  <c r="D239"/>
  <c r="E239"/>
  <c r="F239"/>
  <c r="G239"/>
  <c r="J239"/>
  <c r="K239"/>
  <c r="L239"/>
  <c r="C240"/>
  <c r="E240"/>
  <c r="F240"/>
  <c r="G240"/>
  <c r="J240"/>
  <c r="K240"/>
  <c r="L240"/>
  <c r="C241"/>
  <c r="E241"/>
  <c r="F241"/>
  <c r="G241"/>
  <c r="J241"/>
  <c r="K241"/>
  <c r="L241"/>
  <c r="C242"/>
  <c r="D242"/>
  <c r="E242"/>
  <c r="F242"/>
  <c r="G242"/>
  <c r="J242"/>
  <c r="K242"/>
  <c r="L242"/>
  <c r="C243"/>
  <c r="D243"/>
  <c r="E243"/>
  <c r="F243"/>
  <c r="G243"/>
  <c r="J243"/>
  <c r="K243"/>
  <c r="L243"/>
  <c r="C244"/>
  <c r="E244"/>
  <c r="F244"/>
  <c r="G244"/>
  <c r="J244"/>
  <c r="K244"/>
  <c r="L244"/>
  <c r="C245"/>
  <c r="D245"/>
  <c r="E245"/>
  <c r="F245"/>
  <c r="G245"/>
  <c r="J245"/>
  <c r="K245"/>
  <c r="L245"/>
  <c r="C246"/>
  <c r="D246"/>
  <c r="E246"/>
  <c r="F246"/>
  <c r="G246"/>
  <c r="J246"/>
  <c r="K246"/>
  <c r="L246"/>
  <c r="C247"/>
  <c r="D247"/>
  <c r="E247"/>
  <c r="F247"/>
  <c r="G247"/>
  <c r="J247"/>
  <c r="K247"/>
  <c r="L247"/>
  <c r="C248"/>
  <c r="E248"/>
  <c r="F248"/>
  <c r="G248"/>
  <c r="J248"/>
  <c r="K248"/>
  <c r="L248"/>
  <c r="C249"/>
  <c r="E249"/>
  <c r="F249"/>
  <c r="G249"/>
  <c r="J249"/>
  <c r="K249"/>
  <c r="L249"/>
  <c r="C250"/>
  <c r="D250"/>
  <c r="E250"/>
  <c r="F250"/>
  <c r="G250"/>
  <c r="J250"/>
  <c r="K250"/>
  <c r="L250"/>
  <c r="C251"/>
  <c r="D251"/>
  <c r="E251"/>
  <c r="F251"/>
  <c r="G251"/>
  <c r="J251"/>
  <c r="K251"/>
  <c r="L251"/>
  <c r="C252"/>
  <c r="E252"/>
  <c r="F252"/>
  <c r="G252"/>
  <c r="J252"/>
  <c r="K252"/>
  <c r="L252"/>
  <c r="C253"/>
  <c r="E253"/>
  <c r="F253"/>
  <c r="G253"/>
  <c r="J253"/>
  <c r="K253"/>
  <c r="L253"/>
  <c r="C254"/>
  <c r="D254"/>
  <c r="E254"/>
  <c r="F254"/>
  <c r="G254"/>
  <c r="J254"/>
  <c r="K254"/>
  <c r="L254"/>
  <c r="C255"/>
  <c r="D255"/>
  <c r="E255"/>
  <c r="F255"/>
  <c r="G255"/>
  <c r="J255"/>
  <c r="K255"/>
  <c r="L255"/>
  <c r="C256"/>
  <c r="E256"/>
  <c r="F256"/>
  <c r="G256"/>
  <c r="J256"/>
  <c r="K256"/>
  <c r="L256"/>
  <c r="C257"/>
  <c r="E257"/>
  <c r="F257"/>
  <c r="G257"/>
  <c r="J257"/>
  <c r="K257"/>
  <c r="L257"/>
  <c r="C258"/>
  <c r="E258"/>
  <c r="F258"/>
  <c r="G258"/>
  <c r="J258"/>
  <c r="K258"/>
  <c r="L258"/>
  <c r="C259"/>
  <c r="D259"/>
  <c r="E259"/>
  <c r="F259"/>
  <c r="G259"/>
  <c r="J259"/>
  <c r="K259"/>
  <c r="L259"/>
  <c r="C260"/>
  <c r="E260"/>
  <c r="F260"/>
  <c r="G260"/>
  <c r="J260"/>
  <c r="K260"/>
  <c r="L260"/>
  <c r="C261"/>
  <c r="E261"/>
  <c r="F261"/>
  <c r="G261"/>
  <c r="J261"/>
  <c r="K261"/>
  <c r="L261"/>
  <c r="C262"/>
  <c r="D262"/>
  <c r="E262"/>
  <c r="F262"/>
  <c r="G262"/>
  <c r="J262"/>
  <c r="K262"/>
  <c r="L262"/>
  <c r="C263"/>
  <c r="D263"/>
  <c r="E263"/>
  <c r="F263"/>
  <c r="G263"/>
  <c r="J263"/>
  <c r="K263"/>
  <c r="L263"/>
  <c r="C264"/>
  <c r="E264"/>
  <c r="F264"/>
  <c r="G264"/>
  <c r="J264"/>
  <c r="K264"/>
  <c r="L264"/>
  <c r="C265"/>
  <c r="D265"/>
  <c r="E265"/>
  <c r="F265"/>
  <c r="G265"/>
  <c r="J265"/>
  <c r="K265"/>
  <c r="L265"/>
  <c r="C266"/>
  <c r="D266"/>
  <c r="E266"/>
  <c r="F266"/>
  <c r="G266"/>
  <c r="J266"/>
  <c r="K266"/>
  <c r="L266"/>
  <c r="C267"/>
  <c r="D267"/>
  <c r="E267"/>
  <c r="F267"/>
  <c r="G267"/>
  <c r="J267"/>
  <c r="K267"/>
  <c r="L267"/>
  <c r="C268"/>
  <c r="E268"/>
  <c r="F268"/>
  <c r="G268"/>
  <c r="J268"/>
  <c r="K268"/>
  <c r="L268"/>
  <c r="C269"/>
  <c r="E269"/>
  <c r="F269"/>
  <c r="G269"/>
  <c r="J269"/>
  <c r="K269"/>
  <c r="L269"/>
  <c r="C270"/>
  <c r="D270"/>
  <c r="E270"/>
  <c r="F270"/>
  <c r="G270"/>
  <c r="J270"/>
  <c r="K270"/>
  <c r="L270"/>
  <c r="C271"/>
  <c r="D271"/>
  <c r="E271"/>
  <c r="F271"/>
  <c r="G271"/>
  <c r="J271"/>
  <c r="K271"/>
  <c r="L271"/>
  <c r="C272"/>
  <c r="E272"/>
  <c r="F272"/>
  <c r="G272"/>
  <c r="J272"/>
  <c r="K272"/>
  <c r="L272"/>
  <c r="C273"/>
  <c r="E273"/>
  <c r="F273"/>
  <c r="G273"/>
  <c r="J273"/>
  <c r="K273"/>
  <c r="L273"/>
  <c r="C274"/>
  <c r="D274"/>
  <c r="E274"/>
  <c r="F274"/>
  <c r="G274"/>
  <c r="J274"/>
  <c r="K274"/>
  <c r="L274"/>
  <c r="C275"/>
  <c r="D275"/>
  <c r="E275"/>
  <c r="F275"/>
  <c r="G275"/>
  <c r="J275"/>
  <c r="K275"/>
  <c r="L275"/>
  <c r="C276"/>
  <c r="E276"/>
  <c r="F276"/>
  <c r="G276"/>
  <c r="J276"/>
  <c r="K276"/>
  <c r="L276"/>
  <c r="C277"/>
  <c r="D277"/>
  <c r="E277"/>
  <c r="F277"/>
  <c r="G277"/>
  <c r="J277"/>
  <c r="K277"/>
  <c r="L277"/>
  <c r="C278"/>
  <c r="D278"/>
  <c r="E278"/>
  <c r="F278"/>
  <c r="G278"/>
  <c r="J278"/>
  <c r="K278"/>
  <c r="L278"/>
  <c r="C279"/>
  <c r="D279"/>
  <c r="E279"/>
  <c r="F279"/>
  <c r="G279"/>
  <c r="J279"/>
  <c r="K279"/>
  <c r="L279"/>
  <c r="C280"/>
  <c r="E280"/>
  <c r="F280"/>
  <c r="G280"/>
  <c r="J280"/>
  <c r="K280"/>
  <c r="L280"/>
  <c r="C281"/>
  <c r="E281"/>
  <c r="F281"/>
  <c r="G281"/>
  <c r="J281"/>
  <c r="K281"/>
  <c r="L281"/>
  <c r="C282"/>
  <c r="D282"/>
  <c r="E282"/>
  <c r="F282"/>
  <c r="G282"/>
  <c r="J282"/>
  <c r="K282"/>
  <c r="L282"/>
  <c r="C283"/>
  <c r="D283"/>
  <c r="E283"/>
  <c r="F283"/>
  <c r="G283"/>
  <c r="J283"/>
  <c r="K283"/>
  <c r="L283"/>
  <c r="C284"/>
  <c r="E284"/>
  <c r="F284"/>
  <c r="G284"/>
  <c r="J284"/>
  <c r="K284"/>
  <c r="L284"/>
  <c r="C285"/>
  <c r="E285"/>
  <c r="F285"/>
  <c r="G285"/>
  <c r="J285"/>
  <c r="K285"/>
  <c r="L285"/>
  <c r="C286"/>
  <c r="D286"/>
  <c r="E286"/>
  <c r="F286"/>
  <c r="G286"/>
  <c r="J286"/>
  <c r="K286"/>
  <c r="L286"/>
  <c r="C287"/>
  <c r="D287"/>
  <c r="E287"/>
  <c r="F287"/>
  <c r="G287"/>
  <c r="J287"/>
  <c r="K287"/>
  <c r="L287"/>
  <c r="C288"/>
  <c r="E288"/>
  <c r="F288"/>
  <c r="G288"/>
  <c r="J288"/>
  <c r="K288"/>
  <c r="L288"/>
  <c r="C289"/>
  <c r="E289"/>
  <c r="F289"/>
  <c r="G289"/>
  <c r="J289"/>
  <c r="K289"/>
  <c r="L289"/>
  <c r="C290"/>
  <c r="D290"/>
  <c r="E290"/>
  <c r="F290"/>
  <c r="G290"/>
  <c r="J290"/>
  <c r="K290"/>
  <c r="L290"/>
  <c r="C291"/>
  <c r="D291"/>
  <c r="E291"/>
  <c r="F291"/>
  <c r="G291"/>
  <c r="J291"/>
  <c r="K291"/>
  <c r="L291"/>
  <c r="C292"/>
  <c r="E292"/>
  <c r="F292"/>
  <c r="G292"/>
  <c r="J292"/>
  <c r="K292"/>
  <c r="L292"/>
  <c r="C293"/>
  <c r="E293"/>
  <c r="F293"/>
  <c r="G293"/>
  <c r="J293"/>
  <c r="K293"/>
  <c r="L293"/>
  <c r="C294"/>
  <c r="D294"/>
  <c r="E294"/>
  <c r="F294"/>
  <c r="G294"/>
  <c r="J294"/>
  <c r="K294"/>
  <c r="L294"/>
  <c r="C295"/>
  <c r="D295"/>
  <c r="E295"/>
  <c r="F295"/>
  <c r="G295"/>
  <c r="J295"/>
  <c r="K295"/>
  <c r="L295"/>
  <c r="C296"/>
  <c r="E296"/>
  <c r="F296"/>
  <c r="G296"/>
  <c r="J296"/>
  <c r="K296"/>
  <c r="L296"/>
  <c r="C297"/>
  <c r="D297"/>
  <c r="E297"/>
  <c r="F297"/>
  <c r="G297"/>
  <c r="J297"/>
  <c r="K297"/>
  <c r="L297"/>
  <c r="C298"/>
  <c r="E298"/>
  <c r="F298"/>
  <c r="G298"/>
  <c r="J298"/>
  <c r="K298"/>
  <c r="L298"/>
  <c r="C299"/>
  <c r="D299"/>
  <c r="E299"/>
  <c r="F299"/>
  <c r="G299"/>
  <c r="J299"/>
  <c r="K299"/>
  <c r="L299"/>
  <c r="C300"/>
  <c r="E300"/>
  <c r="F300"/>
  <c r="G300"/>
  <c r="J300"/>
  <c r="K300"/>
  <c r="L300"/>
  <c r="C301"/>
  <c r="E301"/>
  <c r="F301"/>
  <c r="G301"/>
  <c r="J301"/>
  <c r="K301"/>
  <c r="L301"/>
  <c r="C302"/>
  <c r="D302"/>
  <c r="E302"/>
  <c r="F302"/>
  <c r="G302"/>
  <c r="J302"/>
  <c r="K302"/>
  <c r="L302"/>
  <c r="G5" i="8"/>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G52"/>
  <c r="H52"/>
  <c r="I52"/>
  <c r="J52"/>
  <c r="K52"/>
  <c r="L52"/>
  <c r="M52"/>
  <c r="N52"/>
  <c r="G53"/>
  <c r="H53"/>
  <c r="I53"/>
  <c r="J53"/>
  <c r="K53"/>
  <c r="L53"/>
  <c r="M53"/>
  <c r="N53"/>
  <c r="G54"/>
  <c r="H54"/>
  <c r="I54"/>
  <c r="J54"/>
  <c r="K54"/>
  <c r="L54"/>
  <c r="M54"/>
  <c r="N54"/>
  <c r="G55"/>
  <c r="H55"/>
  <c r="I55"/>
  <c r="J55"/>
  <c r="K55"/>
  <c r="L55"/>
  <c r="M55"/>
  <c r="N55"/>
  <c r="G56"/>
  <c r="H56"/>
  <c r="I56"/>
  <c r="J56"/>
  <c r="K56"/>
  <c r="L56"/>
  <c r="M56"/>
  <c r="N56"/>
  <c r="G57"/>
  <c r="H57"/>
  <c r="I57"/>
  <c r="J57"/>
  <c r="K57"/>
  <c r="L57"/>
  <c r="M57"/>
  <c r="N57"/>
  <c r="G58"/>
  <c r="H58"/>
  <c r="I58"/>
  <c r="J58"/>
  <c r="K58"/>
  <c r="L58"/>
  <c r="M58"/>
  <c r="N58"/>
  <c r="G59"/>
  <c r="H59"/>
  <c r="I59"/>
  <c r="J59"/>
  <c r="K59"/>
  <c r="L59"/>
  <c r="M59"/>
  <c r="N59"/>
  <c r="G60"/>
  <c r="H60"/>
  <c r="I60"/>
  <c r="J60"/>
  <c r="K60"/>
  <c r="L60"/>
  <c r="M60"/>
  <c r="N60"/>
  <c r="G61"/>
  <c r="H61"/>
  <c r="I61"/>
  <c r="J61"/>
  <c r="K61"/>
  <c r="L61"/>
  <c r="M61"/>
  <c r="N61"/>
  <c r="G62"/>
  <c r="H62"/>
  <c r="I62"/>
  <c r="J62"/>
  <c r="K62"/>
  <c r="L62"/>
  <c r="M62"/>
  <c r="N62"/>
  <c r="G63"/>
  <c r="H63"/>
  <c r="I63"/>
  <c r="J63"/>
  <c r="K63"/>
  <c r="L63"/>
  <c r="M63"/>
  <c r="N63"/>
  <c r="G64"/>
  <c r="H64"/>
  <c r="I64"/>
  <c r="J64"/>
  <c r="K64"/>
  <c r="L64"/>
  <c r="M64"/>
  <c r="N64"/>
  <c r="G65"/>
  <c r="H65"/>
  <c r="I65"/>
  <c r="J65"/>
  <c r="K65"/>
  <c r="L65"/>
  <c r="M65"/>
  <c r="N65"/>
  <c r="G66"/>
  <c r="H66"/>
  <c r="I66"/>
  <c r="J66"/>
  <c r="K66"/>
  <c r="L66"/>
  <c r="M66"/>
  <c r="N66"/>
  <c r="G67"/>
  <c r="H67"/>
  <c r="I67"/>
  <c r="J67"/>
  <c r="K67"/>
  <c r="L67"/>
  <c r="M67"/>
  <c r="N67"/>
  <c r="G68"/>
  <c r="H68"/>
  <c r="I68"/>
  <c r="J68"/>
  <c r="K68"/>
  <c r="L68"/>
  <c r="M68"/>
  <c r="N68"/>
  <c r="G69"/>
  <c r="H69"/>
  <c r="I69"/>
  <c r="J69"/>
  <c r="K69"/>
  <c r="L69"/>
  <c r="M69"/>
  <c r="N69"/>
  <c r="G70"/>
  <c r="H70"/>
  <c r="I70"/>
  <c r="J70"/>
  <c r="K70"/>
  <c r="L70"/>
  <c r="M70"/>
  <c r="N70"/>
  <c r="G71"/>
  <c r="H71"/>
  <c r="I71"/>
  <c r="J71"/>
  <c r="K71"/>
  <c r="L71"/>
  <c r="M71"/>
  <c r="N71"/>
  <c r="G72"/>
  <c r="H72"/>
  <c r="I72"/>
  <c r="J72"/>
  <c r="K72"/>
  <c r="L72"/>
  <c r="M72"/>
  <c r="N72"/>
  <c r="G73"/>
  <c r="H73"/>
  <c r="I73"/>
  <c r="J73"/>
  <c r="K73"/>
  <c r="L73"/>
  <c r="M73"/>
  <c r="N73"/>
  <c r="G74"/>
  <c r="H74"/>
  <c r="I74"/>
  <c r="J74"/>
  <c r="K74"/>
  <c r="L74"/>
  <c r="M74"/>
  <c r="N74"/>
  <c r="G75"/>
  <c r="H75"/>
  <c r="I75"/>
  <c r="J75"/>
  <c r="K75"/>
  <c r="L75"/>
  <c r="M75"/>
  <c r="N75"/>
  <c r="G76"/>
  <c r="H76"/>
  <c r="I76"/>
  <c r="J76"/>
  <c r="K76"/>
  <c r="L76"/>
  <c r="M76"/>
  <c r="N76"/>
  <c r="G77"/>
  <c r="H77"/>
  <c r="I77"/>
  <c r="J77"/>
  <c r="K77"/>
  <c r="L77"/>
  <c r="M77"/>
  <c r="N77"/>
  <c r="G78"/>
  <c r="H78"/>
  <c r="I78"/>
  <c r="J78"/>
  <c r="K78"/>
  <c r="L78"/>
  <c r="M78"/>
  <c r="N78"/>
  <c r="G79"/>
  <c r="H79"/>
  <c r="I79"/>
  <c r="J79"/>
  <c r="K79"/>
  <c r="L79"/>
  <c r="M79"/>
  <c r="N79"/>
  <c r="G80"/>
  <c r="H80"/>
  <c r="I80"/>
  <c r="J80"/>
  <c r="K80"/>
  <c r="L80"/>
  <c r="M80"/>
  <c r="N80"/>
  <c r="G81"/>
  <c r="H81"/>
  <c r="I81"/>
  <c r="J81"/>
  <c r="K81"/>
  <c r="L81"/>
  <c r="M81"/>
  <c r="N81"/>
  <c r="G82"/>
  <c r="H82"/>
  <c r="I82"/>
  <c r="J82"/>
  <c r="K82"/>
  <c r="L82"/>
  <c r="M82"/>
  <c r="N82"/>
  <c r="G83"/>
  <c r="H83"/>
  <c r="I83"/>
  <c r="J83"/>
  <c r="K83"/>
  <c r="L83"/>
  <c r="M83"/>
  <c r="N83"/>
  <c r="G84"/>
  <c r="H84"/>
  <c r="I84"/>
  <c r="J84"/>
  <c r="K84"/>
  <c r="L84"/>
  <c r="M84"/>
  <c r="N84"/>
  <c r="G85"/>
  <c r="H85"/>
  <c r="I85"/>
  <c r="J85"/>
  <c r="K85"/>
  <c r="L85"/>
  <c r="M85"/>
  <c r="N85"/>
  <c r="G86"/>
  <c r="H86"/>
  <c r="I86"/>
  <c r="J86"/>
  <c r="K86"/>
  <c r="L86"/>
  <c r="M86"/>
  <c r="N86"/>
  <c r="G87"/>
  <c r="H87"/>
  <c r="I87"/>
  <c r="J87"/>
  <c r="K87"/>
  <c r="L87"/>
  <c r="M87"/>
  <c r="N87"/>
  <c r="G88"/>
  <c r="H88"/>
  <c r="I88"/>
  <c r="J88"/>
  <c r="K88"/>
  <c r="L88"/>
  <c r="M88"/>
  <c r="N88"/>
  <c r="G89"/>
  <c r="H89"/>
  <c r="I89"/>
  <c r="J89"/>
  <c r="K89"/>
  <c r="L89"/>
  <c r="M89"/>
  <c r="N89"/>
  <c r="G90"/>
  <c r="H90"/>
  <c r="I90"/>
  <c r="J90"/>
  <c r="K90"/>
  <c r="L90"/>
  <c r="M90"/>
  <c r="N90"/>
  <c r="G91"/>
  <c r="H91"/>
  <c r="I91"/>
  <c r="J91"/>
  <c r="K91"/>
  <c r="L91"/>
  <c r="M91"/>
  <c r="N91"/>
  <c r="G92"/>
  <c r="H92"/>
  <c r="I92"/>
  <c r="J92"/>
  <c r="K92"/>
  <c r="L92"/>
  <c r="M92"/>
  <c r="N92"/>
  <c r="G93"/>
  <c r="H93"/>
  <c r="I93"/>
  <c r="J93"/>
  <c r="K93"/>
  <c r="L93"/>
  <c r="M93"/>
  <c r="N93"/>
  <c r="G94"/>
  <c r="H94"/>
  <c r="I94"/>
  <c r="J94"/>
  <c r="K94"/>
  <c r="L94"/>
  <c r="M94"/>
  <c r="N94"/>
  <c r="G95"/>
  <c r="H95"/>
  <c r="I95"/>
  <c r="J95"/>
  <c r="K95"/>
  <c r="L95"/>
  <c r="M95"/>
  <c r="N95"/>
  <c r="G96"/>
  <c r="H96"/>
  <c r="I96"/>
  <c r="J96"/>
  <c r="K96"/>
  <c r="L96"/>
  <c r="M96"/>
  <c r="N96"/>
  <c r="G97"/>
  <c r="H97"/>
  <c r="I97"/>
  <c r="J97"/>
  <c r="K97"/>
  <c r="L97"/>
  <c r="M97"/>
  <c r="N97"/>
  <c r="G98"/>
  <c r="H98"/>
  <c r="I98"/>
  <c r="J98"/>
  <c r="K98"/>
  <c r="L98"/>
  <c r="M98"/>
  <c r="N98"/>
  <c r="G99"/>
  <c r="H99"/>
  <c r="I99"/>
  <c r="J99"/>
  <c r="K99"/>
  <c r="L99"/>
  <c r="M99"/>
  <c r="N99"/>
  <c r="G100"/>
  <c r="H100"/>
  <c r="I100"/>
  <c r="J100"/>
  <c r="K100"/>
  <c r="L100"/>
  <c r="M100"/>
  <c r="N100"/>
  <c r="G101"/>
  <c r="H101"/>
  <c r="I101"/>
  <c r="J101"/>
  <c r="K101"/>
  <c r="L101"/>
  <c r="M101"/>
  <c r="N101"/>
  <c r="G102"/>
  <c r="H102"/>
  <c r="I102"/>
  <c r="J102"/>
  <c r="K102"/>
  <c r="L102"/>
  <c r="M102"/>
  <c r="N102"/>
  <c r="G103"/>
  <c r="H103"/>
  <c r="I103"/>
  <c r="J103"/>
  <c r="K103"/>
  <c r="L103"/>
  <c r="M103"/>
  <c r="N103"/>
  <c r="G104"/>
  <c r="H104"/>
  <c r="I104"/>
  <c r="J104"/>
  <c r="K104"/>
  <c r="L104"/>
  <c r="M104"/>
  <c r="N104"/>
  <c r="G105"/>
  <c r="H105"/>
  <c r="I105"/>
  <c r="J105"/>
  <c r="K105"/>
  <c r="L105"/>
  <c r="M105"/>
  <c r="N105"/>
  <c r="G106"/>
  <c r="H106"/>
  <c r="I106"/>
  <c r="J106"/>
  <c r="K106"/>
  <c r="L106"/>
  <c r="M106"/>
  <c r="N106"/>
  <c r="G107"/>
  <c r="H107"/>
  <c r="I107"/>
  <c r="J107"/>
  <c r="K107"/>
  <c r="L107"/>
  <c r="M107"/>
  <c r="N107"/>
  <c r="G108"/>
  <c r="H108"/>
  <c r="I108"/>
  <c r="J108"/>
  <c r="K108"/>
  <c r="L108"/>
  <c r="M108"/>
  <c r="N108"/>
  <c r="G109"/>
  <c r="H109"/>
  <c r="I109"/>
  <c r="J109"/>
  <c r="K109"/>
  <c r="L109"/>
  <c r="M109"/>
  <c r="N109"/>
  <c r="G110"/>
  <c r="H110"/>
  <c r="I110"/>
  <c r="J110"/>
  <c r="K110"/>
  <c r="L110"/>
  <c r="M110"/>
  <c r="N110"/>
  <c r="G111"/>
  <c r="H111"/>
  <c r="I111"/>
  <c r="J111"/>
  <c r="K111"/>
  <c r="L111"/>
  <c r="M111"/>
  <c r="N111"/>
  <c r="G112"/>
  <c r="H112"/>
  <c r="I112"/>
  <c r="J112"/>
  <c r="K112"/>
  <c r="L112"/>
  <c r="M112"/>
  <c r="N112"/>
  <c r="G113"/>
  <c r="H113"/>
  <c r="I113"/>
  <c r="J113"/>
  <c r="K113"/>
  <c r="L113"/>
  <c r="M113"/>
  <c r="N113"/>
  <c r="G114"/>
  <c r="H114"/>
  <c r="I114"/>
  <c r="J114"/>
  <c r="K114"/>
  <c r="L114"/>
  <c r="M114"/>
  <c r="N114"/>
  <c r="G115"/>
  <c r="H115"/>
  <c r="I115"/>
  <c r="J115"/>
  <c r="K115"/>
  <c r="L115"/>
  <c r="M115"/>
  <c r="N115"/>
  <c r="G116"/>
  <c r="H116"/>
  <c r="I116"/>
  <c r="J116"/>
  <c r="K116"/>
  <c r="L116"/>
  <c r="M116"/>
  <c r="N116"/>
  <c r="G117"/>
  <c r="H117"/>
  <c r="I117"/>
  <c r="J117"/>
  <c r="K117"/>
  <c r="L117"/>
  <c r="M117"/>
  <c r="N117"/>
  <c r="G118"/>
  <c r="H118"/>
  <c r="I118"/>
  <c r="J118"/>
  <c r="K118"/>
  <c r="L118"/>
  <c r="M118"/>
  <c r="N118"/>
  <c r="G119"/>
  <c r="H119"/>
  <c r="I119"/>
  <c r="J119"/>
  <c r="K119"/>
  <c r="L119"/>
  <c r="M119"/>
  <c r="N119"/>
  <c r="G120"/>
  <c r="H120"/>
  <c r="I120"/>
  <c r="J120"/>
  <c r="K120"/>
  <c r="L120"/>
  <c r="M120"/>
  <c r="N120"/>
  <c r="G121"/>
  <c r="H121"/>
  <c r="I121"/>
  <c r="J121"/>
  <c r="K121"/>
  <c r="L121"/>
  <c r="M121"/>
  <c r="N121"/>
  <c r="G122"/>
  <c r="H122"/>
  <c r="I122"/>
  <c r="J122"/>
  <c r="K122"/>
  <c r="L122"/>
  <c r="M122"/>
  <c r="N122"/>
  <c r="G123"/>
  <c r="H123"/>
  <c r="I123"/>
  <c r="J123"/>
  <c r="K123"/>
  <c r="L123"/>
  <c r="M123"/>
  <c r="N123"/>
  <c r="G124"/>
  <c r="H124"/>
  <c r="I124"/>
  <c r="J124"/>
  <c r="K124"/>
  <c r="L124"/>
  <c r="M124"/>
  <c r="N124"/>
  <c r="G125"/>
  <c r="H125"/>
  <c r="I125"/>
  <c r="J125"/>
  <c r="K125"/>
  <c r="L125"/>
  <c r="M125"/>
  <c r="N125"/>
  <c r="G126"/>
  <c r="H126"/>
  <c r="I126"/>
  <c r="J126"/>
  <c r="K126"/>
  <c r="L126"/>
  <c r="M126"/>
  <c r="N126"/>
  <c r="G127"/>
  <c r="H127"/>
  <c r="I127"/>
  <c r="J127"/>
  <c r="K127"/>
  <c r="L127"/>
  <c r="M127"/>
  <c r="N127"/>
  <c r="G128"/>
  <c r="H128"/>
  <c r="I128"/>
  <c r="J128"/>
  <c r="K128"/>
  <c r="L128"/>
  <c r="M128"/>
  <c r="N128"/>
  <c r="G129"/>
  <c r="H129"/>
  <c r="I129"/>
  <c r="J129"/>
  <c r="K129"/>
  <c r="L129"/>
  <c r="M129"/>
  <c r="N129"/>
  <c r="G130"/>
  <c r="H130"/>
  <c r="I130"/>
  <c r="J130"/>
  <c r="K130"/>
  <c r="L130"/>
  <c r="M130"/>
  <c r="N130"/>
  <c r="G131"/>
  <c r="H131"/>
  <c r="I131"/>
  <c r="J131"/>
  <c r="K131"/>
  <c r="L131"/>
  <c r="M131"/>
  <c r="N131"/>
  <c r="G132"/>
  <c r="H132"/>
  <c r="I132"/>
  <c r="J132"/>
  <c r="K132"/>
  <c r="L132"/>
  <c r="M132"/>
  <c r="N132"/>
  <c r="G133"/>
  <c r="H133"/>
  <c r="I133"/>
  <c r="J133"/>
  <c r="K133"/>
  <c r="L133"/>
  <c r="M133"/>
  <c r="N133"/>
  <c r="G134"/>
  <c r="H134"/>
  <c r="I134"/>
  <c r="J134"/>
  <c r="K134"/>
  <c r="L134"/>
  <c r="M134"/>
  <c r="N134"/>
  <c r="G135"/>
  <c r="H135"/>
  <c r="I135"/>
  <c r="J135"/>
  <c r="K135"/>
  <c r="L135"/>
  <c r="M135"/>
  <c r="N135"/>
  <c r="G136"/>
  <c r="H136"/>
  <c r="I136"/>
  <c r="J136"/>
  <c r="K136"/>
  <c r="L136"/>
  <c r="M136"/>
  <c r="N136"/>
  <c r="G137"/>
  <c r="H137"/>
  <c r="I137"/>
  <c r="J137"/>
  <c r="K137"/>
  <c r="L137"/>
  <c r="M137"/>
  <c r="N137"/>
  <c r="G138"/>
  <c r="H138"/>
  <c r="I138"/>
  <c r="J138"/>
  <c r="K138"/>
  <c r="L138"/>
  <c r="M138"/>
  <c r="N138"/>
  <c r="G139"/>
  <c r="H139"/>
  <c r="I139"/>
  <c r="J139"/>
  <c r="K139"/>
  <c r="L139"/>
  <c r="M139"/>
  <c r="N139"/>
  <c r="G140"/>
  <c r="H140"/>
  <c r="I140"/>
  <c r="J140"/>
  <c r="K140"/>
  <c r="L140"/>
  <c r="M140"/>
  <c r="N140"/>
  <c r="G141"/>
  <c r="H141"/>
  <c r="I141"/>
  <c r="J141"/>
  <c r="K141"/>
  <c r="L141"/>
  <c r="M141"/>
  <c r="N141"/>
  <c r="G142"/>
  <c r="H142"/>
  <c r="I142"/>
  <c r="J142"/>
  <c r="K142"/>
  <c r="L142"/>
  <c r="M142"/>
  <c r="N142"/>
  <c r="G143"/>
  <c r="H143"/>
  <c r="I143"/>
  <c r="J143"/>
  <c r="K143"/>
  <c r="L143"/>
  <c r="M143"/>
  <c r="N143"/>
  <c r="G144"/>
  <c r="H144"/>
  <c r="I144"/>
  <c r="J144"/>
  <c r="K144"/>
  <c r="L144"/>
  <c r="M144"/>
  <c r="N144"/>
  <c r="G145"/>
  <c r="H145"/>
  <c r="I145"/>
  <c r="J145"/>
  <c r="K145"/>
  <c r="L145"/>
  <c r="M145"/>
  <c r="N145"/>
  <c r="G146"/>
  <c r="H146"/>
  <c r="I146"/>
  <c r="J146"/>
  <c r="K146"/>
  <c r="L146"/>
  <c r="M146"/>
  <c r="N146"/>
  <c r="G147"/>
  <c r="H147"/>
  <c r="I147"/>
  <c r="J147"/>
  <c r="K147"/>
  <c r="L147"/>
  <c r="M147"/>
  <c r="N147"/>
  <c r="G148"/>
  <c r="H148"/>
  <c r="I148"/>
  <c r="J148"/>
  <c r="K148"/>
  <c r="L148"/>
  <c r="M148"/>
  <c r="N148"/>
  <c r="G149"/>
  <c r="H149"/>
  <c r="I149"/>
  <c r="J149"/>
  <c r="K149"/>
  <c r="L149"/>
  <c r="M149"/>
  <c r="N149"/>
  <c r="G150"/>
  <c r="H150"/>
  <c r="I150"/>
  <c r="J150"/>
  <c r="K150"/>
  <c r="L150"/>
  <c r="M150"/>
  <c r="N150"/>
  <c r="G151"/>
  <c r="H151"/>
  <c r="I151"/>
  <c r="J151"/>
  <c r="K151"/>
  <c r="L151"/>
  <c r="M151"/>
  <c r="N151"/>
  <c r="G152"/>
  <c r="H152"/>
  <c r="I152"/>
  <c r="J152"/>
  <c r="K152"/>
  <c r="L152"/>
  <c r="M152"/>
  <c r="N152"/>
  <c r="G153"/>
  <c r="H153"/>
  <c r="I153"/>
  <c r="J153"/>
  <c r="K153"/>
  <c r="L153"/>
  <c r="M153"/>
  <c r="N153"/>
  <c r="G154"/>
  <c r="H154"/>
  <c r="I154"/>
  <c r="J154"/>
  <c r="K154"/>
  <c r="L154"/>
  <c r="M154"/>
  <c r="N154"/>
  <c r="G155"/>
  <c r="H155"/>
  <c r="I155"/>
  <c r="J155"/>
  <c r="K155"/>
  <c r="L155"/>
  <c r="M155"/>
  <c r="N155"/>
  <c r="G156"/>
  <c r="H156"/>
  <c r="I156"/>
  <c r="J156"/>
  <c r="K156"/>
  <c r="L156"/>
  <c r="M156"/>
  <c r="N156"/>
  <c r="G157"/>
  <c r="H157"/>
  <c r="I157"/>
  <c r="J157"/>
  <c r="K157"/>
  <c r="L157"/>
  <c r="M157"/>
  <c r="N157"/>
  <c r="G158"/>
  <c r="H158"/>
  <c r="I158"/>
  <c r="J158"/>
  <c r="K158"/>
  <c r="L158"/>
  <c r="M158"/>
  <c r="N158"/>
  <c r="G159"/>
  <c r="H159"/>
  <c r="I159"/>
  <c r="J159"/>
  <c r="K159"/>
  <c r="L159"/>
  <c r="M159"/>
  <c r="N159"/>
  <c r="G160"/>
  <c r="H160"/>
  <c r="I160"/>
  <c r="J160"/>
  <c r="K160"/>
  <c r="L160"/>
  <c r="M160"/>
  <c r="N160"/>
  <c r="G161"/>
  <c r="H161"/>
  <c r="I161"/>
  <c r="J161"/>
  <c r="K161"/>
  <c r="L161"/>
  <c r="M161"/>
  <c r="N161"/>
  <c r="G162"/>
  <c r="H162"/>
  <c r="I162"/>
  <c r="J162"/>
  <c r="K162"/>
  <c r="L162"/>
  <c r="M162"/>
  <c r="N162"/>
  <c r="G163"/>
  <c r="H163"/>
  <c r="I163"/>
  <c r="J163"/>
  <c r="K163"/>
  <c r="L163"/>
  <c r="M163"/>
  <c r="N163"/>
  <c r="G164"/>
  <c r="H164"/>
  <c r="I164"/>
  <c r="J164"/>
  <c r="K164"/>
  <c r="L164"/>
  <c r="M164"/>
  <c r="N164"/>
  <c r="G165"/>
  <c r="H165"/>
  <c r="I165"/>
  <c r="J165"/>
  <c r="K165"/>
  <c r="L165"/>
  <c r="M165"/>
  <c r="N165"/>
  <c r="G166"/>
  <c r="H166"/>
  <c r="I166"/>
  <c r="J166"/>
  <c r="K166"/>
  <c r="L166"/>
  <c r="M166"/>
  <c r="N166"/>
  <c r="G167"/>
  <c r="H167"/>
  <c r="I167"/>
  <c r="J167"/>
  <c r="K167"/>
  <c r="L167"/>
  <c r="M167"/>
  <c r="N167"/>
  <c r="G168"/>
  <c r="H168"/>
  <c r="I168"/>
  <c r="J168"/>
  <c r="K168"/>
  <c r="L168"/>
  <c r="M168"/>
  <c r="N168"/>
  <c r="G169"/>
  <c r="H169"/>
  <c r="I169"/>
  <c r="J169"/>
  <c r="K169"/>
  <c r="L169"/>
  <c r="M169"/>
  <c r="N169"/>
  <c r="G170"/>
  <c r="H170"/>
  <c r="I170"/>
  <c r="J170"/>
  <c r="K170"/>
  <c r="L170"/>
  <c r="M170"/>
  <c r="N170"/>
  <c r="G171"/>
  <c r="H171"/>
  <c r="I171"/>
  <c r="J171"/>
  <c r="K171"/>
  <c r="L171"/>
  <c r="M171"/>
  <c r="N171"/>
  <c r="G172"/>
  <c r="H172"/>
  <c r="I172"/>
  <c r="J172"/>
  <c r="K172"/>
  <c r="L172"/>
  <c r="M172"/>
  <c r="N172"/>
  <c r="G173"/>
  <c r="H173"/>
  <c r="I173"/>
  <c r="J173"/>
  <c r="K173"/>
  <c r="L173"/>
  <c r="M173"/>
  <c r="N173"/>
  <c r="G174"/>
  <c r="H174"/>
  <c r="I174"/>
  <c r="J174"/>
  <c r="K174"/>
  <c r="L174"/>
  <c r="M174"/>
  <c r="N174"/>
  <c r="G175"/>
  <c r="H175"/>
  <c r="I175"/>
  <c r="J175"/>
  <c r="K175"/>
  <c r="L175"/>
  <c r="M175"/>
  <c r="N175"/>
  <c r="G176"/>
  <c r="H176"/>
  <c r="I176"/>
  <c r="J176"/>
  <c r="K176"/>
  <c r="L176"/>
  <c r="M176"/>
  <c r="N176"/>
  <c r="G177"/>
  <c r="H177"/>
  <c r="I177"/>
  <c r="J177"/>
  <c r="K177"/>
  <c r="L177"/>
  <c r="M177"/>
  <c r="N177"/>
  <c r="G178"/>
  <c r="H178"/>
  <c r="I178"/>
  <c r="J178"/>
  <c r="K178"/>
  <c r="L178"/>
  <c r="M178"/>
  <c r="N178"/>
  <c r="G179"/>
  <c r="H179"/>
  <c r="I179"/>
  <c r="J179"/>
  <c r="K179"/>
  <c r="L179"/>
  <c r="M179"/>
  <c r="N179"/>
  <c r="G180"/>
  <c r="H180"/>
  <c r="I180"/>
  <c r="J180"/>
  <c r="K180"/>
  <c r="L180"/>
  <c r="M180"/>
  <c r="N180"/>
  <c r="G181"/>
  <c r="H181"/>
  <c r="I181"/>
  <c r="J181"/>
  <c r="K181"/>
  <c r="L181"/>
  <c r="M181"/>
  <c r="N181"/>
  <c r="G182"/>
  <c r="H182"/>
  <c r="I182"/>
  <c r="J182"/>
  <c r="K182"/>
  <c r="L182"/>
  <c r="M182"/>
  <c r="N182"/>
  <c r="G183"/>
  <c r="H183"/>
  <c r="I183"/>
  <c r="J183"/>
  <c r="K183"/>
  <c r="L183"/>
  <c r="M183"/>
  <c r="N183"/>
  <c r="G184"/>
  <c r="H184"/>
  <c r="I184"/>
  <c r="J184"/>
  <c r="K184"/>
  <c r="L184"/>
  <c r="M184"/>
  <c r="N184"/>
  <c r="G185"/>
  <c r="H185"/>
  <c r="I185"/>
  <c r="J185"/>
  <c r="K185"/>
  <c r="L185"/>
  <c r="M185"/>
  <c r="N185"/>
  <c r="G186"/>
  <c r="H186"/>
  <c r="I186"/>
  <c r="J186"/>
  <c r="K186"/>
  <c r="L186"/>
  <c r="M186"/>
  <c r="N186"/>
  <c r="G187"/>
  <c r="H187"/>
  <c r="I187"/>
  <c r="J187"/>
  <c r="K187"/>
  <c r="L187"/>
  <c r="M187"/>
  <c r="N187"/>
  <c r="G188"/>
  <c r="H188"/>
  <c r="I188"/>
  <c r="J188"/>
  <c r="K188"/>
  <c r="L188"/>
  <c r="M188"/>
  <c r="N188"/>
  <c r="G189"/>
  <c r="H189"/>
  <c r="I189"/>
  <c r="J189"/>
  <c r="K189"/>
  <c r="L189"/>
  <c r="M189"/>
  <c r="N189"/>
  <c r="G190"/>
  <c r="H190"/>
  <c r="I190"/>
  <c r="J190"/>
  <c r="K190"/>
  <c r="L190"/>
  <c r="M190"/>
  <c r="N190"/>
  <c r="G191"/>
  <c r="H191"/>
  <c r="I191"/>
  <c r="J191"/>
  <c r="K191"/>
  <c r="L191"/>
  <c r="M191"/>
  <c r="N191"/>
  <c r="G192"/>
  <c r="H192"/>
  <c r="I192"/>
  <c r="J192"/>
  <c r="K192"/>
  <c r="L192"/>
  <c r="M192"/>
  <c r="N192"/>
  <c r="G193"/>
  <c r="H193"/>
  <c r="I193"/>
  <c r="J193"/>
  <c r="K193"/>
  <c r="L193"/>
  <c r="M193"/>
  <c r="N193"/>
  <c r="G194"/>
  <c r="H194"/>
  <c r="I194"/>
  <c r="J194"/>
  <c r="K194"/>
  <c r="L194"/>
  <c r="M194"/>
  <c r="N194"/>
  <c r="G195"/>
  <c r="H195"/>
  <c r="I195"/>
  <c r="J195"/>
  <c r="K195"/>
  <c r="L195"/>
  <c r="M195"/>
  <c r="N195"/>
  <c r="G196"/>
  <c r="H196"/>
  <c r="I196"/>
  <c r="J196"/>
  <c r="K196"/>
  <c r="L196"/>
  <c r="M196"/>
  <c r="N196"/>
  <c r="G197"/>
  <c r="H197"/>
  <c r="I197"/>
  <c r="J197"/>
  <c r="K197"/>
  <c r="L197"/>
  <c r="M197"/>
  <c r="N197"/>
  <c r="G198"/>
  <c r="H198"/>
  <c r="I198"/>
  <c r="J198"/>
  <c r="K198"/>
  <c r="L198"/>
  <c r="M198"/>
  <c r="N198"/>
  <c r="G199"/>
  <c r="H199"/>
  <c r="I199"/>
  <c r="J199"/>
  <c r="K199"/>
  <c r="L199"/>
  <c r="M199"/>
  <c r="N199"/>
  <c r="G200"/>
  <c r="H200"/>
  <c r="I200"/>
  <c r="J200"/>
  <c r="K200"/>
  <c r="L200"/>
  <c r="M200"/>
  <c r="N200"/>
  <c r="G201"/>
  <c r="H201"/>
  <c r="I201"/>
  <c r="J201"/>
  <c r="K201"/>
  <c r="L201"/>
  <c r="M201"/>
  <c r="N201"/>
  <c r="G202"/>
  <c r="H202"/>
  <c r="I202"/>
  <c r="J202"/>
  <c r="K202"/>
  <c r="L202"/>
  <c r="M202"/>
  <c r="N202"/>
  <c r="G203"/>
  <c r="H203"/>
  <c r="I203"/>
  <c r="J203"/>
  <c r="K203"/>
  <c r="L203"/>
  <c r="M203"/>
  <c r="N203"/>
  <c r="G204"/>
  <c r="H204"/>
  <c r="I204"/>
  <c r="J204"/>
  <c r="K204"/>
  <c r="L204"/>
  <c r="M204"/>
  <c r="N204"/>
  <c r="G205"/>
  <c r="H205"/>
  <c r="I205"/>
  <c r="J205"/>
  <c r="K205"/>
  <c r="L205"/>
  <c r="M205"/>
  <c r="N205"/>
  <c r="G206"/>
  <c r="H206"/>
  <c r="I206"/>
  <c r="J206"/>
  <c r="K206"/>
  <c r="L206"/>
  <c r="M206"/>
  <c r="N206"/>
  <c r="G207"/>
  <c r="H207"/>
  <c r="I207"/>
  <c r="J207"/>
  <c r="K207"/>
  <c r="L207"/>
  <c r="M207"/>
  <c r="N207"/>
  <c r="G208"/>
  <c r="H208"/>
  <c r="I208"/>
  <c r="J208"/>
  <c r="K208"/>
  <c r="L208"/>
  <c r="M208"/>
  <c r="N208"/>
  <c r="G209"/>
  <c r="H209"/>
  <c r="I209"/>
  <c r="J209"/>
  <c r="K209"/>
  <c r="L209"/>
  <c r="M209"/>
  <c r="N209"/>
  <c r="G210"/>
  <c r="H210"/>
  <c r="I210"/>
  <c r="J210"/>
  <c r="K210"/>
  <c r="L210"/>
  <c r="M210"/>
  <c r="N210"/>
  <c r="G211"/>
  <c r="H211"/>
  <c r="I211"/>
  <c r="J211"/>
  <c r="K211"/>
  <c r="L211"/>
  <c r="M211"/>
  <c r="N211"/>
  <c r="G212"/>
  <c r="H212"/>
  <c r="I212"/>
  <c r="J212"/>
  <c r="K212"/>
  <c r="L212"/>
  <c r="M212"/>
  <c r="N212"/>
  <c r="G213"/>
  <c r="H213"/>
  <c r="I213"/>
  <c r="J213"/>
  <c r="K213"/>
  <c r="L213"/>
  <c r="M213"/>
  <c r="N213"/>
  <c r="G214"/>
  <c r="H214"/>
  <c r="I214"/>
  <c r="J214"/>
  <c r="K214"/>
  <c r="L214"/>
  <c r="M214"/>
  <c r="N214"/>
  <c r="G215"/>
  <c r="H215"/>
  <c r="I215"/>
  <c r="J215"/>
  <c r="K215"/>
  <c r="L215"/>
  <c r="M215"/>
  <c r="N215"/>
  <c r="G216"/>
  <c r="H216"/>
  <c r="I216"/>
  <c r="J216"/>
  <c r="K216"/>
  <c r="L216"/>
  <c r="M216"/>
  <c r="N216"/>
  <c r="G217"/>
  <c r="H217"/>
  <c r="I217"/>
  <c r="J217"/>
  <c r="K217"/>
  <c r="L217"/>
  <c r="M217"/>
  <c r="N217"/>
  <c r="G218"/>
  <c r="H218"/>
  <c r="I218"/>
  <c r="J218"/>
  <c r="K218"/>
  <c r="L218"/>
  <c r="M218"/>
  <c r="N218"/>
  <c r="G219"/>
  <c r="H219"/>
  <c r="I219"/>
  <c r="J219"/>
  <c r="K219"/>
  <c r="L219"/>
  <c r="M219"/>
  <c r="N219"/>
  <c r="G220"/>
  <c r="H220"/>
  <c r="I220"/>
  <c r="J220"/>
  <c r="K220"/>
  <c r="L220"/>
  <c r="M220"/>
  <c r="N220"/>
  <c r="G221"/>
  <c r="H221"/>
  <c r="I221"/>
  <c r="J221"/>
  <c r="K221"/>
  <c r="L221"/>
  <c r="M221"/>
  <c r="N221"/>
  <c r="G222"/>
  <c r="H222"/>
  <c r="I222"/>
  <c r="J222"/>
  <c r="K222"/>
  <c r="L222"/>
  <c r="M222"/>
  <c r="N222"/>
  <c r="G223"/>
  <c r="H223"/>
  <c r="I223"/>
  <c r="J223"/>
  <c r="K223"/>
  <c r="L223"/>
  <c r="M223"/>
  <c r="N223"/>
  <c r="G224"/>
  <c r="H224"/>
  <c r="I224"/>
  <c r="J224"/>
  <c r="K224"/>
  <c r="L224"/>
  <c r="M224"/>
  <c r="N224"/>
  <c r="G225"/>
  <c r="H225"/>
  <c r="I225"/>
  <c r="J225"/>
  <c r="K225"/>
  <c r="L225"/>
  <c r="M225"/>
  <c r="N225"/>
  <c r="G226"/>
  <c r="H226"/>
  <c r="I226"/>
  <c r="J226"/>
  <c r="K226"/>
  <c r="L226"/>
  <c r="M226"/>
  <c r="N226"/>
  <c r="G227"/>
  <c r="H227"/>
  <c r="I227"/>
  <c r="J227"/>
  <c r="K227"/>
  <c r="L227"/>
  <c r="M227"/>
  <c r="N227"/>
  <c r="G228"/>
  <c r="H228"/>
  <c r="I228"/>
  <c r="J228"/>
  <c r="K228"/>
  <c r="L228"/>
  <c r="M228"/>
  <c r="N228"/>
  <c r="G229"/>
  <c r="H229"/>
  <c r="I229"/>
  <c r="J229"/>
  <c r="K229"/>
  <c r="L229"/>
  <c r="M229"/>
  <c r="N229"/>
  <c r="G230"/>
  <c r="H230"/>
  <c r="I230"/>
  <c r="J230"/>
  <c r="K230"/>
  <c r="L230"/>
  <c r="M230"/>
  <c r="N230"/>
  <c r="G231"/>
  <c r="H231"/>
  <c r="I231"/>
  <c r="J231"/>
  <c r="K231"/>
  <c r="L231"/>
  <c r="M231"/>
  <c r="N231"/>
  <c r="G232"/>
  <c r="H232"/>
  <c r="I232"/>
  <c r="J232"/>
  <c r="K232"/>
  <c r="L232"/>
  <c r="M232"/>
  <c r="N232"/>
  <c r="G233"/>
  <c r="H233"/>
  <c r="I233"/>
  <c r="J233"/>
  <c r="K233"/>
  <c r="L233"/>
  <c r="M233"/>
  <c r="N233"/>
  <c r="G234"/>
  <c r="H234"/>
  <c r="I234"/>
  <c r="J234"/>
  <c r="K234"/>
  <c r="L234"/>
  <c r="M234"/>
  <c r="N234"/>
  <c r="G235"/>
  <c r="H235"/>
  <c r="I235"/>
  <c r="J235"/>
  <c r="K235"/>
  <c r="L235"/>
  <c r="M235"/>
  <c r="N235"/>
  <c r="G236"/>
  <c r="H236"/>
  <c r="I236"/>
  <c r="J236"/>
  <c r="K236"/>
  <c r="L236"/>
  <c r="M236"/>
  <c r="N236"/>
  <c r="G237"/>
  <c r="H237"/>
  <c r="I237"/>
  <c r="J237"/>
  <c r="K237"/>
  <c r="L237"/>
  <c r="M237"/>
  <c r="N237"/>
  <c r="G238"/>
  <c r="H238"/>
  <c r="I238"/>
  <c r="J238"/>
  <c r="K238"/>
  <c r="L238"/>
  <c r="M238"/>
  <c r="N238"/>
  <c r="G239"/>
  <c r="H239"/>
  <c r="I239"/>
  <c r="J239"/>
  <c r="K239"/>
  <c r="L239"/>
  <c r="M239"/>
  <c r="N239"/>
  <c r="G240"/>
  <c r="H240"/>
  <c r="I240"/>
  <c r="J240"/>
  <c r="K240"/>
  <c r="L240"/>
  <c r="M240"/>
  <c r="N240"/>
  <c r="G241"/>
  <c r="H241"/>
  <c r="I241"/>
  <c r="J241"/>
  <c r="K241"/>
  <c r="L241"/>
  <c r="M241"/>
  <c r="N241"/>
  <c r="G242"/>
  <c r="H242"/>
  <c r="I242"/>
  <c r="J242"/>
  <c r="K242"/>
  <c r="L242"/>
  <c r="M242"/>
  <c r="N242"/>
  <c r="G243"/>
  <c r="H243"/>
  <c r="I243"/>
  <c r="J243"/>
  <c r="K243"/>
  <c r="L243"/>
  <c r="M243"/>
  <c r="N243"/>
  <c r="G244"/>
  <c r="H244"/>
  <c r="I244"/>
  <c r="J244"/>
  <c r="K244"/>
  <c r="L244"/>
  <c r="M244"/>
  <c r="N244"/>
  <c r="G245"/>
  <c r="H245"/>
  <c r="I245"/>
  <c r="J245"/>
  <c r="K245"/>
  <c r="L245"/>
  <c r="M245"/>
  <c r="N245"/>
  <c r="G246"/>
  <c r="H246"/>
  <c r="I246"/>
  <c r="J246"/>
  <c r="K246"/>
  <c r="L246"/>
  <c r="M246"/>
  <c r="N246"/>
  <c r="G247"/>
  <c r="H247"/>
  <c r="I247"/>
  <c r="J247"/>
  <c r="K247"/>
  <c r="L247"/>
  <c r="M247"/>
  <c r="N247"/>
  <c r="G248"/>
  <c r="H248"/>
  <c r="I248"/>
  <c r="J248"/>
  <c r="K248"/>
  <c r="L248"/>
  <c r="M248"/>
  <c r="N248"/>
  <c r="G249"/>
  <c r="H249"/>
  <c r="I249"/>
  <c r="J249"/>
  <c r="K249"/>
  <c r="L249"/>
  <c r="M249"/>
  <c r="N249"/>
  <c r="G250"/>
  <c r="H250"/>
  <c r="I250"/>
  <c r="J250"/>
  <c r="K250"/>
  <c r="L250"/>
  <c r="M250"/>
  <c r="N250"/>
  <c r="G251"/>
  <c r="H251"/>
  <c r="I251"/>
  <c r="J251"/>
  <c r="K251"/>
  <c r="L251"/>
  <c r="M251"/>
  <c r="N251"/>
  <c r="G252"/>
  <c r="H252"/>
  <c r="I252"/>
  <c r="J252"/>
  <c r="K252"/>
  <c r="L252"/>
  <c r="M252"/>
  <c r="N252"/>
  <c r="G253"/>
  <c r="H253"/>
  <c r="I253"/>
  <c r="J253"/>
  <c r="K253"/>
  <c r="L253"/>
  <c r="M253"/>
  <c r="N253"/>
  <c r="G254"/>
  <c r="H254"/>
  <c r="I254"/>
  <c r="J254"/>
  <c r="K254"/>
  <c r="L254"/>
  <c r="M254"/>
  <c r="N254"/>
  <c r="G255"/>
  <c r="H255"/>
  <c r="I255"/>
  <c r="J255"/>
  <c r="K255"/>
  <c r="L255"/>
  <c r="M255"/>
  <c r="N255"/>
  <c r="G256"/>
  <c r="H256"/>
  <c r="I256"/>
  <c r="J256"/>
  <c r="K256"/>
  <c r="L256"/>
  <c r="M256"/>
  <c r="N256"/>
  <c r="G257"/>
  <c r="H257"/>
  <c r="I257"/>
  <c r="J257"/>
  <c r="K257"/>
  <c r="L257"/>
  <c r="M257"/>
  <c r="N257"/>
  <c r="G258"/>
  <c r="H258"/>
  <c r="I258"/>
  <c r="J258"/>
  <c r="K258"/>
  <c r="L258"/>
  <c r="M258"/>
  <c r="N258"/>
  <c r="G259"/>
  <c r="H259"/>
  <c r="I259"/>
  <c r="J259"/>
  <c r="K259"/>
  <c r="L259"/>
  <c r="M259"/>
  <c r="N259"/>
  <c r="G260"/>
  <c r="H260"/>
  <c r="I260"/>
  <c r="J260"/>
  <c r="K260"/>
  <c r="L260"/>
  <c r="M260"/>
  <c r="N260"/>
  <c r="G261"/>
  <c r="H261"/>
  <c r="I261"/>
  <c r="J261"/>
  <c r="K261"/>
  <c r="L261"/>
  <c r="M261"/>
  <c r="N261"/>
  <c r="G262"/>
  <c r="H262"/>
  <c r="I262"/>
  <c r="J262"/>
  <c r="K262"/>
  <c r="L262"/>
  <c r="M262"/>
  <c r="N262"/>
  <c r="G263"/>
  <c r="H263"/>
  <c r="I263"/>
  <c r="J263"/>
  <c r="K263"/>
  <c r="L263"/>
  <c r="M263"/>
  <c r="N263"/>
  <c r="G264"/>
  <c r="H264"/>
  <c r="I264"/>
  <c r="J264"/>
  <c r="K264"/>
  <c r="L264"/>
  <c r="M264"/>
  <c r="N264"/>
  <c r="G265"/>
  <c r="H265"/>
  <c r="I265"/>
  <c r="J265"/>
  <c r="K265"/>
  <c r="L265"/>
  <c r="M265"/>
  <c r="N265"/>
  <c r="G266"/>
  <c r="H266"/>
  <c r="I266"/>
  <c r="J266"/>
  <c r="K266"/>
  <c r="L266"/>
  <c r="M266"/>
  <c r="N266"/>
  <c r="G267"/>
  <c r="H267"/>
  <c r="I267"/>
  <c r="J267"/>
  <c r="K267"/>
  <c r="L267"/>
  <c r="M267"/>
  <c r="N267"/>
  <c r="G268"/>
  <c r="H268"/>
  <c r="I268"/>
  <c r="J268"/>
  <c r="K268"/>
  <c r="L268"/>
  <c r="M268"/>
  <c r="N268"/>
  <c r="G269"/>
  <c r="H269"/>
  <c r="I269"/>
  <c r="J269"/>
  <c r="K269"/>
  <c r="L269"/>
  <c r="M269"/>
  <c r="N269"/>
  <c r="G270"/>
  <c r="H270"/>
  <c r="I270"/>
  <c r="J270"/>
  <c r="K270"/>
  <c r="L270"/>
  <c r="M270"/>
  <c r="N270"/>
  <c r="G271"/>
  <c r="H271"/>
  <c r="I271"/>
  <c r="J271"/>
  <c r="K271"/>
  <c r="L271"/>
  <c r="M271"/>
  <c r="N271"/>
  <c r="G272"/>
  <c r="H272"/>
  <c r="I272"/>
  <c r="J272"/>
  <c r="K272"/>
  <c r="L272"/>
  <c r="M272"/>
  <c r="N272"/>
  <c r="G273"/>
  <c r="H273"/>
  <c r="I273"/>
  <c r="J273"/>
  <c r="K273"/>
  <c r="L273"/>
  <c r="M273"/>
  <c r="N273"/>
  <c r="G274"/>
  <c r="H274"/>
  <c r="I274"/>
  <c r="J274"/>
  <c r="K274"/>
  <c r="L274"/>
  <c r="M274"/>
  <c r="N274"/>
  <c r="G275"/>
  <c r="H275"/>
  <c r="I275"/>
  <c r="J275"/>
  <c r="K275"/>
  <c r="L275"/>
  <c r="M275"/>
  <c r="N275"/>
  <c r="G276"/>
  <c r="H276"/>
  <c r="I276"/>
  <c r="J276"/>
  <c r="K276"/>
  <c r="L276"/>
  <c r="M276"/>
  <c r="N276"/>
  <c r="G277"/>
  <c r="H277"/>
  <c r="I277"/>
  <c r="J277"/>
  <c r="K277"/>
  <c r="L277"/>
  <c r="M277"/>
  <c r="N277"/>
  <c r="G278"/>
  <c r="H278"/>
  <c r="I278"/>
  <c r="J278"/>
  <c r="K278"/>
  <c r="L278"/>
  <c r="M278"/>
  <c r="N278"/>
  <c r="G279"/>
  <c r="H279"/>
  <c r="I279"/>
  <c r="J279"/>
  <c r="K279"/>
  <c r="L279"/>
  <c r="M279"/>
  <c r="N279"/>
  <c r="G280"/>
  <c r="H280"/>
  <c r="I280"/>
  <c r="J280"/>
  <c r="K280"/>
  <c r="L280"/>
  <c r="M280"/>
  <c r="N280"/>
  <c r="G281"/>
  <c r="H281"/>
  <c r="I281"/>
  <c r="J281"/>
  <c r="K281"/>
  <c r="L281"/>
  <c r="M281"/>
  <c r="N281"/>
  <c r="G282"/>
  <c r="H282"/>
  <c r="I282"/>
  <c r="J282"/>
  <c r="K282"/>
  <c r="L282"/>
  <c r="M282"/>
  <c r="N282"/>
  <c r="G283"/>
  <c r="H283"/>
  <c r="I283"/>
  <c r="J283"/>
  <c r="K283"/>
  <c r="L283"/>
  <c r="M283"/>
  <c r="N283"/>
  <c r="G284"/>
  <c r="H284"/>
  <c r="I284"/>
  <c r="J284"/>
  <c r="K284"/>
  <c r="L284"/>
  <c r="M284"/>
  <c r="N284"/>
  <c r="G285"/>
  <c r="H285"/>
  <c r="I285"/>
  <c r="J285"/>
  <c r="K285"/>
  <c r="L285"/>
  <c r="M285"/>
  <c r="N285"/>
  <c r="G286"/>
  <c r="H286"/>
  <c r="I286"/>
  <c r="J286"/>
  <c r="K286"/>
  <c r="L286"/>
  <c r="M286"/>
  <c r="N286"/>
  <c r="G287"/>
  <c r="H287"/>
  <c r="I287"/>
  <c r="J287"/>
  <c r="K287"/>
  <c r="L287"/>
  <c r="M287"/>
  <c r="N287"/>
  <c r="G288"/>
  <c r="H288"/>
  <c r="I288"/>
  <c r="J288"/>
  <c r="K288"/>
  <c r="L288"/>
  <c r="M288"/>
  <c r="N288"/>
  <c r="G289"/>
  <c r="H289"/>
  <c r="I289"/>
  <c r="J289"/>
  <c r="K289"/>
  <c r="L289"/>
  <c r="M289"/>
  <c r="N289"/>
  <c r="G290"/>
  <c r="H290"/>
  <c r="I290"/>
  <c r="J290"/>
  <c r="K290"/>
  <c r="L290"/>
  <c r="M290"/>
  <c r="N290"/>
  <c r="G291"/>
  <c r="H291"/>
  <c r="I291"/>
  <c r="J291"/>
  <c r="K291"/>
  <c r="L291"/>
  <c r="M291"/>
  <c r="N291"/>
  <c r="G292"/>
  <c r="H292"/>
  <c r="I292"/>
  <c r="J292"/>
  <c r="K292"/>
  <c r="L292"/>
  <c r="M292"/>
  <c r="N292"/>
  <c r="G293"/>
  <c r="H293"/>
  <c r="I293"/>
  <c r="J293"/>
  <c r="K293"/>
  <c r="L293"/>
  <c r="M293"/>
  <c r="N293"/>
  <c r="G294"/>
  <c r="H294"/>
  <c r="I294"/>
  <c r="J294"/>
  <c r="K294"/>
  <c r="L294"/>
  <c r="M294"/>
  <c r="N294"/>
  <c r="G295"/>
  <c r="H295"/>
  <c r="I295"/>
  <c r="J295"/>
  <c r="K295"/>
  <c r="L295"/>
  <c r="M295"/>
  <c r="N295"/>
  <c r="G296"/>
  <c r="H296"/>
  <c r="I296"/>
  <c r="J296"/>
  <c r="K296"/>
  <c r="L296"/>
  <c r="M296"/>
  <c r="N296"/>
  <c r="G297"/>
  <c r="H297"/>
  <c r="I297"/>
  <c r="J297"/>
  <c r="K297"/>
  <c r="L297"/>
  <c r="M297"/>
  <c r="N297"/>
  <c r="G298"/>
  <c r="H298"/>
  <c r="I298"/>
  <c r="J298"/>
  <c r="K298"/>
  <c r="L298"/>
  <c r="M298"/>
  <c r="N298"/>
  <c r="G299"/>
  <c r="H299"/>
  <c r="I299"/>
  <c r="J299"/>
  <c r="K299"/>
  <c r="L299"/>
  <c r="M299"/>
  <c r="N299"/>
  <c r="G300"/>
  <c r="H300"/>
  <c r="I300"/>
  <c r="J300"/>
  <c r="K300"/>
  <c r="L300"/>
  <c r="M300"/>
  <c r="N300"/>
  <c r="G301"/>
  <c r="H301"/>
  <c r="I301"/>
  <c r="J301"/>
  <c r="K301"/>
  <c r="L301"/>
  <c r="M301"/>
  <c r="N301"/>
  <c r="G302"/>
  <c r="H302"/>
  <c r="I302"/>
  <c r="J302"/>
  <c r="K302"/>
  <c r="L302"/>
  <c r="M302"/>
  <c r="N302"/>
  <c r="G303"/>
  <c r="H303"/>
  <c r="I303"/>
  <c r="J303"/>
  <c r="K303"/>
  <c r="L303"/>
  <c r="M303"/>
  <c r="N303"/>
  <c r="G304"/>
  <c r="H304"/>
  <c r="I304"/>
  <c r="J304"/>
  <c r="K304"/>
  <c r="L304"/>
  <c r="M304"/>
  <c r="N304"/>
  <c r="G5" i="9"/>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G52"/>
  <c r="H52"/>
  <c r="I52"/>
  <c r="J52"/>
  <c r="K52"/>
  <c r="L52"/>
  <c r="M52"/>
  <c r="N52"/>
  <c r="G53"/>
  <c r="H53"/>
  <c r="I53"/>
  <c r="J53"/>
  <c r="K53"/>
  <c r="L53"/>
  <c r="M53"/>
  <c r="N53"/>
  <c r="G54"/>
  <c r="H54"/>
  <c r="I54"/>
  <c r="J54"/>
  <c r="K54"/>
  <c r="L54"/>
  <c r="M54"/>
  <c r="N54"/>
  <c r="G55"/>
  <c r="H55"/>
  <c r="I55"/>
  <c r="J55"/>
  <c r="K55"/>
  <c r="L55"/>
  <c r="M55"/>
  <c r="N55"/>
  <c r="G56"/>
  <c r="H56"/>
  <c r="I56"/>
  <c r="J56"/>
  <c r="K56"/>
  <c r="L56"/>
  <c r="M56"/>
  <c r="N56"/>
  <c r="G57"/>
  <c r="H57"/>
  <c r="I57"/>
  <c r="J57"/>
  <c r="K57"/>
  <c r="L57"/>
  <c r="M57"/>
  <c r="N57"/>
  <c r="G58"/>
  <c r="H58"/>
  <c r="I58"/>
  <c r="J58"/>
  <c r="K58"/>
  <c r="L58"/>
  <c r="M58"/>
  <c r="N58"/>
  <c r="G59"/>
  <c r="H59"/>
  <c r="I59"/>
  <c r="J59"/>
  <c r="K59"/>
  <c r="L59"/>
  <c r="M59"/>
  <c r="N59"/>
  <c r="G60"/>
  <c r="H60"/>
  <c r="I60"/>
  <c r="J60"/>
  <c r="K60"/>
  <c r="L60"/>
  <c r="M60"/>
  <c r="N60"/>
  <c r="G61"/>
  <c r="H61"/>
  <c r="I61"/>
  <c r="J61"/>
  <c r="K61"/>
  <c r="L61"/>
  <c r="M61"/>
  <c r="N61"/>
  <c r="G62"/>
  <c r="H62"/>
  <c r="I62"/>
  <c r="J62"/>
  <c r="K62"/>
  <c r="L62"/>
  <c r="M62"/>
  <c r="N62"/>
  <c r="G63"/>
  <c r="H63"/>
  <c r="I63"/>
  <c r="J63"/>
  <c r="K63"/>
  <c r="L63"/>
  <c r="M63"/>
  <c r="N63"/>
  <c r="G64"/>
  <c r="H64"/>
  <c r="I64"/>
  <c r="J64"/>
  <c r="K64"/>
  <c r="L64"/>
  <c r="M64"/>
  <c r="N64"/>
  <c r="G65"/>
  <c r="H65"/>
  <c r="I65"/>
  <c r="J65"/>
  <c r="K65"/>
  <c r="L65"/>
  <c r="M65"/>
  <c r="N65"/>
  <c r="G66"/>
  <c r="H66"/>
  <c r="I66"/>
  <c r="J66"/>
  <c r="K66"/>
  <c r="L66"/>
  <c r="M66"/>
  <c r="N66"/>
  <c r="G67"/>
  <c r="H67"/>
  <c r="I67"/>
  <c r="J67"/>
  <c r="K67"/>
  <c r="L67"/>
  <c r="M67"/>
  <c r="N67"/>
  <c r="G68"/>
  <c r="H68"/>
  <c r="I68"/>
  <c r="J68"/>
  <c r="K68"/>
  <c r="L68"/>
  <c r="M68"/>
  <c r="N68"/>
  <c r="G69"/>
  <c r="H69"/>
  <c r="I69"/>
  <c r="J69"/>
  <c r="K69"/>
  <c r="L69"/>
  <c r="M69"/>
  <c r="N69"/>
  <c r="G70"/>
  <c r="H70"/>
  <c r="I70"/>
  <c r="J70"/>
  <c r="K70"/>
  <c r="L70"/>
  <c r="M70"/>
  <c r="N70"/>
  <c r="G71"/>
  <c r="H71"/>
  <c r="I71"/>
  <c r="J71"/>
  <c r="K71"/>
  <c r="L71"/>
  <c r="M71"/>
  <c r="N71"/>
  <c r="G72"/>
  <c r="H72"/>
  <c r="I72"/>
  <c r="J72"/>
  <c r="K72"/>
  <c r="L72"/>
  <c r="M72"/>
  <c r="N72"/>
  <c r="G73"/>
  <c r="H73"/>
  <c r="I73"/>
  <c r="J73"/>
  <c r="K73"/>
  <c r="L73"/>
  <c r="M73"/>
  <c r="N73"/>
  <c r="G74"/>
  <c r="H74"/>
  <c r="I74"/>
  <c r="J74"/>
  <c r="K74"/>
  <c r="L74"/>
  <c r="M74"/>
  <c r="N74"/>
  <c r="G75"/>
  <c r="H75"/>
  <c r="I75"/>
  <c r="J75"/>
  <c r="K75"/>
  <c r="L75"/>
  <c r="M75"/>
  <c r="N75"/>
  <c r="G76"/>
  <c r="H76"/>
  <c r="I76"/>
  <c r="J76"/>
  <c r="K76"/>
  <c r="L76"/>
  <c r="M76"/>
  <c r="N76"/>
  <c r="G77"/>
  <c r="H77"/>
  <c r="I77"/>
  <c r="J77"/>
  <c r="K77"/>
  <c r="L77"/>
  <c r="M77"/>
  <c r="N77"/>
  <c r="G78"/>
  <c r="H78"/>
  <c r="I78"/>
  <c r="J78"/>
  <c r="K78"/>
  <c r="L78"/>
  <c r="M78"/>
  <c r="N78"/>
  <c r="G79"/>
  <c r="H79"/>
  <c r="I79"/>
  <c r="J79"/>
  <c r="K79"/>
  <c r="L79"/>
  <c r="M79"/>
  <c r="N79"/>
  <c r="G80"/>
  <c r="H80"/>
  <c r="I80"/>
  <c r="J80"/>
  <c r="K80"/>
  <c r="L80"/>
  <c r="M80"/>
  <c r="N80"/>
  <c r="G81"/>
  <c r="H81"/>
  <c r="I81"/>
  <c r="J81"/>
  <c r="K81"/>
  <c r="L81"/>
  <c r="M81"/>
  <c r="N81"/>
  <c r="G82"/>
  <c r="H82"/>
  <c r="I82"/>
  <c r="J82"/>
  <c r="K82"/>
  <c r="L82"/>
  <c r="M82"/>
  <c r="N82"/>
  <c r="G83"/>
  <c r="H83"/>
  <c r="I83"/>
  <c r="J83"/>
  <c r="K83"/>
  <c r="L83"/>
  <c r="M83"/>
  <c r="N83"/>
  <c r="G84"/>
  <c r="H84"/>
  <c r="I84"/>
  <c r="J84"/>
  <c r="K84"/>
  <c r="L84"/>
  <c r="M84"/>
  <c r="N84"/>
  <c r="G85"/>
  <c r="H85"/>
  <c r="I85"/>
  <c r="J85"/>
  <c r="K85"/>
  <c r="L85"/>
  <c r="M85"/>
  <c r="N85"/>
  <c r="G86"/>
  <c r="H86"/>
  <c r="I86"/>
  <c r="J86"/>
  <c r="K86"/>
  <c r="L86"/>
  <c r="M86"/>
  <c r="N86"/>
  <c r="G87"/>
  <c r="H87"/>
  <c r="I87"/>
  <c r="J87"/>
  <c r="K87"/>
  <c r="L87"/>
  <c r="M87"/>
  <c r="N87"/>
  <c r="G88"/>
  <c r="H88"/>
  <c r="I88"/>
  <c r="J88"/>
  <c r="K88"/>
  <c r="L88"/>
  <c r="M88"/>
  <c r="N88"/>
  <c r="G89"/>
  <c r="H89"/>
  <c r="I89"/>
  <c r="J89"/>
  <c r="K89"/>
  <c r="L89"/>
  <c r="M89"/>
  <c r="N89"/>
  <c r="G90"/>
  <c r="H90"/>
  <c r="I90"/>
  <c r="J90"/>
  <c r="K90"/>
  <c r="L90"/>
  <c r="M90"/>
  <c r="N90"/>
  <c r="G91"/>
  <c r="H91"/>
  <c r="I91"/>
  <c r="J91"/>
  <c r="K91"/>
  <c r="L91"/>
  <c r="M91"/>
  <c r="N91"/>
  <c r="G92"/>
  <c r="H92"/>
  <c r="I92"/>
  <c r="J92"/>
  <c r="K92"/>
  <c r="L92"/>
  <c r="M92"/>
  <c r="N92"/>
  <c r="G93"/>
  <c r="H93"/>
  <c r="I93"/>
  <c r="J93"/>
  <c r="K93"/>
  <c r="L93"/>
  <c r="M93"/>
  <c r="N93"/>
  <c r="G94"/>
  <c r="H94"/>
  <c r="I94"/>
  <c r="J94"/>
  <c r="K94"/>
  <c r="L94"/>
  <c r="M94"/>
  <c r="N94"/>
  <c r="G95"/>
  <c r="H95"/>
  <c r="I95"/>
  <c r="J95"/>
  <c r="K95"/>
  <c r="L95"/>
  <c r="M95"/>
  <c r="N95"/>
  <c r="G96"/>
  <c r="H96"/>
  <c r="I96"/>
  <c r="J96"/>
  <c r="K96"/>
  <c r="L96"/>
  <c r="M96"/>
  <c r="N96"/>
  <c r="G97"/>
  <c r="H97"/>
  <c r="I97"/>
  <c r="J97"/>
  <c r="K97"/>
  <c r="L97"/>
  <c r="M97"/>
  <c r="N97"/>
  <c r="G98"/>
  <c r="H98"/>
  <c r="I98"/>
  <c r="J98"/>
  <c r="K98"/>
  <c r="L98"/>
  <c r="M98"/>
  <c r="N98"/>
  <c r="G99"/>
  <c r="H99"/>
  <c r="I99"/>
  <c r="J99"/>
  <c r="K99"/>
  <c r="L99"/>
  <c r="M99"/>
  <c r="N99"/>
  <c r="G100"/>
  <c r="H100"/>
  <c r="I100"/>
  <c r="J100"/>
  <c r="K100"/>
  <c r="L100"/>
  <c r="M100"/>
  <c r="N100"/>
  <c r="G101"/>
  <c r="H101"/>
  <c r="I101"/>
  <c r="J101"/>
  <c r="K101"/>
  <c r="L101"/>
  <c r="M101"/>
  <c r="N101"/>
  <c r="G102"/>
  <c r="H102"/>
  <c r="I102"/>
  <c r="J102"/>
  <c r="K102"/>
  <c r="L102"/>
  <c r="M102"/>
  <c r="N102"/>
  <c r="G103"/>
  <c r="H103"/>
  <c r="I103"/>
  <c r="J103"/>
  <c r="K103"/>
  <c r="L103"/>
  <c r="M103"/>
  <c r="N103"/>
  <c r="G104"/>
  <c r="H104"/>
  <c r="I104"/>
  <c r="J104"/>
  <c r="K104"/>
  <c r="L104"/>
  <c r="M104"/>
  <c r="N104"/>
  <c r="G105"/>
  <c r="H105"/>
  <c r="I105"/>
  <c r="J105"/>
  <c r="K105"/>
  <c r="L105"/>
  <c r="M105"/>
  <c r="N105"/>
  <c r="G106"/>
  <c r="H106"/>
  <c r="I106"/>
  <c r="J106"/>
  <c r="K106"/>
  <c r="L106"/>
  <c r="M106"/>
  <c r="N106"/>
  <c r="G107"/>
  <c r="H107"/>
  <c r="I107"/>
  <c r="J107"/>
  <c r="K107"/>
  <c r="L107"/>
  <c r="M107"/>
  <c r="N107"/>
  <c r="G108"/>
  <c r="H108"/>
  <c r="I108"/>
  <c r="J108"/>
  <c r="K108"/>
  <c r="L108"/>
  <c r="M108"/>
  <c r="N108"/>
  <c r="G109"/>
  <c r="H109"/>
  <c r="I109"/>
  <c r="J109"/>
  <c r="K109"/>
  <c r="L109"/>
  <c r="M109"/>
  <c r="N109"/>
  <c r="G110"/>
  <c r="H110"/>
  <c r="I110"/>
  <c r="J110"/>
  <c r="K110"/>
  <c r="L110"/>
  <c r="M110"/>
  <c r="N110"/>
  <c r="G111"/>
  <c r="H111"/>
  <c r="I111"/>
  <c r="J111"/>
  <c r="K111"/>
  <c r="L111"/>
  <c r="M111"/>
  <c r="N111"/>
  <c r="G112"/>
  <c r="H112"/>
  <c r="I112"/>
  <c r="J112"/>
  <c r="K112"/>
  <c r="L112"/>
  <c r="M112"/>
  <c r="N112"/>
  <c r="G113"/>
  <c r="H113"/>
  <c r="I113"/>
  <c r="J113"/>
  <c r="K113"/>
  <c r="L113"/>
  <c r="M113"/>
  <c r="N113"/>
  <c r="G114"/>
  <c r="H114"/>
  <c r="I114"/>
  <c r="J114"/>
  <c r="K114"/>
  <c r="L114"/>
  <c r="M114"/>
  <c r="N114"/>
  <c r="G115"/>
  <c r="H115"/>
  <c r="I115"/>
  <c r="J115"/>
  <c r="K115"/>
  <c r="L115"/>
  <c r="M115"/>
  <c r="N115"/>
  <c r="G116"/>
  <c r="H116"/>
  <c r="I116"/>
  <c r="J116"/>
  <c r="K116"/>
  <c r="L116"/>
  <c r="M116"/>
  <c r="N116"/>
  <c r="G117"/>
  <c r="H117"/>
  <c r="I117"/>
  <c r="J117"/>
  <c r="K117"/>
  <c r="L117"/>
  <c r="M117"/>
  <c r="N117"/>
  <c r="G118"/>
  <c r="H118"/>
  <c r="I118"/>
  <c r="J118"/>
  <c r="K118"/>
  <c r="L118"/>
  <c r="M118"/>
  <c r="N118"/>
  <c r="G119"/>
  <c r="H119"/>
  <c r="I119"/>
  <c r="J119"/>
  <c r="K119"/>
  <c r="L119"/>
  <c r="M119"/>
  <c r="N119"/>
  <c r="G120"/>
  <c r="H120"/>
  <c r="I120"/>
  <c r="J120"/>
  <c r="K120"/>
  <c r="L120"/>
  <c r="M120"/>
  <c r="N120"/>
  <c r="G121"/>
  <c r="H121"/>
  <c r="I121"/>
  <c r="J121"/>
  <c r="K121"/>
  <c r="L121"/>
  <c r="M121"/>
  <c r="N121"/>
  <c r="G122"/>
  <c r="H122"/>
  <c r="I122"/>
  <c r="J122"/>
  <c r="K122"/>
  <c r="L122"/>
  <c r="M122"/>
  <c r="N122"/>
  <c r="G123"/>
  <c r="H123"/>
  <c r="I123"/>
  <c r="J123"/>
  <c r="K123"/>
  <c r="L123"/>
  <c r="M123"/>
  <c r="N123"/>
  <c r="G124"/>
  <c r="H124"/>
  <c r="I124"/>
  <c r="J124"/>
  <c r="K124"/>
  <c r="L124"/>
  <c r="M124"/>
  <c r="N124"/>
  <c r="G125"/>
  <c r="H125"/>
  <c r="I125"/>
  <c r="J125"/>
  <c r="K125"/>
  <c r="L125"/>
  <c r="M125"/>
  <c r="N125"/>
  <c r="G126"/>
  <c r="H126"/>
  <c r="I126"/>
  <c r="J126"/>
  <c r="K126"/>
  <c r="L126"/>
  <c r="M126"/>
  <c r="N126"/>
  <c r="G127"/>
  <c r="H127"/>
  <c r="I127"/>
  <c r="J127"/>
  <c r="K127"/>
  <c r="L127"/>
  <c r="M127"/>
  <c r="N127"/>
  <c r="G128"/>
  <c r="H128"/>
  <c r="I128"/>
  <c r="J128"/>
  <c r="K128"/>
  <c r="L128"/>
  <c r="M128"/>
  <c r="N128"/>
  <c r="G129"/>
  <c r="H129"/>
  <c r="I129"/>
  <c r="J129"/>
  <c r="K129"/>
  <c r="L129"/>
  <c r="M129"/>
  <c r="N129"/>
  <c r="G130"/>
  <c r="H130"/>
  <c r="I130"/>
  <c r="J130"/>
  <c r="K130"/>
  <c r="L130"/>
  <c r="M130"/>
  <c r="N130"/>
  <c r="G131"/>
  <c r="H131"/>
  <c r="I131"/>
  <c r="J131"/>
  <c r="K131"/>
  <c r="L131"/>
  <c r="M131"/>
  <c r="N131"/>
  <c r="G132"/>
  <c r="H132"/>
  <c r="I132"/>
  <c r="J132"/>
  <c r="K132"/>
  <c r="L132"/>
  <c r="M132"/>
  <c r="N132"/>
  <c r="G133"/>
  <c r="H133"/>
  <c r="I133"/>
  <c r="J133"/>
  <c r="K133"/>
  <c r="L133"/>
  <c r="M133"/>
  <c r="N133"/>
  <c r="G134"/>
  <c r="H134"/>
  <c r="I134"/>
  <c r="J134"/>
  <c r="K134"/>
  <c r="L134"/>
  <c r="M134"/>
  <c r="N134"/>
  <c r="G135"/>
  <c r="H135"/>
  <c r="I135"/>
  <c r="J135"/>
  <c r="K135"/>
  <c r="L135"/>
  <c r="M135"/>
  <c r="N135"/>
  <c r="G136"/>
  <c r="H136"/>
  <c r="I136"/>
  <c r="J136"/>
  <c r="K136"/>
  <c r="L136"/>
  <c r="M136"/>
  <c r="N136"/>
  <c r="G137"/>
  <c r="H137"/>
  <c r="I137"/>
  <c r="J137"/>
  <c r="K137"/>
  <c r="L137"/>
  <c r="M137"/>
  <c r="N137"/>
  <c r="G138"/>
  <c r="H138"/>
  <c r="I138"/>
  <c r="J138"/>
  <c r="K138"/>
  <c r="L138"/>
  <c r="M138"/>
  <c r="N138"/>
  <c r="G139"/>
  <c r="H139"/>
  <c r="I139"/>
  <c r="J139"/>
  <c r="K139"/>
  <c r="L139"/>
  <c r="M139"/>
  <c r="N139"/>
  <c r="G140"/>
  <c r="H140"/>
  <c r="I140"/>
  <c r="J140"/>
  <c r="K140"/>
  <c r="L140"/>
  <c r="M140"/>
  <c r="N140"/>
  <c r="G141"/>
  <c r="H141"/>
  <c r="I141"/>
  <c r="J141"/>
  <c r="K141"/>
  <c r="L141"/>
  <c r="M141"/>
  <c r="N141"/>
  <c r="G142"/>
  <c r="H142"/>
  <c r="I142"/>
  <c r="J142"/>
  <c r="K142"/>
  <c r="L142"/>
  <c r="M142"/>
  <c r="N142"/>
  <c r="G143"/>
  <c r="H143"/>
  <c r="I143"/>
  <c r="J143"/>
  <c r="K143"/>
  <c r="L143"/>
  <c r="M143"/>
  <c r="N143"/>
  <c r="G144"/>
  <c r="H144"/>
  <c r="I144"/>
  <c r="J144"/>
  <c r="K144"/>
  <c r="L144"/>
  <c r="M144"/>
  <c r="N144"/>
  <c r="G145"/>
  <c r="H145"/>
  <c r="I145"/>
  <c r="J145"/>
  <c r="K145"/>
  <c r="L145"/>
  <c r="M145"/>
  <c r="N145"/>
  <c r="G146"/>
  <c r="H146"/>
  <c r="I146"/>
  <c r="J146"/>
  <c r="K146"/>
  <c r="L146"/>
  <c r="M146"/>
  <c r="N146"/>
  <c r="G147"/>
  <c r="H147"/>
  <c r="I147"/>
  <c r="J147"/>
  <c r="K147"/>
  <c r="L147"/>
  <c r="M147"/>
  <c r="N147"/>
  <c r="G148"/>
  <c r="H148"/>
  <c r="I148"/>
  <c r="J148"/>
  <c r="K148"/>
  <c r="L148"/>
  <c r="M148"/>
  <c r="N148"/>
  <c r="G149"/>
  <c r="H149"/>
  <c r="I149"/>
  <c r="J149"/>
  <c r="K149"/>
  <c r="L149"/>
  <c r="M149"/>
  <c r="N149"/>
  <c r="G150"/>
  <c r="H150"/>
  <c r="I150"/>
  <c r="J150"/>
  <c r="K150"/>
  <c r="L150"/>
  <c r="M150"/>
  <c r="N150"/>
  <c r="G151"/>
  <c r="H151"/>
  <c r="I151"/>
  <c r="J151"/>
  <c r="K151"/>
  <c r="L151"/>
  <c r="M151"/>
  <c r="N151"/>
  <c r="G152"/>
  <c r="H152"/>
  <c r="I152"/>
  <c r="J152"/>
  <c r="K152"/>
  <c r="L152"/>
  <c r="M152"/>
  <c r="N152"/>
  <c r="G153"/>
  <c r="H153"/>
  <c r="I153"/>
  <c r="J153"/>
  <c r="K153"/>
  <c r="L153"/>
  <c r="M153"/>
  <c r="N153"/>
  <c r="G154"/>
  <c r="H154"/>
  <c r="I154"/>
  <c r="J154"/>
  <c r="K154"/>
  <c r="L154"/>
  <c r="M154"/>
  <c r="N154"/>
  <c r="G155"/>
  <c r="H155"/>
  <c r="I155"/>
  <c r="J155"/>
  <c r="K155"/>
  <c r="L155"/>
  <c r="M155"/>
  <c r="N155"/>
  <c r="G156"/>
  <c r="H156"/>
  <c r="I156"/>
  <c r="J156"/>
  <c r="K156"/>
  <c r="L156"/>
  <c r="M156"/>
  <c r="N156"/>
  <c r="G157"/>
  <c r="H157"/>
  <c r="I157"/>
  <c r="J157"/>
  <c r="K157"/>
  <c r="L157"/>
  <c r="M157"/>
  <c r="N157"/>
  <c r="G158"/>
  <c r="H158"/>
  <c r="I158"/>
  <c r="J158"/>
  <c r="K158"/>
  <c r="L158"/>
  <c r="M158"/>
  <c r="N158"/>
  <c r="G159"/>
  <c r="H159"/>
  <c r="I159"/>
  <c r="J159"/>
  <c r="K159"/>
  <c r="L159"/>
  <c r="M159"/>
  <c r="N159"/>
  <c r="G160"/>
  <c r="H160"/>
  <c r="I160"/>
  <c r="J160"/>
  <c r="K160"/>
  <c r="L160"/>
  <c r="M160"/>
  <c r="N160"/>
  <c r="G161"/>
  <c r="H161"/>
  <c r="I161"/>
  <c r="J161"/>
  <c r="K161"/>
  <c r="L161"/>
  <c r="M161"/>
  <c r="N161"/>
  <c r="G162"/>
  <c r="H162"/>
  <c r="I162"/>
  <c r="J162"/>
  <c r="K162"/>
  <c r="L162"/>
  <c r="M162"/>
  <c r="N162"/>
  <c r="G163"/>
  <c r="H163"/>
  <c r="I163"/>
  <c r="J163"/>
  <c r="K163"/>
  <c r="L163"/>
  <c r="M163"/>
  <c r="N163"/>
  <c r="G164"/>
  <c r="H164"/>
  <c r="I164"/>
  <c r="J164"/>
  <c r="K164"/>
  <c r="L164"/>
  <c r="M164"/>
  <c r="N164"/>
  <c r="G165"/>
  <c r="H165"/>
  <c r="I165"/>
  <c r="J165"/>
  <c r="K165"/>
  <c r="L165"/>
  <c r="M165"/>
  <c r="N165"/>
  <c r="G166"/>
  <c r="H166"/>
  <c r="I166"/>
  <c r="J166"/>
  <c r="K166"/>
  <c r="L166"/>
  <c r="M166"/>
  <c r="N166"/>
  <c r="G167"/>
  <c r="H167"/>
  <c r="I167"/>
  <c r="J167"/>
  <c r="K167"/>
  <c r="L167"/>
  <c r="M167"/>
  <c r="N167"/>
  <c r="G168"/>
  <c r="H168"/>
  <c r="I168"/>
  <c r="J168"/>
  <c r="K168"/>
  <c r="L168"/>
  <c r="M168"/>
  <c r="N168"/>
  <c r="G169"/>
  <c r="H169"/>
  <c r="I169"/>
  <c r="J169"/>
  <c r="K169"/>
  <c r="L169"/>
  <c r="M169"/>
  <c r="N169"/>
  <c r="G170"/>
  <c r="H170"/>
  <c r="I170"/>
  <c r="J170"/>
  <c r="K170"/>
  <c r="L170"/>
  <c r="M170"/>
  <c r="N170"/>
  <c r="G171"/>
  <c r="H171"/>
  <c r="I171"/>
  <c r="J171"/>
  <c r="K171"/>
  <c r="L171"/>
  <c r="M171"/>
  <c r="N171"/>
  <c r="G172"/>
  <c r="H172"/>
  <c r="I172"/>
  <c r="J172"/>
  <c r="K172"/>
  <c r="L172"/>
  <c r="M172"/>
  <c r="N172"/>
  <c r="G173"/>
  <c r="H173"/>
  <c r="I173"/>
  <c r="J173"/>
  <c r="K173"/>
  <c r="L173"/>
  <c r="M173"/>
  <c r="N173"/>
  <c r="G174"/>
  <c r="H174"/>
  <c r="I174"/>
  <c r="J174"/>
  <c r="K174"/>
  <c r="L174"/>
  <c r="M174"/>
  <c r="N174"/>
  <c r="G175"/>
  <c r="H175"/>
  <c r="I175"/>
  <c r="J175"/>
  <c r="K175"/>
  <c r="L175"/>
  <c r="M175"/>
  <c r="N175"/>
  <c r="G176"/>
  <c r="H176"/>
  <c r="I176"/>
  <c r="J176"/>
  <c r="K176"/>
  <c r="L176"/>
  <c r="M176"/>
  <c r="N176"/>
  <c r="G177"/>
  <c r="H177"/>
  <c r="I177"/>
  <c r="J177"/>
  <c r="K177"/>
  <c r="L177"/>
  <c r="M177"/>
  <c r="N177"/>
  <c r="G178"/>
  <c r="H178"/>
  <c r="I178"/>
  <c r="J178"/>
  <c r="K178"/>
  <c r="L178"/>
  <c r="M178"/>
  <c r="N178"/>
  <c r="G179"/>
  <c r="H179"/>
  <c r="I179"/>
  <c r="J179"/>
  <c r="K179"/>
  <c r="L179"/>
  <c r="M179"/>
  <c r="N179"/>
  <c r="G180"/>
  <c r="H180"/>
  <c r="I180"/>
  <c r="J180"/>
  <c r="K180"/>
  <c r="L180"/>
  <c r="M180"/>
  <c r="N180"/>
  <c r="G181"/>
  <c r="H181"/>
  <c r="I181"/>
  <c r="J181"/>
  <c r="K181"/>
  <c r="L181"/>
  <c r="M181"/>
  <c r="N181"/>
  <c r="G182"/>
  <c r="H182"/>
  <c r="I182"/>
  <c r="J182"/>
  <c r="K182"/>
  <c r="L182"/>
  <c r="M182"/>
  <c r="N182"/>
  <c r="G183"/>
  <c r="H183"/>
  <c r="I183"/>
  <c r="J183"/>
  <c r="K183"/>
  <c r="L183"/>
  <c r="M183"/>
  <c r="N183"/>
  <c r="G184"/>
  <c r="H184"/>
  <c r="I184"/>
  <c r="J184"/>
  <c r="K184"/>
  <c r="L184"/>
  <c r="M184"/>
  <c r="N184"/>
  <c r="G185"/>
  <c r="H185"/>
  <c r="I185"/>
  <c r="J185"/>
  <c r="K185"/>
  <c r="L185"/>
  <c r="M185"/>
  <c r="N185"/>
  <c r="G186"/>
  <c r="H186"/>
  <c r="I186"/>
  <c r="J186"/>
  <c r="K186"/>
  <c r="L186"/>
  <c r="M186"/>
  <c r="N186"/>
  <c r="G187"/>
  <c r="H187"/>
  <c r="I187"/>
  <c r="J187"/>
  <c r="K187"/>
  <c r="L187"/>
  <c r="M187"/>
  <c r="N187"/>
  <c r="G188"/>
  <c r="H188"/>
  <c r="I188"/>
  <c r="J188"/>
  <c r="K188"/>
  <c r="L188"/>
  <c r="M188"/>
  <c r="N188"/>
  <c r="G189"/>
  <c r="H189"/>
  <c r="I189"/>
  <c r="J189"/>
  <c r="K189"/>
  <c r="L189"/>
  <c r="M189"/>
  <c r="N189"/>
  <c r="G190"/>
  <c r="H190"/>
  <c r="I190"/>
  <c r="J190"/>
  <c r="K190"/>
  <c r="L190"/>
  <c r="M190"/>
  <c r="N190"/>
  <c r="G191"/>
  <c r="H191"/>
  <c r="I191"/>
  <c r="J191"/>
  <c r="K191"/>
  <c r="L191"/>
  <c r="M191"/>
  <c r="N191"/>
  <c r="G192"/>
  <c r="H192"/>
  <c r="I192"/>
  <c r="J192"/>
  <c r="K192"/>
  <c r="L192"/>
  <c r="M192"/>
  <c r="N192"/>
  <c r="G193"/>
  <c r="H193"/>
  <c r="I193"/>
  <c r="J193"/>
  <c r="K193"/>
  <c r="L193"/>
  <c r="M193"/>
  <c r="N193"/>
  <c r="G194"/>
  <c r="H194"/>
  <c r="I194"/>
  <c r="J194"/>
  <c r="K194"/>
  <c r="L194"/>
  <c r="M194"/>
  <c r="N194"/>
  <c r="G195"/>
  <c r="H195"/>
  <c r="I195"/>
  <c r="J195"/>
  <c r="K195"/>
  <c r="L195"/>
  <c r="M195"/>
  <c r="N195"/>
  <c r="G196"/>
  <c r="H196"/>
  <c r="I196"/>
  <c r="J196"/>
  <c r="K196"/>
  <c r="L196"/>
  <c r="M196"/>
  <c r="N196"/>
  <c r="G197"/>
  <c r="H197"/>
  <c r="I197"/>
  <c r="J197"/>
  <c r="K197"/>
  <c r="L197"/>
  <c r="M197"/>
  <c r="N197"/>
  <c r="G198"/>
  <c r="H198"/>
  <c r="I198"/>
  <c r="J198"/>
  <c r="K198"/>
  <c r="L198"/>
  <c r="M198"/>
  <c r="N198"/>
  <c r="G199"/>
  <c r="H199"/>
  <c r="I199"/>
  <c r="J199"/>
  <c r="K199"/>
  <c r="L199"/>
  <c r="M199"/>
  <c r="N199"/>
  <c r="G200"/>
  <c r="H200"/>
  <c r="I200"/>
  <c r="J200"/>
  <c r="K200"/>
  <c r="L200"/>
  <c r="M200"/>
  <c r="N200"/>
  <c r="G201"/>
  <c r="H201"/>
  <c r="I201"/>
  <c r="J201"/>
  <c r="K201"/>
  <c r="L201"/>
  <c r="M201"/>
  <c r="N201"/>
  <c r="G202"/>
  <c r="H202"/>
  <c r="I202"/>
  <c r="J202"/>
  <c r="K202"/>
  <c r="L202"/>
  <c r="M202"/>
  <c r="N202"/>
  <c r="G203"/>
  <c r="H203"/>
  <c r="I203"/>
  <c r="J203"/>
  <c r="K203"/>
  <c r="L203"/>
  <c r="M203"/>
  <c r="N203"/>
  <c r="G204"/>
  <c r="H204"/>
  <c r="I204"/>
  <c r="J204"/>
  <c r="K204"/>
  <c r="L204"/>
  <c r="M204"/>
  <c r="N204"/>
  <c r="G205"/>
  <c r="H205"/>
  <c r="I205"/>
  <c r="J205"/>
  <c r="K205"/>
  <c r="L205"/>
  <c r="M205"/>
  <c r="N205"/>
  <c r="G206"/>
  <c r="H206"/>
  <c r="I206"/>
  <c r="J206"/>
  <c r="K206"/>
  <c r="L206"/>
  <c r="M206"/>
  <c r="N206"/>
  <c r="G207"/>
  <c r="H207"/>
  <c r="I207"/>
  <c r="J207"/>
  <c r="K207"/>
  <c r="L207"/>
  <c r="M207"/>
  <c r="N207"/>
  <c r="G208"/>
  <c r="H208"/>
  <c r="I208"/>
  <c r="J208"/>
  <c r="K208"/>
  <c r="L208"/>
  <c r="M208"/>
  <c r="N208"/>
  <c r="G209"/>
  <c r="H209"/>
  <c r="I209"/>
  <c r="J209"/>
  <c r="K209"/>
  <c r="L209"/>
  <c r="M209"/>
  <c r="N209"/>
  <c r="G210"/>
  <c r="H210"/>
  <c r="I210"/>
  <c r="J210"/>
  <c r="K210"/>
  <c r="L210"/>
  <c r="M210"/>
  <c r="N210"/>
  <c r="G211"/>
  <c r="H211"/>
  <c r="I211"/>
  <c r="J211"/>
  <c r="K211"/>
  <c r="L211"/>
  <c r="M211"/>
  <c r="N211"/>
  <c r="G212"/>
  <c r="H212"/>
  <c r="I212"/>
  <c r="J212"/>
  <c r="K212"/>
  <c r="L212"/>
  <c r="M212"/>
  <c r="N212"/>
  <c r="G213"/>
  <c r="H213"/>
  <c r="I213"/>
  <c r="J213"/>
  <c r="K213"/>
  <c r="L213"/>
  <c r="M213"/>
  <c r="N213"/>
  <c r="G214"/>
  <c r="H214"/>
  <c r="I214"/>
  <c r="J214"/>
  <c r="K214"/>
  <c r="L214"/>
  <c r="M214"/>
  <c r="N214"/>
  <c r="G215"/>
  <c r="H215"/>
  <c r="I215"/>
  <c r="J215"/>
  <c r="K215"/>
  <c r="L215"/>
  <c r="M215"/>
  <c r="N215"/>
  <c r="G216"/>
  <c r="H216"/>
  <c r="I216"/>
  <c r="J216"/>
  <c r="K216"/>
  <c r="L216"/>
  <c r="M216"/>
  <c r="N216"/>
  <c r="G217"/>
  <c r="H217"/>
  <c r="I217"/>
  <c r="J217"/>
  <c r="K217"/>
  <c r="L217"/>
  <c r="M217"/>
  <c r="N217"/>
  <c r="G218"/>
  <c r="H218"/>
  <c r="I218"/>
  <c r="J218"/>
  <c r="K218"/>
  <c r="L218"/>
  <c r="M218"/>
  <c r="N218"/>
  <c r="G219"/>
  <c r="H219"/>
  <c r="I219"/>
  <c r="J219"/>
  <c r="K219"/>
  <c r="L219"/>
  <c r="M219"/>
  <c r="N219"/>
  <c r="G220"/>
  <c r="H220"/>
  <c r="I220"/>
  <c r="J220"/>
  <c r="K220"/>
  <c r="L220"/>
  <c r="M220"/>
  <c r="N220"/>
  <c r="G221"/>
  <c r="H221"/>
  <c r="I221"/>
  <c r="J221"/>
  <c r="K221"/>
  <c r="L221"/>
  <c r="M221"/>
  <c r="N221"/>
  <c r="G222"/>
  <c r="H222"/>
  <c r="I222"/>
  <c r="J222"/>
  <c r="K222"/>
  <c r="L222"/>
  <c r="M222"/>
  <c r="N222"/>
  <c r="G223"/>
  <c r="H223"/>
  <c r="I223"/>
  <c r="J223"/>
  <c r="K223"/>
  <c r="L223"/>
  <c r="M223"/>
  <c r="N223"/>
  <c r="G224"/>
  <c r="H224"/>
  <c r="I224"/>
  <c r="J224"/>
  <c r="K224"/>
  <c r="L224"/>
  <c r="M224"/>
  <c r="N224"/>
  <c r="G225"/>
  <c r="H225"/>
  <c r="I225"/>
  <c r="J225"/>
  <c r="K225"/>
  <c r="L225"/>
  <c r="M225"/>
  <c r="N225"/>
  <c r="G226"/>
  <c r="H226"/>
  <c r="I226"/>
  <c r="J226"/>
  <c r="K226"/>
  <c r="L226"/>
  <c r="M226"/>
  <c r="N226"/>
  <c r="G227"/>
  <c r="H227"/>
  <c r="I227"/>
  <c r="J227"/>
  <c r="K227"/>
  <c r="L227"/>
  <c r="M227"/>
  <c r="N227"/>
  <c r="G228"/>
  <c r="H228"/>
  <c r="I228"/>
  <c r="J228"/>
  <c r="K228"/>
  <c r="L228"/>
  <c r="M228"/>
  <c r="N228"/>
  <c r="G229"/>
  <c r="H229"/>
  <c r="I229"/>
  <c r="J229"/>
  <c r="K229"/>
  <c r="L229"/>
  <c r="M229"/>
  <c r="N229"/>
  <c r="G230"/>
  <c r="H230"/>
  <c r="I230"/>
  <c r="J230"/>
  <c r="K230"/>
  <c r="L230"/>
  <c r="M230"/>
  <c r="N230"/>
  <c r="G231"/>
  <c r="H231"/>
  <c r="I231"/>
  <c r="J231"/>
  <c r="K231"/>
  <c r="L231"/>
  <c r="M231"/>
  <c r="N231"/>
  <c r="G232"/>
  <c r="H232"/>
  <c r="I232"/>
  <c r="J232"/>
  <c r="K232"/>
  <c r="L232"/>
  <c r="M232"/>
  <c r="N232"/>
  <c r="G233"/>
  <c r="H233"/>
  <c r="I233"/>
  <c r="J233"/>
  <c r="K233"/>
  <c r="L233"/>
  <c r="M233"/>
  <c r="N233"/>
  <c r="G234"/>
  <c r="H234"/>
  <c r="I234"/>
  <c r="J234"/>
  <c r="K234"/>
  <c r="L234"/>
  <c r="M234"/>
  <c r="N234"/>
  <c r="G235"/>
  <c r="H235"/>
  <c r="I235"/>
  <c r="J235"/>
  <c r="K235"/>
  <c r="L235"/>
  <c r="M235"/>
  <c r="N235"/>
  <c r="G236"/>
  <c r="H236"/>
  <c r="I236"/>
  <c r="J236"/>
  <c r="K236"/>
  <c r="L236"/>
  <c r="M236"/>
  <c r="N236"/>
  <c r="G237"/>
  <c r="H237"/>
  <c r="I237"/>
  <c r="J237"/>
  <c r="K237"/>
  <c r="L237"/>
  <c r="M237"/>
  <c r="N237"/>
  <c r="G238"/>
  <c r="H238"/>
  <c r="I238"/>
  <c r="J238"/>
  <c r="K238"/>
  <c r="L238"/>
  <c r="M238"/>
  <c r="N238"/>
  <c r="G239"/>
  <c r="H239"/>
  <c r="I239"/>
  <c r="J239"/>
  <c r="K239"/>
  <c r="L239"/>
  <c r="M239"/>
  <c r="N239"/>
  <c r="G240"/>
  <c r="H240"/>
  <c r="I240"/>
  <c r="J240"/>
  <c r="K240"/>
  <c r="L240"/>
  <c r="M240"/>
  <c r="N240"/>
  <c r="G241"/>
  <c r="H241"/>
  <c r="I241"/>
  <c r="J241"/>
  <c r="K241"/>
  <c r="L241"/>
  <c r="M241"/>
  <c r="N241"/>
  <c r="G242"/>
  <c r="H242"/>
  <c r="I242"/>
  <c r="J242"/>
  <c r="K242"/>
  <c r="L242"/>
  <c r="M242"/>
  <c r="N242"/>
  <c r="G243"/>
  <c r="H243"/>
  <c r="I243"/>
  <c r="J243"/>
  <c r="K243"/>
  <c r="L243"/>
  <c r="M243"/>
  <c r="N243"/>
  <c r="G244"/>
  <c r="H244"/>
  <c r="I244"/>
  <c r="J244"/>
  <c r="K244"/>
  <c r="L244"/>
  <c r="M244"/>
  <c r="N244"/>
  <c r="G245"/>
  <c r="H245"/>
  <c r="I245"/>
  <c r="J245"/>
  <c r="K245"/>
  <c r="L245"/>
  <c r="M245"/>
  <c r="N245"/>
  <c r="G246"/>
  <c r="H246"/>
  <c r="I246"/>
  <c r="J246"/>
  <c r="K246"/>
  <c r="L246"/>
  <c r="M246"/>
  <c r="N246"/>
  <c r="G247"/>
  <c r="H247"/>
  <c r="I247"/>
  <c r="J247"/>
  <c r="K247"/>
  <c r="L247"/>
  <c r="M247"/>
  <c r="N247"/>
  <c r="G248"/>
  <c r="H248"/>
  <c r="I248"/>
  <c r="J248"/>
  <c r="K248"/>
  <c r="L248"/>
  <c r="M248"/>
  <c r="N248"/>
  <c r="G249"/>
  <c r="H249"/>
  <c r="I249"/>
  <c r="J249"/>
  <c r="K249"/>
  <c r="L249"/>
  <c r="M249"/>
  <c r="N249"/>
  <c r="G250"/>
  <c r="H250"/>
  <c r="I250"/>
  <c r="J250"/>
  <c r="K250"/>
  <c r="L250"/>
  <c r="M250"/>
  <c r="N250"/>
  <c r="G251"/>
  <c r="H251"/>
  <c r="I251"/>
  <c r="J251"/>
  <c r="K251"/>
  <c r="L251"/>
  <c r="M251"/>
  <c r="N251"/>
  <c r="G252"/>
  <c r="H252"/>
  <c r="I252"/>
  <c r="J252"/>
  <c r="K252"/>
  <c r="L252"/>
  <c r="M252"/>
  <c r="N252"/>
  <c r="G253"/>
  <c r="H253"/>
  <c r="I253"/>
  <c r="J253"/>
  <c r="K253"/>
  <c r="L253"/>
  <c r="M253"/>
  <c r="N253"/>
  <c r="G254"/>
  <c r="H254"/>
  <c r="I254"/>
  <c r="J254"/>
  <c r="K254"/>
  <c r="L254"/>
  <c r="M254"/>
  <c r="N254"/>
  <c r="G255"/>
  <c r="H255"/>
  <c r="I255"/>
  <c r="J255"/>
  <c r="K255"/>
  <c r="L255"/>
  <c r="M255"/>
  <c r="N255"/>
  <c r="G256"/>
  <c r="H256"/>
  <c r="I256"/>
  <c r="J256"/>
  <c r="K256"/>
  <c r="L256"/>
  <c r="M256"/>
  <c r="N256"/>
  <c r="G257"/>
  <c r="H257"/>
  <c r="I257"/>
  <c r="J257"/>
  <c r="K257"/>
  <c r="L257"/>
  <c r="M257"/>
  <c r="N257"/>
  <c r="G258"/>
  <c r="H258"/>
  <c r="I258"/>
  <c r="J258"/>
  <c r="K258"/>
  <c r="L258"/>
  <c r="M258"/>
  <c r="N258"/>
  <c r="G259"/>
  <c r="H259"/>
  <c r="I259"/>
  <c r="J259"/>
  <c r="K259"/>
  <c r="L259"/>
  <c r="M259"/>
  <c r="N259"/>
  <c r="G260"/>
  <c r="H260"/>
  <c r="I260"/>
  <c r="J260"/>
  <c r="K260"/>
  <c r="L260"/>
  <c r="M260"/>
  <c r="N260"/>
  <c r="G261"/>
  <c r="H261"/>
  <c r="I261"/>
  <c r="J261"/>
  <c r="K261"/>
  <c r="L261"/>
  <c r="M261"/>
  <c r="N261"/>
  <c r="G262"/>
  <c r="H262"/>
  <c r="I262"/>
  <c r="J262"/>
  <c r="K262"/>
  <c r="L262"/>
  <c r="M262"/>
  <c r="N262"/>
  <c r="G263"/>
  <c r="H263"/>
  <c r="I263"/>
  <c r="J263"/>
  <c r="K263"/>
  <c r="L263"/>
  <c r="M263"/>
  <c r="N263"/>
  <c r="G264"/>
  <c r="H264"/>
  <c r="I264"/>
  <c r="J264"/>
  <c r="K264"/>
  <c r="L264"/>
  <c r="M264"/>
  <c r="N264"/>
  <c r="G265"/>
  <c r="H265"/>
  <c r="I265"/>
  <c r="J265"/>
  <c r="K265"/>
  <c r="L265"/>
  <c r="M265"/>
  <c r="N265"/>
  <c r="G266"/>
  <c r="H266"/>
  <c r="I266"/>
  <c r="J266"/>
  <c r="K266"/>
  <c r="L266"/>
  <c r="M266"/>
  <c r="N266"/>
  <c r="G267"/>
  <c r="H267"/>
  <c r="I267"/>
  <c r="J267"/>
  <c r="K267"/>
  <c r="L267"/>
  <c r="M267"/>
  <c r="N267"/>
  <c r="G268"/>
  <c r="H268"/>
  <c r="I268"/>
  <c r="J268"/>
  <c r="K268"/>
  <c r="L268"/>
  <c r="M268"/>
  <c r="N268"/>
  <c r="G269"/>
  <c r="H269"/>
  <c r="I269"/>
  <c r="J269"/>
  <c r="K269"/>
  <c r="L269"/>
  <c r="M269"/>
  <c r="N269"/>
  <c r="G270"/>
  <c r="H270"/>
  <c r="I270"/>
  <c r="J270"/>
  <c r="K270"/>
  <c r="L270"/>
  <c r="M270"/>
  <c r="N270"/>
  <c r="G271"/>
  <c r="H271"/>
  <c r="I271"/>
  <c r="J271"/>
  <c r="K271"/>
  <c r="L271"/>
  <c r="M271"/>
  <c r="N271"/>
  <c r="G272"/>
  <c r="H272"/>
  <c r="I272"/>
  <c r="J272"/>
  <c r="K272"/>
  <c r="L272"/>
  <c r="M272"/>
  <c r="N272"/>
  <c r="G273"/>
  <c r="H273"/>
  <c r="I273"/>
  <c r="J273"/>
  <c r="K273"/>
  <c r="L273"/>
  <c r="M273"/>
  <c r="N273"/>
  <c r="G274"/>
  <c r="H274"/>
  <c r="I274"/>
  <c r="J274"/>
  <c r="K274"/>
  <c r="L274"/>
  <c r="M274"/>
  <c r="N274"/>
  <c r="G275"/>
  <c r="H275"/>
  <c r="I275"/>
  <c r="J275"/>
  <c r="K275"/>
  <c r="L275"/>
  <c r="M275"/>
  <c r="N275"/>
  <c r="G276"/>
  <c r="H276"/>
  <c r="I276"/>
  <c r="J276"/>
  <c r="K276"/>
  <c r="L276"/>
  <c r="M276"/>
  <c r="N276"/>
  <c r="G277"/>
  <c r="H277"/>
  <c r="I277"/>
  <c r="J277"/>
  <c r="K277"/>
  <c r="L277"/>
  <c r="M277"/>
  <c r="N277"/>
  <c r="G278"/>
  <c r="H278"/>
  <c r="I278"/>
  <c r="J278"/>
  <c r="K278"/>
  <c r="L278"/>
  <c r="M278"/>
  <c r="N278"/>
  <c r="G279"/>
  <c r="H279"/>
  <c r="I279"/>
  <c r="J279"/>
  <c r="K279"/>
  <c r="L279"/>
  <c r="M279"/>
  <c r="N279"/>
  <c r="G280"/>
  <c r="H280"/>
  <c r="I280"/>
  <c r="J280"/>
  <c r="K280"/>
  <c r="L280"/>
  <c r="M280"/>
  <c r="N280"/>
  <c r="G281"/>
  <c r="H281"/>
  <c r="I281"/>
  <c r="J281"/>
  <c r="K281"/>
  <c r="L281"/>
  <c r="M281"/>
  <c r="N281"/>
  <c r="G282"/>
  <c r="H282"/>
  <c r="I282"/>
  <c r="J282"/>
  <c r="K282"/>
  <c r="L282"/>
  <c r="M282"/>
  <c r="N282"/>
  <c r="G283"/>
  <c r="H283"/>
  <c r="I283"/>
  <c r="J283"/>
  <c r="K283"/>
  <c r="L283"/>
  <c r="M283"/>
  <c r="N283"/>
  <c r="G284"/>
  <c r="H284"/>
  <c r="I284"/>
  <c r="J284"/>
  <c r="K284"/>
  <c r="L284"/>
  <c r="M284"/>
  <c r="N284"/>
  <c r="G285"/>
  <c r="H285"/>
  <c r="I285"/>
  <c r="J285"/>
  <c r="K285"/>
  <c r="L285"/>
  <c r="M285"/>
  <c r="N285"/>
  <c r="G286"/>
  <c r="H286"/>
  <c r="I286"/>
  <c r="J286"/>
  <c r="K286"/>
  <c r="L286"/>
  <c r="M286"/>
  <c r="N286"/>
  <c r="G287"/>
  <c r="H287"/>
  <c r="I287"/>
  <c r="J287"/>
  <c r="K287"/>
  <c r="L287"/>
  <c r="M287"/>
  <c r="N287"/>
  <c r="G288"/>
  <c r="H288"/>
  <c r="I288"/>
  <c r="J288"/>
  <c r="K288"/>
  <c r="L288"/>
  <c r="M288"/>
  <c r="N288"/>
  <c r="G289"/>
  <c r="H289"/>
  <c r="I289"/>
  <c r="J289"/>
  <c r="K289"/>
  <c r="L289"/>
  <c r="M289"/>
  <c r="N289"/>
  <c r="G290"/>
  <c r="H290"/>
  <c r="I290"/>
  <c r="J290"/>
  <c r="K290"/>
  <c r="L290"/>
  <c r="M290"/>
  <c r="N290"/>
  <c r="G291"/>
  <c r="H291"/>
  <c r="I291"/>
  <c r="J291"/>
  <c r="K291"/>
  <c r="L291"/>
  <c r="M291"/>
  <c r="N291"/>
  <c r="G292"/>
  <c r="H292"/>
  <c r="I292"/>
  <c r="J292"/>
  <c r="K292"/>
  <c r="L292"/>
  <c r="M292"/>
  <c r="N292"/>
  <c r="G293"/>
  <c r="H293"/>
  <c r="I293"/>
  <c r="J293"/>
  <c r="K293"/>
  <c r="L293"/>
  <c r="M293"/>
  <c r="N293"/>
  <c r="G294"/>
  <c r="H294"/>
  <c r="I294"/>
  <c r="J294"/>
  <c r="K294"/>
  <c r="L294"/>
  <c r="M294"/>
  <c r="N294"/>
  <c r="G295"/>
  <c r="H295"/>
  <c r="I295"/>
  <c r="J295"/>
  <c r="K295"/>
  <c r="L295"/>
  <c r="M295"/>
  <c r="N295"/>
  <c r="G296"/>
  <c r="H296"/>
  <c r="I296"/>
  <c r="J296"/>
  <c r="K296"/>
  <c r="L296"/>
  <c r="M296"/>
  <c r="N296"/>
  <c r="G297"/>
  <c r="H297"/>
  <c r="I297"/>
  <c r="J297"/>
  <c r="K297"/>
  <c r="L297"/>
  <c r="M297"/>
  <c r="N297"/>
  <c r="G298"/>
  <c r="H298"/>
  <c r="I298"/>
  <c r="J298"/>
  <c r="K298"/>
  <c r="L298"/>
  <c r="M298"/>
  <c r="N298"/>
  <c r="G299"/>
  <c r="H299"/>
  <c r="I299"/>
  <c r="J299"/>
  <c r="K299"/>
  <c r="L299"/>
  <c r="M299"/>
  <c r="N299"/>
  <c r="G300"/>
  <c r="H300"/>
  <c r="I300"/>
  <c r="J300"/>
  <c r="K300"/>
  <c r="L300"/>
  <c r="M300"/>
  <c r="N300"/>
  <c r="G301"/>
  <c r="H301"/>
  <c r="I301"/>
  <c r="J301"/>
  <c r="K301"/>
  <c r="L301"/>
  <c r="M301"/>
  <c r="N301"/>
  <c r="G302"/>
  <c r="H302"/>
  <c r="I302"/>
  <c r="J302"/>
  <c r="K302"/>
  <c r="L302"/>
  <c r="M302"/>
  <c r="N302"/>
  <c r="G303"/>
  <c r="H303"/>
  <c r="I303"/>
  <c r="J303"/>
  <c r="K303"/>
  <c r="L303"/>
  <c r="M303"/>
  <c r="N303"/>
  <c r="G304"/>
  <c r="H304"/>
  <c r="I304"/>
  <c r="J304"/>
  <c r="K304"/>
  <c r="L304"/>
  <c r="M304"/>
  <c r="N304"/>
  <c r="C3" i="10"/>
  <c r="C206"/>
  <c r="D5"/>
  <c r="E5"/>
  <c r="F5"/>
  <c r="G5"/>
  <c r="H5"/>
  <c r="I5"/>
  <c r="J5"/>
  <c r="K5"/>
  <c r="L5"/>
  <c r="M5"/>
  <c r="N5"/>
  <c r="D6"/>
  <c r="E6"/>
  <c r="F6"/>
  <c r="F4" s="1"/>
  <c r="G6"/>
  <c r="H6"/>
  <c r="I6"/>
  <c r="J6"/>
  <c r="J4" s="1"/>
  <c r="K6"/>
  <c r="L6"/>
  <c r="M6"/>
  <c r="N6"/>
  <c r="D7"/>
  <c r="E7"/>
  <c r="F7"/>
  <c r="G7"/>
  <c r="H7"/>
  <c r="I7"/>
  <c r="J7"/>
  <c r="K7"/>
  <c r="L7"/>
  <c r="M7"/>
  <c r="N7"/>
  <c r="D8"/>
  <c r="E8"/>
  <c r="F8"/>
  <c r="G8"/>
  <c r="H8"/>
  <c r="H4" s="1"/>
  <c r="I8"/>
  <c r="J8"/>
  <c r="K8"/>
  <c r="L8"/>
  <c r="M8"/>
  <c r="N8"/>
  <c r="D9"/>
  <c r="E9"/>
  <c r="F9"/>
  <c r="G9"/>
  <c r="H9"/>
  <c r="I9"/>
  <c r="J9"/>
  <c r="K9"/>
  <c r="L9"/>
  <c r="M9"/>
  <c r="N9"/>
  <c r="D10"/>
  <c r="E10"/>
  <c r="F10"/>
  <c r="G10"/>
  <c r="H10"/>
  <c r="I10"/>
  <c r="J10"/>
  <c r="K10"/>
  <c r="L10"/>
  <c r="M10"/>
  <c r="N10"/>
  <c r="D11"/>
  <c r="E11"/>
  <c r="F11"/>
  <c r="G11"/>
  <c r="H11"/>
  <c r="I11"/>
  <c r="J11"/>
  <c r="K11"/>
  <c r="L11"/>
  <c r="M11"/>
  <c r="N11"/>
  <c r="D12"/>
  <c r="E12"/>
  <c r="F12"/>
  <c r="G12"/>
  <c r="H12"/>
  <c r="I12"/>
  <c r="J12"/>
  <c r="K12"/>
  <c r="L12"/>
  <c r="M12"/>
  <c r="N12"/>
  <c r="D13"/>
  <c r="E13"/>
  <c r="F13"/>
  <c r="G13"/>
  <c r="H13"/>
  <c r="I13"/>
  <c r="J13"/>
  <c r="K13"/>
  <c r="L13"/>
  <c r="M13"/>
  <c r="N13"/>
  <c r="D14"/>
  <c r="E14"/>
  <c r="F14"/>
  <c r="G14"/>
  <c r="H14"/>
  <c r="I14"/>
  <c r="J14"/>
  <c r="K14"/>
  <c r="L14"/>
  <c r="M14"/>
  <c r="N14"/>
  <c r="D15"/>
  <c r="E15"/>
  <c r="F15"/>
  <c r="G15"/>
  <c r="H15"/>
  <c r="I15"/>
  <c r="J15"/>
  <c r="K15"/>
  <c r="L15"/>
  <c r="M15"/>
  <c r="N15"/>
  <c r="D16"/>
  <c r="E16"/>
  <c r="F16"/>
  <c r="G16"/>
  <c r="H16"/>
  <c r="I16"/>
  <c r="J16"/>
  <c r="K16"/>
  <c r="L16"/>
  <c r="M16"/>
  <c r="N16"/>
  <c r="D17"/>
  <c r="E17"/>
  <c r="F17"/>
  <c r="G17"/>
  <c r="H17"/>
  <c r="I17"/>
  <c r="J17"/>
  <c r="K17"/>
  <c r="L17"/>
  <c r="M17"/>
  <c r="N17"/>
  <c r="D18"/>
  <c r="E18"/>
  <c r="F18"/>
  <c r="G18"/>
  <c r="H18"/>
  <c r="I18"/>
  <c r="J18"/>
  <c r="K18"/>
  <c r="L18"/>
  <c r="M18"/>
  <c r="N18"/>
  <c r="D19"/>
  <c r="E19"/>
  <c r="F19"/>
  <c r="G19"/>
  <c r="H19"/>
  <c r="I19"/>
  <c r="J19"/>
  <c r="K19"/>
  <c r="L19"/>
  <c r="M19"/>
  <c r="N19"/>
  <c r="D20"/>
  <c r="E20"/>
  <c r="F20"/>
  <c r="G20"/>
  <c r="H20"/>
  <c r="I20"/>
  <c r="J20"/>
  <c r="K20"/>
  <c r="L20"/>
  <c r="M20"/>
  <c r="N20"/>
  <c r="D21"/>
  <c r="E21"/>
  <c r="F21"/>
  <c r="G21"/>
  <c r="H21"/>
  <c r="I21"/>
  <c r="J21"/>
  <c r="K21"/>
  <c r="L21"/>
  <c r="M21"/>
  <c r="N21"/>
  <c r="D22"/>
  <c r="E22"/>
  <c r="F22"/>
  <c r="G22"/>
  <c r="H22"/>
  <c r="I22"/>
  <c r="J22"/>
  <c r="K22"/>
  <c r="L22"/>
  <c r="M22"/>
  <c r="N22"/>
  <c r="D23"/>
  <c r="E23"/>
  <c r="F23"/>
  <c r="G23"/>
  <c r="H23"/>
  <c r="I23"/>
  <c r="J23"/>
  <c r="K23"/>
  <c r="L23"/>
  <c r="M23"/>
  <c r="N23"/>
  <c r="D24"/>
  <c r="E24"/>
  <c r="F24"/>
  <c r="G24"/>
  <c r="H24"/>
  <c r="I24"/>
  <c r="J24"/>
  <c r="K24"/>
  <c r="L24"/>
  <c r="M24"/>
  <c r="N24"/>
  <c r="D25"/>
  <c r="E25"/>
  <c r="F25"/>
  <c r="G25"/>
  <c r="H25"/>
  <c r="I25"/>
  <c r="J25"/>
  <c r="K25"/>
  <c r="L25"/>
  <c r="M25"/>
  <c r="N25"/>
  <c r="D26"/>
  <c r="E26"/>
  <c r="F26"/>
  <c r="G26"/>
  <c r="H26"/>
  <c r="I26"/>
  <c r="J26"/>
  <c r="K26"/>
  <c r="L26"/>
  <c r="M26"/>
  <c r="N26"/>
  <c r="D27"/>
  <c r="E27"/>
  <c r="F27"/>
  <c r="G27"/>
  <c r="H27"/>
  <c r="I27"/>
  <c r="J27"/>
  <c r="K27"/>
  <c r="L27"/>
  <c r="M27"/>
  <c r="N27"/>
  <c r="D28"/>
  <c r="E28"/>
  <c r="F28"/>
  <c r="G28"/>
  <c r="H28"/>
  <c r="I28"/>
  <c r="J28"/>
  <c r="K28"/>
  <c r="L28"/>
  <c r="M28"/>
  <c r="N28"/>
  <c r="D29"/>
  <c r="E29"/>
  <c r="F29"/>
  <c r="G29"/>
  <c r="H29"/>
  <c r="I29"/>
  <c r="J29"/>
  <c r="K29"/>
  <c r="L29"/>
  <c r="M29"/>
  <c r="N29"/>
  <c r="D30"/>
  <c r="E30"/>
  <c r="F30"/>
  <c r="G30"/>
  <c r="H30"/>
  <c r="I30"/>
  <c r="J30"/>
  <c r="K30"/>
  <c r="L30"/>
  <c r="M30"/>
  <c r="N30"/>
  <c r="D31"/>
  <c r="E31"/>
  <c r="F31"/>
  <c r="G31"/>
  <c r="H31"/>
  <c r="I31"/>
  <c r="J31"/>
  <c r="K31"/>
  <c r="L31"/>
  <c r="M31"/>
  <c r="N31"/>
  <c r="D32"/>
  <c r="E32"/>
  <c r="F32"/>
  <c r="G32"/>
  <c r="H32"/>
  <c r="I32"/>
  <c r="J32"/>
  <c r="K32"/>
  <c r="L32"/>
  <c r="M32"/>
  <c r="N32"/>
  <c r="D33"/>
  <c r="E33"/>
  <c r="F33"/>
  <c r="G33"/>
  <c r="H33"/>
  <c r="I33"/>
  <c r="J33"/>
  <c r="K33"/>
  <c r="L33"/>
  <c r="M33"/>
  <c r="N33"/>
  <c r="D34"/>
  <c r="E34"/>
  <c r="F34"/>
  <c r="G34"/>
  <c r="H34"/>
  <c r="I34"/>
  <c r="J34"/>
  <c r="K34"/>
  <c r="L34"/>
  <c r="M34"/>
  <c r="N34"/>
  <c r="D35"/>
  <c r="E35"/>
  <c r="F35"/>
  <c r="G35"/>
  <c r="H35"/>
  <c r="I35"/>
  <c r="J35"/>
  <c r="K35"/>
  <c r="L35"/>
  <c r="M35"/>
  <c r="N35"/>
  <c r="D36"/>
  <c r="E36"/>
  <c r="F36"/>
  <c r="G36"/>
  <c r="H36"/>
  <c r="I36"/>
  <c r="J36"/>
  <c r="K36"/>
  <c r="L36"/>
  <c r="M36"/>
  <c r="N36"/>
  <c r="D37"/>
  <c r="E37"/>
  <c r="F37"/>
  <c r="G37"/>
  <c r="H37"/>
  <c r="I37"/>
  <c r="J37"/>
  <c r="K37"/>
  <c r="L37"/>
  <c r="M37"/>
  <c r="N37"/>
  <c r="D38"/>
  <c r="E38"/>
  <c r="F38"/>
  <c r="G38"/>
  <c r="H38"/>
  <c r="I38"/>
  <c r="J38"/>
  <c r="K38"/>
  <c r="L38"/>
  <c r="M38"/>
  <c r="N38"/>
  <c r="D39"/>
  <c r="E39"/>
  <c r="F39"/>
  <c r="G39"/>
  <c r="H39"/>
  <c r="I39"/>
  <c r="J39"/>
  <c r="K39"/>
  <c r="L39"/>
  <c r="M39"/>
  <c r="N39"/>
  <c r="D40"/>
  <c r="E40"/>
  <c r="F40"/>
  <c r="G40"/>
  <c r="H40"/>
  <c r="I40"/>
  <c r="J40"/>
  <c r="K40"/>
  <c r="L40"/>
  <c r="M40"/>
  <c r="N40"/>
  <c r="D41"/>
  <c r="E41"/>
  <c r="F41"/>
  <c r="G41"/>
  <c r="H41"/>
  <c r="I41"/>
  <c r="J41"/>
  <c r="K41"/>
  <c r="L41"/>
  <c r="M41"/>
  <c r="N41"/>
  <c r="D42"/>
  <c r="E42"/>
  <c r="F42"/>
  <c r="G42"/>
  <c r="H42"/>
  <c r="I42"/>
  <c r="J42"/>
  <c r="K42"/>
  <c r="L42"/>
  <c r="M42"/>
  <c r="N42"/>
  <c r="D43"/>
  <c r="E43"/>
  <c r="F43"/>
  <c r="G43"/>
  <c r="H43"/>
  <c r="I43"/>
  <c r="J43"/>
  <c r="K43"/>
  <c r="L43"/>
  <c r="M43"/>
  <c r="N43"/>
  <c r="D44"/>
  <c r="E44"/>
  <c r="F44"/>
  <c r="G44"/>
  <c r="H44"/>
  <c r="I44"/>
  <c r="J44"/>
  <c r="K44"/>
  <c r="L44"/>
  <c r="M44"/>
  <c r="N44"/>
  <c r="D45"/>
  <c r="E45"/>
  <c r="F45"/>
  <c r="G45"/>
  <c r="H45"/>
  <c r="I45"/>
  <c r="J45"/>
  <c r="K45"/>
  <c r="L45"/>
  <c r="M45"/>
  <c r="N45"/>
  <c r="D46"/>
  <c r="E46"/>
  <c r="F46"/>
  <c r="G46"/>
  <c r="H46"/>
  <c r="I46"/>
  <c r="J46"/>
  <c r="K46"/>
  <c r="L46"/>
  <c r="M46"/>
  <c r="N46"/>
  <c r="D47"/>
  <c r="E47"/>
  <c r="F47"/>
  <c r="G47"/>
  <c r="H47"/>
  <c r="I47"/>
  <c r="J47"/>
  <c r="K47"/>
  <c r="L47"/>
  <c r="M47"/>
  <c r="N47"/>
  <c r="D48"/>
  <c r="E48"/>
  <c r="F48"/>
  <c r="G48"/>
  <c r="H48"/>
  <c r="I48"/>
  <c r="J48"/>
  <c r="K48"/>
  <c r="L48"/>
  <c r="M48"/>
  <c r="N48"/>
  <c r="D49"/>
  <c r="E49"/>
  <c r="F49"/>
  <c r="G49"/>
  <c r="H49"/>
  <c r="I49"/>
  <c r="J49"/>
  <c r="K49"/>
  <c r="L49"/>
  <c r="M49"/>
  <c r="N49"/>
  <c r="D50"/>
  <c r="E50"/>
  <c r="F50"/>
  <c r="G50"/>
  <c r="H50"/>
  <c r="I50"/>
  <c r="J50"/>
  <c r="K50"/>
  <c r="L50"/>
  <c r="M50"/>
  <c r="N50"/>
  <c r="D51"/>
  <c r="E51"/>
  <c r="F51"/>
  <c r="G51"/>
  <c r="H51"/>
  <c r="I51"/>
  <c r="J51"/>
  <c r="K51"/>
  <c r="L51"/>
  <c r="M51"/>
  <c r="N51"/>
  <c r="D52"/>
  <c r="E52"/>
  <c r="F52"/>
  <c r="G52"/>
  <c r="H52"/>
  <c r="I52"/>
  <c r="J52"/>
  <c r="K52"/>
  <c r="L52"/>
  <c r="M52"/>
  <c r="N52"/>
  <c r="D53"/>
  <c r="E53"/>
  <c r="F53"/>
  <c r="G53"/>
  <c r="H53"/>
  <c r="I53"/>
  <c r="J53"/>
  <c r="K53"/>
  <c r="L53"/>
  <c r="M53"/>
  <c r="N53"/>
  <c r="D54"/>
  <c r="E54"/>
  <c r="F54"/>
  <c r="G54"/>
  <c r="H54"/>
  <c r="I54"/>
  <c r="J54"/>
  <c r="K54"/>
  <c r="L54"/>
  <c r="M54"/>
  <c r="N54"/>
  <c r="D55"/>
  <c r="E55"/>
  <c r="F55"/>
  <c r="G55"/>
  <c r="H55"/>
  <c r="I55"/>
  <c r="J55"/>
  <c r="K55"/>
  <c r="L55"/>
  <c r="M55"/>
  <c r="N55"/>
  <c r="D56"/>
  <c r="E56"/>
  <c r="F56"/>
  <c r="G56"/>
  <c r="H56"/>
  <c r="I56"/>
  <c r="J56"/>
  <c r="K56"/>
  <c r="L56"/>
  <c r="M56"/>
  <c r="N56"/>
  <c r="D57"/>
  <c r="E57"/>
  <c r="F57"/>
  <c r="G57"/>
  <c r="H57"/>
  <c r="I57"/>
  <c r="J57"/>
  <c r="K57"/>
  <c r="L57"/>
  <c r="M57"/>
  <c r="N57"/>
  <c r="D58"/>
  <c r="E58"/>
  <c r="F58"/>
  <c r="G58"/>
  <c r="H58"/>
  <c r="I58"/>
  <c r="J58"/>
  <c r="K58"/>
  <c r="L58"/>
  <c r="M58"/>
  <c r="N58"/>
  <c r="D59"/>
  <c r="E59"/>
  <c r="F59"/>
  <c r="G59"/>
  <c r="H59"/>
  <c r="I59"/>
  <c r="J59"/>
  <c r="K59"/>
  <c r="L59"/>
  <c r="M59"/>
  <c r="N59"/>
  <c r="D60"/>
  <c r="E60"/>
  <c r="F60"/>
  <c r="G60"/>
  <c r="H60"/>
  <c r="I60"/>
  <c r="J60"/>
  <c r="K60"/>
  <c r="L60"/>
  <c r="M60"/>
  <c r="N60"/>
  <c r="D61"/>
  <c r="E61"/>
  <c r="F61"/>
  <c r="G61"/>
  <c r="H61"/>
  <c r="I61"/>
  <c r="J61"/>
  <c r="K61"/>
  <c r="L61"/>
  <c r="M61"/>
  <c r="N61"/>
  <c r="D62"/>
  <c r="E62"/>
  <c r="F62"/>
  <c r="G62"/>
  <c r="H62"/>
  <c r="I62"/>
  <c r="J62"/>
  <c r="K62"/>
  <c r="L62"/>
  <c r="M62"/>
  <c r="N62"/>
  <c r="D63"/>
  <c r="E63"/>
  <c r="F63"/>
  <c r="G63"/>
  <c r="H63"/>
  <c r="I63"/>
  <c r="J63"/>
  <c r="K63"/>
  <c r="L63"/>
  <c r="M63"/>
  <c r="N63"/>
  <c r="D64"/>
  <c r="E64"/>
  <c r="F64"/>
  <c r="G64"/>
  <c r="H64"/>
  <c r="I64"/>
  <c r="J64"/>
  <c r="K64"/>
  <c r="L64"/>
  <c r="M64"/>
  <c r="N64"/>
  <c r="D65"/>
  <c r="E65"/>
  <c r="F65"/>
  <c r="G65"/>
  <c r="H65"/>
  <c r="I65"/>
  <c r="J65"/>
  <c r="K65"/>
  <c r="L65"/>
  <c r="M65"/>
  <c r="N65"/>
  <c r="D66"/>
  <c r="E66"/>
  <c r="F66"/>
  <c r="G66"/>
  <c r="H66"/>
  <c r="I66"/>
  <c r="J66"/>
  <c r="K66"/>
  <c r="L66"/>
  <c r="M66"/>
  <c r="N66"/>
  <c r="D67"/>
  <c r="E67"/>
  <c r="F67"/>
  <c r="G67"/>
  <c r="H67"/>
  <c r="I67"/>
  <c r="J67"/>
  <c r="K67"/>
  <c r="L67"/>
  <c r="M67"/>
  <c r="N67"/>
  <c r="D68"/>
  <c r="E68"/>
  <c r="F68"/>
  <c r="G68"/>
  <c r="H68"/>
  <c r="I68"/>
  <c r="J68"/>
  <c r="K68"/>
  <c r="L68"/>
  <c r="M68"/>
  <c r="N68"/>
  <c r="D69"/>
  <c r="E69"/>
  <c r="F69"/>
  <c r="G69"/>
  <c r="H69"/>
  <c r="I69"/>
  <c r="J69"/>
  <c r="K69"/>
  <c r="L69"/>
  <c r="M69"/>
  <c r="N69"/>
  <c r="D70"/>
  <c r="E70"/>
  <c r="F70"/>
  <c r="G70"/>
  <c r="H70"/>
  <c r="I70"/>
  <c r="J70"/>
  <c r="K70"/>
  <c r="L70"/>
  <c r="M70"/>
  <c r="N70"/>
  <c r="D71"/>
  <c r="E71"/>
  <c r="F71"/>
  <c r="G71"/>
  <c r="H71"/>
  <c r="I71"/>
  <c r="J71"/>
  <c r="K71"/>
  <c r="L71"/>
  <c r="M71"/>
  <c r="N71"/>
  <c r="D72"/>
  <c r="E72"/>
  <c r="F72"/>
  <c r="G72"/>
  <c r="H72"/>
  <c r="I72"/>
  <c r="J72"/>
  <c r="K72"/>
  <c r="L72"/>
  <c r="M72"/>
  <c r="N72"/>
  <c r="D73"/>
  <c r="E73"/>
  <c r="F73"/>
  <c r="G73"/>
  <c r="H73"/>
  <c r="I73"/>
  <c r="J73"/>
  <c r="K73"/>
  <c r="L73"/>
  <c r="M73"/>
  <c r="N73"/>
  <c r="D74"/>
  <c r="E74"/>
  <c r="F74"/>
  <c r="G74"/>
  <c r="H74"/>
  <c r="I74"/>
  <c r="J74"/>
  <c r="K74"/>
  <c r="L74"/>
  <c r="M74"/>
  <c r="N74"/>
  <c r="D75"/>
  <c r="E75"/>
  <c r="F75"/>
  <c r="G75"/>
  <c r="H75"/>
  <c r="I75"/>
  <c r="J75"/>
  <c r="K75"/>
  <c r="L75"/>
  <c r="M75"/>
  <c r="N75"/>
  <c r="D76"/>
  <c r="E76"/>
  <c r="F76"/>
  <c r="G76"/>
  <c r="H76"/>
  <c r="I76"/>
  <c r="J76"/>
  <c r="K76"/>
  <c r="L76"/>
  <c r="M76"/>
  <c r="N76"/>
  <c r="D77"/>
  <c r="E77"/>
  <c r="F77"/>
  <c r="G77"/>
  <c r="H77"/>
  <c r="I77"/>
  <c r="J77"/>
  <c r="K77"/>
  <c r="L77"/>
  <c r="M77"/>
  <c r="N77"/>
  <c r="D78"/>
  <c r="E78"/>
  <c r="F78"/>
  <c r="G78"/>
  <c r="H78"/>
  <c r="I78"/>
  <c r="J78"/>
  <c r="K78"/>
  <c r="L78"/>
  <c r="M78"/>
  <c r="N78"/>
  <c r="D79"/>
  <c r="E79"/>
  <c r="F79"/>
  <c r="G79"/>
  <c r="H79"/>
  <c r="I79"/>
  <c r="J79"/>
  <c r="K79"/>
  <c r="L79"/>
  <c r="M79"/>
  <c r="N79"/>
  <c r="D80"/>
  <c r="E80"/>
  <c r="F80"/>
  <c r="G80"/>
  <c r="H80"/>
  <c r="I80"/>
  <c r="J80"/>
  <c r="K80"/>
  <c r="L80"/>
  <c r="M80"/>
  <c r="N80"/>
  <c r="D81"/>
  <c r="E81"/>
  <c r="F81"/>
  <c r="G81"/>
  <c r="H81"/>
  <c r="I81"/>
  <c r="J81"/>
  <c r="K81"/>
  <c r="L81"/>
  <c r="M81"/>
  <c r="N81"/>
  <c r="D82"/>
  <c r="E82"/>
  <c r="F82"/>
  <c r="G82"/>
  <c r="H82"/>
  <c r="I82"/>
  <c r="J82"/>
  <c r="K82"/>
  <c r="L82"/>
  <c r="M82"/>
  <c r="N82"/>
  <c r="D83"/>
  <c r="E83"/>
  <c r="F83"/>
  <c r="G83"/>
  <c r="H83"/>
  <c r="I83"/>
  <c r="J83"/>
  <c r="K83"/>
  <c r="L83"/>
  <c r="M83"/>
  <c r="N83"/>
  <c r="D84"/>
  <c r="E84"/>
  <c r="F84"/>
  <c r="G84"/>
  <c r="H84"/>
  <c r="I84"/>
  <c r="J84"/>
  <c r="K84"/>
  <c r="L84"/>
  <c r="M84"/>
  <c r="N84"/>
  <c r="D85"/>
  <c r="E85"/>
  <c r="F85"/>
  <c r="G85"/>
  <c r="H85"/>
  <c r="I85"/>
  <c r="J85"/>
  <c r="K85"/>
  <c r="L85"/>
  <c r="M85"/>
  <c r="N85"/>
  <c r="D86"/>
  <c r="E86"/>
  <c r="F86"/>
  <c r="G86"/>
  <c r="H86"/>
  <c r="I86"/>
  <c r="J86"/>
  <c r="K86"/>
  <c r="L86"/>
  <c r="M86"/>
  <c r="N86"/>
  <c r="D87"/>
  <c r="E87"/>
  <c r="F87"/>
  <c r="G87"/>
  <c r="H87"/>
  <c r="I87"/>
  <c r="J87"/>
  <c r="K87"/>
  <c r="L87"/>
  <c r="M87"/>
  <c r="N87"/>
  <c r="D88"/>
  <c r="E88"/>
  <c r="F88"/>
  <c r="G88"/>
  <c r="H88"/>
  <c r="I88"/>
  <c r="J88"/>
  <c r="K88"/>
  <c r="L88"/>
  <c r="M88"/>
  <c r="N88"/>
  <c r="D89"/>
  <c r="E89"/>
  <c r="F89"/>
  <c r="G89"/>
  <c r="H89"/>
  <c r="I89"/>
  <c r="J89"/>
  <c r="K89"/>
  <c r="L89"/>
  <c r="M89"/>
  <c r="N89"/>
  <c r="D90"/>
  <c r="E90"/>
  <c r="F90"/>
  <c r="G90"/>
  <c r="H90"/>
  <c r="I90"/>
  <c r="J90"/>
  <c r="K90"/>
  <c r="L90"/>
  <c r="M90"/>
  <c r="N90"/>
  <c r="D91"/>
  <c r="E91"/>
  <c r="F91"/>
  <c r="G91"/>
  <c r="H91"/>
  <c r="I91"/>
  <c r="J91"/>
  <c r="K91"/>
  <c r="L91"/>
  <c r="M91"/>
  <c r="N91"/>
  <c r="D92"/>
  <c r="E92"/>
  <c r="F92"/>
  <c r="G92"/>
  <c r="H92"/>
  <c r="I92"/>
  <c r="J92"/>
  <c r="K92"/>
  <c r="L92"/>
  <c r="M92"/>
  <c r="N92"/>
  <c r="D93"/>
  <c r="E93"/>
  <c r="F93"/>
  <c r="G93"/>
  <c r="H93"/>
  <c r="I93"/>
  <c r="J93"/>
  <c r="K93"/>
  <c r="L93"/>
  <c r="M93"/>
  <c r="N93"/>
  <c r="D94"/>
  <c r="E94"/>
  <c r="F94"/>
  <c r="G94"/>
  <c r="H94"/>
  <c r="I94"/>
  <c r="J94"/>
  <c r="K94"/>
  <c r="L94"/>
  <c r="M94"/>
  <c r="N94"/>
  <c r="D95"/>
  <c r="E95"/>
  <c r="F95"/>
  <c r="G95"/>
  <c r="H95"/>
  <c r="I95"/>
  <c r="J95"/>
  <c r="K95"/>
  <c r="L95"/>
  <c r="M95"/>
  <c r="N95"/>
  <c r="D96"/>
  <c r="E96"/>
  <c r="F96"/>
  <c r="G96"/>
  <c r="H96"/>
  <c r="I96"/>
  <c r="J96"/>
  <c r="K96"/>
  <c r="L96"/>
  <c r="M96"/>
  <c r="N96"/>
  <c r="D97"/>
  <c r="E97"/>
  <c r="F97"/>
  <c r="G97"/>
  <c r="H97"/>
  <c r="I97"/>
  <c r="J97"/>
  <c r="K97"/>
  <c r="L97"/>
  <c r="M97"/>
  <c r="N97"/>
  <c r="D98"/>
  <c r="E98"/>
  <c r="F98"/>
  <c r="G98"/>
  <c r="H98"/>
  <c r="I98"/>
  <c r="J98"/>
  <c r="K98"/>
  <c r="L98"/>
  <c r="M98"/>
  <c r="N98"/>
  <c r="D99"/>
  <c r="E99"/>
  <c r="F99"/>
  <c r="G99"/>
  <c r="H99"/>
  <c r="I99"/>
  <c r="J99"/>
  <c r="K99"/>
  <c r="L99"/>
  <c r="M99"/>
  <c r="N99"/>
  <c r="D100"/>
  <c r="E100"/>
  <c r="F100"/>
  <c r="G100"/>
  <c r="H100"/>
  <c r="I100"/>
  <c r="J100"/>
  <c r="K100"/>
  <c r="L100"/>
  <c r="M100"/>
  <c r="N100"/>
  <c r="D101"/>
  <c r="E101"/>
  <c r="F101"/>
  <c r="G101"/>
  <c r="H101"/>
  <c r="I101"/>
  <c r="J101"/>
  <c r="K101"/>
  <c r="L101"/>
  <c r="M101"/>
  <c r="N101"/>
  <c r="D102"/>
  <c r="E102"/>
  <c r="F102"/>
  <c r="G102"/>
  <c r="H102"/>
  <c r="I102"/>
  <c r="J102"/>
  <c r="K102"/>
  <c r="L102"/>
  <c r="M102"/>
  <c r="N102"/>
  <c r="D103"/>
  <c r="E103"/>
  <c r="F103"/>
  <c r="G103"/>
  <c r="H103"/>
  <c r="I103"/>
  <c r="J103"/>
  <c r="K103"/>
  <c r="L103"/>
  <c r="M103"/>
  <c r="N103"/>
  <c r="D104"/>
  <c r="E104"/>
  <c r="F104"/>
  <c r="G104"/>
  <c r="H104"/>
  <c r="I104"/>
  <c r="J104"/>
  <c r="K104"/>
  <c r="L104"/>
  <c r="M104"/>
  <c r="N104"/>
  <c r="D105"/>
  <c r="E105"/>
  <c r="F105"/>
  <c r="G105"/>
  <c r="H105"/>
  <c r="I105"/>
  <c r="J105"/>
  <c r="K105"/>
  <c r="L105"/>
  <c r="M105"/>
  <c r="N105"/>
  <c r="D106"/>
  <c r="E106"/>
  <c r="F106"/>
  <c r="G106"/>
  <c r="H106"/>
  <c r="I106"/>
  <c r="J106"/>
  <c r="K106"/>
  <c r="L106"/>
  <c r="M106"/>
  <c r="N106"/>
  <c r="D107"/>
  <c r="E107"/>
  <c r="F107"/>
  <c r="G107"/>
  <c r="H107"/>
  <c r="I107"/>
  <c r="J107"/>
  <c r="K107"/>
  <c r="L107"/>
  <c r="M107"/>
  <c r="N107"/>
  <c r="D108"/>
  <c r="E108"/>
  <c r="F108"/>
  <c r="G108"/>
  <c r="H108"/>
  <c r="I108"/>
  <c r="J108"/>
  <c r="K108"/>
  <c r="L108"/>
  <c r="M108"/>
  <c r="N108"/>
  <c r="D109"/>
  <c r="E109"/>
  <c r="F109"/>
  <c r="G109"/>
  <c r="H109"/>
  <c r="I109"/>
  <c r="J109"/>
  <c r="K109"/>
  <c r="L109"/>
  <c r="M109"/>
  <c r="N109"/>
  <c r="D110"/>
  <c r="E110"/>
  <c r="F110"/>
  <c r="G110"/>
  <c r="H110"/>
  <c r="I110"/>
  <c r="J110"/>
  <c r="K110"/>
  <c r="L110"/>
  <c r="M110"/>
  <c r="N110"/>
  <c r="D111"/>
  <c r="E111"/>
  <c r="F111"/>
  <c r="G111"/>
  <c r="H111"/>
  <c r="I111"/>
  <c r="J111"/>
  <c r="K111"/>
  <c r="L111"/>
  <c r="M111"/>
  <c r="N111"/>
  <c r="D112"/>
  <c r="E112"/>
  <c r="F112"/>
  <c r="G112"/>
  <c r="H112"/>
  <c r="I112"/>
  <c r="J112"/>
  <c r="K112"/>
  <c r="L112"/>
  <c r="M112"/>
  <c r="N112"/>
  <c r="D113"/>
  <c r="E113"/>
  <c r="F113"/>
  <c r="G113"/>
  <c r="H113"/>
  <c r="I113"/>
  <c r="J113"/>
  <c r="K113"/>
  <c r="L113"/>
  <c r="M113"/>
  <c r="N113"/>
  <c r="D114"/>
  <c r="E114"/>
  <c r="F114"/>
  <c r="G114"/>
  <c r="H114"/>
  <c r="I114"/>
  <c r="J114"/>
  <c r="K114"/>
  <c r="L114"/>
  <c r="M114"/>
  <c r="N114"/>
  <c r="D115"/>
  <c r="E115"/>
  <c r="F115"/>
  <c r="G115"/>
  <c r="H115"/>
  <c r="I115"/>
  <c r="J115"/>
  <c r="K115"/>
  <c r="L115"/>
  <c r="M115"/>
  <c r="N115"/>
  <c r="D116"/>
  <c r="E116"/>
  <c r="F116"/>
  <c r="G116"/>
  <c r="H116"/>
  <c r="I116"/>
  <c r="J116"/>
  <c r="K116"/>
  <c r="L116"/>
  <c r="M116"/>
  <c r="N116"/>
  <c r="D117"/>
  <c r="E117"/>
  <c r="F117"/>
  <c r="G117"/>
  <c r="H117"/>
  <c r="I117"/>
  <c r="J117"/>
  <c r="K117"/>
  <c r="L117"/>
  <c r="M117"/>
  <c r="N117"/>
  <c r="D118"/>
  <c r="E118"/>
  <c r="F118"/>
  <c r="G118"/>
  <c r="H118"/>
  <c r="I118"/>
  <c r="J118"/>
  <c r="K118"/>
  <c r="L118"/>
  <c r="M118"/>
  <c r="N118"/>
  <c r="D119"/>
  <c r="E119"/>
  <c r="F119"/>
  <c r="G119"/>
  <c r="H119"/>
  <c r="I119"/>
  <c r="J119"/>
  <c r="K119"/>
  <c r="L119"/>
  <c r="M119"/>
  <c r="N119"/>
  <c r="D120"/>
  <c r="E120"/>
  <c r="F120"/>
  <c r="G120"/>
  <c r="H120"/>
  <c r="I120"/>
  <c r="J120"/>
  <c r="K120"/>
  <c r="L120"/>
  <c r="M120"/>
  <c r="N120"/>
  <c r="D121"/>
  <c r="E121"/>
  <c r="F121"/>
  <c r="G121"/>
  <c r="H121"/>
  <c r="I121"/>
  <c r="J121"/>
  <c r="K121"/>
  <c r="L121"/>
  <c r="M121"/>
  <c r="N121"/>
  <c r="D122"/>
  <c r="E122"/>
  <c r="F122"/>
  <c r="G122"/>
  <c r="H122"/>
  <c r="I122"/>
  <c r="J122"/>
  <c r="K122"/>
  <c r="L122"/>
  <c r="M122"/>
  <c r="N122"/>
  <c r="D123"/>
  <c r="E123"/>
  <c r="F123"/>
  <c r="G123"/>
  <c r="H123"/>
  <c r="I123"/>
  <c r="J123"/>
  <c r="K123"/>
  <c r="L123"/>
  <c r="M123"/>
  <c r="N123"/>
  <c r="D124"/>
  <c r="E124"/>
  <c r="F124"/>
  <c r="G124"/>
  <c r="H124"/>
  <c r="I124"/>
  <c r="J124"/>
  <c r="K124"/>
  <c r="L124"/>
  <c r="M124"/>
  <c r="N124"/>
  <c r="D125"/>
  <c r="E125"/>
  <c r="F125"/>
  <c r="G125"/>
  <c r="H125"/>
  <c r="I125"/>
  <c r="J125"/>
  <c r="K125"/>
  <c r="L125"/>
  <c r="M125"/>
  <c r="N125"/>
  <c r="D126"/>
  <c r="E126"/>
  <c r="F126"/>
  <c r="G126"/>
  <c r="H126"/>
  <c r="I126"/>
  <c r="J126"/>
  <c r="K126"/>
  <c r="L126"/>
  <c r="M126"/>
  <c r="N126"/>
  <c r="D127"/>
  <c r="E127"/>
  <c r="F127"/>
  <c r="G127"/>
  <c r="H127"/>
  <c r="I127"/>
  <c r="J127"/>
  <c r="K127"/>
  <c r="L127"/>
  <c r="M127"/>
  <c r="N127"/>
  <c r="D128"/>
  <c r="E128"/>
  <c r="F128"/>
  <c r="G128"/>
  <c r="H128"/>
  <c r="I128"/>
  <c r="J128"/>
  <c r="K128"/>
  <c r="L128"/>
  <c r="M128"/>
  <c r="N128"/>
  <c r="D129"/>
  <c r="E129"/>
  <c r="F129"/>
  <c r="G129"/>
  <c r="H129"/>
  <c r="I129"/>
  <c r="J129"/>
  <c r="K129"/>
  <c r="L129"/>
  <c r="M129"/>
  <c r="N129"/>
  <c r="D130"/>
  <c r="E130"/>
  <c r="F130"/>
  <c r="G130"/>
  <c r="H130"/>
  <c r="I130"/>
  <c r="J130"/>
  <c r="K130"/>
  <c r="L130"/>
  <c r="M130"/>
  <c r="N130"/>
  <c r="D131"/>
  <c r="E131"/>
  <c r="F131"/>
  <c r="G131"/>
  <c r="H131"/>
  <c r="I131"/>
  <c r="J131"/>
  <c r="K131"/>
  <c r="L131"/>
  <c r="M131"/>
  <c r="N131"/>
  <c r="D132"/>
  <c r="E132"/>
  <c r="F132"/>
  <c r="G132"/>
  <c r="H132"/>
  <c r="I132"/>
  <c r="J132"/>
  <c r="K132"/>
  <c r="L132"/>
  <c r="M132"/>
  <c r="N132"/>
  <c r="D133"/>
  <c r="E133"/>
  <c r="F133"/>
  <c r="G133"/>
  <c r="H133"/>
  <c r="I133"/>
  <c r="J133"/>
  <c r="K133"/>
  <c r="L133"/>
  <c r="M133"/>
  <c r="N133"/>
  <c r="D134"/>
  <c r="E134"/>
  <c r="F134"/>
  <c r="G134"/>
  <c r="H134"/>
  <c r="I134"/>
  <c r="J134"/>
  <c r="K134"/>
  <c r="L134"/>
  <c r="M134"/>
  <c r="N134"/>
  <c r="D135"/>
  <c r="E135"/>
  <c r="F135"/>
  <c r="G135"/>
  <c r="H135"/>
  <c r="I135"/>
  <c r="J135"/>
  <c r="K135"/>
  <c r="L135"/>
  <c r="M135"/>
  <c r="N135"/>
  <c r="D136"/>
  <c r="E136"/>
  <c r="F136"/>
  <c r="G136"/>
  <c r="H136"/>
  <c r="I136"/>
  <c r="J136"/>
  <c r="K136"/>
  <c r="L136"/>
  <c r="M136"/>
  <c r="N136"/>
  <c r="D137"/>
  <c r="E137"/>
  <c r="F137"/>
  <c r="G137"/>
  <c r="H137"/>
  <c r="I137"/>
  <c r="J137"/>
  <c r="K137"/>
  <c r="L137"/>
  <c r="M137"/>
  <c r="N137"/>
  <c r="D138"/>
  <c r="E138"/>
  <c r="F138"/>
  <c r="G138"/>
  <c r="H138"/>
  <c r="I138"/>
  <c r="J138"/>
  <c r="K138"/>
  <c r="L138"/>
  <c r="M138"/>
  <c r="N138"/>
  <c r="D139"/>
  <c r="E139"/>
  <c r="F139"/>
  <c r="G139"/>
  <c r="H139"/>
  <c r="I139"/>
  <c r="J139"/>
  <c r="K139"/>
  <c r="L139"/>
  <c r="M139"/>
  <c r="N139"/>
  <c r="D140"/>
  <c r="E140"/>
  <c r="F140"/>
  <c r="G140"/>
  <c r="H140"/>
  <c r="I140"/>
  <c r="J140"/>
  <c r="K140"/>
  <c r="L140"/>
  <c r="M140"/>
  <c r="N140"/>
  <c r="D141"/>
  <c r="E141"/>
  <c r="F141"/>
  <c r="G141"/>
  <c r="H141"/>
  <c r="I141"/>
  <c r="J141"/>
  <c r="K141"/>
  <c r="L141"/>
  <c r="M141"/>
  <c r="N141"/>
  <c r="D142"/>
  <c r="E142"/>
  <c r="F142"/>
  <c r="G142"/>
  <c r="H142"/>
  <c r="I142"/>
  <c r="J142"/>
  <c r="K142"/>
  <c r="L142"/>
  <c r="M142"/>
  <c r="N142"/>
  <c r="D143"/>
  <c r="E143"/>
  <c r="F143"/>
  <c r="G143"/>
  <c r="H143"/>
  <c r="I143"/>
  <c r="J143"/>
  <c r="K143"/>
  <c r="L143"/>
  <c r="M143"/>
  <c r="N143"/>
  <c r="D144"/>
  <c r="E144"/>
  <c r="F144"/>
  <c r="G144"/>
  <c r="H144"/>
  <c r="I144"/>
  <c r="J144"/>
  <c r="K144"/>
  <c r="L144"/>
  <c r="M144"/>
  <c r="N144"/>
  <c r="D145"/>
  <c r="E145"/>
  <c r="F145"/>
  <c r="G145"/>
  <c r="H145"/>
  <c r="I145"/>
  <c r="J145"/>
  <c r="K145"/>
  <c r="L145"/>
  <c r="M145"/>
  <c r="N145"/>
  <c r="D146"/>
  <c r="E146"/>
  <c r="F146"/>
  <c r="G146"/>
  <c r="H146"/>
  <c r="I146"/>
  <c r="J146"/>
  <c r="K146"/>
  <c r="L146"/>
  <c r="M146"/>
  <c r="N146"/>
  <c r="D147"/>
  <c r="E147"/>
  <c r="F147"/>
  <c r="G147"/>
  <c r="H147"/>
  <c r="I147"/>
  <c r="J147"/>
  <c r="K147"/>
  <c r="L147"/>
  <c r="M147"/>
  <c r="N147"/>
  <c r="D148"/>
  <c r="E148"/>
  <c r="F148"/>
  <c r="G148"/>
  <c r="H148"/>
  <c r="I148"/>
  <c r="J148"/>
  <c r="K148"/>
  <c r="L148"/>
  <c r="M148"/>
  <c r="N148"/>
  <c r="D149"/>
  <c r="E149"/>
  <c r="F149"/>
  <c r="G149"/>
  <c r="H149"/>
  <c r="I149"/>
  <c r="J149"/>
  <c r="K149"/>
  <c r="L149"/>
  <c r="M149"/>
  <c r="N149"/>
  <c r="D150"/>
  <c r="E150"/>
  <c r="F150"/>
  <c r="G150"/>
  <c r="H150"/>
  <c r="I150"/>
  <c r="J150"/>
  <c r="K150"/>
  <c r="L150"/>
  <c r="M150"/>
  <c r="N150"/>
  <c r="D151"/>
  <c r="E151"/>
  <c r="F151"/>
  <c r="G151"/>
  <c r="H151"/>
  <c r="I151"/>
  <c r="J151"/>
  <c r="K151"/>
  <c r="L151"/>
  <c r="M151"/>
  <c r="N151"/>
  <c r="D152"/>
  <c r="E152"/>
  <c r="F152"/>
  <c r="G152"/>
  <c r="H152"/>
  <c r="I152"/>
  <c r="J152"/>
  <c r="K152"/>
  <c r="L152"/>
  <c r="M152"/>
  <c r="N152"/>
  <c r="D153"/>
  <c r="E153"/>
  <c r="F153"/>
  <c r="G153"/>
  <c r="H153"/>
  <c r="I153"/>
  <c r="J153"/>
  <c r="K153"/>
  <c r="L153"/>
  <c r="M153"/>
  <c r="N153"/>
  <c r="D154"/>
  <c r="E154"/>
  <c r="F154"/>
  <c r="G154"/>
  <c r="H154"/>
  <c r="I154"/>
  <c r="J154"/>
  <c r="K154"/>
  <c r="L154"/>
  <c r="M154"/>
  <c r="N154"/>
  <c r="D155"/>
  <c r="E155"/>
  <c r="F155"/>
  <c r="G155"/>
  <c r="H155"/>
  <c r="I155"/>
  <c r="J155"/>
  <c r="K155"/>
  <c r="L155"/>
  <c r="M155"/>
  <c r="N155"/>
  <c r="D156"/>
  <c r="E156"/>
  <c r="F156"/>
  <c r="G156"/>
  <c r="H156"/>
  <c r="I156"/>
  <c r="J156"/>
  <c r="K156"/>
  <c r="L156"/>
  <c r="M156"/>
  <c r="N156"/>
  <c r="D157"/>
  <c r="E157"/>
  <c r="F157"/>
  <c r="G157"/>
  <c r="H157"/>
  <c r="I157"/>
  <c r="J157"/>
  <c r="K157"/>
  <c r="L157"/>
  <c r="M157"/>
  <c r="N157"/>
  <c r="D158"/>
  <c r="E158"/>
  <c r="F158"/>
  <c r="G158"/>
  <c r="H158"/>
  <c r="I158"/>
  <c r="J158"/>
  <c r="K158"/>
  <c r="L158"/>
  <c r="M158"/>
  <c r="N158"/>
  <c r="D159"/>
  <c r="E159"/>
  <c r="F159"/>
  <c r="G159"/>
  <c r="H159"/>
  <c r="I159"/>
  <c r="J159"/>
  <c r="K159"/>
  <c r="L159"/>
  <c r="M159"/>
  <c r="N159"/>
  <c r="D160"/>
  <c r="E160"/>
  <c r="F160"/>
  <c r="G160"/>
  <c r="H160"/>
  <c r="I160"/>
  <c r="J160"/>
  <c r="K160"/>
  <c r="L160"/>
  <c r="M160"/>
  <c r="N160"/>
  <c r="D161"/>
  <c r="E161"/>
  <c r="F161"/>
  <c r="G161"/>
  <c r="H161"/>
  <c r="I161"/>
  <c r="J161"/>
  <c r="K161"/>
  <c r="L161"/>
  <c r="M161"/>
  <c r="N161"/>
  <c r="D162"/>
  <c r="E162"/>
  <c r="F162"/>
  <c r="G162"/>
  <c r="H162"/>
  <c r="I162"/>
  <c r="J162"/>
  <c r="K162"/>
  <c r="L162"/>
  <c r="M162"/>
  <c r="N162"/>
  <c r="D163"/>
  <c r="E163"/>
  <c r="F163"/>
  <c r="G163"/>
  <c r="H163"/>
  <c r="I163"/>
  <c r="J163"/>
  <c r="K163"/>
  <c r="L163"/>
  <c r="M163"/>
  <c r="N163"/>
  <c r="D164"/>
  <c r="E164"/>
  <c r="F164"/>
  <c r="G164"/>
  <c r="H164"/>
  <c r="I164"/>
  <c r="J164"/>
  <c r="K164"/>
  <c r="L164"/>
  <c r="M164"/>
  <c r="N164"/>
  <c r="D165"/>
  <c r="E165"/>
  <c r="F165"/>
  <c r="G165"/>
  <c r="H165"/>
  <c r="I165"/>
  <c r="J165"/>
  <c r="K165"/>
  <c r="L165"/>
  <c r="M165"/>
  <c r="N165"/>
  <c r="D166"/>
  <c r="E166"/>
  <c r="F166"/>
  <c r="G166"/>
  <c r="H166"/>
  <c r="I166"/>
  <c r="J166"/>
  <c r="K166"/>
  <c r="L166"/>
  <c r="M166"/>
  <c r="N166"/>
  <c r="D167"/>
  <c r="E167"/>
  <c r="F167"/>
  <c r="G167"/>
  <c r="H167"/>
  <c r="I167"/>
  <c r="J167"/>
  <c r="K167"/>
  <c r="L167"/>
  <c r="M167"/>
  <c r="N167"/>
  <c r="D168"/>
  <c r="E168"/>
  <c r="F168"/>
  <c r="G168"/>
  <c r="H168"/>
  <c r="I168"/>
  <c r="J168"/>
  <c r="K168"/>
  <c r="L168"/>
  <c r="M168"/>
  <c r="N168"/>
  <c r="D169"/>
  <c r="E169"/>
  <c r="F169"/>
  <c r="G169"/>
  <c r="H169"/>
  <c r="I169"/>
  <c r="J169"/>
  <c r="K169"/>
  <c r="L169"/>
  <c r="M169"/>
  <c r="N169"/>
  <c r="D170"/>
  <c r="E170"/>
  <c r="F170"/>
  <c r="G170"/>
  <c r="H170"/>
  <c r="I170"/>
  <c r="J170"/>
  <c r="K170"/>
  <c r="L170"/>
  <c r="M170"/>
  <c r="N170"/>
  <c r="D171"/>
  <c r="E171"/>
  <c r="F171"/>
  <c r="G171"/>
  <c r="H171"/>
  <c r="I171"/>
  <c r="J171"/>
  <c r="K171"/>
  <c r="L171"/>
  <c r="M171"/>
  <c r="N171"/>
  <c r="D172"/>
  <c r="E172"/>
  <c r="F172"/>
  <c r="G172"/>
  <c r="H172"/>
  <c r="I172"/>
  <c r="J172"/>
  <c r="K172"/>
  <c r="L172"/>
  <c r="M172"/>
  <c r="N172"/>
  <c r="D173"/>
  <c r="E173"/>
  <c r="F173"/>
  <c r="G173"/>
  <c r="H173"/>
  <c r="I173"/>
  <c r="J173"/>
  <c r="K173"/>
  <c r="L173"/>
  <c r="M173"/>
  <c r="N173"/>
  <c r="D174"/>
  <c r="E174"/>
  <c r="F174"/>
  <c r="G174"/>
  <c r="H174"/>
  <c r="I174"/>
  <c r="J174"/>
  <c r="K174"/>
  <c r="L174"/>
  <c r="M174"/>
  <c r="N174"/>
  <c r="D175"/>
  <c r="E175"/>
  <c r="F175"/>
  <c r="G175"/>
  <c r="H175"/>
  <c r="I175"/>
  <c r="J175"/>
  <c r="K175"/>
  <c r="L175"/>
  <c r="M175"/>
  <c r="N175"/>
  <c r="D176"/>
  <c r="E176"/>
  <c r="F176"/>
  <c r="G176"/>
  <c r="H176"/>
  <c r="I176"/>
  <c r="J176"/>
  <c r="K176"/>
  <c r="L176"/>
  <c r="M176"/>
  <c r="N176"/>
  <c r="D177"/>
  <c r="E177"/>
  <c r="F177"/>
  <c r="G177"/>
  <c r="H177"/>
  <c r="I177"/>
  <c r="J177"/>
  <c r="K177"/>
  <c r="L177"/>
  <c r="M177"/>
  <c r="N177"/>
  <c r="D178"/>
  <c r="E178"/>
  <c r="F178"/>
  <c r="G178"/>
  <c r="H178"/>
  <c r="I178"/>
  <c r="J178"/>
  <c r="K178"/>
  <c r="L178"/>
  <c r="M178"/>
  <c r="N178"/>
  <c r="D179"/>
  <c r="E179"/>
  <c r="F179"/>
  <c r="G179"/>
  <c r="H179"/>
  <c r="I179"/>
  <c r="J179"/>
  <c r="K179"/>
  <c r="L179"/>
  <c r="M179"/>
  <c r="N179"/>
  <c r="D180"/>
  <c r="E180"/>
  <c r="F180"/>
  <c r="G180"/>
  <c r="H180"/>
  <c r="I180"/>
  <c r="J180"/>
  <c r="K180"/>
  <c r="L180"/>
  <c r="M180"/>
  <c r="N180"/>
  <c r="D181"/>
  <c r="E181"/>
  <c r="F181"/>
  <c r="G181"/>
  <c r="H181"/>
  <c r="I181"/>
  <c r="J181"/>
  <c r="K181"/>
  <c r="L181"/>
  <c r="M181"/>
  <c r="N181"/>
  <c r="D182"/>
  <c r="E182"/>
  <c r="F182"/>
  <c r="G182"/>
  <c r="H182"/>
  <c r="I182"/>
  <c r="J182"/>
  <c r="K182"/>
  <c r="L182"/>
  <c r="M182"/>
  <c r="N182"/>
  <c r="D183"/>
  <c r="E183"/>
  <c r="F183"/>
  <c r="G183"/>
  <c r="H183"/>
  <c r="I183"/>
  <c r="J183"/>
  <c r="K183"/>
  <c r="L183"/>
  <c r="M183"/>
  <c r="N183"/>
  <c r="D184"/>
  <c r="E184"/>
  <c r="F184"/>
  <c r="G184"/>
  <c r="H184"/>
  <c r="I184"/>
  <c r="J184"/>
  <c r="K184"/>
  <c r="L184"/>
  <c r="M184"/>
  <c r="N184"/>
  <c r="D185"/>
  <c r="E185"/>
  <c r="F185"/>
  <c r="G185"/>
  <c r="H185"/>
  <c r="I185"/>
  <c r="J185"/>
  <c r="K185"/>
  <c r="L185"/>
  <c r="M185"/>
  <c r="N185"/>
  <c r="D186"/>
  <c r="E186"/>
  <c r="F186"/>
  <c r="G186"/>
  <c r="H186"/>
  <c r="I186"/>
  <c r="J186"/>
  <c r="K186"/>
  <c r="L186"/>
  <c r="M186"/>
  <c r="N186"/>
  <c r="D187"/>
  <c r="E187"/>
  <c r="F187"/>
  <c r="G187"/>
  <c r="H187"/>
  <c r="I187"/>
  <c r="J187"/>
  <c r="K187"/>
  <c r="L187"/>
  <c r="M187"/>
  <c r="N187"/>
  <c r="D188"/>
  <c r="E188"/>
  <c r="F188"/>
  <c r="G188"/>
  <c r="H188"/>
  <c r="I188"/>
  <c r="J188"/>
  <c r="K188"/>
  <c r="L188"/>
  <c r="M188"/>
  <c r="N188"/>
  <c r="D189"/>
  <c r="E189"/>
  <c r="F189"/>
  <c r="G189"/>
  <c r="H189"/>
  <c r="I189"/>
  <c r="J189"/>
  <c r="K189"/>
  <c r="L189"/>
  <c r="M189"/>
  <c r="N189"/>
  <c r="D190"/>
  <c r="E190"/>
  <c r="F190"/>
  <c r="G190"/>
  <c r="H190"/>
  <c r="I190"/>
  <c r="J190"/>
  <c r="K190"/>
  <c r="L190"/>
  <c r="M190"/>
  <c r="N190"/>
  <c r="D191"/>
  <c r="E191"/>
  <c r="F191"/>
  <c r="G191"/>
  <c r="H191"/>
  <c r="I191"/>
  <c r="J191"/>
  <c r="K191"/>
  <c r="L191"/>
  <c r="M191"/>
  <c r="N191"/>
  <c r="D192"/>
  <c r="E192"/>
  <c r="F192"/>
  <c r="G192"/>
  <c r="H192"/>
  <c r="I192"/>
  <c r="J192"/>
  <c r="K192"/>
  <c r="L192"/>
  <c r="M192"/>
  <c r="N192"/>
  <c r="D193"/>
  <c r="E193"/>
  <c r="F193"/>
  <c r="G193"/>
  <c r="H193"/>
  <c r="I193"/>
  <c r="J193"/>
  <c r="K193"/>
  <c r="L193"/>
  <c r="M193"/>
  <c r="N193"/>
  <c r="D194"/>
  <c r="E194"/>
  <c r="F194"/>
  <c r="G194"/>
  <c r="H194"/>
  <c r="I194"/>
  <c r="J194"/>
  <c r="K194"/>
  <c r="L194"/>
  <c r="M194"/>
  <c r="N194"/>
  <c r="D195"/>
  <c r="E195"/>
  <c r="F195"/>
  <c r="G195"/>
  <c r="H195"/>
  <c r="I195"/>
  <c r="J195"/>
  <c r="K195"/>
  <c r="L195"/>
  <c r="M195"/>
  <c r="N195"/>
  <c r="D196"/>
  <c r="E196"/>
  <c r="F196"/>
  <c r="G196"/>
  <c r="H196"/>
  <c r="I196"/>
  <c r="J196"/>
  <c r="K196"/>
  <c r="L196"/>
  <c r="M196"/>
  <c r="N196"/>
  <c r="D197"/>
  <c r="E197"/>
  <c r="F197"/>
  <c r="G197"/>
  <c r="H197"/>
  <c r="I197"/>
  <c r="J197"/>
  <c r="K197"/>
  <c r="L197"/>
  <c r="M197"/>
  <c r="N197"/>
  <c r="D198"/>
  <c r="E198"/>
  <c r="F198"/>
  <c r="G198"/>
  <c r="H198"/>
  <c r="I198"/>
  <c r="J198"/>
  <c r="K198"/>
  <c r="L198"/>
  <c r="M198"/>
  <c r="N198"/>
  <c r="D199"/>
  <c r="E199"/>
  <c r="F199"/>
  <c r="G199"/>
  <c r="H199"/>
  <c r="I199"/>
  <c r="J199"/>
  <c r="K199"/>
  <c r="L199"/>
  <c r="M199"/>
  <c r="N199"/>
  <c r="D200"/>
  <c r="E200"/>
  <c r="F200"/>
  <c r="G200"/>
  <c r="H200"/>
  <c r="I200"/>
  <c r="J200"/>
  <c r="K200"/>
  <c r="L200"/>
  <c r="M200"/>
  <c r="N200"/>
  <c r="D201"/>
  <c r="E201"/>
  <c r="F201"/>
  <c r="G201"/>
  <c r="H201"/>
  <c r="I201"/>
  <c r="J201"/>
  <c r="K201"/>
  <c r="L201"/>
  <c r="M201"/>
  <c r="N201"/>
  <c r="D202"/>
  <c r="E202"/>
  <c r="F202"/>
  <c r="G202"/>
  <c r="H202"/>
  <c r="I202"/>
  <c r="J202"/>
  <c r="K202"/>
  <c r="L202"/>
  <c r="M202"/>
  <c r="N202"/>
  <c r="D203"/>
  <c r="E203"/>
  <c r="F203"/>
  <c r="G203"/>
  <c r="H203"/>
  <c r="I203"/>
  <c r="J203"/>
  <c r="K203"/>
  <c r="L203"/>
  <c r="M203"/>
  <c r="N203"/>
  <c r="D204"/>
  <c r="E204"/>
  <c r="F204"/>
  <c r="G204"/>
  <c r="H204"/>
  <c r="I204"/>
  <c r="J204"/>
  <c r="K204"/>
  <c r="L204"/>
  <c r="M204"/>
  <c r="N204"/>
  <c r="D205"/>
  <c r="E205"/>
  <c r="F205"/>
  <c r="G205"/>
  <c r="H205"/>
  <c r="I205"/>
  <c r="J205"/>
  <c r="K205"/>
  <c r="L205"/>
  <c r="M205"/>
  <c r="N205"/>
  <c r="D206"/>
  <c r="E206"/>
  <c r="F206"/>
  <c r="G206"/>
  <c r="H206"/>
  <c r="I206"/>
  <c r="J206"/>
  <c r="K206"/>
  <c r="L206"/>
  <c r="M206"/>
  <c r="N206"/>
  <c r="D207"/>
  <c r="E207"/>
  <c r="F207"/>
  <c r="G207"/>
  <c r="H207"/>
  <c r="I207"/>
  <c r="J207"/>
  <c r="K207"/>
  <c r="L207"/>
  <c r="M207"/>
  <c r="N207"/>
  <c r="D208"/>
  <c r="E208"/>
  <c r="F208"/>
  <c r="G208"/>
  <c r="H208"/>
  <c r="I208"/>
  <c r="J208"/>
  <c r="K208"/>
  <c r="L208"/>
  <c r="M208"/>
  <c r="N208"/>
  <c r="D209"/>
  <c r="E209"/>
  <c r="F209"/>
  <c r="G209"/>
  <c r="H209"/>
  <c r="I209"/>
  <c r="J209"/>
  <c r="K209"/>
  <c r="L209"/>
  <c r="M209"/>
  <c r="N209"/>
  <c r="D210"/>
  <c r="E210"/>
  <c r="F210"/>
  <c r="G210"/>
  <c r="H210"/>
  <c r="I210"/>
  <c r="J210"/>
  <c r="K210"/>
  <c r="L210"/>
  <c r="M210"/>
  <c r="N210"/>
  <c r="D211"/>
  <c r="E211"/>
  <c r="F211"/>
  <c r="G211"/>
  <c r="H211"/>
  <c r="I211"/>
  <c r="J211"/>
  <c r="K211"/>
  <c r="L211"/>
  <c r="M211"/>
  <c r="N211"/>
  <c r="D212"/>
  <c r="E212"/>
  <c r="F212"/>
  <c r="G212"/>
  <c r="H212"/>
  <c r="I212"/>
  <c r="J212"/>
  <c r="K212"/>
  <c r="L212"/>
  <c r="M212"/>
  <c r="N212"/>
  <c r="D213"/>
  <c r="E213"/>
  <c r="F213"/>
  <c r="G213"/>
  <c r="H213"/>
  <c r="I213"/>
  <c r="J213"/>
  <c r="K213"/>
  <c r="L213"/>
  <c r="M213"/>
  <c r="N213"/>
  <c r="D214"/>
  <c r="E214"/>
  <c r="F214"/>
  <c r="G214"/>
  <c r="H214"/>
  <c r="I214"/>
  <c r="J214"/>
  <c r="K214"/>
  <c r="L214"/>
  <c r="M214"/>
  <c r="N214"/>
  <c r="D215"/>
  <c r="E215"/>
  <c r="F215"/>
  <c r="G215"/>
  <c r="H215"/>
  <c r="I215"/>
  <c r="J215"/>
  <c r="K215"/>
  <c r="L215"/>
  <c r="M215"/>
  <c r="N215"/>
  <c r="D216"/>
  <c r="E216"/>
  <c r="F216"/>
  <c r="G216"/>
  <c r="H216"/>
  <c r="I216"/>
  <c r="J216"/>
  <c r="K216"/>
  <c r="L216"/>
  <c r="M216"/>
  <c r="N216"/>
  <c r="D217"/>
  <c r="E217"/>
  <c r="F217"/>
  <c r="G217"/>
  <c r="H217"/>
  <c r="I217"/>
  <c r="J217"/>
  <c r="K217"/>
  <c r="L217"/>
  <c r="M217"/>
  <c r="N217"/>
  <c r="D218"/>
  <c r="E218"/>
  <c r="F218"/>
  <c r="G218"/>
  <c r="H218"/>
  <c r="I218"/>
  <c r="J218"/>
  <c r="K218"/>
  <c r="L218"/>
  <c r="M218"/>
  <c r="N218"/>
  <c r="D219"/>
  <c r="E219"/>
  <c r="F219"/>
  <c r="G219"/>
  <c r="H219"/>
  <c r="I219"/>
  <c r="J219"/>
  <c r="K219"/>
  <c r="L219"/>
  <c r="M219"/>
  <c r="N219"/>
  <c r="D220"/>
  <c r="E220"/>
  <c r="F220"/>
  <c r="G220"/>
  <c r="H220"/>
  <c r="I220"/>
  <c r="J220"/>
  <c r="K220"/>
  <c r="L220"/>
  <c r="M220"/>
  <c r="N220"/>
  <c r="D221"/>
  <c r="E221"/>
  <c r="F221"/>
  <c r="G221"/>
  <c r="H221"/>
  <c r="I221"/>
  <c r="J221"/>
  <c r="K221"/>
  <c r="L221"/>
  <c r="M221"/>
  <c r="N221"/>
  <c r="D222"/>
  <c r="E222"/>
  <c r="F222"/>
  <c r="G222"/>
  <c r="H222"/>
  <c r="I222"/>
  <c r="J222"/>
  <c r="K222"/>
  <c r="L222"/>
  <c r="M222"/>
  <c r="N222"/>
  <c r="D223"/>
  <c r="E223"/>
  <c r="F223"/>
  <c r="G223"/>
  <c r="H223"/>
  <c r="I223"/>
  <c r="J223"/>
  <c r="K223"/>
  <c r="L223"/>
  <c r="M223"/>
  <c r="N223"/>
  <c r="D224"/>
  <c r="E224"/>
  <c r="F224"/>
  <c r="G224"/>
  <c r="H224"/>
  <c r="I224"/>
  <c r="J224"/>
  <c r="K224"/>
  <c r="L224"/>
  <c r="M224"/>
  <c r="N224"/>
  <c r="D225"/>
  <c r="E225"/>
  <c r="F225"/>
  <c r="G225"/>
  <c r="H225"/>
  <c r="I225"/>
  <c r="J225"/>
  <c r="K225"/>
  <c r="L225"/>
  <c r="M225"/>
  <c r="N225"/>
  <c r="D226"/>
  <c r="E226"/>
  <c r="F226"/>
  <c r="G226"/>
  <c r="H226"/>
  <c r="I226"/>
  <c r="J226"/>
  <c r="K226"/>
  <c r="L226"/>
  <c r="M226"/>
  <c r="N226"/>
  <c r="D227"/>
  <c r="E227"/>
  <c r="F227"/>
  <c r="G227"/>
  <c r="H227"/>
  <c r="I227"/>
  <c r="J227"/>
  <c r="K227"/>
  <c r="L227"/>
  <c r="M227"/>
  <c r="N227"/>
  <c r="D228"/>
  <c r="E228"/>
  <c r="F228"/>
  <c r="G228"/>
  <c r="H228"/>
  <c r="I228"/>
  <c r="J228"/>
  <c r="K228"/>
  <c r="L228"/>
  <c r="M228"/>
  <c r="N228"/>
  <c r="D229"/>
  <c r="E229"/>
  <c r="F229"/>
  <c r="G229"/>
  <c r="H229"/>
  <c r="I229"/>
  <c r="J229"/>
  <c r="K229"/>
  <c r="L229"/>
  <c r="M229"/>
  <c r="N229"/>
  <c r="D230"/>
  <c r="E230"/>
  <c r="F230"/>
  <c r="G230"/>
  <c r="H230"/>
  <c r="I230"/>
  <c r="J230"/>
  <c r="K230"/>
  <c r="L230"/>
  <c r="M230"/>
  <c r="N230"/>
  <c r="D231"/>
  <c r="E231"/>
  <c r="F231"/>
  <c r="G231"/>
  <c r="H231"/>
  <c r="I231"/>
  <c r="J231"/>
  <c r="K231"/>
  <c r="L231"/>
  <c r="M231"/>
  <c r="N231"/>
  <c r="D232"/>
  <c r="E232"/>
  <c r="F232"/>
  <c r="G232"/>
  <c r="H232"/>
  <c r="I232"/>
  <c r="J232"/>
  <c r="K232"/>
  <c r="L232"/>
  <c r="M232"/>
  <c r="N232"/>
  <c r="D233"/>
  <c r="E233"/>
  <c r="F233"/>
  <c r="G233"/>
  <c r="H233"/>
  <c r="I233"/>
  <c r="J233"/>
  <c r="K233"/>
  <c r="L233"/>
  <c r="M233"/>
  <c r="N233"/>
  <c r="D234"/>
  <c r="E234"/>
  <c r="F234"/>
  <c r="G234"/>
  <c r="H234"/>
  <c r="I234"/>
  <c r="J234"/>
  <c r="K234"/>
  <c r="L234"/>
  <c r="M234"/>
  <c r="N234"/>
  <c r="D235"/>
  <c r="E235"/>
  <c r="F235"/>
  <c r="G235"/>
  <c r="H235"/>
  <c r="I235"/>
  <c r="J235"/>
  <c r="K235"/>
  <c r="L235"/>
  <c r="M235"/>
  <c r="N235"/>
  <c r="D236"/>
  <c r="E236"/>
  <c r="F236"/>
  <c r="G236"/>
  <c r="H236"/>
  <c r="I236"/>
  <c r="J236"/>
  <c r="K236"/>
  <c r="L236"/>
  <c r="M236"/>
  <c r="N236"/>
  <c r="D237"/>
  <c r="E237"/>
  <c r="F237"/>
  <c r="G237"/>
  <c r="H237"/>
  <c r="I237"/>
  <c r="J237"/>
  <c r="K237"/>
  <c r="L237"/>
  <c r="M237"/>
  <c r="N237"/>
  <c r="D238"/>
  <c r="E238"/>
  <c r="F238"/>
  <c r="G238"/>
  <c r="H238"/>
  <c r="I238"/>
  <c r="J238"/>
  <c r="K238"/>
  <c r="L238"/>
  <c r="M238"/>
  <c r="N238"/>
  <c r="D239"/>
  <c r="E239"/>
  <c r="F239"/>
  <c r="G239"/>
  <c r="H239"/>
  <c r="I239"/>
  <c r="J239"/>
  <c r="K239"/>
  <c r="L239"/>
  <c r="M239"/>
  <c r="N239"/>
  <c r="D240"/>
  <c r="E240"/>
  <c r="F240"/>
  <c r="G240"/>
  <c r="H240"/>
  <c r="I240"/>
  <c r="J240"/>
  <c r="K240"/>
  <c r="L240"/>
  <c r="M240"/>
  <c r="N240"/>
  <c r="D241"/>
  <c r="E241"/>
  <c r="F241"/>
  <c r="G241"/>
  <c r="H241"/>
  <c r="I241"/>
  <c r="J241"/>
  <c r="K241"/>
  <c r="L241"/>
  <c r="M241"/>
  <c r="N241"/>
  <c r="D242"/>
  <c r="E242"/>
  <c r="F242"/>
  <c r="G242"/>
  <c r="H242"/>
  <c r="I242"/>
  <c r="J242"/>
  <c r="K242"/>
  <c r="L242"/>
  <c r="M242"/>
  <c r="N242"/>
  <c r="D243"/>
  <c r="E243"/>
  <c r="F243"/>
  <c r="G243"/>
  <c r="H243"/>
  <c r="I243"/>
  <c r="J243"/>
  <c r="K243"/>
  <c r="L243"/>
  <c r="M243"/>
  <c r="N243"/>
  <c r="D244"/>
  <c r="E244"/>
  <c r="F244"/>
  <c r="G244"/>
  <c r="H244"/>
  <c r="I244"/>
  <c r="J244"/>
  <c r="K244"/>
  <c r="L244"/>
  <c r="M244"/>
  <c r="N244"/>
  <c r="D245"/>
  <c r="E245"/>
  <c r="F245"/>
  <c r="G245"/>
  <c r="H245"/>
  <c r="I245"/>
  <c r="J245"/>
  <c r="K245"/>
  <c r="L245"/>
  <c r="M245"/>
  <c r="N245"/>
  <c r="D246"/>
  <c r="E246"/>
  <c r="F246"/>
  <c r="G246"/>
  <c r="H246"/>
  <c r="I246"/>
  <c r="J246"/>
  <c r="K246"/>
  <c r="L246"/>
  <c r="M246"/>
  <c r="N246"/>
  <c r="D247"/>
  <c r="E247"/>
  <c r="F247"/>
  <c r="G247"/>
  <c r="H247"/>
  <c r="I247"/>
  <c r="J247"/>
  <c r="K247"/>
  <c r="L247"/>
  <c r="M247"/>
  <c r="N247"/>
  <c r="D248"/>
  <c r="E248"/>
  <c r="F248"/>
  <c r="G248"/>
  <c r="H248"/>
  <c r="I248"/>
  <c r="J248"/>
  <c r="K248"/>
  <c r="L248"/>
  <c r="M248"/>
  <c r="N248"/>
  <c r="D249"/>
  <c r="E249"/>
  <c r="F249"/>
  <c r="G249"/>
  <c r="H249"/>
  <c r="I249"/>
  <c r="J249"/>
  <c r="K249"/>
  <c r="L249"/>
  <c r="M249"/>
  <c r="N249"/>
  <c r="D250"/>
  <c r="E250"/>
  <c r="F250"/>
  <c r="G250"/>
  <c r="H250"/>
  <c r="I250"/>
  <c r="J250"/>
  <c r="K250"/>
  <c r="L250"/>
  <c r="M250"/>
  <c r="N250"/>
  <c r="D251"/>
  <c r="E251"/>
  <c r="F251"/>
  <c r="G251"/>
  <c r="H251"/>
  <c r="I251"/>
  <c r="J251"/>
  <c r="K251"/>
  <c r="L251"/>
  <c r="M251"/>
  <c r="N251"/>
  <c r="D252"/>
  <c r="E252"/>
  <c r="F252"/>
  <c r="G252"/>
  <c r="H252"/>
  <c r="I252"/>
  <c r="J252"/>
  <c r="K252"/>
  <c r="L252"/>
  <c r="M252"/>
  <c r="N252"/>
  <c r="D253"/>
  <c r="E253"/>
  <c r="F253"/>
  <c r="G253"/>
  <c r="H253"/>
  <c r="I253"/>
  <c r="J253"/>
  <c r="K253"/>
  <c r="L253"/>
  <c r="M253"/>
  <c r="N253"/>
  <c r="D254"/>
  <c r="E254"/>
  <c r="F254"/>
  <c r="G254"/>
  <c r="H254"/>
  <c r="I254"/>
  <c r="J254"/>
  <c r="K254"/>
  <c r="L254"/>
  <c r="M254"/>
  <c r="N254"/>
  <c r="D255"/>
  <c r="E255"/>
  <c r="F255"/>
  <c r="G255"/>
  <c r="H255"/>
  <c r="I255"/>
  <c r="J255"/>
  <c r="K255"/>
  <c r="L255"/>
  <c r="M255"/>
  <c r="N255"/>
  <c r="D256"/>
  <c r="E256"/>
  <c r="F256"/>
  <c r="G256"/>
  <c r="H256"/>
  <c r="I256"/>
  <c r="J256"/>
  <c r="K256"/>
  <c r="L256"/>
  <c r="M256"/>
  <c r="N256"/>
  <c r="D257"/>
  <c r="E257"/>
  <c r="F257"/>
  <c r="G257"/>
  <c r="H257"/>
  <c r="I257"/>
  <c r="J257"/>
  <c r="K257"/>
  <c r="L257"/>
  <c r="M257"/>
  <c r="N257"/>
  <c r="D258"/>
  <c r="E258"/>
  <c r="F258"/>
  <c r="G258"/>
  <c r="H258"/>
  <c r="I258"/>
  <c r="J258"/>
  <c r="K258"/>
  <c r="L258"/>
  <c r="M258"/>
  <c r="N258"/>
  <c r="D259"/>
  <c r="E259"/>
  <c r="F259"/>
  <c r="G259"/>
  <c r="H259"/>
  <c r="I259"/>
  <c r="J259"/>
  <c r="K259"/>
  <c r="L259"/>
  <c r="M259"/>
  <c r="N259"/>
  <c r="D260"/>
  <c r="E260"/>
  <c r="F260"/>
  <c r="G260"/>
  <c r="H260"/>
  <c r="I260"/>
  <c r="J260"/>
  <c r="K260"/>
  <c r="L260"/>
  <c r="M260"/>
  <c r="N260"/>
  <c r="D261"/>
  <c r="E261"/>
  <c r="F261"/>
  <c r="G261"/>
  <c r="H261"/>
  <c r="I261"/>
  <c r="J261"/>
  <c r="K261"/>
  <c r="L261"/>
  <c r="M261"/>
  <c r="N261"/>
  <c r="D262"/>
  <c r="E262"/>
  <c r="F262"/>
  <c r="G262"/>
  <c r="H262"/>
  <c r="I262"/>
  <c r="J262"/>
  <c r="K262"/>
  <c r="L262"/>
  <c r="M262"/>
  <c r="N262"/>
  <c r="D263"/>
  <c r="E263"/>
  <c r="F263"/>
  <c r="G263"/>
  <c r="H263"/>
  <c r="I263"/>
  <c r="J263"/>
  <c r="K263"/>
  <c r="L263"/>
  <c r="M263"/>
  <c r="N263"/>
  <c r="D264"/>
  <c r="E264"/>
  <c r="F264"/>
  <c r="G264"/>
  <c r="H264"/>
  <c r="I264"/>
  <c r="J264"/>
  <c r="K264"/>
  <c r="L264"/>
  <c r="M264"/>
  <c r="N264"/>
  <c r="D265"/>
  <c r="E265"/>
  <c r="F265"/>
  <c r="G265"/>
  <c r="H265"/>
  <c r="I265"/>
  <c r="J265"/>
  <c r="K265"/>
  <c r="L265"/>
  <c r="M265"/>
  <c r="N265"/>
  <c r="D266"/>
  <c r="E266"/>
  <c r="F266"/>
  <c r="G266"/>
  <c r="H266"/>
  <c r="I266"/>
  <c r="J266"/>
  <c r="K266"/>
  <c r="L266"/>
  <c r="M266"/>
  <c r="N266"/>
  <c r="D267"/>
  <c r="E267"/>
  <c r="F267"/>
  <c r="G267"/>
  <c r="H267"/>
  <c r="I267"/>
  <c r="J267"/>
  <c r="K267"/>
  <c r="L267"/>
  <c r="M267"/>
  <c r="N267"/>
  <c r="D268"/>
  <c r="E268"/>
  <c r="F268"/>
  <c r="G268"/>
  <c r="H268"/>
  <c r="I268"/>
  <c r="J268"/>
  <c r="K268"/>
  <c r="L268"/>
  <c r="M268"/>
  <c r="N268"/>
  <c r="D269"/>
  <c r="E269"/>
  <c r="F269"/>
  <c r="G269"/>
  <c r="H269"/>
  <c r="I269"/>
  <c r="J269"/>
  <c r="K269"/>
  <c r="L269"/>
  <c r="M269"/>
  <c r="N269"/>
  <c r="D270"/>
  <c r="E270"/>
  <c r="F270"/>
  <c r="G270"/>
  <c r="H270"/>
  <c r="I270"/>
  <c r="J270"/>
  <c r="K270"/>
  <c r="L270"/>
  <c r="M270"/>
  <c r="N270"/>
  <c r="D271"/>
  <c r="E271"/>
  <c r="F271"/>
  <c r="G271"/>
  <c r="H271"/>
  <c r="I271"/>
  <c r="J271"/>
  <c r="K271"/>
  <c r="L271"/>
  <c r="M271"/>
  <c r="N271"/>
  <c r="D272"/>
  <c r="E272"/>
  <c r="F272"/>
  <c r="G272"/>
  <c r="H272"/>
  <c r="I272"/>
  <c r="J272"/>
  <c r="K272"/>
  <c r="L272"/>
  <c r="M272"/>
  <c r="N272"/>
  <c r="D273"/>
  <c r="E273"/>
  <c r="F273"/>
  <c r="G273"/>
  <c r="H273"/>
  <c r="I273"/>
  <c r="J273"/>
  <c r="K273"/>
  <c r="L273"/>
  <c r="M273"/>
  <c r="N273"/>
  <c r="D274"/>
  <c r="E274"/>
  <c r="F274"/>
  <c r="G274"/>
  <c r="H274"/>
  <c r="I274"/>
  <c r="J274"/>
  <c r="K274"/>
  <c r="L274"/>
  <c r="M274"/>
  <c r="N274"/>
  <c r="D275"/>
  <c r="E275"/>
  <c r="F275"/>
  <c r="G275"/>
  <c r="H275"/>
  <c r="I275"/>
  <c r="J275"/>
  <c r="K275"/>
  <c r="L275"/>
  <c r="M275"/>
  <c r="N275"/>
  <c r="D276"/>
  <c r="E276"/>
  <c r="F276"/>
  <c r="G276"/>
  <c r="H276"/>
  <c r="I276"/>
  <c r="J276"/>
  <c r="K276"/>
  <c r="L276"/>
  <c r="M276"/>
  <c r="N276"/>
  <c r="D277"/>
  <c r="E277"/>
  <c r="F277"/>
  <c r="G277"/>
  <c r="H277"/>
  <c r="I277"/>
  <c r="J277"/>
  <c r="K277"/>
  <c r="L277"/>
  <c r="M277"/>
  <c r="N277"/>
  <c r="D278"/>
  <c r="E278"/>
  <c r="F278"/>
  <c r="G278"/>
  <c r="H278"/>
  <c r="I278"/>
  <c r="J278"/>
  <c r="K278"/>
  <c r="L278"/>
  <c r="M278"/>
  <c r="N278"/>
  <c r="D279"/>
  <c r="E279"/>
  <c r="F279"/>
  <c r="G279"/>
  <c r="H279"/>
  <c r="I279"/>
  <c r="J279"/>
  <c r="K279"/>
  <c r="L279"/>
  <c r="M279"/>
  <c r="N279"/>
  <c r="D280"/>
  <c r="E280"/>
  <c r="F280"/>
  <c r="G280"/>
  <c r="H280"/>
  <c r="I280"/>
  <c r="J280"/>
  <c r="K280"/>
  <c r="L280"/>
  <c r="M280"/>
  <c r="N280"/>
  <c r="D281"/>
  <c r="E281"/>
  <c r="F281"/>
  <c r="G281"/>
  <c r="H281"/>
  <c r="I281"/>
  <c r="J281"/>
  <c r="K281"/>
  <c r="L281"/>
  <c r="M281"/>
  <c r="N281"/>
  <c r="D282"/>
  <c r="E282"/>
  <c r="F282"/>
  <c r="G282"/>
  <c r="H282"/>
  <c r="I282"/>
  <c r="J282"/>
  <c r="K282"/>
  <c r="L282"/>
  <c r="M282"/>
  <c r="N282"/>
  <c r="D283"/>
  <c r="E283"/>
  <c r="F283"/>
  <c r="G283"/>
  <c r="H283"/>
  <c r="I283"/>
  <c r="J283"/>
  <c r="K283"/>
  <c r="L283"/>
  <c r="M283"/>
  <c r="N283"/>
  <c r="D284"/>
  <c r="E284"/>
  <c r="F284"/>
  <c r="G284"/>
  <c r="H284"/>
  <c r="I284"/>
  <c r="J284"/>
  <c r="K284"/>
  <c r="L284"/>
  <c r="M284"/>
  <c r="N284"/>
  <c r="D285"/>
  <c r="E285"/>
  <c r="F285"/>
  <c r="G285"/>
  <c r="H285"/>
  <c r="I285"/>
  <c r="J285"/>
  <c r="K285"/>
  <c r="L285"/>
  <c r="M285"/>
  <c r="N285"/>
  <c r="D286"/>
  <c r="E286"/>
  <c r="F286"/>
  <c r="G286"/>
  <c r="H286"/>
  <c r="I286"/>
  <c r="J286"/>
  <c r="K286"/>
  <c r="L286"/>
  <c r="M286"/>
  <c r="N286"/>
  <c r="D287"/>
  <c r="E287"/>
  <c r="F287"/>
  <c r="G287"/>
  <c r="H287"/>
  <c r="I287"/>
  <c r="J287"/>
  <c r="K287"/>
  <c r="L287"/>
  <c r="M287"/>
  <c r="N287"/>
  <c r="D288"/>
  <c r="E288"/>
  <c r="F288"/>
  <c r="G288"/>
  <c r="H288"/>
  <c r="I288"/>
  <c r="J288"/>
  <c r="K288"/>
  <c r="L288"/>
  <c r="M288"/>
  <c r="N288"/>
  <c r="D289"/>
  <c r="E289"/>
  <c r="F289"/>
  <c r="G289"/>
  <c r="H289"/>
  <c r="I289"/>
  <c r="J289"/>
  <c r="K289"/>
  <c r="L289"/>
  <c r="M289"/>
  <c r="N289"/>
  <c r="D290"/>
  <c r="E290"/>
  <c r="F290"/>
  <c r="G290"/>
  <c r="H290"/>
  <c r="I290"/>
  <c r="J290"/>
  <c r="K290"/>
  <c r="L290"/>
  <c r="M290"/>
  <c r="N290"/>
  <c r="D291"/>
  <c r="E291"/>
  <c r="F291"/>
  <c r="G291"/>
  <c r="H291"/>
  <c r="I291"/>
  <c r="J291"/>
  <c r="K291"/>
  <c r="L291"/>
  <c r="M291"/>
  <c r="N291"/>
  <c r="D292"/>
  <c r="E292"/>
  <c r="F292"/>
  <c r="G292"/>
  <c r="H292"/>
  <c r="I292"/>
  <c r="J292"/>
  <c r="K292"/>
  <c r="L292"/>
  <c r="M292"/>
  <c r="N292"/>
  <c r="D293"/>
  <c r="E293"/>
  <c r="F293"/>
  <c r="G293"/>
  <c r="H293"/>
  <c r="I293"/>
  <c r="J293"/>
  <c r="K293"/>
  <c r="L293"/>
  <c r="M293"/>
  <c r="N293"/>
  <c r="D294"/>
  <c r="E294"/>
  <c r="F294"/>
  <c r="G294"/>
  <c r="H294"/>
  <c r="I294"/>
  <c r="J294"/>
  <c r="K294"/>
  <c r="L294"/>
  <c r="M294"/>
  <c r="N294"/>
  <c r="D295"/>
  <c r="E295"/>
  <c r="F295"/>
  <c r="G295"/>
  <c r="H295"/>
  <c r="I295"/>
  <c r="J295"/>
  <c r="K295"/>
  <c r="L295"/>
  <c r="M295"/>
  <c r="N295"/>
  <c r="D296"/>
  <c r="E296"/>
  <c r="F296"/>
  <c r="G296"/>
  <c r="H296"/>
  <c r="I296"/>
  <c r="J296"/>
  <c r="K296"/>
  <c r="L296"/>
  <c r="M296"/>
  <c r="N296"/>
  <c r="D297"/>
  <c r="E297"/>
  <c r="F297"/>
  <c r="G297"/>
  <c r="H297"/>
  <c r="I297"/>
  <c r="J297"/>
  <c r="K297"/>
  <c r="L297"/>
  <c r="M297"/>
  <c r="N297"/>
  <c r="D298"/>
  <c r="E298"/>
  <c r="F298"/>
  <c r="G298"/>
  <c r="H298"/>
  <c r="I298"/>
  <c r="J298"/>
  <c r="K298"/>
  <c r="L298"/>
  <c r="M298"/>
  <c r="N298"/>
  <c r="D299"/>
  <c r="E299"/>
  <c r="F299"/>
  <c r="G299"/>
  <c r="H299"/>
  <c r="I299"/>
  <c r="J299"/>
  <c r="K299"/>
  <c r="L299"/>
  <c r="M299"/>
  <c r="N299"/>
  <c r="D300"/>
  <c r="E300"/>
  <c r="F300"/>
  <c r="G300"/>
  <c r="H300"/>
  <c r="I300"/>
  <c r="J300"/>
  <c r="K300"/>
  <c r="L300"/>
  <c r="M300"/>
  <c r="N300"/>
  <c r="D301"/>
  <c r="E301"/>
  <c r="F301"/>
  <c r="G301"/>
  <c r="H301"/>
  <c r="I301"/>
  <c r="J301"/>
  <c r="K301"/>
  <c r="L301"/>
  <c r="M301"/>
  <c r="N301"/>
  <c r="D302"/>
  <c r="E302"/>
  <c r="F302"/>
  <c r="G302"/>
  <c r="H302"/>
  <c r="I302"/>
  <c r="J302"/>
  <c r="K302"/>
  <c r="L302"/>
  <c r="M302"/>
  <c r="N302"/>
  <c r="D303"/>
  <c r="E303"/>
  <c r="F303"/>
  <c r="G303"/>
  <c r="H303"/>
  <c r="I303"/>
  <c r="J303"/>
  <c r="K303"/>
  <c r="L303"/>
  <c r="M303"/>
  <c r="N303"/>
  <c r="D304"/>
  <c r="E304"/>
  <c r="F304"/>
  <c r="G304"/>
  <c r="H304"/>
  <c r="I304"/>
  <c r="J304"/>
  <c r="K304"/>
  <c r="L304"/>
  <c r="M304"/>
  <c r="N304"/>
  <c r="C3" i="11"/>
  <c r="C55" s="1"/>
  <c r="C23"/>
  <c r="D5"/>
  <c r="E5"/>
  <c r="F5"/>
  <c r="G5"/>
  <c r="H5"/>
  <c r="I5"/>
  <c r="J5"/>
  <c r="J4" s="1"/>
  <c r="K5"/>
  <c r="L5"/>
  <c r="M5"/>
  <c r="N5"/>
  <c r="N4" s="1"/>
  <c r="D6"/>
  <c r="E6"/>
  <c r="F6"/>
  <c r="G6"/>
  <c r="H6"/>
  <c r="I6"/>
  <c r="J6"/>
  <c r="K6"/>
  <c r="L6"/>
  <c r="L4" s="1"/>
  <c r="M6"/>
  <c r="N6"/>
  <c r="D7"/>
  <c r="E7"/>
  <c r="F7"/>
  <c r="G7"/>
  <c r="H7"/>
  <c r="I7"/>
  <c r="J7"/>
  <c r="K7"/>
  <c r="L7"/>
  <c r="M7"/>
  <c r="M4" s="1"/>
  <c r="N7"/>
  <c r="D8"/>
  <c r="E8"/>
  <c r="F8"/>
  <c r="G8"/>
  <c r="H8"/>
  <c r="I8"/>
  <c r="J8"/>
  <c r="K8"/>
  <c r="L8"/>
  <c r="M8"/>
  <c r="N8"/>
  <c r="D9"/>
  <c r="E9"/>
  <c r="F9"/>
  <c r="G9"/>
  <c r="H9"/>
  <c r="I9"/>
  <c r="J9"/>
  <c r="K9"/>
  <c r="L9"/>
  <c r="M9"/>
  <c r="N9"/>
  <c r="D10"/>
  <c r="E10"/>
  <c r="F10"/>
  <c r="G10"/>
  <c r="H10"/>
  <c r="I10"/>
  <c r="J10"/>
  <c r="K10"/>
  <c r="L10"/>
  <c r="M10"/>
  <c r="N10"/>
  <c r="D11"/>
  <c r="E11"/>
  <c r="F11"/>
  <c r="G11"/>
  <c r="H11"/>
  <c r="I11"/>
  <c r="J11"/>
  <c r="K11"/>
  <c r="L11"/>
  <c r="M11"/>
  <c r="N11"/>
  <c r="D12"/>
  <c r="E12"/>
  <c r="F12"/>
  <c r="G12"/>
  <c r="H12"/>
  <c r="I12"/>
  <c r="J12"/>
  <c r="K12"/>
  <c r="L12"/>
  <c r="M12"/>
  <c r="N12"/>
  <c r="D13"/>
  <c r="E13"/>
  <c r="F13"/>
  <c r="G13"/>
  <c r="H13"/>
  <c r="I13"/>
  <c r="J13"/>
  <c r="K13"/>
  <c r="L13"/>
  <c r="M13"/>
  <c r="N13"/>
  <c r="D14"/>
  <c r="E14"/>
  <c r="F14"/>
  <c r="G14"/>
  <c r="H14"/>
  <c r="I14"/>
  <c r="J14"/>
  <c r="K14"/>
  <c r="L14"/>
  <c r="M14"/>
  <c r="N14"/>
  <c r="D15"/>
  <c r="E15"/>
  <c r="F15"/>
  <c r="G15"/>
  <c r="H15"/>
  <c r="I15"/>
  <c r="J15"/>
  <c r="K15"/>
  <c r="L15"/>
  <c r="M15"/>
  <c r="N15"/>
  <c r="D16"/>
  <c r="E16"/>
  <c r="F16"/>
  <c r="G16"/>
  <c r="H16"/>
  <c r="I16"/>
  <c r="J16"/>
  <c r="K16"/>
  <c r="L16"/>
  <c r="M16"/>
  <c r="N16"/>
  <c r="D17"/>
  <c r="E17"/>
  <c r="F17"/>
  <c r="G17"/>
  <c r="H17"/>
  <c r="I17"/>
  <c r="J17"/>
  <c r="K17"/>
  <c r="L17"/>
  <c r="M17"/>
  <c r="N17"/>
  <c r="D18"/>
  <c r="E18"/>
  <c r="F18"/>
  <c r="G18"/>
  <c r="H18"/>
  <c r="I18"/>
  <c r="J18"/>
  <c r="K18"/>
  <c r="L18"/>
  <c r="M18"/>
  <c r="N18"/>
  <c r="D19"/>
  <c r="E19"/>
  <c r="F19"/>
  <c r="G19"/>
  <c r="H19"/>
  <c r="I19"/>
  <c r="J19"/>
  <c r="K19"/>
  <c r="L19"/>
  <c r="M19"/>
  <c r="N19"/>
  <c r="D20"/>
  <c r="E20"/>
  <c r="F20"/>
  <c r="G20"/>
  <c r="H20"/>
  <c r="I20"/>
  <c r="J20"/>
  <c r="K20"/>
  <c r="L20"/>
  <c r="M20"/>
  <c r="N20"/>
  <c r="D21"/>
  <c r="E21"/>
  <c r="F21"/>
  <c r="G21"/>
  <c r="H21"/>
  <c r="I21"/>
  <c r="J21"/>
  <c r="K21"/>
  <c r="L21"/>
  <c r="M21"/>
  <c r="N21"/>
  <c r="D22"/>
  <c r="E22"/>
  <c r="F22"/>
  <c r="G22"/>
  <c r="H22"/>
  <c r="I22"/>
  <c r="J22"/>
  <c r="K22"/>
  <c r="L22"/>
  <c r="M22"/>
  <c r="N22"/>
  <c r="D23"/>
  <c r="E23"/>
  <c r="F23"/>
  <c r="G23"/>
  <c r="H23"/>
  <c r="I23"/>
  <c r="J23"/>
  <c r="K23"/>
  <c r="L23"/>
  <c r="M23"/>
  <c r="N23"/>
  <c r="D24"/>
  <c r="E24"/>
  <c r="F24"/>
  <c r="G24"/>
  <c r="H24"/>
  <c r="I24"/>
  <c r="J24"/>
  <c r="K24"/>
  <c r="L24"/>
  <c r="M24"/>
  <c r="N24"/>
  <c r="D25"/>
  <c r="E25"/>
  <c r="F25"/>
  <c r="G25"/>
  <c r="H25"/>
  <c r="I25"/>
  <c r="J25"/>
  <c r="K25"/>
  <c r="L25"/>
  <c r="M25"/>
  <c r="N25"/>
  <c r="D26"/>
  <c r="E26"/>
  <c r="F26"/>
  <c r="G26"/>
  <c r="H26"/>
  <c r="I26"/>
  <c r="J26"/>
  <c r="K26"/>
  <c r="L26"/>
  <c r="M26"/>
  <c r="N26"/>
  <c r="D27"/>
  <c r="E27"/>
  <c r="F27"/>
  <c r="G27"/>
  <c r="H27"/>
  <c r="I27"/>
  <c r="J27"/>
  <c r="K27"/>
  <c r="L27"/>
  <c r="M27"/>
  <c r="N27"/>
  <c r="D28"/>
  <c r="E28"/>
  <c r="F28"/>
  <c r="G28"/>
  <c r="H28"/>
  <c r="I28"/>
  <c r="J28"/>
  <c r="K28"/>
  <c r="L28"/>
  <c r="M28"/>
  <c r="N28"/>
  <c r="D29"/>
  <c r="E29"/>
  <c r="F29"/>
  <c r="G29"/>
  <c r="H29"/>
  <c r="I29"/>
  <c r="J29"/>
  <c r="K29"/>
  <c r="L29"/>
  <c r="M29"/>
  <c r="N29"/>
  <c r="D30"/>
  <c r="E30"/>
  <c r="F30"/>
  <c r="G30"/>
  <c r="H30"/>
  <c r="I30"/>
  <c r="J30"/>
  <c r="K30"/>
  <c r="L30"/>
  <c r="M30"/>
  <c r="N30"/>
  <c r="D31"/>
  <c r="E31"/>
  <c r="F31"/>
  <c r="G31"/>
  <c r="H31"/>
  <c r="I31"/>
  <c r="J31"/>
  <c r="K31"/>
  <c r="L31"/>
  <c r="M31"/>
  <c r="N31"/>
  <c r="D32"/>
  <c r="E32"/>
  <c r="F32"/>
  <c r="G32"/>
  <c r="H32"/>
  <c r="I32"/>
  <c r="J32"/>
  <c r="K32"/>
  <c r="L32"/>
  <c r="M32"/>
  <c r="N32"/>
  <c r="D33"/>
  <c r="E33"/>
  <c r="F33"/>
  <c r="G33"/>
  <c r="H33"/>
  <c r="I33"/>
  <c r="J33"/>
  <c r="K33"/>
  <c r="L33"/>
  <c r="M33"/>
  <c r="N33"/>
  <c r="D34"/>
  <c r="E34"/>
  <c r="F34"/>
  <c r="G34"/>
  <c r="H34"/>
  <c r="I34"/>
  <c r="J34"/>
  <c r="K34"/>
  <c r="L34"/>
  <c r="M34"/>
  <c r="N34"/>
  <c r="D35"/>
  <c r="E35"/>
  <c r="F35"/>
  <c r="G35"/>
  <c r="H35"/>
  <c r="I35"/>
  <c r="J35"/>
  <c r="K35"/>
  <c r="L35"/>
  <c r="M35"/>
  <c r="N35"/>
  <c r="D36"/>
  <c r="E36"/>
  <c r="F36"/>
  <c r="G36"/>
  <c r="H36"/>
  <c r="I36"/>
  <c r="J36"/>
  <c r="K36"/>
  <c r="L36"/>
  <c r="M36"/>
  <c r="N36"/>
  <c r="D37"/>
  <c r="E37"/>
  <c r="F37"/>
  <c r="G37"/>
  <c r="H37"/>
  <c r="I37"/>
  <c r="J37"/>
  <c r="K37"/>
  <c r="L37"/>
  <c r="M37"/>
  <c r="N37"/>
  <c r="D38"/>
  <c r="E38"/>
  <c r="F38"/>
  <c r="G38"/>
  <c r="H38"/>
  <c r="I38"/>
  <c r="J38"/>
  <c r="K38"/>
  <c r="L38"/>
  <c r="M38"/>
  <c r="N38"/>
  <c r="D39"/>
  <c r="E39"/>
  <c r="F39"/>
  <c r="G39"/>
  <c r="H39"/>
  <c r="I39"/>
  <c r="J39"/>
  <c r="K39"/>
  <c r="L39"/>
  <c r="M39"/>
  <c r="N39"/>
  <c r="D40"/>
  <c r="E40"/>
  <c r="F40"/>
  <c r="G40"/>
  <c r="H40"/>
  <c r="I40"/>
  <c r="J40"/>
  <c r="K40"/>
  <c r="L40"/>
  <c r="M40"/>
  <c r="N40"/>
  <c r="D41"/>
  <c r="E41"/>
  <c r="F41"/>
  <c r="G41"/>
  <c r="H41"/>
  <c r="I41"/>
  <c r="J41"/>
  <c r="K41"/>
  <c r="L41"/>
  <c r="M41"/>
  <c r="N41"/>
  <c r="D42"/>
  <c r="E42"/>
  <c r="F42"/>
  <c r="G42"/>
  <c r="H42"/>
  <c r="I42"/>
  <c r="J42"/>
  <c r="K42"/>
  <c r="L42"/>
  <c r="M42"/>
  <c r="N42"/>
  <c r="D43"/>
  <c r="E43"/>
  <c r="F43"/>
  <c r="G43"/>
  <c r="H43"/>
  <c r="I43"/>
  <c r="J43"/>
  <c r="K43"/>
  <c r="L43"/>
  <c r="M43"/>
  <c r="N43"/>
  <c r="D44"/>
  <c r="E44"/>
  <c r="F44"/>
  <c r="G44"/>
  <c r="H44"/>
  <c r="I44"/>
  <c r="J44"/>
  <c r="K44"/>
  <c r="L44"/>
  <c r="M44"/>
  <c r="N44"/>
  <c r="D45"/>
  <c r="E45"/>
  <c r="F45"/>
  <c r="G45"/>
  <c r="H45"/>
  <c r="I45"/>
  <c r="J45"/>
  <c r="K45"/>
  <c r="L45"/>
  <c r="M45"/>
  <c r="N45"/>
  <c r="D46"/>
  <c r="E46"/>
  <c r="F46"/>
  <c r="G46"/>
  <c r="H46"/>
  <c r="I46"/>
  <c r="J46"/>
  <c r="K46"/>
  <c r="L46"/>
  <c r="M46"/>
  <c r="N46"/>
  <c r="D47"/>
  <c r="E47"/>
  <c r="F47"/>
  <c r="G47"/>
  <c r="H47"/>
  <c r="I47"/>
  <c r="J47"/>
  <c r="K47"/>
  <c r="L47"/>
  <c r="M47"/>
  <c r="N47"/>
  <c r="D48"/>
  <c r="E48"/>
  <c r="F48"/>
  <c r="G48"/>
  <c r="H48"/>
  <c r="I48"/>
  <c r="J48"/>
  <c r="K48"/>
  <c r="L48"/>
  <c r="M48"/>
  <c r="N48"/>
  <c r="D49"/>
  <c r="E49"/>
  <c r="F49"/>
  <c r="G49"/>
  <c r="H49"/>
  <c r="I49"/>
  <c r="J49"/>
  <c r="K49"/>
  <c r="L49"/>
  <c r="M49"/>
  <c r="N49"/>
  <c r="D50"/>
  <c r="E50"/>
  <c r="F50"/>
  <c r="G50"/>
  <c r="H50"/>
  <c r="I50"/>
  <c r="J50"/>
  <c r="K50"/>
  <c r="L50"/>
  <c r="M50"/>
  <c r="N50"/>
  <c r="D51"/>
  <c r="E51"/>
  <c r="F51"/>
  <c r="G51"/>
  <c r="H51"/>
  <c r="I51"/>
  <c r="J51"/>
  <c r="K51"/>
  <c r="L51"/>
  <c r="M51"/>
  <c r="N51"/>
  <c r="D52"/>
  <c r="E52"/>
  <c r="F52"/>
  <c r="G52"/>
  <c r="H52"/>
  <c r="I52"/>
  <c r="J52"/>
  <c r="K52"/>
  <c r="L52"/>
  <c r="M52"/>
  <c r="N52"/>
  <c r="D53"/>
  <c r="E53"/>
  <c r="F53"/>
  <c r="G53"/>
  <c r="H53"/>
  <c r="I53"/>
  <c r="J53"/>
  <c r="K53"/>
  <c r="L53"/>
  <c r="M53"/>
  <c r="N53"/>
  <c r="D54"/>
  <c r="E54"/>
  <c r="F54"/>
  <c r="G54"/>
  <c r="H54"/>
  <c r="I54"/>
  <c r="J54"/>
  <c r="K54"/>
  <c r="L54"/>
  <c r="M54"/>
  <c r="N54"/>
  <c r="D55"/>
  <c r="E55"/>
  <c r="F55"/>
  <c r="G55"/>
  <c r="H55"/>
  <c r="I55"/>
  <c r="J55"/>
  <c r="K55"/>
  <c r="L55"/>
  <c r="M55"/>
  <c r="N55"/>
  <c r="D56"/>
  <c r="E56"/>
  <c r="F56"/>
  <c r="G56"/>
  <c r="H56"/>
  <c r="I56"/>
  <c r="J56"/>
  <c r="K56"/>
  <c r="L56"/>
  <c r="M56"/>
  <c r="N56"/>
  <c r="D57"/>
  <c r="E57"/>
  <c r="F57"/>
  <c r="G57"/>
  <c r="H57"/>
  <c r="I57"/>
  <c r="J57"/>
  <c r="K57"/>
  <c r="L57"/>
  <c r="M57"/>
  <c r="N57"/>
  <c r="D58"/>
  <c r="E58"/>
  <c r="F58"/>
  <c r="G58"/>
  <c r="H58"/>
  <c r="I58"/>
  <c r="J58"/>
  <c r="K58"/>
  <c r="L58"/>
  <c r="M58"/>
  <c r="N58"/>
  <c r="D59"/>
  <c r="E59"/>
  <c r="F59"/>
  <c r="G59"/>
  <c r="H59"/>
  <c r="I59"/>
  <c r="J59"/>
  <c r="K59"/>
  <c r="L59"/>
  <c r="M59"/>
  <c r="N59"/>
  <c r="D60"/>
  <c r="E60"/>
  <c r="F60"/>
  <c r="G60"/>
  <c r="H60"/>
  <c r="I60"/>
  <c r="J60"/>
  <c r="K60"/>
  <c r="L60"/>
  <c r="M60"/>
  <c r="N60"/>
  <c r="D61"/>
  <c r="E61"/>
  <c r="F61"/>
  <c r="G61"/>
  <c r="H61"/>
  <c r="I61"/>
  <c r="J61"/>
  <c r="K61"/>
  <c r="L61"/>
  <c r="M61"/>
  <c r="N61"/>
  <c r="D62"/>
  <c r="E62"/>
  <c r="F62"/>
  <c r="G62"/>
  <c r="H62"/>
  <c r="I62"/>
  <c r="J62"/>
  <c r="K62"/>
  <c r="L62"/>
  <c r="M62"/>
  <c r="N62"/>
  <c r="D63"/>
  <c r="E63"/>
  <c r="F63"/>
  <c r="G63"/>
  <c r="H63"/>
  <c r="I63"/>
  <c r="J63"/>
  <c r="K63"/>
  <c r="L63"/>
  <c r="M63"/>
  <c r="N63"/>
  <c r="D64"/>
  <c r="E64"/>
  <c r="F64"/>
  <c r="G64"/>
  <c r="H64"/>
  <c r="I64"/>
  <c r="J64"/>
  <c r="K64"/>
  <c r="L64"/>
  <c r="M64"/>
  <c r="N64"/>
  <c r="D65"/>
  <c r="E65"/>
  <c r="F65"/>
  <c r="G65"/>
  <c r="H65"/>
  <c r="I65"/>
  <c r="J65"/>
  <c r="K65"/>
  <c r="L65"/>
  <c r="M65"/>
  <c r="N65"/>
  <c r="D66"/>
  <c r="E66"/>
  <c r="F66"/>
  <c r="G66"/>
  <c r="H66"/>
  <c r="I66"/>
  <c r="J66"/>
  <c r="K66"/>
  <c r="L66"/>
  <c r="M66"/>
  <c r="N66"/>
  <c r="D67"/>
  <c r="E67"/>
  <c r="F67"/>
  <c r="G67"/>
  <c r="H67"/>
  <c r="I67"/>
  <c r="J67"/>
  <c r="K67"/>
  <c r="L67"/>
  <c r="M67"/>
  <c r="N67"/>
  <c r="D68"/>
  <c r="E68"/>
  <c r="F68"/>
  <c r="G68"/>
  <c r="H68"/>
  <c r="I68"/>
  <c r="J68"/>
  <c r="K68"/>
  <c r="L68"/>
  <c r="M68"/>
  <c r="N68"/>
  <c r="D69"/>
  <c r="E69"/>
  <c r="F69"/>
  <c r="G69"/>
  <c r="H69"/>
  <c r="I69"/>
  <c r="J69"/>
  <c r="K69"/>
  <c r="L69"/>
  <c r="M69"/>
  <c r="N69"/>
  <c r="D70"/>
  <c r="E70"/>
  <c r="F70"/>
  <c r="G70"/>
  <c r="H70"/>
  <c r="I70"/>
  <c r="J70"/>
  <c r="K70"/>
  <c r="L70"/>
  <c r="M70"/>
  <c r="N70"/>
  <c r="D71"/>
  <c r="E71"/>
  <c r="F71"/>
  <c r="G71"/>
  <c r="H71"/>
  <c r="I71"/>
  <c r="J71"/>
  <c r="K71"/>
  <c r="L71"/>
  <c r="M71"/>
  <c r="N71"/>
  <c r="D72"/>
  <c r="E72"/>
  <c r="F72"/>
  <c r="G72"/>
  <c r="H72"/>
  <c r="I72"/>
  <c r="J72"/>
  <c r="K72"/>
  <c r="L72"/>
  <c r="M72"/>
  <c r="N72"/>
  <c r="D73"/>
  <c r="E73"/>
  <c r="F73"/>
  <c r="G73"/>
  <c r="H73"/>
  <c r="I73"/>
  <c r="J73"/>
  <c r="K73"/>
  <c r="L73"/>
  <c r="M73"/>
  <c r="N73"/>
  <c r="D74"/>
  <c r="E74"/>
  <c r="F74"/>
  <c r="G74"/>
  <c r="H74"/>
  <c r="I74"/>
  <c r="J74"/>
  <c r="K74"/>
  <c r="L74"/>
  <c r="M74"/>
  <c r="N74"/>
  <c r="D75"/>
  <c r="E75"/>
  <c r="F75"/>
  <c r="G75"/>
  <c r="H75"/>
  <c r="I75"/>
  <c r="J75"/>
  <c r="K75"/>
  <c r="L75"/>
  <c r="M75"/>
  <c r="N75"/>
  <c r="D76"/>
  <c r="E76"/>
  <c r="F76"/>
  <c r="G76"/>
  <c r="H76"/>
  <c r="I76"/>
  <c r="J76"/>
  <c r="K76"/>
  <c r="L76"/>
  <c r="M76"/>
  <c r="N76"/>
  <c r="D77"/>
  <c r="E77"/>
  <c r="F77"/>
  <c r="G77"/>
  <c r="H77"/>
  <c r="I77"/>
  <c r="J77"/>
  <c r="K77"/>
  <c r="L77"/>
  <c r="M77"/>
  <c r="N77"/>
  <c r="D78"/>
  <c r="E78"/>
  <c r="F78"/>
  <c r="G78"/>
  <c r="H78"/>
  <c r="I78"/>
  <c r="J78"/>
  <c r="K78"/>
  <c r="L78"/>
  <c r="M78"/>
  <c r="N78"/>
  <c r="D79"/>
  <c r="E79"/>
  <c r="F79"/>
  <c r="G79"/>
  <c r="H79"/>
  <c r="I79"/>
  <c r="J79"/>
  <c r="K79"/>
  <c r="L79"/>
  <c r="M79"/>
  <c r="N79"/>
  <c r="D80"/>
  <c r="E80"/>
  <c r="F80"/>
  <c r="G80"/>
  <c r="H80"/>
  <c r="I80"/>
  <c r="J80"/>
  <c r="K80"/>
  <c r="L80"/>
  <c r="M80"/>
  <c r="N80"/>
  <c r="D81"/>
  <c r="E81"/>
  <c r="F81"/>
  <c r="G81"/>
  <c r="H81"/>
  <c r="I81"/>
  <c r="J81"/>
  <c r="K81"/>
  <c r="L81"/>
  <c r="M81"/>
  <c r="N81"/>
  <c r="D82"/>
  <c r="E82"/>
  <c r="F82"/>
  <c r="G82"/>
  <c r="H82"/>
  <c r="I82"/>
  <c r="J82"/>
  <c r="K82"/>
  <c r="L82"/>
  <c r="M82"/>
  <c r="N82"/>
  <c r="D83"/>
  <c r="E83"/>
  <c r="F83"/>
  <c r="G83"/>
  <c r="H83"/>
  <c r="I83"/>
  <c r="J83"/>
  <c r="K83"/>
  <c r="L83"/>
  <c r="M83"/>
  <c r="N83"/>
  <c r="D84"/>
  <c r="E84"/>
  <c r="F84"/>
  <c r="G84"/>
  <c r="H84"/>
  <c r="I84"/>
  <c r="J84"/>
  <c r="K84"/>
  <c r="L84"/>
  <c r="M84"/>
  <c r="N84"/>
  <c r="D85"/>
  <c r="E85"/>
  <c r="F85"/>
  <c r="G85"/>
  <c r="H85"/>
  <c r="I85"/>
  <c r="J85"/>
  <c r="K85"/>
  <c r="L85"/>
  <c r="M85"/>
  <c r="N85"/>
  <c r="D86"/>
  <c r="E86"/>
  <c r="F86"/>
  <c r="G86"/>
  <c r="H86"/>
  <c r="I86"/>
  <c r="J86"/>
  <c r="K86"/>
  <c r="L86"/>
  <c r="M86"/>
  <c r="N86"/>
  <c r="D87"/>
  <c r="E87"/>
  <c r="F87"/>
  <c r="G87"/>
  <c r="H87"/>
  <c r="I87"/>
  <c r="J87"/>
  <c r="K87"/>
  <c r="L87"/>
  <c r="M87"/>
  <c r="N87"/>
  <c r="D88"/>
  <c r="E88"/>
  <c r="F88"/>
  <c r="G88"/>
  <c r="H88"/>
  <c r="I88"/>
  <c r="J88"/>
  <c r="K88"/>
  <c r="L88"/>
  <c r="M88"/>
  <c r="N88"/>
  <c r="D89"/>
  <c r="E89"/>
  <c r="F89"/>
  <c r="G89"/>
  <c r="H89"/>
  <c r="I89"/>
  <c r="J89"/>
  <c r="K89"/>
  <c r="L89"/>
  <c r="M89"/>
  <c r="N89"/>
  <c r="D90"/>
  <c r="E90"/>
  <c r="F90"/>
  <c r="G90"/>
  <c r="H90"/>
  <c r="I90"/>
  <c r="J90"/>
  <c r="K90"/>
  <c r="L90"/>
  <c r="M90"/>
  <c r="N90"/>
  <c r="D91"/>
  <c r="E91"/>
  <c r="F91"/>
  <c r="G91"/>
  <c r="H91"/>
  <c r="I91"/>
  <c r="J91"/>
  <c r="K91"/>
  <c r="L91"/>
  <c r="M91"/>
  <c r="N91"/>
  <c r="D92"/>
  <c r="E92"/>
  <c r="F92"/>
  <c r="G92"/>
  <c r="H92"/>
  <c r="I92"/>
  <c r="J92"/>
  <c r="K92"/>
  <c r="L92"/>
  <c r="M92"/>
  <c r="N92"/>
  <c r="D93"/>
  <c r="E93"/>
  <c r="F93"/>
  <c r="G93"/>
  <c r="H93"/>
  <c r="I93"/>
  <c r="J93"/>
  <c r="K93"/>
  <c r="L93"/>
  <c r="M93"/>
  <c r="N93"/>
  <c r="D94"/>
  <c r="E94"/>
  <c r="F94"/>
  <c r="G94"/>
  <c r="H94"/>
  <c r="I94"/>
  <c r="J94"/>
  <c r="K94"/>
  <c r="L94"/>
  <c r="M94"/>
  <c r="N94"/>
  <c r="D95"/>
  <c r="E95"/>
  <c r="F95"/>
  <c r="G95"/>
  <c r="H95"/>
  <c r="I95"/>
  <c r="J95"/>
  <c r="K95"/>
  <c r="L95"/>
  <c r="M95"/>
  <c r="N95"/>
  <c r="D96"/>
  <c r="E96"/>
  <c r="F96"/>
  <c r="G96"/>
  <c r="H96"/>
  <c r="I96"/>
  <c r="J96"/>
  <c r="K96"/>
  <c r="L96"/>
  <c r="M96"/>
  <c r="N96"/>
  <c r="D97"/>
  <c r="E97"/>
  <c r="F97"/>
  <c r="G97"/>
  <c r="H97"/>
  <c r="I97"/>
  <c r="J97"/>
  <c r="K97"/>
  <c r="L97"/>
  <c r="M97"/>
  <c r="N97"/>
  <c r="D98"/>
  <c r="E98"/>
  <c r="F98"/>
  <c r="G98"/>
  <c r="H98"/>
  <c r="I98"/>
  <c r="J98"/>
  <c r="K98"/>
  <c r="L98"/>
  <c r="M98"/>
  <c r="N98"/>
  <c r="D99"/>
  <c r="E99"/>
  <c r="F99"/>
  <c r="G99"/>
  <c r="H99"/>
  <c r="I99"/>
  <c r="J99"/>
  <c r="K99"/>
  <c r="L99"/>
  <c r="M99"/>
  <c r="N99"/>
  <c r="D100"/>
  <c r="E100"/>
  <c r="F100"/>
  <c r="G100"/>
  <c r="H100"/>
  <c r="I100"/>
  <c r="J100"/>
  <c r="K100"/>
  <c r="L100"/>
  <c r="M100"/>
  <c r="N100"/>
  <c r="D101"/>
  <c r="E101"/>
  <c r="F101"/>
  <c r="G101"/>
  <c r="H101"/>
  <c r="I101"/>
  <c r="J101"/>
  <c r="K101"/>
  <c r="L101"/>
  <c r="M101"/>
  <c r="N101"/>
  <c r="D102"/>
  <c r="E102"/>
  <c r="F102"/>
  <c r="G102"/>
  <c r="H102"/>
  <c r="I102"/>
  <c r="J102"/>
  <c r="K102"/>
  <c r="L102"/>
  <c r="M102"/>
  <c r="N102"/>
  <c r="D103"/>
  <c r="E103"/>
  <c r="F103"/>
  <c r="G103"/>
  <c r="H103"/>
  <c r="I103"/>
  <c r="J103"/>
  <c r="K103"/>
  <c r="L103"/>
  <c r="M103"/>
  <c r="N103"/>
  <c r="D104"/>
  <c r="E104"/>
  <c r="F104"/>
  <c r="G104"/>
  <c r="H104"/>
  <c r="I104"/>
  <c r="J104"/>
  <c r="K104"/>
  <c r="L104"/>
  <c r="M104"/>
  <c r="N104"/>
  <c r="D105"/>
  <c r="E105"/>
  <c r="F105"/>
  <c r="G105"/>
  <c r="H105"/>
  <c r="I105"/>
  <c r="J105"/>
  <c r="K105"/>
  <c r="L105"/>
  <c r="M105"/>
  <c r="N105"/>
  <c r="D106"/>
  <c r="E106"/>
  <c r="F106"/>
  <c r="G106"/>
  <c r="H106"/>
  <c r="I106"/>
  <c r="J106"/>
  <c r="K106"/>
  <c r="L106"/>
  <c r="M106"/>
  <c r="N106"/>
  <c r="D107"/>
  <c r="E107"/>
  <c r="F107"/>
  <c r="G107"/>
  <c r="H107"/>
  <c r="I107"/>
  <c r="J107"/>
  <c r="K107"/>
  <c r="L107"/>
  <c r="M107"/>
  <c r="N107"/>
  <c r="D108"/>
  <c r="E108"/>
  <c r="F108"/>
  <c r="G108"/>
  <c r="H108"/>
  <c r="I108"/>
  <c r="J108"/>
  <c r="K108"/>
  <c r="L108"/>
  <c r="M108"/>
  <c r="N108"/>
  <c r="D109"/>
  <c r="E109"/>
  <c r="F109"/>
  <c r="G109"/>
  <c r="H109"/>
  <c r="I109"/>
  <c r="J109"/>
  <c r="K109"/>
  <c r="L109"/>
  <c r="M109"/>
  <c r="N109"/>
  <c r="D110"/>
  <c r="E110"/>
  <c r="F110"/>
  <c r="G110"/>
  <c r="H110"/>
  <c r="I110"/>
  <c r="J110"/>
  <c r="K110"/>
  <c r="L110"/>
  <c r="M110"/>
  <c r="N110"/>
  <c r="D111"/>
  <c r="E111"/>
  <c r="F111"/>
  <c r="G111"/>
  <c r="H111"/>
  <c r="I111"/>
  <c r="J111"/>
  <c r="K111"/>
  <c r="L111"/>
  <c r="M111"/>
  <c r="N111"/>
  <c r="D112"/>
  <c r="E112"/>
  <c r="F112"/>
  <c r="G112"/>
  <c r="H112"/>
  <c r="I112"/>
  <c r="J112"/>
  <c r="K112"/>
  <c r="L112"/>
  <c r="M112"/>
  <c r="N112"/>
  <c r="D113"/>
  <c r="E113"/>
  <c r="F113"/>
  <c r="G113"/>
  <c r="H113"/>
  <c r="I113"/>
  <c r="J113"/>
  <c r="K113"/>
  <c r="L113"/>
  <c r="M113"/>
  <c r="N113"/>
  <c r="D114"/>
  <c r="E114"/>
  <c r="F114"/>
  <c r="G114"/>
  <c r="H114"/>
  <c r="I114"/>
  <c r="J114"/>
  <c r="K114"/>
  <c r="L114"/>
  <c r="M114"/>
  <c r="N114"/>
  <c r="D115"/>
  <c r="E115"/>
  <c r="F115"/>
  <c r="G115"/>
  <c r="H115"/>
  <c r="I115"/>
  <c r="J115"/>
  <c r="K115"/>
  <c r="L115"/>
  <c r="M115"/>
  <c r="N115"/>
  <c r="D116"/>
  <c r="E116"/>
  <c r="F116"/>
  <c r="G116"/>
  <c r="H116"/>
  <c r="I116"/>
  <c r="J116"/>
  <c r="K116"/>
  <c r="L116"/>
  <c r="M116"/>
  <c r="N116"/>
  <c r="D117"/>
  <c r="E117"/>
  <c r="F117"/>
  <c r="G117"/>
  <c r="H117"/>
  <c r="I117"/>
  <c r="J117"/>
  <c r="K117"/>
  <c r="L117"/>
  <c r="M117"/>
  <c r="N117"/>
  <c r="D118"/>
  <c r="E118"/>
  <c r="F118"/>
  <c r="G118"/>
  <c r="H118"/>
  <c r="I118"/>
  <c r="J118"/>
  <c r="K118"/>
  <c r="L118"/>
  <c r="M118"/>
  <c r="N118"/>
  <c r="D119"/>
  <c r="E119"/>
  <c r="F119"/>
  <c r="G119"/>
  <c r="H119"/>
  <c r="I119"/>
  <c r="J119"/>
  <c r="K119"/>
  <c r="L119"/>
  <c r="M119"/>
  <c r="N119"/>
  <c r="D120"/>
  <c r="E120"/>
  <c r="F120"/>
  <c r="G120"/>
  <c r="H120"/>
  <c r="I120"/>
  <c r="J120"/>
  <c r="K120"/>
  <c r="L120"/>
  <c r="M120"/>
  <c r="N120"/>
  <c r="D121"/>
  <c r="E121"/>
  <c r="F121"/>
  <c r="G121"/>
  <c r="H121"/>
  <c r="I121"/>
  <c r="J121"/>
  <c r="K121"/>
  <c r="L121"/>
  <c r="M121"/>
  <c r="N121"/>
  <c r="D122"/>
  <c r="E122"/>
  <c r="F122"/>
  <c r="G122"/>
  <c r="H122"/>
  <c r="I122"/>
  <c r="J122"/>
  <c r="K122"/>
  <c r="L122"/>
  <c r="M122"/>
  <c r="N122"/>
  <c r="D123"/>
  <c r="E123"/>
  <c r="F123"/>
  <c r="G123"/>
  <c r="H123"/>
  <c r="I123"/>
  <c r="J123"/>
  <c r="K123"/>
  <c r="L123"/>
  <c r="M123"/>
  <c r="N123"/>
  <c r="D124"/>
  <c r="E124"/>
  <c r="F124"/>
  <c r="G124"/>
  <c r="H124"/>
  <c r="I124"/>
  <c r="J124"/>
  <c r="K124"/>
  <c r="L124"/>
  <c r="M124"/>
  <c r="N124"/>
  <c r="D125"/>
  <c r="E125"/>
  <c r="F125"/>
  <c r="G125"/>
  <c r="H125"/>
  <c r="I125"/>
  <c r="J125"/>
  <c r="K125"/>
  <c r="L125"/>
  <c r="M125"/>
  <c r="N125"/>
  <c r="D126"/>
  <c r="E126"/>
  <c r="F126"/>
  <c r="G126"/>
  <c r="H126"/>
  <c r="I126"/>
  <c r="J126"/>
  <c r="K126"/>
  <c r="L126"/>
  <c r="M126"/>
  <c r="N126"/>
  <c r="D127"/>
  <c r="E127"/>
  <c r="F127"/>
  <c r="G127"/>
  <c r="H127"/>
  <c r="I127"/>
  <c r="J127"/>
  <c r="K127"/>
  <c r="L127"/>
  <c r="M127"/>
  <c r="N127"/>
  <c r="D128"/>
  <c r="E128"/>
  <c r="F128"/>
  <c r="G128"/>
  <c r="H128"/>
  <c r="I128"/>
  <c r="J128"/>
  <c r="K128"/>
  <c r="L128"/>
  <c r="M128"/>
  <c r="N128"/>
  <c r="D129"/>
  <c r="E129"/>
  <c r="F129"/>
  <c r="G129"/>
  <c r="H129"/>
  <c r="I129"/>
  <c r="J129"/>
  <c r="K129"/>
  <c r="L129"/>
  <c r="M129"/>
  <c r="N129"/>
  <c r="D130"/>
  <c r="E130"/>
  <c r="F130"/>
  <c r="G130"/>
  <c r="H130"/>
  <c r="I130"/>
  <c r="J130"/>
  <c r="K130"/>
  <c r="L130"/>
  <c r="M130"/>
  <c r="N130"/>
  <c r="D131"/>
  <c r="E131"/>
  <c r="F131"/>
  <c r="G131"/>
  <c r="H131"/>
  <c r="I131"/>
  <c r="J131"/>
  <c r="K131"/>
  <c r="L131"/>
  <c r="M131"/>
  <c r="N131"/>
  <c r="D132"/>
  <c r="E132"/>
  <c r="F132"/>
  <c r="G132"/>
  <c r="H132"/>
  <c r="I132"/>
  <c r="J132"/>
  <c r="K132"/>
  <c r="L132"/>
  <c r="M132"/>
  <c r="N132"/>
  <c r="D133"/>
  <c r="E133"/>
  <c r="F133"/>
  <c r="G133"/>
  <c r="H133"/>
  <c r="I133"/>
  <c r="J133"/>
  <c r="K133"/>
  <c r="L133"/>
  <c r="M133"/>
  <c r="N133"/>
  <c r="D134"/>
  <c r="E134"/>
  <c r="F134"/>
  <c r="G134"/>
  <c r="H134"/>
  <c r="I134"/>
  <c r="J134"/>
  <c r="K134"/>
  <c r="L134"/>
  <c r="M134"/>
  <c r="N134"/>
  <c r="D135"/>
  <c r="E135"/>
  <c r="F135"/>
  <c r="G135"/>
  <c r="H135"/>
  <c r="I135"/>
  <c r="J135"/>
  <c r="K135"/>
  <c r="L135"/>
  <c r="M135"/>
  <c r="N135"/>
  <c r="D136"/>
  <c r="E136"/>
  <c r="F136"/>
  <c r="G136"/>
  <c r="H136"/>
  <c r="I136"/>
  <c r="J136"/>
  <c r="K136"/>
  <c r="L136"/>
  <c r="M136"/>
  <c r="N136"/>
  <c r="D137"/>
  <c r="E137"/>
  <c r="F137"/>
  <c r="G137"/>
  <c r="H137"/>
  <c r="I137"/>
  <c r="J137"/>
  <c r="K137"/>
  <c r="L137"/>
  <c r="M137"/>
  <c r="N137"/>
  <c r="D138"/>
  <c r="E138"/>
  <c r="F138"/>
  <c r="G138"/>
  <c r="H138"/>
  <c r="I138"/>
  <c r="J138"/>
  <c r="K138"/>
  <c r="L138"/>
  <c r="M138"/>
  <c r="N138"/>
  <c r="D139"/>
  <c r="E139"/>
  <c r="F139"/>
  <c r="G139"/>
  <c r="H139"/>
  <c r="I139"/>
  <c r="J139"/>
  <c r="K139"/>
  <c r="L139"/>
  <c r="M139"/>
  <c r="N139"/>
  <c r="D140"/>
  <c r="E140"/>
  <c r="F140"/>
  <c r="G140"/>
  <c r="H140"/>
  <c r="I140"/>
  <c r="J140"/>
  <c r="K140"/>
  <c r="L140"/>
  <c r="M140"/>
  <c r="N140"/>
  <c r="D141"/>
  <c r="E141"/>
  <c r="F141"/>
  <c r="G141"/>
  <c r="H141"/>
  <c r="I141"/>
  <c r="J141"/>
  <c r="K141"/>
  <c r="L141"/>
  <c r="M141"/>
  <c r="N141"/>
  <c r="D142"/>
  <c r="E142"/>
  <c r="F142"/>
  <c r="G142"/>
  <c r="H142"/>
  <c r="I142"/>
  <c r="J142"/>
  <c r="K142"/>
  <c r="L142"/>
  <c r="M142"/>
  <c r="N142"/>
  <c r="D143"/>
  <c r="E143"/>
  <c r="F143"/>
  <c r="G143"/>
  <c r="H143"/>
  <c r="I143"/>
  <c r="J143"/>
  <c r="K143"/>
  <c r="L143"/>
  <c r="M143"/>
  <c r="N143"/>
  <c r="D144"/>
  <c r="E144"/>
  <c r="F144"/>
  <c r="G144"/>
  <c r="H144"/>
  <c r="I144"/>
  <c r="J144"/>
  <c r="K144"/>
  <c r="L144"/>
  <c r="M144"/>
  <c r="N144"/>
  <c r="D145"/>
  <c r="E145"/>
  <c r="F145"/>
  <c r="G145"/>
  <c r="H145"/>
  <c r="I145"/>
  <c r="J145"/>
  <c r="K145"/>
  <c r="L145"/>
  <c r="M145"/>
  <c r="N145"/>
  <c r="D146"/>
  <c r="E146"/>
  <c r="F146"/>
  <c r="G146"/>
  <c r="H146"/>
  <c r="I146"/>
  <c r="J146"/>
  <c r="K146"/>
  <c r="L146"/>
  <c r="M146"/>
  <c r="N146"/>
  <c r="D147"/>
  <c r="E147"/>
  <c r="F147"/>
  <c r="G147"/>
  <c r="H147"/>
  <c r="I147"/>
  <c r="J147"/>
  <c r="K147"/>
  <c r="L147"/>
  <c r="M147"/>
  <c r="N147"/>
  <c r="D148"/>
  <c r="E148"/>
  <c r="F148"/>
  <c r="G148"/>
  <c r="H148"/>
  <c r="I148"/>
  <c r="J148"/>
  <c r="K148"/>
  <c r="L148"/>
  <c r="M148"/>
  <c r="N148"/>
  <c r="D149"/>
  <c r="E149"/>
  <c r="F149"/>
  <c r="G149"/>
  <c r="H149"/>
  <c r="I149"/>
  <c r="J149"/>
  <c r="K149"/>
  <c r="L149"/>
  <c r="M149"/>
  <c r="N149"/>
  <c r="D150"/>
  <c r="E150"/>
  <c r="F150"/>
  <c r="G150"/>
  <c r="H150"/>
  <c r="I150"/>
  <c r="J150"/>
  <c r="K150"/>
  <c r="L150"/>
  <c r="M150"/>
  <c r="N150"/>
  <c r="D151"/>
  <c r="E151"/>
  <c r="F151"/>
  <c r="G151"/>
  <c r="H151"/>
  <c r="I151"/>
  <c r="J151"/>
  <c r="K151"/>
  <c r="L151"/>
  <c r="M151"/>
  <c r="N151"/>
  <c r="D152"/>
  <c r="E152"/>
  <c r="F152"/>
  <c r="G152"/>
  <c r="H152"/>
  <c r="I152"/>
  <c r="J152"/>
  <c r="K152"/>
  <c r="L152"/>
  <c r="M152"/>
  <c r="N152"/>
  <c r="D153"/>
  <c r="E153"/>
  <c r="F153"/>
  <c r="G153"/>
  <c r="H153"/>
  <c r="I153"/>
  <c r="J153"/>
  <c r="K153"/>
  <c r="L153"/>
  <c r="M153"/>
  <c r="N153"/>
  <c r="D154"/>
  <c r="E154"/>
  <c r="F154"/>
  <c r="G154"/>
  <c r="H154"/>
  <c r="I154"/>
  <c r="J154"/>
  <c r="K154"/>
  <c r="L154"/>
  <c r="M154"/>
  <c r="N154"/>
  <c r="D155"/>
  <c r="E155"/>
  <c r="F155"/>
  <c r="G155"/>
  <c r="H155"/>
  <c r="I155"/>
  <c r="J155"/>
  <c r="K155"/>
  <c r="L155"/>
  <c r="M155"/>
  <c r="N155"/>
  <c r="D156"/>
  <c r="E156"/>
  <c r="F156"/>
  <c r="G156"/>
  <c r="H156"/>
  <c r="I156"/>
  <c r="J156"/>
  <c r="K156"/>
  <c r="L156"/>
  <c r="M156"/>
  <c r="N156"/>
  <c r="D157"/>
  <c r="E157"/>
  <c r="F157"/>
  <c r="G157"/>
  <c r="H157"/>
  <c r="I157"/>
  <c r="J157"/>
  <c r="K157"/>
  <c r="L157"/>
  <c r="M157"/>
  <c r="N157"/>
  <c r="D158"/>
  <c r="E158"/>
  <c r="F158"/>
  <c r="G158"/>
  <c r="H158"/>
  <c r="I158"/>
  <c r="J158"/>
  <c r="K158"/>
  <c r="L158"/>
  <c r="M158"/>
  <c r="N158"/>
  <c r="D159"/>
  <c r="E159"/>
  <c r="F159"/>
  <c r="G159"/>
  <c r="H159"/>
  <c r="I159"/>
  <c r="J159"/>
  <c r="K159"/>
  <c r="L159"/>
  <c r="M159"/>
  <c r="N159"/>
  <c r="D160"/>
  <c r="E160"/>
  <c r="F160"/>
  <c r="G160"/>
  <c r="H160"/>
  <c r="I160"/>
  <c r="J160"/>
  <c r="K160"/>
  <c r="L160"/>
  <c r="M160"/>
  <c r="N160"/>
  <c r="D161"/>
  <c r="E161"/>
  <c r="F161"/>
  <c r="G161"/>
  <c r="H161"/>
  <c r="I161"/>
  <c r="J161"/>
  <c r="K161"/>
  <c r="L161"/>
  <c r="M161"/>
  <c r="N161"/>
  <c r="D162"/>
  <c r="E162"/>
  <c r="F162"/>
  <c r="G162"/>
  <c r="H162"/>
  <c r="I162"/>
  <c r="J162"/>
  <c r="K162"/>
  <c r="L162"/>
  <c r="M162"/>
  <c r="N162"/>
  <c r="D163"/>
  <c r="E163"/>
  <c r="F163"/>
  <c r="G163"/>
  <c r="H163"/>
  <c r="I163"/>
  <c r="J163"/>
  <c r="K163"/>
  <c r="L163"/>
  <c r="M163"/>
  <c r="N163"/>
  <c r="D164"/>
  <c r="E164"/>
  <c r="F164"/>
  <c r="G164"/>
  <c r="H164"/>
  <c r="I164"/>
  <c r="J164"/>
  <c r="K164"/>
  <c r="L164"/>
  <c r="M164"/>
  <c r="N164"/>
  <c r="D165"/>
  <c r="E165"/>
  <c r="F165"/>
  <c r="G165"/>
  <c r="H165"/>
  <c r="I165"/>
  <c r="J165"/>
  <c r="K165"/>
  <c r="L165"/>
  <c r="M165"/>
  <c r="N165"/>
  <c r="D166"/>
  <c r="E166"/>
  <c r="F166"/>
  <c r="G166"/>
  <c r="H166"/>
  <c r="I166"/>
  <c r="J166"/>
  <c r="K166"/>
  <c r="L166"/>
  <c r="M166"/>
  <c r="N166"/>
  <c r="D167"/>
  <c r="E167"/>
  <c r="F167"/>
  <c r="G167"/>
  <c r="H167"/>
  <c r="I167"/>
  <c r="J167"/>
  <c r="K167"/>
  <c r="L167"/>
  <c r="M167"/>
  <c r="N167"/>
  <c r="D168"/>
  <c r="E168"/>
  <c r="F168"/>
  <c r="G168"/>
  <c r="H168"/>
  <c r="I168"/>
  <c r="J168"/>
  <c r="K168"/>
  <c r="L168"/>
  <c r="M168"/>
  <c r="N168"/>
  <c r="D169"/>
  <c r="E169"/>
  <c r="F169"/>
  <c r="G169"/>
  <c r="H169"/>
  <c r="I169"/>
  <c r="J169"/>
  <c r="K169"/>
  <c r="L169"/>
  <c r="M169"/>
  <c r="N169"/>
  <c r="D170"/>
  <c r="E170"/>
  <c r="F170"/>
  <c r="G170"/>
  <c r="H170"/>
  <c r="I170"/>
  <c r="J170"/>
  <c r="K170"/>
  <c r="L170"/>
  <c r="M170"/>
  <c r="N170"/>
  <c r="D171"/>
  <c r="E171"/>
  <c r="F171"/>
  <c r="G171"/>
  <c r="H171"/>
  <c r="I171"/>
  <c r="J171"/>
  <c r="K171"/>
  <c r="L171"/>
  <c r="M171"/>
  <c r="N171"/>
  <c r="D172"/>
  <c r="E172"/>
  <c r="F172"/>
  <c r="G172"/>
  <c r="H172"/>
  <c r="I172"/>
  <c r="J172"/>
  <c r="K172"/>
  <c r="L172"/>
  <c r="M172"/>
  <c r="N172"/>
  <c r="D173"/>
  <c r="E173"/>
  <c r="F173"/>
  <c r="G173"/>
  <c r="H173"/>
  <c r="I173"/>
  <c r="J173"/>
  <c r="K173"/>
  <c r="L173"/>
  <c r="M173"/>
  <c r="N173"/>
  <c r="D174"/>
  <c r="E174"/>
  <c r="F174"/>
  <c r="G174"/>
  <c r="H174"/>
  <c r="I174"/>
  <c r="J174"/>
  <c r="K174"/>
  <c r="L174"/>
  <c r="M174"/>
  <c r="N174"/>
  <c r="D175"/>
  <c r="E175"/>
  <c r="F175"/>
  <c r="G175"/>
  <c r="H175"/>
  <c r="I175"/>
  <c r="J175"/>
  <c r="K175"/>
  <c r="L175"/>
  <c r="M175"/>
  <c r="N175"/>
  <c r="D176"/>
  <c r="E176"/>
  <c r="F176"/>
  <c r="G176"/>
  <c r="H176"/>
  <c r="I176"/>
  <c r="J176"/>
  <c r="K176"/>
  <c r="L176"/>
  <c r="M176"/>
  <c r="N176"/>
  <c r="D177"/>
  <c r="E177"/>
  <c r="F177"/>
  <c r="G177"/>
  <c r="H177"/>
  <c r="I177"/>
  <c r="J177"/>
  <c r="K177"/>
  <c r="L177"/>
  <c r="M177"/>
  <c r="N177"/>
  <c r="D178"/>
  <c r="E178"/>
  <c r="F178"/>
  <c r="G178"/>
  <c r="H178"/>
  <c r="I178"/>
  <c r="J178"/>
  <c r="K178"/>
  <c r="L178"/>
  <c r="M178"/>
  <c r="N178"/>
  <c r="D179"/>
  <c r="E179"/>
  <c r="F179"/>
  <c r="G179"/>
  <c r="H179"/>
  <c r="I179"/>
  <c r="J179"/>
  <c r="K179"/>
  <c r="L179"/>
  <c r="M179"/>
  <c r="N179"/>
  <c r="D180"/>
  <c r="E180"/>
  <c r="F180"/>
  <c r="G180"/>
  <c r="H180"/>
  <c r="I180"/>
  <c r="J180"/>
  <c r="K180"/>
  <c r="L180"/>
  <c r="M180"/>
  <c r="N180"/>
  <c r="D181"/>
  <c r="E181"/>
  <c r="F181"/>
  <c r="G181"/>
  <c r="H181"/>
  <c r="I181"/>
  <c r="J181"/>
  <c r="K181"/>
  <c r="L181"/>
  <c r="M181"/>
  <c r="N181"/>
  <c r="D182"/>
  <c r="E182"/>
  <c r="F182"/>
  <c r="G182"/>
  <c r="H182"/>
  <c r="I182"/>
  <c r="J182"/>
  <c r="K182"/>
  <c r="L182"/>
  <c r="M182"/>
  <c r="N182"/>
  <c r="D183"/>
  <c r="E183"/>
  <c r="F183"/>
  <c r="G183"/>
  <c r="H183"/>
  <c r="I183"/>
  <c r="J183"/>
  <c r="K183"/>
  <c r="L183"/>
  <c r="M183"/>
  <c r="N183"/>
  <c r="D184"/>
  <c r="E184"/>
  <c r="F184"/>
  <c r="G184"/>
  <c r="H184"/>
  <c r="I184"/>
  <c r="J184"/>
  <c r="K184"/>
  <c r="L184"/>
  <c r="M184"/>
  <c r="N184"/>
  <c r="D185"/>
  <c r="E185"/>
  <c r="F185"/>
  <c r="G185"/>
  <c r="H185"/>
  <c r="I185"/>
  <c r="J185"/>
  <c r="K185"/>
  <c r="L185"/>
  <c r="M185"/>
  <c r="N185"/>
  <c r="D186"/>
  <c r="E186"/>
  <c r="F186"/>
  <c r="G186"/>
  <c r="H186"/>
  <c r="I186"/>
  <c r="J186"/>
  <c r="K186"/>
  <c r="L186"/>
  <c r="M186"/>
  <c r="N186"/>
  <c r="D187"/>
  <c r="E187"/>
  <c r="F187"/>
  <c r="G187"/>
  <c r="H187"/>
  <c r="I187"/>
  <c r="J187"/>
  <c r="K187"/>
  <c r="L187"/>
  <c r="M187"/>
  <c r="N187"/>
  <c r="D188"/>
  <c r="E188"/>
  <c r="F188"/>
  <c r="G188"/>
  <c r="H188"/>
  <c r="I188"/>
  <c r="J188"/>
  <c r="K188"/>
  <c r="L188"/>
  <c r="M188"/>
  <c r="N188"/>
  <c r="D189"/>
  <c r="E189"/>
  <c r="F189"/>
  <c r="G189"/>
  <c r="H189"/>
  <c r="I189"/>
  <c r="J189"/>
  <c r="K189"/>
  <c r="L189"/>
  <c r="M189"/>
  <c r="N189"/>
  <c r="D190"/>
  <c r="E190"/>
  <c r="F190"/>
  <c r="G190"/>
  <c r="H190"/>
  <c r="I190"/>
  <c r="J190"/>
  <c r="K190"/>
  <c r="L190"/>
  <c r="M190"/>
  <c r="N190"/>
  <c r="D191"/>
  <c r="E191"/>
  <c r="F191"/>
  <c r="G191"/>
  <c r="H191"/>
  <c r="I191"/>
  <c r="J191"/>
  <c r="K191"/>
  <c r="L191"/>
  <c r="M191"/>
  <c r="N191"/>
  <c r="D192"/>
  <c r="E192"/>
  <c r="F192"/>
  <c r="G192"/>
  <c r="H192"/>
  <c r="I192"/>
  <c r="J192"/>
  <c r="K192"/>
  <c r="L192"/>
  <c r="M192"/>
  <c r="N192"/>
  <c r="D193"/>
  <c r="E193"/>
  <c r="F193"/>
  <c r="G193"/>
  <c r="H193"/>
  <c r="I193"/>
  <c r="J193"/>
  <c r="K193"/>
  <c r="L193"/>
  <c r="M193"/>
  <c r="N193"/>
  <c r="D194"/>
  <c r="E194"/>
  <c r="F194"/>
  <c r="G194"/>
  <c r="H194"/>
  <c r="I194"/>
  <c r="J194"/>
  <c r="K194"/>
  <c r="L194"/>
  <c r="M194"/>
  <c r="N194"/>
  <c r="D195"/>
  <c r="E195"/>
  <c r="F195"/>
  <c r="G195"/>
  <c r="H195"/>
  <c r="I195"/>
  <c r="J195"/>
  <c r="K195"/>
  <c r="L195"/>
  <c r="M195"/>
  <c r="N195"/>
  <c r="D196"/>
  <c r="E196"/>
  <c r="F196"/>
  <c r="G196"/>
  <c r="H196"/>
  <c r="I196"/>
  <c r="J196"/>
  <c r="K196"/>
  <c r="L196"/>
  <c r="M196"/>
  <c r="N196"/>
  <c r="D197"/>
  <c r="E197"/>
  <c r="F197"/>
  <c r="G197"/>
  <c r="H197"/>
  <c r="I197"/>
  <c r="J197"/>
  <c r="K197"/>
  <c r="L197"/>
  <c r="M197"/>
  <c r="N197"/>
  <c r="D198"/>
  <c r="E198"/>
  <c r="F198"/>
  <c r="G198"/>
  <c r="H198"/>
  <c r="I198"/>
  <c r="J198"/>
  <c r="K198"/>
  <c r="L198"/>
  <c r="M198"/>
  <c r="N198"/>
  <c r="D199"/>
  <c r="E199"/>
  <c r="F199"/>
  <c r="G199"/>
  <c r="H199"/>
  <c r="I199"/>
  <c r="J199"/>
  <c r="K199"/>
  <c r="L199"/>
  <c r="M199"/>
  <c r="N199"/>
  <c r="D200"/>
  <c r="E200"/>
  <c r="F200"/>
  <c r="G200"/>
  <c r="H200"/>
  <c r="I200"/>
  <c r="J200"/>
  <c r="K200"/>
  <c r="L200"/>
  <c r="M200"/>
  <c r="N200"/>
  <c r="D201"/>
  <c r="E201"/>
  <c r="F201"/>
  <c r="G201"/>
  <c r="H201"/>
  <c r="I201"/>
  <c r="J201"/>
  <c r="K201"/>
  <c r="L201"/>
  <c r="M201"/>
  <c r="N201"/>
  <c r="D202"/>
  <c r="E202"/>
  <c r="F202"/>
  <c r="G202"/>
  <c r="H202"/>
  <c r="I202"/>
  <c r="J202"/>
  <c r="K202"/>
  <c r="L202"/>
  <c r="M202"/>
  <c r="N202"/>
  <c r="D203"/>
  <c r="E203"/>
  <c r="F203"/>
  <c r="G203"/>
  <c r="H203"/>
  <c r="I203"/>
  <c r="J203"/>
  <c r="K203"/>
  <c r="L203"/>
  <c r="M203"/>
  <c r="N203"/>
  <c r="D204"/>
  <c r="E204"/>
  <c r="F204"/>
  <c r="G204"/>
  <c r="H204"/>
  <c r="I204"/>
  <c r="J204"/>
  <c r="K204"/>
  <c r="L204"/>
  <c r="M204"/>
  <c r="N204"/>
  <c r="D205"/>
  <c r="E205"/>
  <c r="F205"/>
  <c r="G205"/>
  <c r="H205"/>
  <c r="I205"/>
  <c r="J205"/>
  <c r="K205"/>
  <c r="L205"/>
  <c r="M205"/>
  <c r="N205"/>
  <c r="D206"/>
  <c r="E206"/>
  <c r="F206"/>
  <c r="G206"/>
  <c r="H206"/>
  <c r="I206"/>
  <c r="J206"/>
  <c r="K206"/>
  <c r="L206"/>
  <c r="M206"/>
  <c r="N206"/>
  <c r="D207"/>
  <c r="E207"/>
  <c r="F207"/>
  <c r="G207"/>
  <c r="H207"/>
  <c r="I207"/>
  <c r="J207"/>
  <c r="K207"/>
  <c r="L207"/>
  <c r="M207"/>
  <c r="N207"/>
  <c r="D208"/>
  <c r="E208"/>
  <c r="F208"/>
  <c r="G208"/>
  <c r="H208"/>
  <c r="I208"/>
  <c r="J208"/>
  <c r="K208"/>
  <c r="L208"/>
  <c r="M208"/>
  <c r="N208"/>
  <c r="D209"/>
  <c r="E209"/>
  <c r="F209"/>
  <c r="G209"/>
  <c r="H209"/>
  <c r="I209"/>
  <c r="J209"/>
  <c r="K209"/>
  <c r="L209"/>
  <c r="M209"/>
  <c r="N209"/>
  <c r="D210"/>
  <c r="E210"/>
  <c r="F210"/>
  <c r="G210"/>
  <c r="H210"/>
  <c r="I210"/>
  <c r="J210"/>
  <c r="K210"/>
  <c r="L210"/>
  <c r="M210"/>
  <c r="N210"/>
  <c r="D211"/>
  <c r="E211"/>
  <c r="F211"/>
  <c r="G211"/>
  <c r="H211"/>
  <c r="I211"/>
  <c r="J211"/>
  <c r="K211"/>
  <c r="L211"/>
  <c r="M211"/>
  <c r="N211"/>
  <c r="D212"/>
  <c r="E212"/>
  <c r="F212"/>
  <c r="G212"/>
  <c r="H212"/>
  <c r="I212"/>
  <c r="J212"/>
  <c r="K212"/>
  <c r="L212"/>
  <c r="M212"/>
  <c r="N212"/>
  <c r="D213"/>
  <c r="E213"/>
  <c r="F213"/>
  <c r="G213"/>
  <c r="H213"/>
  <c r="I213"/>
  <c r="J213"/>
  <c r="K213"/>
  <c r="L213"/>
  <c r="M213"/>
  <c r="N213"/>
  <c r="D214"/>
  <c r="E214"/>
  <c r="F214"/>
  <c r="G214"/>
  <c r="H214"/>
  <c r="I214"/>
  <c r="J214"/>
  <c r="K214"/>
  <c r="L214"/>
  <c r="M214"/>
  <c r="N214"/>
  <c r="D215"/>
  <c r="E215"/>
  <c r="F215"/>
  <c r="G215"/>
  <c r="H215"/>
  <c r="I215"/>
  <c r="J215"/>
  <c r="K215"/>
  <c r="L215"/>
  <c r="M215"/>
  <c r="N215"/>
  <c r="D216"/>
  <c r="E216"/>
  <c r="F216"/>
  <c r="G216"/>
  <c r="H216"/>
  <c r="I216"/>
  <c r="J216"/>
  <c r="K216"/>
  <c r="L216"/>
  <c r="M216"/>
  <c r="N216"/>
  <c r="D217"/>
  <c r="E217"/>
  <c r="F217"/>
  <c r="G217"/>
  <c r="H217"/>
  <c r="I217"/>
  <c r="J217"/>
  <c r="K217"/>
  <c r="L217"/>
  <c r="M217"/>
  <c r="N217"/>
  <c r="D218"/>
  <c r="E218"/>
  <c r="F218"/>
  <c r="G218"/>
  <c r="H218"/>
  <c r="I218"/>
  <c r="J218"/>
  <c r="K218"/>
  <c r="L218"/>
  <c r="M218"/>
  <c r="N218"/>
  <c r="D219"/>
  <c r="E219"/>
  <c r="F219"/>
  <c r="G219"/>
  <c r="H219"/>
  <c r="I219"/>
  <c r="J219"/>
  <c r="K219"/>
  <c r="L219"/>
  <c r="M219"/>
  <c r="N219"/>
  <c r="D220"/>
  <c r="E220"/>
  <c r="F220"/>
  <c r="G220"/>
  <c r="H220"/>
  <c r="I220"/>
  <c r="J220"/>
  <c r="K220"/>
  <c r="L220"/>
  <c r="M220"/>
  <c r="N220"/>
  <c r="D221"/>
  <c r="E221"/>
  <c r="F221"/>
  <c r="G221"/>
  <c r="H221"/>
  <c r="I221"/>
  <c r="J221"/>
  <c r="K221"/>
  <c r="L221"/>
  <c r="M221"/>
  <c r="N221"/>
  <c r="D222"/>
  <c r="E222"/>
  <c r="F222"/>
  <c r="G222"/>
  <c r="H222"/>
  <c r="I222"/>
  <c r="J222"/>
  <c r="K222"/>
  <c r="L222"/>
  <c r="M222"/>
  <c r="N222"/>
  <c r="D223"/>
  <c r="E223"/>
  <c r="F223"/>
  <c r="G223"/>
  <c r="H223"/>
  <c r="I223"/>
  <c r="J223"/>
  <c r="K223"/>
  <c r="L223"/>
  <c r="M223"/>
  <c r="N223"/>
  <c r="D224"/>
  <c r="E224"/>
  <c r="F224"/>
  <c r="G224"/>
  <c r="H224"/>
  <c r="I224"/>
  <c r="J224"/>
  <c r="K224"/>
  <c r="L224"/>
  <c r="M224"/>
  <c r="N224"/>
  <c r="D225"/>
  <c r="E225"/>
  <c r="F225"/>
  <c r="G225"/>
  <c r="H225"/>
  <c r="I225"/>
  <c r="J225"/>
  <c r="K225"/>
  <c r="L225"/>
  <c r="M225"/>
  <c r="N225"/>
  <c r="D226"/>
  <c r="E226"/>
  <c r="F226"/>
  <c r="G226"/>
  <c r="H226"/>
  <c r="I226"/>
  <c r="J226"/>
  <c r="K226"/>
  <c r="L226"/>
  <c r="M226"/>
  <c r="N226"/>
  <c r="D227"/>
  <c r="E227"/>
  <c r="F227"/>
  <c r="G227"/>
  <c r="H227"/>
  <c r="I227"/>
  <c r="J227"/>
  <c r="K227"/>
  <c r="L227"/>
  <c r="M227"/>
  <c r="N227"/>
  <c r="D228"/>
  <c r="E228"/>
  <c r="F228"/>
  <c r="G228"/>
  <c r="H228"/>
  <c r="I228"/>
  <c r="J228"/>
  <c r="K228"/>
  <c r="L228"/>
  <c r="M228"/>
  <c r="N228"/>
  <c r="D229"/>
  <c r="E229"/>
  <c r="F229"/>
  <c r="G229"/>
  <c r="H229"/>
  <c r="I229"/>
  <c r="J229"/>
  <c r="K229"/>
  <c r="L229"/>
  <c r="M229"/>
  <c r="N229"/>
  <c r="D230"/>
  <c r="E230"/>
  <c r="F230"/>
  <c r="G230"/>
  <c r="H230"/>
  <c r="I230"/>
  <c r="J230"/>
  <c r="K230"/>
  <c r="L230"/>
  <c r="M230"/>
  <c r="N230"/>
  <c r="D231"/>
  <c r="E231"/>
  <c r="F231"/>
  <c r="G231"/>
  <c r="H231"/>
  <c r="I231"/>
  <c r="J231"/>
  <c r="K231"/>
  <c r="L231"/>
  <c r="M231"/>
  <c r="N231"/>
  <c r="D232"/>
  <c r="E232"/>
  <c r="F232"/>
  <c r="G232"/>
  <c r="H232"/>
  <c r="I232"/>
  <c r="J232"/>
  <c r="K232"/>
  <c r="L232"/>
  <c r="M232"/>
  <c r="N232"/>
  <c r="D233"/>
  <c r="E233"/>
  <c r="F233"/>
  <c r="G233"/>
  <c r="H233"/>
  <c r="I233"/>
  <c r="J233"/>
  <c r="K233"/>
  <c r="L233"/>
  <c r="M233"/>
  <c r="N233"/>
  <c r="D234"/>
  <c r="E234"/>
  <c r="F234"/>
  <c r="G234"/>
  <c r="H234"/>
  <c r="I234"/>
  <c r="J234"/>
  <c r="K234"/>
  <c r="L234"/>
  <c r="M234"/>
  <c r="N234"/>
  <c r="D235"/>
  <c r="E235"/>
  <c r="F235"/>
  <c r="G235"/>
  <c r="H235"/>
  <c r="I235"/>
  <c r="J235"/>
  <c r="K235"/>
  <c r="L235"/>
  <c r="M235"/>
  <c r="N235"/>
  <c r="D236"/>
  <c r="E236"/>
  <c r="F236"/>
  <c r="G236"/>
  <c r="H236"/>
  <c r="I236"/>
  <c r="J236"/>
  <c r="K236"/>
  <c r="L236"/>
  <c r="M236"/>
  <c r="N236"/>
  <c r="D237"/>
  <c r="E237"/>
  <c r="F237"/>
  <c r="G237"/>
  <c r="H237"/>
  <c r="I237"/>
  <c r="J237"/>
  <c r="K237"/>
  <c r="L237"/>
  <c r="M237"/>
  <c r="N237"/>
  <c r="D238"/>
  <c r="E238"/>
  <c r="F238"/>
  <c r="G238"/>
  <c r="H238"/>
  <c r="I238"/>
  <c r="J238"/>
  <c r="K238"/>
  <c r="L238"/>
  <c r="M238"/>
  <c r="N238"/>
  <c r="D239"/>
  <c r="E239"/>
  <c r="F239"/>
  <c r="G239"/>
  <c r="H239"/>
  <c r="I239"/>
  <c r="J239"/>
  <c r="K239"/>
  <c r="L239"/>
  <c r="M239"/>
  <c r="N239"/>
  <c r="D240"/>
  <c r="E240"/>
  <c r="F240"/>
  <c r="G240"/>
  <c r="H240"/>
  <c r="I240"/>
  <c r="J240"/>
  <c r="K240"/>
  <c r="L240"/>
  <c r="M240"/>
  <c r="N240"/>
  <c r="D241"/>
  <c r="E241"/>
  <c r="F241"/>
  <c r="G241"/>
  <c r="H241"/>
  <c r="I241"/>
  <c r="J241"/>
  <c r="K241"/>
  <c r="L241"/>
  <c r="M241"/>
  <c r="N241"/>
  <c r="D242"/>
  <c r="E242"/>
  <c r="F242"/>
  <c r="G242"/>
  <c r="H242"/>
  <c r="I242"/>
  <c r="J242"/>
  <c r="K242"/>
  <c r="L242"/>
  <c r="M242"/>
  <c r="N242"/>
  <c r="D243"/>
  <c r="E243"/>
  <c r="F243"/>
  <c r="G243"/>
  <c r="H243"/>
  <c r="I243"/>
  <c r="J243"/>
  <c r="K243"/>
  <c r="L243"/>
  <c r="M243"/>
  <c r="N243"/>
  <c r="D244"/>
  <c r="E244"/>
  <c r="F244"/>
  <c r="G244"/>
  <c r="H244"/>
  <c r="I244"/>
  <c r="J244"/>
  <c r="K244"/>
  <c r="L244"/>
  <c r="M244"/>
  <c r="N244"/>
  <c r="D245"/>
  <c r="E245"/>
  <c r="F245"/>
  <c r="G245"/>
  <c r="H245"/>
  <c r="I245"/>
  <c r="J245"/>
  <c r="K245"/>
  <c r="L245"/>
  <c r="M245"/>
  <c r="N245"/>
  <c r="D246"/>
  <c r="E246"/>
  <c r="F246"/>
  <c r="G246"/>
  <c r="H246"/>
  <c r="I246"/>
  <c r="J246"/>
  <c r="K246"/>
  <c r="L246"/>
  <c r="M246"/>
  <c r="N246"/>
  <c r="D247"/>
  <c r="E247"/>
  <c r="F247"/>
  <c r="G247"/>
  <c r="H247"/>
  <c r="I247"/>
  <c r="J247"/>
  <c r="K247"/>
  <c r="L247"/>
  <c r="M247"/>
  <c r="N247"/>
  <c r="D248"/>
  <c r="E248"/>
  <c r="F248"/>
  <c r="G248"/>
  <c r="H248"/>
  <c r="I248"/>
  <c r="J248"/>
  <c r="K248"/>
  <c r="L248"/>
  <c r="M248"/>
  <c r="N248"/>
  <c r="D249"/>
  <c r="E249"/>
  <c r="F249"/>
  <c r="G249"/>
  <c r="H249"/>
  <c r="I249"/>
  <c r="J249"/>
  <c r="K249"/>
  <c r="L249"/>
  <c r="M249"/>
  <c r="N249"/>
  <c r="D250"/>
  <c r="E250"/>
  <c r="F250"/>
  <c r="G250"/>
  <c r="H250"/>
  <c r="I250"/>
  <c r="J250"/>
  <c r="K250"/>
  <c r="L250"/>
  <c r="M250"/>
  <c r="N250"/>
  <c r="D251"/>
  <c r="E251"/>
  <c r="F251"/>
  <c r="G251"/>
  <c r="H251"/>
  <c r="I251"/>
  <c r="J251"/>
  <c r="K251"/>
  <c r="L251"/>
  <c r="M251"/>
  <c r="N251"/>
  <c r="D252"/>
  <c r="E252"/>
  <c r="F252"/>
  <c r="G252"/>
  <c r="H252"/>
  <c r="I252"/>
  <c r="J252"/>
  <c r="K252"/>
  <c r="L252"/>
  <c r="M252"/>
  <c r="N252"/>
  <c r="D253"/>
  <c r="E253"/>
  <c r="F253"/>
  <c r="G253"/>
  <c r="H253"/>
  <c r="I253"/>
  <c r="J253"/>
  <c r="K253"/>
  <c r="L253"/>
  <c r="M253"/>
  <c r="N253"/>
  <c r="D254"/>
  <c r="E254"/>
  <c r="F254"/>
  <c r="G254"/>
  <c r="H254"/>
  <c r="I254"/>
  <c r="J254"/>
  <c r="K254"/>
  <c r="L254"/>
  <c r="M254"/>
  <c r="N254"/>
  <c r="D255"/>
  <c r="E255"/>
  <c r="F255"/>
  <c r="G255"/>
  <c r="H255"/>
  <c r="I255"/>
  <c r="J255"/>
  <c r="K255"/>
  <c r="L255"/>
  <c r="M255"/>
  <c r="N255"/>
  <c r="D256"/>
  <c r="E256"/>
  <c r="F256"/>
  <c r="G256"/>
  <c r="H256"/>
  <c r="I256"/>
  <c r="J256"/>
  <c r="K256"/>
  <c r="L256"/>
  <c r="M256"/>
  <c r="N256"/>
  <c r="D257"/>
  <c r="E257"/>
  <c r="F257"/>
  <c r="G257"/>
  <c r="H257"/>
  <c r="I257"/>
  <c r="J257"/>
  <c r="K257"/>
  <c r="L257"/>
  <c r="M257"/>
  <c r="N257"/>
  <c r="D258"/>
  <c r="E258"/>
  <c r="F258"/>
  <c r="G258"/>
  <c r="H258"/>
  <c r="I258"/>
  <c r="J258"/>
  <c r="K258"/>
  <c r="L258"/>
  <c r="M258"/>
  <c r="N258"/>
  <c r="D259"/>
  <c r="E259"/>
  <c r="F259"/>
  <c r="G259"/>
  <c r="H259"/>
  <c r="I259"/>
  <c r="J259"/>
  <c r="K259"/>
  <c r="L259"/>
  <c r="M259"/>
  <c r="N259"/>
  <c r="D260"/>
  <c r="E260"/>
  <c r="F260"/>
  <c r="G260"/>
  <c r="H260"/>
  <c r="I260"/>
  <c r="J260"/>
  <c r="K260"/>
  <c r="L260"/>
  <c r="M260"/>
  <c r="N260"/>
  <c r="D261"/>
  <c r="E261"/>
  <c r="F261"/>
  <c r="G261"/>
  <c r="H261"/>
  <c r="I261"/>
  <c r="J261"/>
  <c r="K261"/>
  <c r="L261"/>
  <c r="M261"/>
  <c r="N261"/>
  <c r="D262"/>
  <c r="E262"/>
  <c r="F262"/>
  <c r="G262"/>
  <c r="H262"/>
  <c r="I262"/>
  <c r="J262"/>
  <c r="K262"/>
  <c r="L262"/>
  <c r="M262"/>
  <c r="N262"/>
  <c r="D263"/>
  <c r="E263"/>
  <c r="F263"/>
  <c r="G263"/>
  <c r="H263"/>
  <c r="I263"/>
  <c r="J263"/>
  <c r="K263"/>
  <c r="L263"/>
  <c r="M263"/>
  <c r="N263"/>
  <c r="D264"/>
  <c r="E264"/>
  <c r="F264"/>
  <c r="G264"/>
  <c r="H264"/>
  <c r="I264"/>
  <c r="J264"/>
  <c r="K264"/>
  <c r="L264"/>
  <c r="M264"/>
  <c r="N264"/>
  <c r="D265"/>
  <c r="E265"/>
  <c r="F265"/>
  <c r="G265"/>
  <c r="H265"/>
  <c r="I265"/>
  <c r="J265"/>
  <c r="K265"/>
  <c r="L265"/>
  <c r="M265"/>
  <c r="N265"/>
  <c r="D266"/>
  <c r="E266"/>
  <c r="F266"/>
  <c r="G266"/>
  <c r="H266"/>
  <c r="I266"/>
  <c r="J266"/>
  <c r="K266"/>
  <c r="L266"/>
  <c r="M266"/>
  <c r="N266"/>
  <c r="D267"/>
  <c r="E267"/>
  <c r="F267"/>
  <c r="G267"/>
  <c r="H267"/>
  <c r="I267"/>
  <c r="J267"/>
  <c r="K267"/>
  <c r="L267"/>
  <c r="M267"/>
  <c r="N267"/>
  <c r="D268"/>
  <c r="E268"/>
  <c r="F268"/>
  <c r="G268"/>
  <c r="H268"/>
  <c r="I268"/>
  <c r="J268"/>
  <c r="K268"/>
  <c r="L268"/>
  <c r="M268"/>
  <c r="N268"/>
  <c r="D269"/>
  <c r="E269"/>
  <c r="F269"/>
  <c r="G269"/>
  <c r="H269"/>
  <c r="I269"/>
  <c r="J269"/>
  <c r="K269"/>
  <c r="L269"/>
  <c r="M269"/>
  <c r="N269"/>
  <c r="D270"/>
  <c r="E270"/>
  <c r="F270"/>
  <c r="G270"/>
  <c r="H270"/>
  <c r="I270"/>
  <c r="J270"/>
  <c r="K270"/>
  <c r="L270"/>
  <c r="M270"/>
  <c r="N270"/>
  <c r="D271"/>
  <c r="E271"/>
  <c r="F271"/>
  <c r="G271"/>
  <c r="H271"/>
  <c r="I271"/>
  <c r="J271"/>
  <c r="K271"/>
  <c r="L271"/>
  <c r="M271"/>
  <c r="N271"/>
  <c r="D272"/>
  <c r="E272"/>
  <c r="F272"/>
  <c r="G272"/>
  <c r="H272"/>
  <c r="I272"/>
  <c r="J272"/>
  <c r="K272"/>
  <c r="L272"/>
  <c r="M272"/>
  <c r="N272"/>
  <c r="D273"/>
  <c r="E273"/>
  <c r="F273"/>
  <c r="G273"/>
  <c r="H273"/>
  <c r="I273"/>
  <c r="J273"/>
  <c r="K273"/>
  <c r="L273"/>
  <c r="M273"/>
  <c r="N273"/>
  <c r="D274"/>
  <c r="E274"/>
  <c r="F274"/>
  <c r="G274"/>
  <c r="H274"/>
  <c r="I274"/>
  <c r="J274"/>
  <c r="K274"/>
  <c r="L274"/>
  <c r="M274"/>
  <c r="N274"/>
  <c r="D275"/>
  <c r="E275"/>
  <c r="F275"/>
  <c r="G275"/>
  <c r="H275"/>
  <c r="I275"/>
  <c r="J275"/>
  <c r="K275"/>
  <c r="L275"/>
  <c r="M275"/>
  <c r="N275"/>
  <c r="D276"/>
  <c r="E276"/>
  <c r="F276"/>
  <c r="G276"/>
  <c r="H276"/>
  <c r="I276"/>
  <c r="J276"/>
  <c r="K276"/>
  <c r="L276"/>
  <c r="M276"/>
  <c r="N276"/>
  <c r="D277"/>
  <c r="E277"/>
  <c r="F277"/>
  <c r="G277"/>
  <c r="H277"/>
  <c r="I277"/>
  <c r="J277"/>
  <c r="K277"/>
  <c r="L277"/>
  <c r="M277"/>
  <c r="N277"/>
  <c r="D278"/>
  <c r="E278"/>
  <c r="F278"/>
  <c r="G278"/>
  <c r="H278"/>
  <c r="I278"/>
  <c r="J278"/>
  <c r="K278"/>
  <c r="L278"/>
  <c r="M278"/>
  <c r="N278"/>
  <c r="D279"/>
  <c r="E279"/>
  <c r="F279"/>
  <c r="G279"/>
  <c r="H279"/>
  <c r="I279"/>
  <c r="J279"/>
  <c r="K279"/>
  <c r="L279"/>
  <c r="M279"/>
  <c r="N279"/>
  <c r="D280"/>
  <c r="E280"/>
  <c r="F280"/>
  <c r="G280"/>
  <c r="H280"/>
  <c r="I280"/>
  <c r="J280"/>
  <c r="K280"/>
  <c r="L280"/>
  <c r="M280"/>
  <c r="N280"/>
  <c r="D281"/>
  <c r="E281"/>
  <c r="F281"/>
  <c r="G281"/>
  <c r="H281"/>
  <c r="I281"/>
  <c r="J281"/>
  <c r="K281"/>
  <c r="L281"/>
  <c r="M281"/>
  <c r="N281"/>
  <c r="D282"/>
  <c r="E282"/>
  <c r="F282"/>
  <c r="G282"/>
  <c r="H282"/>
  <c r="I282"/>
  <c r="J282"/>
  <c r="K282"/>
  <c r="L282"/>
  <c r="M282"/>
  <c r="N282"/>
  <c r="D283"/>
  <c r="E283"/>
  <c r="F283"/>
  <c r="G283"/>
  <c r="H283"/>
  <c r="I283"/>
  <c r="J283"/>
  <c r="K283"/>
  <c r="L283"/>
  <c r="M283"/>
  <c r="N283"/>
  <c r="D284"/>
  <c r="E284"/>
  <c r="F284"/>
  <c r="G284"/>
  <c r="H284"/>
  <c r="I284"/>
  <c r="J284"/>
  <c r="K284"/>
  <c r="L284"/>
  <c r="M284"/>
  <c r="N284"/>
  <c r="D285"/>
  <c r="E285"/>
  <c r="F285"/>
  <c r="G285"/>
  <c r="H285"/>
  <c r="I285"/>
  <c r="J285"/>
  <c r="K285"/>
  <c r="L285"/>
  <c r="M285"/>
  <c r="N285"/>
  <c r="D286"/>
  <c r="E286"/>
  <c r="F286"/>
  <c r="G286"/>
  <c r="H286"/>
  <c r="I286"/>
  <c r="J286"/>
  <c r="K286"/>
  <c r="L286"/>
  <c r="M286"/>
  <c r="N286"/>
  <c r="D287"/>
  <c r="E287"/>
  <c r="F287"/>
  <c r="G287"/>
  <c r="H287"/>
  <c r="I287"/>
  <c r="J287"/>
  <c r="K287"/>
  <c r="L287"/>
  <c r="M287"/>
  <c r="N287"/>
  <c r="D288"/>
  <c r="E288"/>
  <c r="F288"/>
  <c r="G288"/>
  <c r="H288"/>
  <c r="I288"/>
  <c r="J288"/>
  <c r="K288"/>
  <c r="L288"/>
  <c r="M288"/>
  <c r="N288"/>
  <c r="D289"/>
  <c r="E289"/>
  <c r="F289"/>
  <c r="G289"/>
  <c r="H289"/>
  <c r="I289"/>
  <c r="J289"/>
  <c r="K289"/>
  <c r="L289"/>
  <c r="M289"/>
  <c r="N289"/>
  <c r="D290"/>
  <c r="E290"/>
  <c r="F290"/>
  <c r="G290"/>
  <c r="H290"/>
  <c r="I290"/>
  <c r="J290"/>
  <c r="K290"/>
  <c r="L290"/>
  <c r="M290"/>
  <c r="N290"/>
  <c r="D291"/>
  <c r="E291"/>
  <c r="F291"/>
  <c r="G291"/>
  <c r="H291"/>
  <c r="I291"/>
  <c r="J291"/>
  <c r="K291"/>
  <c r="L291"/>
  <c r="M291"/>
  <c r="N291"/>
  <c r="D292"/>
  <c r="E292"/>
  <c r="F292"/>
  <c r="G292"/>
  <c r="H292"/>
  <c r="I292"/>
  <c r="J292"/>
  <c r="K292"/>
  <c r="L292"/>
  <c r="M292"/>
  <c r="N292"/>
  <c r="D293"/>
  <c r="E293"/>
  <c r="F293"/>
  <c r="G293"/>
  <c r="H293"/>
  <c r="I293"/>
  <c r="J293"/>
  <c r="K293"/>
  <c r="L293"/>
  <c r="M293"/>
  <c r="N293"/>
  <c r="D294"/>
  <c r="E294"/>
  <c r="F294"/>
  <c r="G294"/>
  <c r="H294"/>
  <c r="I294"/>
  <c r="J294"/>
  <c r="K294"/>
  <c r="L294"/>
  <c r="M294"/>
  <c r="N294"/>
  <c r="D295"/>
  <c r="E295"/>
  <c r="F295"/>
  <c r="G295"/>
  <c r="H295"/>
  <c r="I295"/>
  <c r="J295"/>
  <c r="K295"/>
  <c r="L295"/>
  <c r="M295"/>
  <c r="N295"/>
  <c r="D296"/>
  <c r="E296"/>
  <c r="F296"/>
  <c r="G296"/>
  <c r="H296"/>
  <c r="I296"/>
  <c r="J296"/>
  <c r="K296"/>
  <c r="L296"/>
  <c r="M296"/>
  <c r="N296"/>
  <c r="D297"/>
  <c r="E297"/>
  <c r="F297"/>
  <c r="G297"/>
  <c r="H297"/>
  <c r="I297"/>
  <c r="J297"/>
  <c r="K297"/>
  <c r="L297"/>
  <c r="M297"/>
  <c r="N297"/>
  <c r="D298"/>
  <c r="E298"/>
  <c r="F298"/>
  <c r="G298"/>
  <c r="H298"/>
  <c r="I298"/>
  <c r="J298"/>
  <c r="K298"/>
  <c r="L298"/>
  <c r="M298"/>
  <c r="N298"/>
  <c r="D299"/>
  <c r="E299"/>
  <c r="F299"/>
  <c r="G299"/>
  <c r="H299"/>
  <c r="I299"/>
  <c r="J299"/>
  <c r="K299"/>
  <c r="L299"/>
  <c r="M299"/>
  <c r="N299"/>
  <c r="D300"/>
  <c r="E300"/>
  <c r="F300"/>
  <c r="G300"/>
  <c r="H300"/>
  <c r="I300"/>
  <c r="J300"/>
  <c r="K300"/>
  <c r="L300"/>
  <c r="M300"/>
  <c r="N300"/>
  <c r="D301"/>
  <c r="E301"/>
  <c r="F301"/>
  <c r="G301"/>
  <c r="H301"/>
  <c r="I301"/>
  <c r="J301"/>
  <c r="K301"/>
  <c r="L301"/>
  <c r="M301"/>
  <c r="N301"/>
  <c r="D302"/>
  <c r="E302"/>
  <c r="F302"/>
  <c r="G302"/>
  <c r="H302"/>
  <c r="I302"/>
  <c r="J302"/>
  <c r="K302"/>
  <c r="L302"/>
  <c r="M302"/>
  <c r="N302"/>
  <c r="D303"/>
  <c r="E303"/>
  <c r="F303"/>
  <c r="G303"/>
  <c r="H303"/>
  <c r="I303"/>
  <c r="J303"/>
  <c r="K303"/>
  <c r="L303"/>
  <c r="M303"/>
  <c r="N303"/>
  <c r="D304"/>
  <c r="E304"/>
  <c r="F304"/>
  <c r="G304"/>
  <c r="H304"/>
  <c r="I304"/>
  <c r="J304"/>
  <c r="K304"/>
  <c r="L304"/>
  <c r="M304"/>
  <c r="N304"/>
  <c r="C3" i="12"/>
  <c r="C145"/>
  <c r="D5"/>
  <c r="D4" s="1"/>
  <c r="E5"/>
  <c r="F5"/>
  <c r="G5"/>
  <c r="H5"/>
  <c r="I5"/>
  <c r="J5"/>
  <c r="K5"/>
  <c r="L5"/>
  <c r="M5"/>
  <c r="N5"/>
  <c r="D6"/>
  <c r="E6"/>
  <c r="F6"/>
  <c r="F4" s="1"/>
  <c r="G6"/>
  <c r="H6"/>
  <c r="I6"/>
  <c r="J6"/>
  <c r="J4" s="1"/>
  <c r="K6"/>
  <c r="L6"/>
  <c r="M6"/>
  <c r="N6"/>
  <c r="D7"/>
  <c r="E7"/>
  <c r="F7"/>
  <c r="G7"/>
  <c r="H7"/>
  <c r="I7"/>
  <c r="J7"/>
  <c r="K7"/>
  <c r="L7"/>
  <c r="M7"/>
  <c r="N7"/>
  <c r="D8"/>
  <c r="E8"/>
  <c r="F8"/>
  <c r="G8"/>
  <c r="H8"/>
  <c r="I8"/>
  <c r="J8"/>
  <c r="K8"/>
  <c r="L8"/>
  <c r="M8"/>
  <c r="N8"/>
  <c r="D9"/>
  <c r="E9"/>
  <c r="F9"/>
  <c r="G9"/>
  <c r="H9"/>
  <c r="I9"/>
  <c r="J9"/>
  <c r="K9"/>
  <c r="L9"/>
  <c r="M9"/>
  <c r="N9"/>
  <c r="D10"/>
  <c r="E10"/>
  <c r="F10"/>
  <c r="G10"/>
  <c r="H10"/>
  <c r="I10"/>
  <c r="J10"/>
  <c r="K10"/>
  <c r="L10"/>
  <c r="M10"/>
  <c r="N10"/>
  <c r="D11"/>
  <c r="E11"/>
  <c r="F11"/>
  <c r="G11"/>
  <c r="H11"/>
  <c r="I11"/>
  <c r="J11"/>
  <c r="K11"/>
  <c r="L11"/>
  <c r="M11"/>
  <c r="N11"/>
  <c r="D12"/>
  <c r="E12"/>
  <c r="F12"/>
  <c r="G12"/>
  <c r="H12"/>
  <c r="I12"/>
  <c r="J12"/>
  <c r="K12"/>
  <c r="L12"/>
  <c r="M12"/>
  <c r="N12"/>
  <c r="D13"/>
  <c r="E13"/>
  <c r="F13"/>
  <c r="G13"/>
  <c r="H13"/>
  <c r="I13"/>
  <c r="J13"/>
  <c r="K13"/>
  <c r="L13"/>
  <c r="M13"/>
  <c r="N13"/>
  <c r="D14"/>
  <c r="E14"/>
  <c r="F14"/>
  <c r="G14"/>
  <c r="H14"/>
  <c r="I14"/>
  <c r="J14"/>
  <c r="K14"/>
  <c r="L14"/>
  <c r="M14"/>
  <c r="N14"/>
  <c r="D15"/>
  <c r="E15"/>
  <c r="F15"/>
  <c r="G15"/>
  <c r="H15"/>
  <c r="I15"/>
  <c r="J15"/>
  <c r="K15"/>
  <c r="L15"/>
  <c r="M15"/>
  <c r="N15"/>
  <c r="D16"/>
  <c r="E16"/>
  <c r="F16"/>
  <c r="G16"/>
  <c r="H16"/>
  <c r="I16"/>
  <c r="J16"/>
  <c r="K16"/>
  <c r="L16"/>
  <c r="M16"/>
  <c r="N16"/>
  <c r="D17"/>
  <c r="E17"/>
  <c r="F17"/>
  <c r="G17"/>
  <c r="H17"/>
  <c r="I17"/>
  <c r="J17"/>
  <c r="K17"/>
  <c r="L17"/>
  <c r="M17"/>
  <c r="N17"/>
  <c r="D18"/>
  <c r="E18"/>
  <c r="F18"/>
  <c r="G18"/>
  <c r="H18"/>
  <c r="I18"/>
  <c r="J18"/>
  <c r="K18"/>
  <c r="L18"/>
  <c r="M18"/>
  <c r="N18"/>
  <c r="D19"/>
  <c r="E19"/>
  <c r="F19"/>
  <c r="G19"/>
  <c r="H19"/>
  <c r="I19"/>
  <c r="J19"/>
  <c r="K19"/>
  <c r="L19"/>
  <c r="M19"/>
  <c r="N19"/>
  <c r="D20"/>
  <c r="E20"/>
  <c r="F20"/>
  <c r="G20"/>
  <c r="H20"/>
  <c r="I20"/>
  <c r="J20"/>
  <c r="K20"/>
  <c r="L20"/>
  <c r="M20"/>
  <c r="N20"/>
  <c r="D21"/>
  <c r="E21"/>
  <c r="F21"/>
  <c r="G21"/>
  <c r="H21"/>
  <c r="I21"/>
  <c r="J21"/>
  <c r="K21"/>
  <c r="L21"/>
  <c r="M21"/>
  <c r="N21"/>
  <c r="D22"/>
  <c r="E22"/>
  <c r="F22"/>
  <c r="G22"/>
  <c r="H22"/>
  <c r="I22"/>
  <c r="J22"/>
  <c r="K22"/>
  <c r="L22"/>
  <c r="M22"/>
  <c r="N22"/>
  <c r="D23"/>
  <c r="E23"/>
  <c r="F23"/>
  <c r="G23"/>
  <c r="H23"/>
  <c r="I23"/>
  <c r="J23"/>
  <c r="K23"/>
  <c r="L23"/>
  <c r="M23"/>
  <c r="N23"/>
  <c r="D24"/>
  <c r="E24"/>
  <c r="F24"/>
  <c r="G24"/>
  <c r="H24"/>
  <c r="I24"/>
  <c r="J24"/>
  <c r="K24"/>
  <c r="L24"/>
  <c r="M24"/>
  <c r="N24"/>
  <c r="D25"/>
  <c r="E25"/>
  <c r="F25"/>
  <c r="G25"/>
  <c r="H25"/>
  <c r="I25"/>
  <c r="J25"/>
  <c r="K25"/>
  <c r="L25"/>
  <c r="M25"/>
  <c r="N25"/>
  <c r="D26"/>
  <c r="E26"/>
  <c r="F26"/>
  <c r="G26"/>
  <c r="H26"/>
  <c r="I26"/>
  <c r="J26"/>
  <c r="K26"/>
  <c r="L26"/>
  <c r="M26"/>
  <c r="N26"/>
  <c r="D27"/>
  <c r="E27"/>
  <c r="F27"/>
  <c r="G27"/>
  <c r="H27"/>
  <c r="I27"/>
  <c r="J27"/>
  <c r="K27"/>
  <c r="L27"/>
  <c r="M27"/>
  <c r="N27"/>
  <c r="D28"/>
  <c r="E28"/>
  <c r="F28"/>
  <c r="G28"/>
  <c r="H28"/>
  <c r="I28"/>
  <c r="J28"/>
  <c r="K28"/>
  <c r="L28"/>
  <c r="M28"/>
  <c r="N28"/>
  <c r="D29"/>
  <c r="E29"/>
  <c r="F29"/>
  <c r="G29"/>
  <c r="H29"/>
  <c r="I29"/>
  <c r="J29"/>
  <c r="K29"/>
  <c r="L29"/>
  <c r="M29"/>
  <c r="N29"/>
  <c r="D30"/>
  <c r="E30"/>
  <c r="F30"/>
  <c r="G30"/>
  <c r="H30"/>
  <c r="I30"/>
  <c r="J30"/>
  <c r="K30"/>
  <c r="L30"/>
  <c r="M30"/>
  <c r="N30"/>
  <c r="D31"/>
  <c r="E31"/>
  <c r="F31"/>
  <c r="G31"/>
  <c r="H31"/>
  <c r="I31"/>
  <c r="J31"/>
  <c r="K31"/>
  <c r="L31"/>
  <c r="M31"/>
  <c r="N31"/>
  <c r="D32"/>
  <c r="E32"/>
  <c r="F32"/>
  <c r="G32"/>
  <c r="H32"/>
  <c r="I32"/>
  <c r="J32"/>
  <c r="K32"/>
  <c r="L32"/>
  <c r="M32"/>
  <c r="N32"/>
  <c r="D33"/>
  <c r="E33"/>
  <c r="F33"/>
  <c r="G33"/>
  <c r="H33"/>
  <c r="I33"/>
  <c r="J33"/>
  <c r="K33"/>
  <c r="L33"/>
  <c r="M33"/>
  <c r="N33"/>
  <c r="D34"/>
  <c r="E34"/>
  <c r="F34"/>
  <c r="G34"/>
  <c r="H34"/>
  <c r="I34"/>
  <c r="J34"/>
  <c r="K34"/>
  <c r="L34"/>
  <c r="M34"/>
  <c r="N34"/>
  <c r="D35"/>
  <c r="E35"/>
  <c r="F35"/>
  <c r="G35"/>
  <c r="H35"/>
  <c r="I35"/>
  <c r="J35"/>
  <c r="K35"/>
  <c r="L35"/>
  <c r="M35"/>
  <c r="N35"/>
  <c r="D36"/>
  <c r="E36"/>
  <c r="F36"/>
  <c r="G36"/>
  <c r="H36"/>
  <c r="I36"/>
  <c r="J36"/>
  <c r="K36"/>
  <c r="L36"/>
  <c r="M36"/>
  <c r="N36"/>
  <c r="D37"/>
  <c r="E37"/>
  <c r="F37"/>
  <c r="G37"/>
  <c r="H37"/>
  <c r="I37"/>
  <c r="J37"/>
  <c r="K37"/>
  <c r="L37"/>
  <c r="M37"/>
  <c r="N37"/>
  <c r="D38"/>
  <c r="E38"/>
  <c r="F38"/>
  <c r="G38"/>
  <c r="H38"/>
  <c r="I38"/>
  <c r="J38"/>
  <c r="K38"/>
  <c r="L38"/>
  <c r="M38"/>
  <c r="N38"/>
  <c r="D39"/>
  <c r="E39"/>
  <c r="F39"/>
  <c r="G39"/>
  <c r="H39"/>
  <c r="I39"/>
  <c r="J39"/>
  <c r="K39"/>
  <c r="L39"/>
  <c r="M39"/>
  <c r="N39"/>
  <c r="D40"/>
  <c r="E40"/>
  <c r="F40"/>
  <c r="G40"/>
  <c r="H40"/>
  <c r="I40"/>
  <c r="J40"/>
  <c r="K40"/>
  <c r="L40"/>
  <c r="M40"/>
  <c r="N40"/>
  <c r="D41"/>
  <c r="E41"/>
  <c r="F41"/>
  <c r="G41"/>
  <c r="H41"/>
  <c r="I41"/>
  <c r="J41"/>
  <c r="K41"/>
  <c r="L41"/>
  <c r="M41"/>
  <c r="N41"/>
  <c r="D42"/>
  <c r="E42"/>
  <c r="F42"/>
  <c r="G42"/>
  <c r="H42"/>
  <c r="I42"/>
  <c r="J42"/>
  <c r="K42"/>
  <c r="L42"/>
  <c r="M42"/>
  <c r="N42"/>
  <c r="D43"/>
  <c r="E43"/>
  <c r="F43"/>
  <c r="G43"/>
  <c r="H43"/>
  <c r="I43"/>
  <c r="J43"/>
  <c r="K43"/>
  <c r="L43"/>
  <c r="M43"/>
  <c r="N43"/>
  <c r="D44"/>
  <c r="E44"/>
  <c r="F44"/>
  <c r="G44"/>
  <c r="H44"/>
  <c r="I44"/>
  <c r="J44"/>
  <c r="K44"/>
  <c r="L44"/>
  <c r="M44"/>
  <c r="N44"/>
  <c r="D45"/>
  <c r="E45"/>
  <c r="F45"/>
  <c r="G45"/>
  <c r="H45"/>
  <c r="I45"/>
  <c r="J45"/>
  <c r="K45"/>
  <c r="L45"/>
  <c r="M45"/>
  <c r="N45"/>
  <c r="D46"/>
  <c r="E46"/>
  <c r="F46"/>
  <c r="G46"/>
  <c r="H46"/>
  <c r="I46"/>
  <c r="J46"/>
  <c r="K46"/>
  <c r="L46"/>
  <c r="M46"/>
  <c r="N46"/>
  <c r="D47"/>
  <c r="E47"/>
  <c r="F47"/>
  <c r="G47"/>
  <c r="H47"/>
  <c r="I47"/>
  <c r="J47"/>
  <c r="K47"/>
  <c r="L47"/>
  <c r="M47"/>
  <c r="N47"/>
  <c r="D48"/>
  <c r="E48"/>
  <c r="F48"/>
  <c r="G48"/>
  <c r="H48"/>
  <c r="I48"/>
  <c r="J48"/>
  <c r="K48"/>
  <c r="L48"/>
  <c r="M48"/>
  <c r="N48"/>
  <c r="D49"/>
  <c r="E49"/>
  <c r="F49"/>
  <c r="G49"/>
  <c r="H49"/>
  <c r="H4" s="1"/>
  <c r="I49"/>
  <c r="J49"/>
  <c r="K49"/>
  <c r="L49"/>
  <c r="L4" s="1"/>
  <c r="M49"/>
  <c r="N49"/>
  <c r="D50"/>
  <c r="E50"/>
  <c r="E4" s="1"/>
  <c r="F50"/>
  <c r="G50"/>
  <c r="H50"/>
  <c r="I50"/>
  <c r="J50"/>
  <c r="K50"/>
  <c r="L50"/>
  <c r="M50"/>
  <c r="N50"/>
  <c r="D51"/>
  <c r="E51"/>
  <c r="F51"/>
  <c r="G51"/>
  <c r="H51"/>
  <c r="I51"/>
  <c r="J51"/>
  <c r="K51"/>
  <c r="L51"/>
  <c r="M51"/>
  <c r="N51"/>
  <c r="D52"/>
  <c r="E52"/>
  <c r="F52"/>
  <c r="G52"/>
  <c r="H52"/>
  <c r="I52"/>
  <c r="J52"/>
  <c r="K52"/>
  <c r="L52"/>
  <c r="M52"/>
  <c r="N52"/>
  <c r="D53"/>
  <c r="E53"/>
  <c r="F53"/>
  <c r="G53"/>
  <c r="H53"/>
  <c r="I53"/>
  <c r="J53"/>
  <c r="K53"/>
  <c r="L53"/>
  <c r="M53"/>
  <c r="N53"/>
  <c r="D54"/>
  <c r="E54"/>
  <c r="F54"/>
  <c r="G54"/>
  <c r="H54"/>
  <c r="I54"/>
  <c r="J54"/>
  <c r="K54"/>
  <c r="L54"/>
  <c r="M54"/>
  <c r="N54"/>
  <c r="D55"/>
  <c r="E55"/>
  <c r="F55"/>
  <c r="G55"/>
  <c r="H55"/>
  <c r="I55"/>
  <c r="J55"/>
  <c r="K55"/>
  <c r="L55"/>
  <c r="M55"/>
  <c r="N55"/>
  <c r="N4" s="1"/>
  <c r="D56"/>
  <c r="E56"/>
  <c r="F56"/>
  <c r="G56"/>
  <c r="H56"/>
  <c r="I56"/>
  <c r="J56"/>
  <c r="K56"/>
  <c r="L56"/>
  <c r="M56"/>
  <c r="N56"/>
  <c r="D57"/>
  <c r="E57"/>
  <c r="F57"/>
  <c r="G57"/>
  <c r="H57"/>
  <c r="I57"/>
  <c r="J57"/>
  <c r="K57"/>
  <c r="L57"/>
  <c r="M57"/>
  <c r="N57"/>
  <c r="D58"/>
  <c r="E58"/>
  <c r="F58"/>
  <c r="G58"/>
  <c r="H58"/>
  <c r="I58"/>
  <c r="J58"/>
  <c r="K58"/>
  <c r="L58"/>
  <c r="M58"/>
  <c r="N58"/>
  <c r="D59"/>
  <c r="E59"/>
  <c r="F59"/>
  <c r="G59"/>
  <c r="H59"/>
  <c r="I59"/>
  <c r="J59"/>
  <c r="K59"/>
  <c r="L59"/>
  <c r="M59"/>
  <c r="N59"/>
  <c r="D60"/>
  <c r="E60"/>
  <c r="F60"/>
  <c r="G60"/>
  <c r="H60"/>
  <c r="I60"/>
  <c r="J60"/>
  <c r="K60"/>
  <c r="L60"/>
  <c r="M60"/>
  <c r="N60"/>
  <c r="D61"/>
  <c r="E61"/>
  <c r="F61"/>
  <c r="G61"/>
  <c r="H61"/>
  <c r="I61"/>
  <c r="J61"/>
  <c r="K61"/>
  <c r="L61"/>
  <c r="M61"/>
  <c r="N61"/>
  <c r="D62"/>
  <c r="E62"/>
  <c r="F62"/>
  <c r="G62"/>
  <c r="H62"/>
  <c r="I62"/>
  <c r="J62"/>
  <c r="K62"/>
  <c r="L62"/>
  <c r="M62"/>
  <c r="N62"/>
  <c r="D63"/>
  <c r="E63"/>
  <c r="F63"/>
  <c r="G63"/>
  <c r="H63"/>
  <c r="I63"/>
  <c r="J63"/>
  <c r="K63"/>
  <c r="L63"/>
  <c r="M63"/>
  <c r="N63"/>
  <c r="D64"/>
  <c r="E64"/>
  <c r="F64"/>
  <c r="G64"/>
  <c r="H64"/>
  <c r="I64"/>
  <c r="J64"/>
  <c r="K64"/>
  <c r="L64"/>
  <c r="M64"/>
  <c r="N64"/>
  <c r="D65"/>
  <c r="E65"/>
  <c r="F65"/>
  <c r="G65"/>
  <c r="H65"/>
  <c r="I65"/>
  <c r="J65"/>
  <c r="K65"/>
  <c r="L65"/>
  <c r="M65"/>
  <c r="N65"/>
  <c r="D66"/>
  <c r="E66"/>
  <c r="F66"/>
  <c r="G66"/>
  <c r="H66"/>
  <c r="I66"/>
  <c r="J66"/>
  <c r="K66"/>
  <c r="L66"/>
  <c r="M66"/>
  <c r="N66"/>
  <c r="D67"/>
  <c r="E67"/>
  <c r="F67"/>
  <c r="G67"/>
  <c r="H67"/>
  <c r="I67"/>
  <c r="J67"/>
  <c r="K67"/>
  <c r="L67"/>
  <c r="M67"/>
  <c r="N67"/>
  <c r="D68"/>
  <c r="E68"/>
  <c r="F68"/>
  <c r="G68"/>
  <c r="H68"/>
  <c r="I68"/>
  <c r="J68"/>
  <c r="K68"/>
  <c r="L68"/>
  <c r="M68"/>
  <c r="N68"/>
  <c r="D69"/>
  <c r="E69"/>
  <c r="F69"/>
  <c r="G69"/>
  <c r="H69"/>
  <c r="I69"/>
  <c r="J69"/>
  <c r="K69"/>
  <c r="L69"/>
  <c r="M69"/>
  <c r="N69"/>
  <c r="D70"/>
  <c r="E70"/>
  <c r="F70"/>
  <c r="G70"/>
  <c r="H70"/>
  <c r="I70"/>
  <c r="J70"/>
  <c r="K70"/>
  <c r="L70"/>
  <c r="M70"/>
  <c r="N70"/>
  <c r="D71"/>
  <c r="E71"/>
  <c r="F71"/>
  <c r="G71"/>
  <c r="H71"/>
  <c r="I71"/>
  <c r="J71"/>
  <c r="K71"/>
  <c r="L71"/>
  <c r="M71"/>
  <c r="N71"/>
  <c r="D72"/>
  <c r="E72"/>
  <c r="F72"/>
  <c r="G72"/>
  <c r="H72"/>
  <c r="I72"/>
  <c r="J72"/>
  <c r="K72"/>
  <c r="L72"/>
  <c r="M72"/>
  <c r="N72"/>
  <c r="D73"/>
  <c r="E73"/>
  <c r="F73"/>
  <c r="G73"/>
  <c r="H73"/>
  <c r="I73"/>
  <c r="J73"/>
  <c r="K73"/>
  <c r="L73"/>
  <c r="M73"/>
  <c r="N73"/>
  <c r="D74"/>
  <c r="E74"/>
  <c r="F74"/>
  <c r="G74"/>
  <c r="H74"/>
  <c r="I74"/>
  <c r="J74"/>
  <c r="K74"/>
  <c r="L74"/>
  <c r="M74"/>
  <c r="N74"/>
  <c r="D75"/>
  <c r="E75"/>
  <c r="F75"/>
  <c r="G75"/>
  <c r="H75"/>
  <c r="I75"/>
  <c r="J75"/>
  <c r="K75"/>
  <c r="L75"/>
  <c r="M75"/>
  <c r="N75"/>
  <c r="D76"/>
  <c r="E76"/>
  <c r="F76"/>
  <c r="G76"/>
  <c r="H76"/>
  <c r="I76"/>
  <c r="J76"/>
  <c r="K76"/>
  <c r="L76"/>
  <c r="M76"/>
  <c r="N76"/>
  <c r="D77"/>
  <c r="E77"/>
  <c r="F77"/>
  <c r="G77"/>
  <c r="H77"/>
  <c r="I77"/>
  <c r="J77"/>
  <c r="K77"/>
  <c r="L77"/>
  <c r="M77"/>
  <c r="N77"/>
  <c r="D78"/>
  <c r="E78"/>
  <c r="F78"/>
  <c r="G78"/>
  <c r="H78"/>
  <c r="I78"/>
  <c r="J78"/>
  <c r="K78"/>
  <c r="L78"/>
  <c r="M78"/>
  <c r="N78"/>
  <c r="D79"/>
  <c r="E79"/>
  <c r="F79"/>
  <c r="G79"/>
  <c r="H79"/>
  <c r="I79"/>
  <c r="J79"/>
  <c r="K79"/>
  <c r="L79"/>
  <c r="M79"/>
  <c r="N79"/>
  <c r="D80"/>
  <c r="E80"/>
  <c r="F80"/>
  <c r="G80"/>
  <c r="H80"/>
  <c r="I80"/>
  <c r="J80"/>
  <c r="K80"/>
  <c r="L80"/>
  <c r="M80"/>
  <c r="N80"/>
  <c r="D81"/>
  <c r="E81"/>
  <c r="F81"/>
  <c r="G81"/>
  <c r="H81"/>
  <c r="I81"/>
  <c r="J81"/>
  <c r="K81"/>
  <c r="L81"/>
  <c r="M81"/>
  <c r="N81"/>
  <c r="D82"/>
  <c r="E82"/>
  <c r="F82"/>
  <c r="G82"/>
  <c r="H82"/>
  <c r="I82"/>
  <c r="J82"/>
  <c r="K82"/>
  <c r="L82"/>
  <c r="M82"/>
  <c r="N82"/>
  <c r="D83"/>
  <c r="E83"/>
  <c r="F83"/>
  <c r="G83"/>
  <c r="H83"/>
  <c r="I83"/>
  <c r="J83"/>
  <c r="K83"/>
  <c r="L83"/>
  <c r="M83"/>
  <c r="N83"/>
  <c r="D84"/>
  <c r="E84"/>
  <c r="F84"/>
  <c r="G84"/>
  <c r="H84"/>
  <c r="I84"/>
  <c r="J84"/>
  <c r="K84"/>
  <c r="L84"/>
  <c r="M84"/>
  <c r="N84"/>
  <c r="D85"/>
  <c r="E85"/>
  <c r="F85"/>
  <c r="G85"/>
  <c r="H85"/>
  <c r="I85"/>
  <c r="J85"/>
  <c r="K85"/>
  <c r="L85"/>
  <c r="M85"/>
  <c r="N85"/>
  <c r="D86"/>
  <c r="E86"/>
  <c r="F86"/>
  <c r="G86"/>
  <c r="H86"/>
  <c r="I86"/>
  <c r="J86"/>
  <c r="K86"/>
  <c r="L86"/>
  <c r="M86"/>
  <c r="N86"/>
  <c r="D87"/>
  <c r="E87"/>
  <c r="F87"/>
  <c r="G87"/>
  <c r="H87"/>
  <c r="I87"/>
  <c r="J87"/>
  <c r="K87"/>
  <c r="L87"/>
  <c r="M87"/>
  <c r="N87"/>
  <c r="D88"/>
  <c r="E88"/>
  <c r="F88"/>
  <c r="G88"/>
  <c r="H88"/>
  <c r="I88"/>
  <c r="J88"/>
  <c r="K88"/>
  <c r="L88"/>
  <c r="M88"/>
  <c r="N88"/>
  <c r="D89"/>
  <c r="E89"/>
  <c r="F89"/>
  <c r="G89"/>
  <c r="H89"/>
  <c r="I89"/>
  <c r="J89"/>
  <c r="K89"/>
  <c r="L89"/>
  <c r="M89"/>
  <c r="N89"/>
  <c r="D90"/>
  <c r="E90"/>
  <c r="F90"/>
  <c r="G90"/>
  <c r="H90"/>
  <c r="I90"/>
  <c r="J90"/>
  <c r="K90"/>
  <c r="L90"/>
  <c r="M90"/>
  <c r="N90"/>
  <c r="D91"/>
  <c r="E91"/>
  <c r="F91"/>
  <c r="G91"/>
  <c r="H91"/>
  <c r="I91"/>
  <c r="J91"/>
  <c r="K91"/>
  <c r="L91"/>
  <c r="M91"/>
  <c r="N91"/>
  <c r="D92"/>
  <c r="E92"/>
  <c r="F92"/>
  <c r="G92"/>
  <c r="H92"/>
  <c r="I92"/>
  <c r="J92"/>
  <c r="K92"/>
  <c r="L92"/>
  <c r="M92"/>
  <c r="N92"/>
  <c r="D93"/>
  <c r="E93"/>
  <c r="F93"/>
  <c r="G93"/>
  <c r="H93"/>
  <c r="I93"/>
  <c r="J93"/>
  <c r="K93"/>
  <c r="L93"/>
  <c r="M93"/>
  <c r="N93"/>
  <c r="D94"/>
  <c r="E94"/>
  <c r="F94"/>
  <c r="G94"/>
  <c r="H94"/>
  <c r="I94"/>
  <c r="J94"/>
  <c r="K94"/>
  <c r="L94"/>
  <c r="M94"/>
  <c r="N94"/>
  <c r="D95"/>
  <c r="E95"/>
  <c r="F95"/>
  <c r="G95"/>
  <c r="H95"/>
  <c r="I95"/>
  <c r="J95"/>
  <c r="K95"/>
  <c r="L95"/>
  <c r="M95"/>
  <c r="N95"/>
  <c r="D96"/>
  <c r="E96"/>
  <c r="F96"/>
  <c r="G96"/>
  <c r="H96"/>
  <c r="I96"/>
  <c r="J96"/>
  <c r="K96"/>
  <c r="L96"/>
  <c r="M96"/>
  <c r="N96"/>
  <c r="D97"/>
  <c r="E97"/>
  <c r="F97"/>
  <c r="G97"/>
  <c r="H97"/>
  <c r="I97"/>
  <c r="J97"/>
  <c r="K97"/>
  <c r="L97"/>
  <c r="M97"/>
  <c r="N97"/>
  <c r="D98"/>
  <c r="E98"/>
  <c r="F98"/>
  <c r="G98"/>
  <c r="H98"/>
  <c r="I98"/>
  <c r="J98"/>
  <c r="K98"/>
  <c r="L98"/>
  <c r="M98"/>
  <c r="N98"/>
  <c r="D99"/>
  <c r="E99"/>
  <c r="F99"/>
  <c r="G99"/>
  <c r="H99"/>
  <c r="I99"/>
  <c r="J99"/>
  <c r="K99"/>
  <c r="L99"/>
  <c r="M99"/>
  <c r="N99"/>
  <c r="D100"/>
  <c r="E100"/>
  <c r="F100"/>
  <c r="G100"/>
  <c r="H100"/>
  <c r="I100"/>
  <c r="J100"/>
  <c r="K100"/>
  <c r="L100"/>
  <c r="M100"/>
  <c r="N100"/>
  <c r="D101"/>
  <c r="E101"/>
  <c r="F101"/>
  <c r="G101"/>
  <c r="H101"/>
  <c r="I101"/>
  <c r="J101"/>
  <c r="K101"/>
  <c r="L101"/>
  <c r="M101"/>
  <c r="N101"/>
  <c r="D102"/>
  <c r="E102"/>
  <c r="F102"/>
  <c r="G102"/>
  <c r="H102"/>
  <c r="I102"/>
  <c r="J102"/>
  <c r="K102"/>
  <c r="L102"/>
  <c r="M102"/>
  <c r="N102"/>
  <c r="D103"/>
  <c r="E103"/>
  <c r="F103"/>
  <c r="G103"/>
  <c r="H103"/>
  <c r="I103"/>
  <c r="J103"/>
  <c r="K103"/>
  <c r="L103"/>
  <c r="M103"/>
  <c r="N103"/>
  <c r="D104"/>
  <c r="E104"/>
  <c r="F104"/>
  <c r="G104"/>
  <c r="H104"/>
  <c r="I104"/>
  <c r="J104"/>
  <c r="K104"/>
  <c r="L104"/>
  <c r="M104"/>
  <c r="N104"/>
  <c r="D105"/>
  <c r="E105"/>
  <c r="F105"/>
  <c r="G105"/>
  <c r="H105"/>
  <c r="I105"/>
  <c r="J105"/>
  <c r="K105"/>
  <c r="L105"/>
  <c r="M105"/>
  <c r="N105"/>
  <c r="D106"/>
  <c r="E106"/>
  <c r="F106"/>
  <c r="G106"/>
  <c r="H106"/>
  <c r="I106"/>
  <c r="J106"/>
  <c r="K106"/>
  <c r="L106"/>
  <c r="M106"/>
  <c r="N106"/>
  <c r="D107"/>
  <c r="E107"/>
  <c r="F107"/>
  <c r="G107"/>
  <c r="H107"/>
  <c r="I107"/>
  <c r="J107"/>
  <c r="K107"/>
  <c r="L107"/>
  <c r="M107"/>
  <c r="N107"/>
  <c r="D108"/>
  <c r="E108"/>
  <c r="F108"/>
  <c r="G108"/>
  <c r="H108"/>
  <c r="I108"/>
  <c r="J108"/>
  <c r="K108"/>
  <c r="L108"/>
  <c r="M108"/>
  <c r="N108"/>
  <c r="D109"/>
  <c r="E109"/>
  <c r="F109"/>
  <c r="G109"/>
  <c r="H109"/>
  <c r="I109"/>
  <c r="J109"/>
  <c r="K109"/>
  <c r="L109"/>
  <c r="M109"/>
  <c r="N109"/>
  <c r="D110"/>
  <c r="E110"/>
  <c r="F110"/>
  <c r="G110"/>
  <c r="H110"/>
  <c r="I110"/>
  <c r="J110"/>
  <c r="K110"/>
  <c r="L110"/>
  <c r="M110"/>
  <c r="N110"/>
  <c r="D111"/>
  <c r="E111"/>
  <c r="F111"/>
  <c r="G111"/>
  <c r="H111"/>
  <c r="I111"/>
  <c r="J111"/>
  <c r="K111"/>
  <c r="L111"/>
  <c r="M111"/>
  <c r="N111"/>
  <c r="D112"/>
  <c r="E112"/>
  <c r="F112"/>
  <c r="G112"/>
  <c r="H112"/>
  <c r="I112"/>
  <c r="J112"/>
  <c r="K112"/>
  <c r="L112"/>
  <c r="M112"/>
  <c r="N112"/>
  <c r="D113"/>
  <c r="E113"/>
  <c r="F113"/>
  <c r="G113"/>
  <c r="H113"/>
  <c r="I113"/>
  <c r="J113"/>
  <c r="K113"/>
  <c r="L113"/>
  <c r="M113"/>
  <c r="N113"/>
  <c r="D114"/>
  <c r="E114"/>
  <c r="F114"/>
  <c r="G114"/>
  <c r="H114"/>
  <c r="I114"/>
  <c r="J114"/>
  <c r="K114"/>
  <c r="L114"/>
  <c r="M114"/>
  <c r="N114"/>
  <c r="D115"/>
  <c r="E115"/>
  <c r="F115"/>
  <c r="G115"/>
  <c r="H115"/>
  <c r="I115"/>
  <c r="J115"/>
  <c r="K115"/>
  <c r="L115"/>
  <c r="M115"/>
  <c r="N115"/>
  <c r="D116"/>
  <c r="E116"/>
  <c r="F116"/>
  <c r="G116"/>
  <c r="H116"/>
  <c r="I116"/>
  <c r="J116"/>
  <c r="K116"/>
  <c r="L116"/>
  <c r="M116"/>
  <c r="N116"/>
  <c r="D117"/>
  <c r="E117"/>
  <c r="F117"/>
  <c r="G117"/>
  <c r="H117"/>
  <c r="I117"/>
  <c r="J117"/>
  <c r="K117"/>
  <c r="L117"/>
  <c r="M117"/>
  <c r="N117"/>
  <c r="D118"/>
  <c r="E118"/>
  <c r="F118"/>
  <c r="G118"/>
  <c r="H118"/>
  <c r="I118"/>
  <c r="J118"/>
  <c r="K118"/>
  <c r="L118"/>
  <c r="M118"/>
  <c r="N118"/>
  <c r="D119"/>
  <c r="E119"/>
  <c r="F119"/>
  <c r="G119"/>
  <c r="H119"/>
  <c r="I119"/>
  <c r="J119"/>
  <c r="K119"/>
  <c r="L119"/>
  <c r="M119"/>
  <c r="N119"/>
  <c r="D120"/>
  <c r="E120"/>
  <c r="F120"/>
  <c r="G120"/>
  <c r="H120"/>
  <c r="I120"/>
  <c r="J120"/>
  <c r="K120"/>
  <c r="L120"/>
  <c r="M120"/>
  <c r="N120"/>
  <c r="D121"/>
  <c r="E121"/>
  <c r="F121"/>
  <c r="G121"/>
  <c r="H121"/>
  <c r="I121"/>
  <c r="J121"/>
  <c r="K121"/>
  <c r="L121"/>
  <c r="M121"/>
  <c r="N121"/>
  <c r="D122"/>
  <c r="E122"/>
  <c r="F122"/>
  <c r="G122"/>
  <c r="H122"/>
  <c r="I122"/>
  <c r="J122"/>
  <c r="K122"/>
  <c r="L122"/>
  <c r="M122"/>
  <c r="N122"/>
  <c r="D123"/>
  <c r="E123"/>
  <c r="F123"/>
  <c r="G123"/>
  <c r="H123"/>
  <c r="I123"/>
  <c r="J123"/>
  <c r="K123"/>
  <c r="L123"/>
  <c r="M123"/>
  <c r="N123"/>
  <c r="D124"/>
  <c r="E124"/>
  <c r="F124"/>
  <c r="G124"/>
  <c r="H124"/>
  <c r="I124"/>
  <c r="J124"/>
  <c r="K124"/>
  <c r="L124"/>
  <c r="M124"/>
  <c r="N124"/>
  <c r="D125"/>
  <c r="E125"/>
  <c r="F125"/>
  <c r="G125"/>
  <c r="H125"/>
  <c r="I125"/>
  <c r="J125"/>
  <c r="K125"/>
  <c r="L125"/>
  <c r="M125"/>
  <c r="N125"/>
  <c r="D126"/>
  <c r="E126"/>
  <c r="F126"/>
  <c r="G126"/>
  <c r="H126"/>
  <c r="I126"/>
  <c r="J126"/>
  <c r="K126"/>
  <c r="L126"/>
  <c r="M126"/>
  <c r="N126"/>
  <c r="D127"/>
  <c r="E127"/>
  <c r="F127"/>
  <c r="G127"/>
  <c r="H127"/>
  <c r="I127"/>
  <c r="J127"/>
  <c r="K127"/>
  <c r="L127"/>
  <c r="M127"/>
  <c r="N127"/>
  <c r="D128"/>
  <c r="E128"/>
  <c r="F128"/>
  <c r="G128"/>
  <c r="H128"/>
  <c r="I128"/>
  <c r="J128"/>
  <c r="K128"/>
  <c r="L128"/>
  <c r="M128"/>
  <c r="N128"/>
  <c r="D129"/>
  <c r="E129"/>
  <c r="F129"/>
  <c r="G129"/>
  <c r="H129"/>
  <c r="I129"/>
  <c r="J129"/>
  <c r="K129"/>
  <c r="L129"/>
  <c r="M129"/>
  <c r="N129"/>
  <c r="D130"/>
  <c r="E130"/>
  <c r="F130"/>
  <c r="G130"/>
  <c r="H130"/>
  <c r="I130"/>
  <c r="J130"/>
  <c r="K130"/>
  <c r="L130"/>
  <c r="M130"/>
  <c r="N130"/>
  <c r="D131"/>
  <c r="E131"/>
  <c r="F131"/>
  <c r="G131"/>
  <c r="H131"/>
  <c r="I131"/>
  <c r="J131"/>
  <c r="K131"/>
  <c r="L131"/>
  <c r="M131"/>
  <c r="N131"/>
  <c r="D132"/>
  <c r="E132"/>
  <c r="F132"/>
  <c r="G132"/>
  <c r="H132"/>
  <c r="I132"/>
  <c r="J132"/>
  <c r="K132"/>
  <c r="L132"/>
  <c r="M132"/>
  <c r="N132"/>
  <c r="D133"/>
  <c r="E133"/>
  <c r="F133"/>
  <c r="G133"/>
  <c r="H133"/>
  <c r="I133"/>
  <c r="J133"/>
  <c r="K133"/>
  <c r="L133"/>
  <c r="M133"/>
  <c r="N133"/>
  <c r="D134"/>
  <c r="E134"/>
  <c r="F134"/>
  <c r="G134"/>
  <c r="H134"/>
  <c r="I134"/>
  <c r="J134"/>
  <c r="K134"/>
  <c r="L134"/>
  <c r="M134"/>
  <c r="N134"/>
  <c r="D135"/>
  <c r="E135"/>
  <c r="F135"/>
  <c r="G135"/>
  <c r="H135"/>
  <c r="I135"/>
  <c r="J135"/>
  <c r="K135"/>
  <c r="L135"/>
  <c r="M135"/>
  <c r="N135"/>
  <c r="D136"/>
  <c r="E136"/>
  <c r="F136"/>
  <c r="G136"/>
  <c r="H136"/>
  <c r="I136"/>
  <c r="J136"/>
  <c r="K136"/>
  <c r="L136"/>
  <c r="M136"/>
  <c r="N136"/>
  <c r="D137"/>
  <c r="E137"/>
  <c r="F137"/>
  <c r="G137"/>
  <c r="H137"/>
  <c r="I137"/>
  <c r="J137"/>
  <c r="K137"/>
  <c r="L137"/>
  <c r="M137"/>
  <c r="N137"/>
  <c r="D138"/>
  <c r="E138"/>
  <c r="F138"/>
  <c r="G138"/>
  <c r="H138"/>
  <c r="I138"/>
  <c r="J138"/>
  <c r="K138"/>
  <c r="L138"/>
  <c r="M138"/>
  <c r="N138"/>
  <c r="D139"/>
  <c r="E139"/>
  <c r="F139"/>
  <c r="G139"/>
  <c r="H139"/>
  <c r="I139"/>
  <c r="J139"/>
  <c r="K139"/>
  <c r="L139"/>
  <c r="M139"/>
  <c r="N139"/>
  <c r="D140"/>
  <c r="E140"/>
  <c r="F140"/>
  <c r="G140"/>
  <c r="H140"/>
  <c r="I140"/>
  <c r="J140"/>
  <c r="K140"/>
  <c r="L140"/>
  <c r="M140"/>
  <c r="N140"/>
  <c r="D141"/>
  <c r="E141"/>
  <c r="F141"/>
  <c r="G141"/>
  <c r="H141"/>
  <c r="I141"/>
  <c r="J141"/>
  <c r="K141"/>
  <c r="L141"/>
  <c r="M141"/>
  <c r="N141"/>
  <c r="D142"/>
  <c r="E142"/>
  <c r="F142"/>
  <c r="G142"/>
  <c r="H142"/>
  <c r="I142"/>
  <c r="J142"/>
  <c r="K142"/>
  <c r="L142"/>
  <c r="M142"/>
  <c r="N142"/>
  <c r="D143"/>
  <c r="E143"/>
  <c r="F143"/>
  <c r="G143"/>
  <c r="H143"/>
  <c r="I143"/>
  <c r="J143"/>
  <c r="K143"/>
  <c r="L143"/>
  <c r="M143"/>
  <c r="N143"/>
  <c r="D144"/>
  <c r="E144"/>
  <c r="F144"/>
  <c r="G144"/>
  <c r="H144"/>
  <c r="I144"/>
  <c r="J144"/>
  <c r="K144"/>
  <c r="L144"/>
  <c r="M144"/>
  <c r="N144"/>
  <c r="D145"/>
  <c r="E145"/>
  <c r="F145"/>
  <c r="G145"/>
  <c r="H145"/>
  <c r="I145"/>
  <c r="J145"/>
  <c r="K145"/>
  <c r="L145"/>
  <c r="M145"/>
  <c r="N145"/>
  <c r="D146"/>
  <c r="E146"/>
  <c r="F146"/>
  <c r="G146"/>
  <c r="H146"/>
  <c r="I146"/>
  <c r="J146"/>
  <c r="K146"/>
  <c r="L146"/>
  <c r="M146"/>
  <c r="N146"/>
  <c r="D147"/>
  <c r="E147"/>
  <c r="F147"/>
  <c r="G147"/>
  <c r="H147"/>
  <c r="I147"/>
  <c r="J147"/>
  <c r="K147"/>
  <c r="L147"/>
  <c r="M147"/>
  <c r="N147"/>
  <c r="D148"/>
  <c r="E148"/>
  <c r="F148"/>
  <c r="G148"/>
  <c r="H148"/>
  <c r="I148"/>
  <c r="J148"/>
  <c r="K148"/>
  <c r="L148"/>
  <c r="M148"/>
  <c r="N148"/>
  <c r="D149"/>
  <c r="E149"/>
  <c r="F149"/>
  <c r="G149"/>
  <c r="H149"/>
  <c r="I149"/>
  <c r="J149"/>
  <c r="K149"/>
  <c r="L149"/>
  <c r="M149"/>
  <c r="N149"/>
  <c r="D150"/>
  <c r="E150"/>
  <c r="F150"/>
  <c r="G150"/>
  <c r="H150"/>
  <c r="I150"/>
  <c r="J150"/>
  <c r="K150"/>
  <c r="L150"/>
  <c r="M150"/>
  <c r="N150"/>
  <c r="D151"/>
  <c r="E151"/>
  <c r="F151"/>
  <c r="G151"/>
  <c r="H151"/>
  <c r="I151"/>
  <c r="J151"/>
  <c r="K151"/>
  <c r="L151"/>
  <c r="M151"/>
  <c r="N151"/>
  <c r="D152"/>
  <c r="E152"/>
  <c r="F152"/>
  <c r="G152"/>
  <c r="H152"/>
  <c r="I152"/>
  <c r="J152"/>
  <c r="K152"/>
  <c r="L152"/>
  <c r="M152"/>
  <c r="N152"/>
  <c r="D153"/>
  <c r="E153"/>
  <c r="F153"/>
  <c r="G153"/>
  <c r="H153"/>
  <c r="I153"/>
  <c r="J153"/>
  <c r="K153"/>
  <c r="L153"/>
  <c r="M153"/>
  <c r="N153"/>
  <c r="D154"/>
  <c r="E154"/>
  <c r="F154"/>
  <c r="G154"/>
  <c r="H154"/>
  <c r="I154"/>
  <c r="J154"/>
  <c r="K154"/>
  <c r="L154"/>
  <c r="M154"/>
  <c r="N154"/>
  <c r="D155"/>
  <c r="E155"/>
  <c r="F155"/>
  <c r="G155"/>
  <c r="H155"/>
  <c r="I155"/>
  <c r="J155"/>
  <c r="K155"/>
  <c r="L155"/>
  <c r="M155"/>
  <c r="N155"/>
  <c r="D156"/>
  <c r="E156"/>
  <c r="F156"/>
  <c r="G156"/>
  <c r="H156"/>
  <c r="I156"/>
  <c r="J156"/>
  <c r="K156"/>
  <c r="L156"/>
  <c r="M156"/>
  <c r="N156"/>
  <c r="D157"/>
  <c r="E157"/>
  <c r="F157"/>
  <c r="G157"/>
  <c r="H157"/>
  <c r="I157"/>
  <c r="J157"/>
  <c r="K157"/>
  <c r="L157"/>
  <c r="M157"/>
  <c r="N157"/>
  <c r="D158"/>
  <c r="E158"/>
  <c r="F158"/>
  <c r="G158"/>
  <c r="H158"/>
  <c r="I158"/>
  <c r="J158"/>
  <c r="K158"/>
  <c r="L158"/>
  <c r="M158"/>
  <c r="N158"/>
  <c r="D159"/>
  <c r="E159"/>
  <c r="F159"/>
  <c r="G159"/>
  <c r="H159"/>
  <c r="I159"/>
  <c r="J159"/>
  <c r="K159"/>
  <c r="L159"/>
  <c r="M159"/>
  <c r="N159"/>
  <c r="D160"/>
  <c r="E160"/>
  <c r="F160"/>
  <c r="G160"/>
  <c r="H160"/>
  <c r="I160"/>
  <c r="J160"/>
  <c r="K160"/>
  <c r="L160"/>
  <c r="M160"/>
  <c r="N160"/>
  <c r="D161"/>
  <c r="E161"/>
  <c r="F161"/>
  <c r="G161"/>
  <c r="H161"/>
  <c r="I161"/>
  <c r="J161"/>
  <c r="K161"/>
  <c r="L161"/>
  <c r="M161"/>
  <c r="N161"/>
  <c r="D162"/>
  <c r="E162"/>
  <c r="F162"/>
  <c r="G162"/>
  <c r="H162"/>
  <c r="I162"/>
  <c r="J162"/>
  <c r="K162"/>
  <c r="L162"/>
  <c r="M162"/>
  <c r="N162"/>
  <c r="D163"/>
  <c r="E163"/>
  <c r="F163"/>
  <c r="G163"/>
  <c r="H163"/>
  <c r="I163"/>
  <c r="J163"/>
  <c r="K163"/>
  <c r="L163"/>
  <c r="M163"/>
  <c r="N163"/>
  <c r="D164"/>
  <c r="E164"/>
  <c r="F164"/>
  <c r="G164"/>
  <c r="H164"/>
  <c r="I164"/>
  <c r="J164"/>
  <c r="K164"/>
  <c r="L164"/>
  <c r="M164"/>
  <c r="N164"/>
  <c r="D165"/>
  <c r="E165"/>
  <c r="F165"/>
  <c r="G165"/>
  <c r="H165"/>
  <c r="I165"/>
  <c r="J165"/>
  <c r="K165"/>
  <c r="L165"/>
  <c r="M165"/>
  <c r="N165"/>
  <c r="D166"/>
  <c r="E166"/>
  <c r="F166"/>
  <c r="G166"/>
  <c r="H166"/>
  <c r="I166"/>
  <c r="J166"/>
  <c r="K166"/>
  <c r="L166"/>
  <c r="M166"/>
  <c r="N166"/>
  <c r="D167"/>
  <c r="E167"/>
  <c r="F167"/>
  <c r="G167"/>
  <c r="H167"/>
  <c r="I167"/>
  <c r="J167"/>
  <c r="K167"/>
  <c r="L167"/>
  <c r="M167"/>
  <c r="N167"/>
  <c r="D168"/>
  <c r="E168"/>
  <c r="F168"/>
  <c r="G168"/>
  <c r="H168"/>
  <c r="I168"/>
  <c r="J168"/>
  <c r="K168"/>
  <c r="L168"/>
  <c r="M168"/>
  <c r="N168"/>
  <c r="D169"/>
  <c r="E169"/>
  <c r="F169"/>
  <c r="G169"/>
  <c r="H169"/>
  <c r="I169"/>
  <c r="J169"/>
  <c r="K169"/>
  <c r="L169"/>
  <c r="M169"/>
  <c r="N169"/>
  <c r="D170"/>
  <c r="E170"/>
  <c r="F170"/>
  <c r="G170"/>
  <c r="H170"/>
  <c r="I170"/>
  <c r="J170"/>
  <c r="K170"/>
  <c r="L170"/>
  <c r="M170"/>
  <c r="N170"/>
  <c r="D171"/>
  <c r="E171"/>
  <c r="F171"/>
  <c r="G171"/>
  <c r="H171"/>
  <c r="I171"/>
  <c r="J171"/>
  <c r="K171"/>
  <c r="L171"/>
  <c r="M171"/>
  <c r="N171"/>
  <c r="D172"/>
  <c r="E172"/>
  <c r="F172"/>
  <c r="G172"/>
  <c r="H172"/>
  <c r="I172"/>
  <c r="J172"/>
  <c r="K172"/>
  <c r="L172"/>
  <c r="M172"/>
  <c r="N172"/>
  <c r="D173"/>
  <c r="E173"/>
  <c r="F173"/>
  <c r="G173"/>
  <c r="H173"/>
  <c r="I173"/>
  <c r="J173"/>
  <c r="K173"/>
  <c r="L173"/>
  <c r="M173"/>
  <c r="N173"/>
  <c r="D174"/>
  <c r="E174"/>
  <c r="F174"/>
  <c r="G174"/>
  <c r="H174"/>
  <c r="I174"/>
  <c r="J174"/>
  <c r="K174"/>
  <c r="L174"/>
  <c r="M174"/>
  <c r="N174"/>
  <c r="D175"/>
  <c r="E175"/>
  <c r="F175"/>
  <c r="G175"/>
  <c r="H175"/>
  <c r="I175"/>
  <c r="J175"/>
  <c r="K175"/>
  <c r="L175"/>
  <c r="M175"/>
  <c r="N175"/>
  <c r="D176"/>
  <c r="E176"/>
  <c r="F176"/>
  <c r="G176"/>
  <c r="H176"/>
  <c r="I176"/>
  <c r="J176"/>
  <c r="K176"/>
  <c r="L176"/>
  <c r="M176"/>
  <c r="N176"/>
  <c r="D177"/>
  <c r="E177"/>
  <c r="F177"/>
  <c r="G177"/>
  <c r="H177"/>
  <c r="I177"/>
  <c r="J177"/>
  <c r="K177"/>
  <c r="L177"/>
  <c r="M177"/>
  <c r="N177"/>
  <c r="D178"/>
  <c r="E178"/>
  <c r="F178"/>
  <c r="G178"/>
  <c r="H178"/>
  <c r="I178"/>
  <c r="J178"/>
  <c r="K178"/>
  <c r="L178"/>
  <c r="M178"/>
  <c r="N178"/>
  <c r="D179"/>
  <c r="E179"/>
  <c r="F179"/>
  <c r="G179"/>
  <c r="H179"/>
  <c r="I179"/>
  <c r="J179"/>
  <c r="K179"/>
  <c r="L179"/>
  <c r="M179"/>
  <c r="N179"/>
  <c r="D180"/>
  <c r="E180"/>
  <c r="F180"/>
  <c r="G180"/>
  <c r="H180"/>
  <c r="I180"/>
  <c r="J180"/>
  <c r="K180"/>
  <c r="L180"/>
  <c r="M180"/>
  <c r="N180"/>
  <c r="D181"/>
  <c r="E181"/>
  <c r="F181"/>
  <c r="G181"/>
  <c r="H181"/>
  <c r="I181"/>
  <c r="J181"/>
  <c r="K181"/>
  <c r="L181"/>
  <c r="M181"/>
  <c r="N181"/>
  <c r="D182"/>
  <c r="E182"/>
  <c r="F182"/>
  <c r="G182"/>
  <c r="H182"/>
  <c r="I182"/>
  <c r="J182"/>
  <c r="K182"/>
  <c r="L182"/>
  <c r="M182"/>
  <c r="N182"/>
  <c r="D183"/>
  <c r="E183"/>
  <c r="F183"/>
  <c r="G183"/>
  <c r="H183"/>
  <c r="I183"/>
  <c r="J183"/>
  <c r="K183"/>
  <c r="L183"/>
  <c r="M183"/>
  <c r="N183"/>
  <c r="D184"/>
  <c r="E184"/>
  <c r="F184"/>
  <c r="G184"/>
  <c r="H184"/>
  <c r="I184"/>
  <c r="J184"/>
  <c r="K184"/>
  <c r="L184"/>
  <c r="M184"/>
  <c r="N184"/>
  <c r="D185"/>
  <c r="E185"/>
  <c r="F185"/>
  <c r="G185"/>
  <c r="H185"/>
  <c r="I185"/>
  <c r="J185"/>
  <c r="K185"/>
  <c r="L185"/>
  <c r="M185"/>
  <c r="N185"/>
  <c r="D186"/>
  <c r="E186"/>
  <c r="F186"/>
  <c r="G186"/>
  <c r="H186"/>
  <c r="I186"/>
  <c r="J186"/>
  <c r="K186"/>
  <c r="L186"/>
  <c r="M186"/>
  <c r="N186"/>
  <c r="D187"/>
  <c r="E187"/>
  <c r="F187"/>
  <c r="G187"/>
  <c r="H187"/>
  <c r="I187"/>
  <c r="J187"/>
  <c r="K187"/>
  <c r="L187"/>
  <c r="M187"/>
  <c r="N187"/>
  <c r="D188"/>
  <c r="E188"/>
  <c r="F188"/>
  <c r="G188"/>
  <c r="H188"/>
  <c r="I188"/>
  <c r="J188"/>
  <c r="K188"/>
  <c r="L188"/>
  <c r="M188"/>
  <c r="N188"/>
  <c r="D189"/>
  <c r="E189"/>
  <c r="F189"/>
  <c r="G189"/>
  <c r="H189"/>
  <c r="I189"/>
  <c r="J189"/>
  <c r="K189"/>
  <c r="L189"/>
  <c r="M189"/>
  <c r="N189"/>
  <c r="D190"/>
  <c r="E190"/>
  <c r="F190"/>
  <c r="G190"/>
  <c r="H190"/>
  <c r="I190"/>
  <c r="J190"/>
  <c r="K190"/>
  <c r="L190"/>
  <c r="M190"/>
  <c r="N190"/>
  <c r="D191"/>
  <c r="E191"/>
  <c r="F191"/>
  <c r="G191"/>
  <c r="H191"/>
  <c r="I191"/>
  <c r="J191"/>
  <c r="K191"/>
  <c r="L191"/>
  <c r="M191"/>
  <c r="N191"/>
  <c r="D192"/>
  <c r="E192"/>
  <c r="F192"/>
  <c r="G192"/>
  <c r="H192"/>
  <c r="I192"/>
  <c r="J192"/>
  <c r="K192"/>
  <c r="L192"/>
  <c r="M192"/>
  <c r="N192"/>
  <c r="D193"/>
  <c r="E193"/>
  <c r="F193"/>
  <c r="G193"/>
  <c r="H193"/>
  <c r="I193"/>
  <c r="J193"/>
  <c r="K193"/>
  <c r="L193"/>
  <c r="M193"/>
  <c r="N193"/>
  <c r="D194"/>
  <c r="E194"/>
  <c r="F194"/>
  <c r="G194"/>
  <c r="H194"/>
  <c r="I194"/>
  <c r="J194"/>
  <c r="K194"/>
  <c r="L194"/>
  <c r="M194"/>
  <c r="N194"/>
  <c r="D195"/>
  <c r="E195"/>
  <c r="F195"/>
  <c r="G195"/>
  <c r="H195"/>
  <c r="I195"/>
  <c r="J195"/>
  <c r="K195"/>
  <c r="L195"/>
  <c r="M195"/>
  <c r="N195"/>
  <c r="D196"/>
  <c r="E196"/>
  <c r="F196"/>
  <c r="G196"/>
  <c r="H196"/>
  <c r="I196"/>
  <c r="J196"/>
  <c r="K196"/>
  <c r="L196"/>
  <c r="M196"/>
  <c r="N196"/>
  <c r="D197"/>
  <c r="E197"/>
  <c r="F197"/>
  <c r="G197"/>
  <c r="H197"/>
  <c r="I197"/>
  <c r="J197"/>
  <c r="K197"/>
  <c r="L197"/>
  <c r="M197"/>
  <c r="N197"/>
  <c r="D198"/>
  <c r="E198"/>
  <c r="F198"/>
  <c r="G198"/>
  <c r="H198"/>
  <c r="I198"/>
  <c r="J198"/>
  <c r="K198"/>
  <c r="L198"/>
  <c r="M198"/>
  <c r="N198"/>
  <c r="D199"/>
  <c r="E199"/>
  <c r="F199"/>
  <c r="G199"/>
  <c r="H199"/>
  <c r="I199"/>
  <c r="J199"/>
  <c r="K199"/>
  <c r="L199"/>
  <c r="M199"/>
  <c r="N199"/>
  <c r="D200"/>
  <c r="E200"/>
  <c r="F200"/>
  <c r="G200"/>
  <c r="H200"/>
  <c r="I200"/>
  <c r="J200"/>
  <c r="K200"/>
  <c r="L200"/>
  <c r="M200"/>
  <c r="N200"/>
  <c r="D201"/>
  <c r="E201"/>
  <c r="F201"/>
  <c r="G201"/>
  <c r="H201"/>
  <c r="I201"/>
  <c r="J201"/>
  <c r="K201"/>
  <c r="L201"/>
  <c r="M201"/>
  <c r="N201"/>
  <c r="D202"/>
  <c r="E202"/>
  <c r="F202"/>
  <c r="G202"/>
  <c r="H202"/>
  <c r="I202"/>
  <c r="J202"/>
  <c r="K202"/>
  <c r="L202"/>
  <c r="M202"/>
  <c r="N202"/>
  <c r="D203"/>
  <c r="E203"/>
  <c r="F203"/>
  <c r="G203"/>
  <c r="H203"/>
  <c r="I203"/>
  <c r="J203"/>
  <c r="K203"/>
  <c r="L203"/>
  <c r="M203"/>
  <c r="N203"/>
  <c r="D204"/>
  <c r="E204"/>
  <c r="F204"/>
  <c r="G204"/>
  <c r="H204"/>
  <c r="I204"/>
  <c r="J204"/>
  <c r="K204"/>
  <c r="L204"/>
  <c r="M204"/>
  <c r="N204"/>
  <c r="D205"/>
  <c r="E205"/>
  <c r="F205"/>
  <c r="G205"/>
  <c r="H205"/>
  <c r="I205"/>
  <c r="J205"/>
  <c r="K205"/>
  <c r="L205"/>
  <c r="M205"/>
  <c r="N205"/>
  <c r="D206"/>
  <c r="E206"/>
  <c r="F206"/>
  <c r="G206"/>
  <c r="H206"/>
  <c r="I206"/>
  <c r="J206"/>
  <c r="K206"/>
  <c r="L206"/>
  <c r="M206"/>
  <c r="N206"/>
  <c r="D207"/>
  <c r="E207"/>
  <c r="F207"/>
  <c r="G207"/>
  <c r="H207"/>
  <c r="I207"/>
  <c r="J207"/>
  <c r="K207"/>
  <c r="L207"/>
  <c r="M207"/>
  <c r="N207"/>
  <c r="D208"/>
  <c r="E208"/>
  <c r="F208"/>
  <c r="G208"/>
  <c r="H208"/>
  <c r="I208"/>
  <c r="J208"/>
  <c r="K208"/>
  <c r="L208"/>
  <c r="M208"/>
  <c r="N208"/>
  <c r="D209"/>
  <c r="E209"/>
  <c r="F209"/>
  <c r="G209"/>
  <c r="H209"/>
  <c r="I209"/>
  <c r="J209"/>
  <c r="K209"/>
  <c r="L209"/>
  <c r="M209"/>
  <c r="N209"/>
  <c r="D210"/>
  <c r="E210"/>
  <c r="F210"/>
  <c r="G210"/>
  <c r="H210"/>
  <c r="I210"/>
  <c r="J210"/>
  <c r="K210"/>
  <c r="L210"/>
  <c r="M210"/>
  <c r="N210"/>
  <c r="D211"/>
  <c r="E211"/>
  <c r="F211"/>
  <c r="G211"/>
  <c r="H211"/>
  <c r="I211"/>
  <c r="J211"/>
  <c r="K211"/>
  <c r="L211"/>
  <c r="M211"/>
  <c r="N211"/>
  <c r="D212"/>
  <c r="E212"/>
  <c r="F212"/>
  <c r="G212"/>
  <c r="H212"/>
  <c r="I212"/>
  <c r="J212"/>
  <c r="K212"/>
  <c r="L212"/>
  <c r="M212"/>
  <c r="N212"/>
  <c r="D213"/>
  <c r="E213"/>
  <c r="F213"/>
  <c r="G213"/>
  <c r="H213"/>
  <c r="I213"/>
  <c r="J213"/>
  <c r="K213"/>
  <c r="L213"/>
  <c r="M213"/>
  <c r="N213"/>
  <c r="D214"/>
  <c r="E214"/>
  <c r="F214"/>
  <c r="G214"/>
  <c r="H214"/>
  <c r="I214"/>
  <c r="J214"/>
  <c r="K214"/>
  <c r="L214"/>
  <c r="M214"/>
  <c r="N214"/>
  <c r="D215"/>
  <c r="E215"/>
  <c r="F215"/>
  <c r="G215"/>
  <c r="H215"/>
  <c r="I215"/>
  <c r="J215"/>
  <c r="K215"/>
  <c r="L215"/>
  <c r="M215"/>
  <c r="N215"/>
  <c r="D216"/>
  <c r="E216"/>
  <c r="F216"/>
  <c r="G216"/>
  <c r="H216"/>
  <c r="I216"/>
  <c r="J216"/>
  <c r="K216"/>
  <c r="L216"/>
  <c r="M216"/>
  <c r="N216"/>
  <c r="D217"/>
  <c r="E217"/>
  <c r="F217"/>
  <c r="G217"/>
  <c r="H217"/>
  <c r="I217"/>
  <c r="J217"/>
  <c r="K217"/>
  <c r="L217"/>
  <c r="M217"/>
  <c r="N217"/>
  <c r="D218"/>
  <c r="E218"/>
  <c r="F218"/>
  <c r="G218"/>
  <c r="H218"/>
  <c r="I218"/>
  <c r="J218"/>
  <c r="K218"/>
  <c r="L218"/>
  <c r="M218"/>
  <c r="N218"/>
  <c r="D219"/>
  <c r="E219"/>
  <c r="F219"/>
  <c r="G219"/>
  <c r="H219"/>
  <c r="I219"/>
  <c r="J219"/>
  <c r="K219"/>
  <c r="L219"/>
  <c r="M219"/>
  <c r="N219"/>
  <c r="D220"/>
  <c r="E220"/>
  <c r="F220"/>
  <c r="G220"/>
  <c r="H220"/>
  <c r="I220"/>
  <c r="J220"/>
  <c r="K220"/>
  <c r="L220"/>
  <c r="M220"/>
  <c r="N220"/>
  <c r="D221"/>
  <c r="E221"/>
  <c r="F221"/>
  <c r="G221"/>
  <c r="H221"/>
  <c r="I221"/>
  <c r="J221"/>
  <c r="K221"/>
  <c r="L221"/>
  <c r="M221"/>
  <c r="N221"/>
  <c r="D222"/>
  <c r="E222"/>
  <c r="F222"/>
  <c r="G222"/>
  <c r="H222"/>
  <c r="I222"/>
  <c r="J222"/>
  <c r="K222"/>
  <c r="L222"/>
  <c r="M222"/>
  <c r="N222"/>
  <c r="D223"/>
  <c r="E223"/>
  <c r="F223"/>
  <c r="G223"/>
  <c r="H223"/>
  <c r="I223"/>
  <c r="J223"/>
  <c r="K223"/>
  <c r="L223"/>
  <c r="M223"/>
  <c r="N223"/>
  <c r="D224"/>
  <c r="E224"/>
  <c r="F224"/>
  <c r="G224"/>
  <c r="H224"/>
  <c r="I224"/>
  <c r="J224"/>
  <c r="K224"/>
  <c r="L224"/>
  <c r="M224"/>
  <c r="N224"/>
  <c r="D225"/>
  <c r="E225"/>
  <c r="F225"/>
  <c r="G225"/>
  <c r="H225"/>
  <c r="I225"/>
  <c r="J225"/>
  <c r="K225"/>
  <c r="L225"/>
  <c r="M225"/>
  <c r="N225"/>
  <c r="D226"/>
  <c r="E226"/>
  <c r="F226"/>
  <c r="G226"/>
  <c r="H226"/>
  <c r="I226"/>
  <c r="J226"/>
  <c r="K226"/>
  <c r="L226"/>
  <c r="M226"/>
  <c r="N226"/>
  <c r="D227"/>
  <c r="E227"/>
  <c r="F227"/>
  <c r="G227"/>
  <c r="H227"/>
  <c r="I227"/>
  <c r="J227"/>
  <c r="K227"/>
  <c r="L227"/>
  <c r="M227"/>
  <c r="N227"/>
  <c r="D228"/>
  <c r="E228"/>
  <c r="F228"/>
  <c r="G228"/>
  <c r="H228"/>
  <c r="I228"/>
  <c r="J228"/>
  <c r="K228"/>
  <c r="L228"/>
  <c r="M228"/>
  <c r="N228"/>
  <c r="D229"/>
  <c r="E229"/>
  <c r="F229"/>
  <c r="G229"/>
  <c r="H229"/>
  <c r="I229"/>
  <c r="J229"/>
  <c r="K229"/>
  <c r="L229"/>
  <c r="M229"/>
  <c r="N229"/>
  <c r="D230"/>
  <c r="E230"/>
  <c r="F230"/>
  <c r="G230"/>
  <c r="H230"/>
  <c r="I230"/>
  <c r="J230"/>
  <c r="K230"/>
  <c r="L230"/>
  <c r="M230"/>
  <c r="N230"/>
  <c r="D231"/>
  <c r="E231"/>
  <c r="F231"/>
  <c r="G231"/>
  <c r="H231"/>
  <c r="I231"/>
  <c r="J231"/>
  <c r="K231"/>
  <c r="L231"/>
  <c r="M231"/>
  <c r="N231"/>
  <c r="D232"/>
  <c r="E232"/>
  <c r="F232"/>
  <c r="G232"/>
  <c r="H232"/>
  <c r="I232"/>
  <c r="J232"/>
  <c r="K232"/>
  <c r="L232"/>
  <c r="M232"/>
  <c r="N232"/>
  <c r="D233"/>
  <c r="E233"/>
  <c r="F233"/>
  <c r="G233"/>
  <c r="H233"/>
  <c r="I233"/>
  <c r="J233"/>
  <c r="K233"/>
  <c r="L233"/>
  <c r="M233"/>
  <c r="N233"/>
  <c r="D234"/>
  <c r="E234"/>
  <c r="F234"/>
  <c r="G234"/>
  <c r="H234"/>
  <c r="I234"/>
  <c r="J234"/>
  <c r="K234"/>
  <c r="L234"/>
  <c r="M234"/>
  <c r="N234"/>
  <c r="D235"/>
  <c r="E235"/>
  <c r="F235"/>
  <c r="G235"/>
  <c r="H235"/>
  <c r="I235"/>
  <c r="J235"/>
  <c r="K235"/>
  <c r="L235"/>
  <c r="M235"/>
  <c r="N235"/>
  <c r="D236"/>
  <c r="E236"/>
  <c r="F236"/>
  <c r="G236"/>
  <c r="H236"/>
  <c r="I236"/>
  <c r="J236"/>
  <c r="K236"/>
  <c r="L236"/>
  <c r="M236"/>
  <c r="N236"/>
  <c r="D237"/>
  <c r="E237"/>
  <c r="F237"/>
  <c r="G237"/>
  <c r="H237"/>
  <c r="I237"/>
  <c r="J237"/>
  <c r="K237"/>
  <c r="L237"/>
  <c r="M237"/>
  <c r="N237"/>
  <c r="D238"/>
  <c r="E238"/>
  <c r="F238"/>
  <c r="G238"/>
  <c r="H238"/>
  <c r="I238"/>
  <c r="J238"/>
  <c r="K238"/>
  <c r="L238"/>
  <c r="M238"/>
  <c r="N238"/>
  <c r="D239"/>
  <c r="E239"/>
  <c r="F239"/>
  <c r="G239"/>
  <c r="H239"/>
  <c r="I239"/>
  <c r="J239"/>
  <c r="K239"/>
  <c r="L239"/>
  <c r="M239"/>
  <c r="N239"/>
  <c r="D240"/>
  <c r="E240"/>
  <c r="F240"/>
  <c r="G240"/>
  <c r="H240"/>
  <c r="I240"/>
  <c r="J240"/>
  <c r="K240"/>
  <c r="L240"/>
  <c r="M240"/>
  <c r="N240"/>
  <c r="D241"/>
  <c r="E241"/>
  <c r="F241"/>
  <c r="G241"/>
  <c r="H241"/>
  <c r="I241"/>
  <c r="J241"/>
  <c r="K241"/>
  <c r="L241"/>
  <c r="M241"/>
  <c r="N241"/>
  <c r="D242"/>
  <c r="E242"/>
  <c r="F242"/>
  <c r="G242"/>
  <c r="H242"/>
  <c r="I242"/>
  <c r="J242"/>
  <c r="K242"/>
  <c r="L242"/>
  <c r="M242"/>
  <c r="N242"/>
  <c r="D243"/>
  <c r="E243"/>
  <c r="F243"/>
  <c r="G243"/>
  <c r="H243"/>
  <c r="I243"/>
  <c r="J243"/>
  <c r="K243"/>
  <c r="L243"/>
  <c r="M243"/>
  <c r="N243"/>
  <c r="D244"/>
  <c r="E244"/>
  <c r="F244"/>
  <c r="G244"/>
  <c r="H244"/>
  <c r="I244"/>
  <c r="J244"/>
  <c r="K244"/>
  <c r="L244"/>
  <c r="M244"/>
  <c r="N244"/>
  <c r="D245"/>
  <c r="E245"/>
  <c r="F245"/>
  <c r="G245"/>
  <c r="H245"/>
  <c r="I245"/>
  <c r="J245"/>
  <c r="K245"/>
  <c r="L245"/>
  <c r="M245"/>
  <c r="N245"/>
  <c r="D246"/>
  <c r="E246"/>
  <c r="F246"/>
  <c r="G246"/>
  <c r="H246"/>
  <c r="I246"/>
  <c r="J246"/>
  <c r="K246"/>
  <c r="L246"/>
  <c r="M246"/>
  <c r="N246"/>
  <c r="D247"/>
  <c r="E247"/>
  <c r="F247"/>
  <c r="G247"/>
  <c r="H247"/>
  <c r="I247"/>
  <c r="J247"/>
  <c r="K247"/>
  <c r="L247"/>
  <c r="M247"/>
  <c r="N247"/>
  <c r="D248"/>
  <c r="E248"/>
  <c r="F248"/>
  <c r="G248"/>
  <c r="H248"/>
  <c r="I248"/>
  <c r="J248"/>
  <c r="K248"/>
  <c r="L248"/>
  <c r="M248"/>
  <c r="N248"/>
  <c r="D249"/>
  <c r="E249"/>
  <c r="F249"/>
  <c r="G249"/>
  <c r="H249"/>
  <c r="I249"/>
  <c r="J249"/>
  <c r="K249"/>
  <c r="L249"/>
  <c r="M249"/>
  <c r="N249"/>
  <c r="D250"/>
  <c r="E250"/>
  <c r="F250"/>
  <c r="G250"/>
  <c r="H250"/>
  <c r="I250"/>
  <c r="J250"/>
  <c r="K250"/>
  <c r="L250"/>
  <c r="M250"/>
  <c r="N250"/>
  <c r="D251"/>
  <c r="E251"/>
  <c r="F251"/>
  <c r="G251"/>
  <c r="H251"/>
  <c r="I251"/>
  <c r="J251"/>
  <c r="K251"/>
  <c r="L251"/>
  <c r="M251"/>
  <c r="N251"/>
  <c r="D252"/>
  <c r="E252"/>
  <c r="F252"/>
  <c r="G252"/>
  <c r="H252"/>
  <c r="I252"/>
  <c r="J252"/>
  <c r="K252"/>
  <c r="L252"/>
  <c r="M252"/>
  <c r="N252"/>
  <c r="D253"/>
  <c r="E253"/>
  <c r="F253"/>
  <c r="G253"/>
  <c r="H253"/>
  <c r="I253"/>
  <c r="J253"/>
  <c r="K253"/>
  <c r="L253"/>
  <c r="M253"/>
  <c r="N253"/>
  <c r="D254"/>
  <c r="E254"/>
  <c r="F254"/>
  <c r="G254"/>
  <c r="H254"/>
  <c r="I254"/>
  <c r="J254"/>
  <c r="K254"/>
  <c r="L254"/>
  <c r="M254"/>
  <c r="N254"/>
  <c r="D255"/>
  <c r="E255"/>
  <c r="F255"/>
  <c r="G255"/>
  <c r="H255"/>
  <c r="I255"/>
  <c r="J255"/>
  <c r="K255"/>
  <c r="L255"/>
  <c r="M255"/>
  <c r="N255"/>
  <c r="D256"/>
  <c r="E256"/>
  <c r="F256"/>
  <c r="G256"/>
  <c r="H256"/>
  <c r="I256"/>
  <c r="J256"/>
  <c r="K256"/>
  <c r="L256"/>
  <c r="M256"/>
  <c r="N256"/>
  <c r="D257"/>
  <c r="E257"/>
  <c r="F257"/>
  <c r="G257"/>
  <c r="H257"/>
  <c r="I257"/>
  <c r="J257"/>
  <c r="K257"/>
  <c r="L257"/>
  <c r="M257"/>
  <c r="N257"/>
  <c r="D258"/>
  <c r="E258"/>
  <c r="F258"/>
  <c r="G258"/>
  <c r="H258"/>
  <c r="I258"/>
  <c r="J258"/>
  <c r="K258"/>
  <c r="L258"/>
  <c r="M258"/>
  <c r="N258"/>
  <c r="D259"/>
  <c r="E259"/>
  <c r="F259"/>
  <c r="G259"/>
  <c r="H259"/>
  <c r="I259"/>
  <c r="J259"/>
  <c r="K259"/>
  <c r="L259"/>
  <c r="M259"/>
  <c r="N259"/>
  <c r="D260"/>
  <c r="E260"/>
  <c r="F260"/>
  <c r="G260"/>
  <c r="H260"/>
  <c r="I260"/>
  <c r="J260"/>
  <c r="K260"/>
  <c r="L260"/>
  <c r="M260"/>
  <c r="N260"/>
  <c r="D261"/>
  <c r="E261"/>
  <c r="F261"/>
  <c r="G261"/>
  <c r="H261"/>
  <c r="I261"/>
  <c r="J261"/>
  <c r="K261"/>
  <c r="L261"/>
  <c r="M261"/>
  <c r="N261"/>
  <c r="D262"/>
  <c r="E262"/>
  <c r="F262"/>
  <c r="G262"/>
  <c r="H262"/>
  <c r="I262"/>
  <c r="J262"/>
  <c r="K262"/>
  <c r="L262"/>
  <c r="M262"/>
  <c r="N262"/>
  <c r="D263"/>
  <c r="E263"/>
  <c r="F263"/>
  <c r="G263"/>
  <c r="H263"/>
  <c r="I263"/>
  <c r="J263"/>
  <c r="K263"/>
  <c r="L263"/>
  <c r="M263"/>
  <c r="N263"/>
  <c r="D264"/>
  <c r="E264"/>
  <c r="F264"/>
  <c r="G264"/>
  <c r="H264"/>
  <c r="I264"/>
  <c r="J264"/>
  <c r="K264"/>
  <c r="L264"/>
  <c r="M264"/>
  <c r="N264"/>
  <c r="D265"/>
  <c r="E265"/>
  <c r="F265"/>
  <c r="G265"/>
  <c r="H265"/>
  <c r="I265"/>
  <c r="J265"/>
  <c r="K265"/>
  <c r="L265"/>
  <c r="M265"/>
  <c r="N265"/>
  <c r="D266"/>
  <c r="E266"/>
  <c r="F266"/>
  <c r="G266"/>
  <c r="H266"/>
  <c r="I266"/>
  <c r="J266"/>
  <c r="K266"/>
  <c r="L266"/>
  <c r="M266"/>
  <c r="N266"/>
  <c r="D267"/>
  <c r="E267"/>
  <c r="F267"/>
  <c r="G267"/>
  <c r="H267"/>
  <c r="I267"/>
  <c r="J267"/>
  <c r="K267"/>
  <c r="L267"/>
  <c r="M267"/>
  <c r="N267"/>
  <c r="D268"/>
  <c r="E268"/>
  <c r="F268"/>
  <c r="G268"/>
  <c r="H268"/>
  <c r="I268"/>
  <c r="J268"/>
  <c r="K268"/>
  <c r="L268"/>
  <c r="M268"/>
  <c r="N268"/>
  <c r="D269"/>
  <c r="E269"/>
  <c r="F269"/>
  <c r="G269"/>
  <c r="H269"/>
  <c r="I269"/>
  <c r="J269"/>
  <c r="K269"/>
  <c r="L269"/>
  <c r="M269"/>
  <c r="N269"/>
  <c r="D270"/>
  <c r="E270"/>
  <c r="F270"/>
  <c r="G270"/>
  <c r="H270"/>
  <c r="I270"/>
  <c r="J270"/>
  <c r="K270"/>
  <c r="L270"/>
  <c r="M270"/>
  <c r="N270"/>
  <c r="D271"/>
  <c r="E271"/>
  <c r="F271"/>
  <c r="G271"/>
  <c r="H271"/>
  <c r="I271"/>
  <c r="J271"/>
  <c r="K271"/>
  <c r="L271"/>
  <c r="M271"/>
  <c r="N271"/>
  <c r="D272"/>
  <c r="E272"/>
  <c r="F272"/>
  <c r="G272"/>
  <c r="H272"/>
  <c r="I272"/>
  <c r="J272"/>
  <c r="K272"/>
  <c r="L272"/>
  <c r="M272"/>
  <c r="N272"/>
  <c r="D273"/>
  <c r="E273"/>
  <c r="F273"/>
  <c r="G273"/>
  <c r="H273"/>
  <c r="I273"/>
  <c r="J273"/>
  <c r="K273"/>
  <c r="L273"/>
  <c r="M273"/>
  <c r="N273"/>
  <c r="D274"/>
  <c r="E274"/>
  <c r="F274"/>
  <c r="G274"/>
  <c r="H274"/>
  <c r="I274"/>
  <c r="J274"/>
  <c r="K274"/>
  <c r="L274"/>
  <c r="M274"/>
  <c r="N274"/>
  <c r="D275"/>
  <c r="E275"/>
  <c r="F275"/>
  <c r="G275"/>
  <c r="H275"/>
  <c r="I275"/>
  <c r="J275"/>
  <c r="K275"/>
  <c r="L275"/>
  <c r="M275"/>
  <c r="N275"/>
  <c r="D276"/>
  <c r="E276"/>
  <c r="F276"/>
  <c r="G276"/>
  <c r="H276"/>
  <c r="I276"/>
  <c r="J276"/>
  <c r="K276"/>
  <c r="L276"/>
  <c r="M276"/>
  <c r="N276"/>
  <c r="D277"/>
  <c r="E277"/>
  <c r="F277"/>
  <c r="G277"/>
  <c r="H277"/>
  <c r="I277"/>
  <c r="J277"/>
  <c r="K277"/>
  <c r="L277"/>
  <c r="M277"/>
  <c r="N277"/>
  <c r="D278"/>
  <c r="E278"/>
  <c r="F278"/>
  <c r="G278"/>
  <c r="H278"/>
  <c r="I278"/>
  <c r="J278"/>
  <c r="K278"/>
  <c r="L278"/>
  <c r="M278"/>
  <c r="N278"/>
  <c r="D279"/>
  <c r="E279"/>
  <c r="F279"/>
  <c r="G279"/>
  <c r="H279"/>
  <c r="I279"/>
  <c r="J279"/>
  <c r="K279"/>
  <c r="L279"/>
  <c r="M279"/>
  <c r="N279"/>
  <c r="D280"/>
  <c r="E280"/>
  <c r="F280"/>
  <c r="G280"/>
  <c r="H280"/>
  <c r="I280"/>
  <c r="J280"/>
  <c r="K280"/>
  <c r="L280"/>
  <c r="M280"/>
  <c r="N280"/>
  <c r="D281"/>
  <c r="E281"/>
  <c r="F281"/>
  <c r="G281"/>
  <c r="H281"/>
  <c r="I281"/>
  <c r="J281"/>
  <c r="K281"/>
  <c r="L281"/>
  <c r="M281"/>
  <c r="N281"/>
  <c r="D282"/>
  <c r="E282"/>
  <c r="F282"/>
  <c r="G282"/>
  <c r="H282"/>
  <c r="I282"/>
  <c r="J282"/>
  <c r="K282"/>
  <c r="L282"/>
  <c r="M282"/>
  <c r="N282"/>
  <c r="D283"/>
  <c r="E283"/>
  <c r="F283"/>
  <c r="G283"/>
  <c r="H283"/>
  <c r="I283"/>
  <c r="J283"/>
  <c r="K283"/>
  <c r="L283"/>
  <c r="M283"/>
  <c r="N283"/>
  <c r="D284"/>
  <c r="E284"/>
  <c r="F284"/>
  <c r="G284"/>
  <c r="H284"/>
  <c r="I284"/>
  <c r="J284"/>
  <c r="K284"/>
  <c r="L284"/>
  <c r="M284"/>
  <c r="N284"/>
  <c r="D285"/>
  <c r="E285"/>
  <c r="F285"/>
  <c r="G285"/>
  <c r="H285"/>
  <c r="I285"/>
  <c r="J285"/>
  <c r="K285"/>
  <c r="L285"/>
  <c r="M285"/>
  <c r="N285"/>
  <c r="D286"/>
  <c r="E286"/>
  <c r="F286"/>
  <c r="G286"/>
  <c r="H286"/>
  <c r="I286"/>
  <c r="J286"/>
  <c r="K286"/>
  <c r="L286"/>
  <c r="M286"/>
  <c r="N286"/>
  <c r="D287"/>
  <c r="E287"/>
  <c r="F287"/>
  <c r="G287"/>
  <c r="H287"/>
  <c r="I287"/>
  <c r="J287"/>
  <c r="K287"/>
  <c r="L287"/>
  <c r="M287"/>
  <c r="N287"/>
  <c r="D288"/>
  <c r="E288"/>
  <c r="F288"/>
  <c r="G288"/>
  <c r="H288"/>
  <c r="I288"/>
  <c r="J288"/>
  <c r="K288"/>
  <c r="L288"/>
  <c r="M288"/>
  <c r="N288"/>
  <c r="D289"/>
  <c r="E289"/>
  <c r="F289"/>
  <c r="G289"/>
  <c r="H289"/>
  <c r="I289"/>
  <c r="J289"/>
  <c r="K289"/>
  <c r="L289"/>
  <c r="M289"/>
  <c r="N289"/>
  <c r="D290"/>
  <c r="E290"/>
  <c r="F290"/>
  <c r="G290"/>
  <c r="H290"/>
  <c r="I290"/>
  <c r="J290"/>
  <c r="K290"/>
  <c r="L290"/>
  <c r="M290"/>
  <c r="N290"/>
  <c r="D291"/>
  <c r="E291"/>
  <c r="F291"/>
  <c r="G291"/>
  <c r="H291"/>
  <c r="I291"/>
  <c r="J291"/>
  <c r="K291"/>
  <c r="L291"/>
  <c r="M291"/>
  <c r="N291"/>
  <c r="D292"/>
  <c r="E292"/>
  <c r="F292"/>
  <c r="G292"/>
  <c r="H292"/>
  <c r="I292"/>
  <c r="J292"/>
  <c r="K292"/>
  <c r="L292"/>
  <c r="M292"/>
  <c r="N292"/>
  <c r="D293"/>
  <c r="E293"/>
  <c r="F293"/>
  <c r="G293"/>
  <c r="H293"/>
  <c r="I293"/>
  <c r="J293"/>
  <c r="K293"/>
  <c r="L293"/>
  <c r="M293"/>
  <c r="N293"/>
  <c r="D294"/>
  <c r="E294"/>
  <c r="F294"/>
  <c r="G294"/>
  <c r="H294"/>
  <c r="I294"/>
  <c r="J294"/>
  <c r="K294"/>
  <c r="L294"/>
  <c r="M294"/>
  <c r="N294"/>
  <c r="D295"/>
  <c r="E295"/>
  <c r="F295"/>
  <c r="G295"/>
  <c r="H295"/>
  <c r="I295"/>
  <c r="J295"/>
  <c r="K295"/>
  <c r="L295"/>
  <c r="M295"/>
  <c r="N295"/>
  <c r="D296"/>
  <c r="E296"/>
  <c r="F296"/>
  <c r="G296"/>
  <c r="H296"/>
  <c r="I296"/>
  <c r="J296"/>
  <c r="K296"/>
  <c r="L296"/>
  <c r="M296"/>
  <c r="N296"/>
  <c r="D297"/>
  <c r="E297"/>
  <c r="F297"/>
  <c r="G297"/>
  <c r="H297"/>
  <c r="I297"/>
  <c r="J297"/>
  <c r="K297"/>
  <c r="L297"/>
  <c r="M297"/>
  <c r="N297"/>
  <c r="D298"/>
  <c r="E298"/>
  <c r="F298"/>
  <c r="G298"/>
  <c r="H298"/>
  <c r="I298"/>
  <c r="J298"/>
  <c r="K298"/>
  <c r="L298"/>
  <c r="M298"/>
  <c r="N298"/>
  <c r="D299"/>
  <c r="E299"/>
  <c r="F299"/>
  <c r="G299"/>
  <c r="H299"/>
  <c r="I299"/>
  <c r="J299"/>
  <c r="K299"/>
  <c r="L299"/>
  <c r="M299"/>
  <c r="N299"/>
  <c r="D300"/>
  <c r="E300"/>
  <c r="F300"/>
  <c r="G300"/>
  <c r="H300"/>
  <c r="I300"/>
  <c r="J300"/>
  <c r="K300"/>
  <c r="L300"/>
  <c r="M300"/>
  <c r="N300"/>
  <c r="D301"/>
  <c r="E301"/>
  <c r="F301"/>
  <c r="G301"/>
  <c r="H301"/>
  <c r="I301"/>
  <c r="J301"/>
  <c r="K301"/>
  <c r="L301"/>
  <c r="M301"/>
  <c r="N301"/>
  <c r="D302"/>
  <c r="E302"/>
  <c r="F302"/>
  <c r="G302"/>
  <c r="H302"/>
  <c r="I302"/>
  <c r="J302"/>
  <c r="K302"/>
  <c r="L302"/>
  <c r="M302"/>
  <c r="N302"/>
  <c r="D303"/>
  <c r="E303"/>
  <c r="F303"/>
  <c r="G303"/>
  <c r="H303"/>
  <c r="I303"/>
  <c r="J303"/>
  <c r="K303"/>
  <c r="L303"/>
  <c r="M303"/>
  <c r="N303"/>
  <c r="D304"/>
  <c r="E304"/>
  <c r="F304"/>
  <c r="G304"/>
  <c r="H304"/>
  <c r="I304"/>
  <c r="J304"/>
  <c r="K304"/>
  <c r="L304"/>
  <c r="M304"/>
  <c r="N304"/>
  <c r="D11" i="3"/>
  <c r="D15" i="4"/>
  <c r="D14"/>
  <c r="D171" i="7"/>
  <c r="D131"/>
  <c r="D123"/>
  <c r="C250" i="10"/>
  <c r="C234"/>
  <c r="C166"/>
  <c r="C150"/>
  <c r="C30"/>
  <c r="C38"/>
  <c r="C72"/>
  <c r="C80"/>
  <c r="C116"/>
  <c r="C124"/>
  <c r="E292" i="7"/>
  <c r="E288"/>
  <c r="D244"/>
  <c r="E240"/>
  <c r="E216"/>
  <c r="E182"/>
  <c r="E174"/>
  <c r="E168"/>
  <c r="E160"/>
  <c r="E158"/>
  <c r="E154"/>
  <c r="E152"/>
  <c r="D148"/>
  <c r="E148"/>
  <c r="D142"/>
  <c r="E142"/>
  <c r="E140"/>
  <c r="D132"/>
  <c r="E132"/>
  <c r="D122"/>
  <c r="E290"/>
  <c r="D225"/>
  <c r="E222"/>
  <c r="D205"/>
  <c r="W299"/>
  <c r="D299"/>
  <c r="D251"/>
  <c r="D239"/>
  <c r="D199"/>
  <c r="D195"/>
  <c r="D181"/>
  <c r="D145"/>
  <c r="J36" i="3"/>
  <c r="K36"/>
  <c r="J36" i="2"/>
  <c r="K36"/>
  <c r="V222" i="7"/>
  <c r="C169" i="11"/>
  <c r="C176"/>
  <c r="C201"/>
  <c r="C208"/>
  <c r="C233"/>
  <c r="C240"/>
  <c r="C265"/>
  <c r="C272"/>
  <c r="C297"/>
  <c r="C304"/>
  <c r="C119" i="10"/>
  <c r="C117"/>
  <c r="C103"/>
  <c r="C101"/>
  <c r="C87"/>
  <c r="C85"/>
  <c r="C71"/>
  <c r="C69"/>
  <c r="C55"/>
  <c r="C53"/>
  <c r="C39"/>
  <c r="C37"/>
  <c r="C23"/>
  <c r="C21"/>
  <c r="C7"/>
  <c r="C5"/>
  <c r="C4" s="1"/>
  <c r="C152"/>
  <c r="C156"/>
  <c r="C184"/>
  <c r="C188"/>
  <c r="C216"/>
  <c r="C220"/>
  <c r="C248"/>
  <c r="C252"/>
  <c r="C106" i="11"/>
  <c r="C96"/>
  <c r="C42"/>
  <c r="C32"/>
  <c r="C261" i="10"/>
  <c r="C264"/>
  <c r="C269"/>
  <c r="C272"/>
  <c r="C277"/>
  <c r="C280"/>
  <c r="C285"/>
  <c r="C288"/>
  <c r="C293"/>
  <c r="C296"/>
  <c r="C301"/>
  <c r="C304"/>
  <c r="C251"/>
  <c r="C245"/>
  <c r="C235"/>
  <c r="C229"/>
  <c r="C219"/>
  <c r="C213"/>
  <c r="C203"/>
  <c r="C197"/>
  <c r="C187"/>
  <c r="C181"/>
  <c r="C171"/>
  <c r="C165"/>
  <c r="C155"/>
  <c r="C149"/>
  <c r="C139"/>
  <c r="C5" i="12"/>
  <c r="C153"/>
  <c r="C151"/>
  <c r="C143"/>
  <c r="C137"/>
  <c r="C135"/>
  <c r="C127"/>
  <c r="C121"/>
  <c r="C119"/>
  <c r="C111"/>
  <c r="C105"/>
  <c r="C103"/>
  <c r="C95"/>
  <c r="C89"/>
  <c r="C87"/>
  <c r="C79"/>
  <c r="C73"/>
  <c r="C71"/>
  <c r="C63"/>
  <c r="C57"/>
  <c r="C55"/>
  <c r="C47"/>
  <c r="C41"/>
  <c r="C39"/>
  <c r="C31"/>
  <c r="C25"/>
  <c r="C23"/>
  <c r="C15"/>
  <c r="C9"/>
  <c r="C7"/>
  <c r="C161"/>
  <c r="C164"/>
  <c r="C165"/>
  <c r="C169"/>
  <c r="C172"/>
  <c r="C173"/>
  <c r="C177"/>
  <c r="C180"/>
  <c r="C181"/>
  <c r="C185"/>
  <c r="C188"/>
  <c r="C189"/>
  <c r="C193"/>
  <c r="C196"/>
  <c r="C197"/>
  <c r="C201"/>
  <c r="C204"/>
  <c r="C205"/>
  <c r="C209"/>
  <c r="C212"/>
  <c r="C213"/>
  <c r="C217"/>
  <c r="C220"/>
  <c r="C221"/>
  <c r="C225"/>
  <c r="C228"/>
  <c r="C229"/>
  <c r="C232"/>
  <c r="C233"/>
  <c r="C235"/>
  <c r="C237"/>
  <c r="C239"/>
  <c r="C240"/>
  <c r="C243"/>
  <c r="C244"/>
  <c r="C245"/>
  <c r="C248"/>
  <c r="C249"/>
  <c r="C251"/>
  <c r="C253"/>
  <c r="C255"/>
  <c r="C256"/>
  <c r="C259"/>
  <c r="C260"/>
  <c r="C261"/>
  <c r="C264"/>
  <c r="C265"/>
  <c r="C267"/>
  <c r="C269"/>
  <c r="C271"/>
  <c r="C272"/>
  <c r="C275"/>
  <c r="C276"/>
  <c r="C277"/>
  <c r="C280"/>
  <c r="C281"/>
  <c r="C283"/>
  <c r="C285"/>
  <c r="C287"/>
  <c r="C288"/>
  <c r="C291"/>
  <c r="C292"/>
  <c r="C293"/>
  <c r="C296"/>
  <c r="C297"/>
  <c r="C299"/>
  <c r="C301"/>
  <c r="C303"/>
  <c r="C304"/>
  <c r="C148"/>
  <c r="C144"/>
  <c r="C140"/>
  <c r="C128"/>
  <c r="C124"/>
  <c r="C116"/>
  <c r="C108"/>
  <c r="C100"/>
  <c r="C96"/>
  <c r="C84"/>
  <c r="C80"/>
  <c r="C76"/>
  <c r="C64"/>
  <c r="C60"/>
  <c r="C52"/>
  <c r="C44"/>
  <c r="C36"/>
  <c r="D11" i="5"/>
  <c r="J18" i="2"/>
  <c r="K18"/>
  <c r="J29" i="3"/>
  <c r="K29"/>
  <c r="J22"/>
  <c r="K22"/>
  <c r="E214" i="7"/>
  <c r="D31" i="5"/>
  <c r="D31" i="4"/>
  <c r="D31" i="2"/>
  <c r="D31" i="3"/>
  <c r="E228" i="7"/>
  <c r="E137"/>
  <c r="D126"/>
  <c r="E126"/>
  <c r="E125"/>
  <c r="D31" i="6"/>
  <c r="C88" i="11"/>
  <c r="C292"/>
  <c r="C228"/>
  <c r="C196"/>
  <c r="C48" i="12"/>
  <c r="C68"/>
  <c r="C92"/>
  <c r="C112"/>
  <c r="C132"/>
  <c r="C158"/>
  <c r="C300"/>
  <c r="C295"/>
  <c r="C289"/>
  <c r="C284"/>
  <c r="C279"/>
  <c r="C273"/>
  <c r="C268"/>
  <c r="C263"/>
  <c r="C257"/>
  <c r="C252"/>
  <c r="C247"/>
  <c r="C241"/>
  <c r="C236"/>
  <c r="C231"/>
  <c r="C224"/>
  <c r="C216"/>
  <c r="C208"/>
  <c r="C200"/>
  <c r="C192"/>
  <c r="C184"/>
  <c r="C176"/>
  <c r="C168"/>
  <c r="C160"/>
  <c r="C17"/>
  <c r="C33"/>
  <c r="C49"/>
  <c r="C65"/>
  <c r="C81"/>
  <c r="C97"/>
  <c r="C113"/>
  <c r="C129"/>
  <c r="C50" i="11"/>
  <c r="C130"/>
  <c r="C293"/>
  <c r="C253"/>
  <c r="C229"/>
  <c r="C189"/>
  <c r="C165"/>
  <c r="D35" i="2"/>
  <c r="D35" i="6"/>
  <c r="D35" i="3"/>
  <c r="C53" i="11"/>
  <c r="C61"/>
  <c r="C117"/>
  <c r="C125"/>
  <c r="C27"/>
  <c r="C35"/>
  <c r="C91"/>
  <c r="C99"/>
  <c r="C155"/>
  <c r="C17"/>
  <c r="C129"/>
  <c r="C145"/>
  <c r="C111"/>
  <c r="C127"/>
  <c r="C162"/>
  <c r="C166"/>
  <c r="C194"/>
  <c r="C198"/>
  <c r="C226"/>
  <c r="C230"/>
  <c r="C258"/>
  <c r="C262"/>
  <c r="C290"/>
  <c r="C294"/>
  <c r="C126"/>
  <c r="C118"/>
  <c r="C86"/>
  <c r="C70"/>
  <c r="C38"/>
  <c r="C30"/>
  <c r="C7"/>
  <c r="C39"/>
  <c r="C159"/>
  <c r="C167"/>
  <c r="C183"/>
  <c r="C187"/>
  <c r="C203"/>
  <c r="C207"/>
  <c r="C223"/>
  <c r="C231"/>
  <c r="C247"/>
  <c r="C251"/>
  <c r="C267"/>
  <c r="C271"/>
  <c r="C287"/>
  <c r="C295"/>
  <c r="C148"/>
  <c r="C140"/>
  <c r="C108"/>
  <c r="C100"/>
  <c r="C68"/>
  <c r="C52"/>
  <c r="C20"/>
  <c r="C12"/>
  <c r="C138" i="12"/>
  <c r="C66"/>
  <c r="C18"/>
  <c r="C90"/>
  <c r="C22"/>
  <c r="C106"/>
  <c r="C130"/>
  <c r="C58"/>
  <c r="C157"/>
  <c r="C149"/>
  <c r="C141"/>
  <c r="C133"/>
  <c r="C125"/>
  <c r="C117"/>
  <c r="C109"/>
  <c r="C101"/>
  <c r="C93"/>
  <c r="C85"/>
  <c r="C77"/>
  <c r="C69"/>
  <c r="C61"/>
  <c r="C53"/>
  <c r="C45"/>
  <c r="C37"/>
  <c r="C29"/>
  <c r="C21"/>
  <c r="C13"/>
  <c r="C162"/>
  <c r="C166"/>
  <c r="C170"/>
  <c r="C174"/>
  <c r="C178"/>
  <c r="C182"/>
  <c r="C186"/>
  <c r="C190"/>
  <c r="C194"/>
  <c r="C198"/>
  <c r="C202"/>
  <c r="C206"/>
  <c r="C210"/>
  <c r="C214"/>
  <c r="C218"/>
  <c r="C222"/>
  <c r="C226"/>
  <c r="C230"/>
  <c r="C234"/>
  <c r="C238"/>
  <c r="C242"/>
  <c r="C246"/>
  <c r="C250"/>
  <c r="C254"/>
  <c r="C258"/>
  <c r="C262"/>
  <c r="C266"/>
  <c r="C270"/>
  <c r="C274"/>
  <c r="C278"/>
  <c r="C282"/>
  <c r="C286"/>
  <c r="C290"/>
  <c r="C294"/>
  <c r="C298"/>
  <c r="C302"/>
  <c r="C154"/>
  <c r="C136"/>
  <c r="C120"/>
  <c r="C104"/>
  <c r="C88"/>
  <c r="C72"/>
  <c r="C56"/>
  <c r="C40"/>
  <c r="C30"/>
  <c r="C155"/>
  <c r="C147"/>
  <c r="C139"/>
  <c r="C131"/>
  <c r="C123"/>
  <c r="C115"/>
  <c r="C107"/>
  <c r="C99"/>
  <c r="C91"/>
  <c r="C83"/>
  <c r="C75"/>
  <c r="C67"/>
  <c r="C59"/>
  <c r="C51"/>
  <c r="C43"/>
  <c r="C35"/>
  <c r="C27"/>
  <c r="C19"/>
  <c r="C11"/>
  <c r="C4" s="1"/>
  <c r="C159"/>
  <c r="C163"/>
  <c r="C167"/>
  <c r="C171"/>
  <c r="C175"/>
  <c r="C179"/>
  <c r="C183"/>
  <c r="C187"/>
  <c r="C191"/>
  <c r="C195"/>
  <c r="C199"/>
  <c r="C203"/>
  <c r="C207"/>
  <c r="C211"/>
  <c r="C215"/>
  <c r="C219"/>
  <c r="C223"/>
  <c r="C227"/>
  <c r="C40" i="11"/>
  <c r="C72"/>
  <c r="C284"/>
  <c r="C244"/>
  <c r="C9"/>
  <c r="F4"/>
  <c r="E252" i="7"/>
  <c r="D252"/>
  <c r="E236"/>
  <c r="D236"/>
  <c r="D234"/>
  <c r="E233"/>
  <c r="E196"/>
  <c r="D180"/>
  <c r="E180"/>
  <c r="D172"/>
  <c r="E172"/>
  <c r="D164"/>
  <c r="D156"/>
  <c r="E156"/>
  <c r="E151"/>
  <c r="E149"/>
  <c r="E124"/>
  <c r="D124"/>
  <c r="D301" i="6"/>
  <c r="D301" i="3"/>
  <c r="D293"/>
  <c r="D293" i="6"/>
  <c r="D289" i="3"/>
  <c r="D289" i="6"/>
  <c r="D273" i="3"/>
  <c r="D273" i="6"/>
  <c r="D269"/>
  <c r="D269" i="3"/>
  <c r="D261"/>
  <c r="D261" i="6"/>
  <c r="D257" i="3"/>
  <c r="D257" i="6"/>
  <c r="D241" i="3"/>
  <c r="D241" i="6"/>
  <c r="D237"/>
  <c r="D237" i="3"/>
  <c r="D229" i="2"/>
  <c r="D229" i="3"/>
  <c r="D229" i="6"/>
  <c r="D225" i="2"/>
  <c r="D225" i="3"/>
  <c r="D225" i="6"/>
  <c r="D221"/>
  <c r="D221" i="2"/>
  <c r="D217"/>
  <c r="D217" i="6"/>
  <c r="D213" i="2"/>
  <c r="D213" i="3"/>
  <c r="D209"/>
  <c r="D209" i="6"/>
  <c r="D205"/>
  <c r="D205" i="2"/>
  <c r="D205" i="3"/>
  <c r="D201" i="2"/>
  <c r="D201" i="3"/>
  <c r="D197"/>
  <c r="D197" i="2"/>
  <c r="D197" i="6"/>
  <c r="D193" i="3"/>
  <c r="D193" i="6"/>
  <c r="D177" i="3"/>
  <c r="D177" i="6"/>
  <c r="D173"/>
  <c r="D173" i="3"/>
  <c r="D165"/>
  <c r="D165" i="6"/>
  <c r="D161" i="3"/>
  <c r="D161" i="6"/>
  <c r="D145" i="3"/>
  <c r="D145" i="6"/>
  <c r="D141"/>
  <c r="D141" i="3"/>
  <c r="D137"/>
  <c r="D137" i="2"/>
  <c r="D133"/>
  <c r="D133" i="3"/>
  <c r="D117" i="2"/>
  <c r="D117" i="3"/>
  <c r="D81"/>
  <c r="D81" i="6"/>
  <c r="D44" i="5"/>
  <c r="D33" i="15"/>
  <c r="D33" i="2"/>
  <c r="D33" i="6"/>
  <c r="D33" i="5"/>
  <c r="D33" i="4"/>
  <c r="D40" i="2"/>
  <c r="D55" i="3"/>
  <c r="E211" i="7"/>
  <c r="D211"/>
  <c r="D194"/>
  <c r="E187"/>
  <c r="D187"/>
  <c r="D186"/>
  <c r="E177"/>
  <c r="D177"/>
  <c r="D162"/>
  <c r="E155"/>
  <c r="D155"/>
  <c r="D292" i="4"/>
  <c r="D292" i="2"/>
  <c r="D276"/>
  <c r="D276" i="4"/>
  <c r="D244"/>
  <c r="D244" i="2"/>
  <c r="D104" i="6"/>
  <c r="D75" i="2"/>
  <c r="D75" i="6"/>
  <c r="D75" i="4"/>
  <c r="D75" i="5"/>
  <c r="D75" i="3"/>
  <c r="E300" i="7"/>
  <c r="D300"/>
  <c r="E264"/>
  <c r="D264"/>
  <c r="D218"/>
  <c r="E217"/>
  <c r="E212"/>
  <c r="D212"/>
  <c r="E147"/>
  <c r="E280"/>
  <c r="D257"/>
  <c r="D224"/>
  <c r="D206"/>
  <c r="E206"/>
  <c r="D134"/>
  <c r="E134"/>
  <c r="D41" i="6"/>
  <c r="D22" i="2"/>
  <c r="D70" i="6"/>
  <c r="D70" i="5"/>
  <c r="D70" i="3"/>
  <c r="D70" i="4"/>
  <c r="D55" i="5"/>
  <c r="D223" i="7"/>
  <c r="E193"/>
  <c r="D193"/>
  <c r="D169"/>
  <c r="E150"/>
  <c r="D150"/>
  <c r="D14" i="5"/>
  <c r="D14" i="2"/>
  <c r="D11" i="15"/>
  <c r="D11" i="6"/>
  <c r="D11" i="4"/>
  <c r="D11" i="2"/>
  <c r="J22"/>
  <c r="K22"/>
  <c r="C152" i="12"/>
  <c r="C146"/>
  <c r="C114"/>
  <c r="C82"/>
  <c r="C50"/>
  <c r="C26"/>
  <c r="C10"/>
  <c r="C156"/>
  <c r="C122"/>
  <c r="C74"/>
  <c r="C34"/>
  <c r="C14"/>
  <c r="D294" i="7"/>
  <c r="E294"/>
  <c r="D300" i="15"/>
  <c r="D300" i="3"/>
  <c r="D300" i="2"/>
  <c r="D300" i="4"/>
  <c r="D300" i="6"/>
  <c r="D300" i="5"/>
  <c r="D296" i="15"/>
  <c r="D296" i="3"/>
  <c r="D296" i="6"/>
  <c r="D296" i="2"/>
  <c r="D296" i="4"/>
  <c r="D292" i="15"/>
  <c r="D292" i="3"/>
  <c r="D292" i="5"/>
  <c r="D292" i="6"/>
  <c r="D288" i="15"/>
  <c r="D288" i="3"/>
  <c r="D288" i="5"/>
  <c r="D288" i="2"/>
  <c r="D288" i="4"/>
  <c r="D288" i="6"/>
  <c r="D284" i="15"/>
  <c r="D284" i="3"/>
  <c r="D284" i="2"/>
  <c r="D284" i="4"/>
  <c r="D284" i="6"/>
  <c r="D284" i="5"/>
  <c r="D280" i="15"/>
  <c r="D280" i="3"/>
  <c r="D280" i="6"/>
  <c r="D280" i="2"/>
  <c r="D280" i="4"/>
  <c r="D276" i="15"/>
  <c r="D276" i="3"/>
  <c r="D276" i="5"/>
  <c r="D276" i="6"/>
  <c r="D272" i="15"/>
  <c r="D272" i="3"/>
  <c r="D272" i="5"/>
  <c r="D272" i="2"/>
  <c r="D272" i="4"/>
  <c r="D272" i="6"/>
  <c r="D268" i="15"/>
  <c r="D268" i="3"/>
  <c r="D268" i="2"/>
  <c r="D268" i="4"/>
  <c r="D268" i="6"/>
  <c r="D268" i="5"/>
  <c r="D264" i="15"/>
  <c r="D264" i="3"/>
  <c r="D264" i="6"/>
  <c r="D264" i="2"/>
  <c r="D264" i="4"/>
  <c r="D260" i="15"/>
  <c r="D260" i="3"/>
  <c r="D260" i="5"/>
  <c r="D260" i="6"/>
  <c r="D256" i="15"/>
  <c r="D256" i="3"/>
  <c r="D256" i="5"/>
  <c r="D256" i="2"/>
  <c r="D256" i="4"/>
  <c r="D256" i="6"/>
  <c r="D252" i="15"/>
  <c r="D252" i="3"/>
  <c r="D252" i="2"/>
  <c r="D252" i="4"/>
  <c r="D252" i="6"/>
  <c r="D252" i="5"/>
  <c r="D248" i="15"/>
  <c r="D248" i="3"/>
  <c r="D248" i="6"/>
  <c r="D248" i="2"/>
  <c r="D248" i="4"/>
  <c r="D244" i="15"/>
  <c r="D244" i="3"/>
  <c r="D244" i="5"/>
  <c r="D244" i="6"/>
  <c r="D240" i="15"/>
  <c r="D240" i="3"/>
  <c r="D240" i="5"/>
  <c r="D240" i="2"/>
  <c r="D240" i="4"/>
  <c r="D240" i="6"/>
  <c r="D236" i="15"/>
  <c r="D236" i="3"/>
  <c r="D236" i="4"/>
  <c r="D236" i="2"/>
  <c r="D236" i="6"/>
  <c r="D236" i="5"/>
  <c r="D232" i="15"/>
  <c r="D232" i="3"/>
  <c r="D232" i="6"/>
  <c r="D232" i="2"/>
  <c r="D232" i="4"/>
  <c r="D228" i="15"/>
  <c r="D228" i="3"/>
  <c r="D228" i="5"/>
  <c r="D228" i="6"/>
  <c r="D228" i="2"/>
  <c r="D224" i="15"/>
  <c r="D224" i="3"/>
  <c r="D224" i="5"/>
  <c r="D224" i="4"/>
  <c r="D224" i="6"/>
  <c r="D224" i="2"/>
  <c r="D220" i="15"/>
  <c r="D220" i="3"/>
  <c r="D220" i="4"/>
  <c r="D220" i="6"/>
  <c r="D220" i="2"/>
  <c r="D220" i="5"/>
  <c r="D216" i="15"/>
  <c r="D216" i="3"/>
  <c r="D216" i="6"/>
  <c r="D216" i="2"/>
  <c r="D216" i="4"/>
  <c r="D212" i="15"/>
  <c r="D212" i="2"/>
  <c r="D212" i="3"/>
  <c r="D212" i="5"/>
  <c r="D212" i="6"/>
  <c r="D208" i="15"/>
  <c r="D208" i="2"/>
  <c r="D208" i="3"/>
  <c r="D208" i="5"/>
  <c r="D208" i="4"/>
  <c r="D208" i="6"/>
  <c r="D204" i="15"/>
  <c r="D204" i="2"/>
  <c r="D204" i="3"/>
  <c r="D204" i="4"/>
  <c r="D204" i="6"/>
  <c r="D204" i="5"/>
  <c r="D200" i="15"/>
  <c r="D200" i="2"/>
  <c r="D200" i="3"/>
  <c r="D200" i="6"/>
  <c r="D200" i="4"/>
  <c r="D196" i="15"/>
  <c r="D196" i="2"/>
  <c r="D196" i="3"/>
  <c r="D196" i="5"/>
  <c r="D196" i="6"/>
  <c r="D192" i="15"/>
  <c r="D192" i="2"/>
  <c r="D192" i="3"/>
  <c r="D192" i="5"/>
  <c r="D192" i="4"/>
  <c r="D192" i="6"/>
  <c r="D188" i="15"/>
  <c r="D188" i="2"/>
  <c r="D188" i="3"/>
  <c r="D188" i="4"/>
  <c r="D188" i="6"/>
  <c r="D188" i="5"/>
  <c r="D184" i="15"/>
  <c r="D184" i="2"/>
  <c r="D184" i="3"/>
  <c r="D184" i="6"/>
  <c r="D184" i="4"/>
  <c r="D180" i="15"/>
  <c r="D180" i="2"/>
  <c r="D180" i="3"/>
  <c r="D180" i="5"/>
  <c r="D180" i="6"/>
  <c r="D176" i="15"/>
  <c r="D176" i="2"/>
  <c r="D176" i="3"/>
  <c r="D176" i="5"/>
  <c r="D176" i="4"/>
  <c r="D176" i="6"/>
  <c r="D172" i="15"/>
  <c r="D172" i="2"/>
  <c r="D172" i="3"/>
  <c r="D172" i="4"/>
  <c r="D172" i="6"/>
  <c r="D172" i="5"/>
  <c r="D168" i="15"/>
  <c r="D168" i="2"/>
  <c r="D168" i="3"/>
  <c r="D168" i="6"/>
  <c r="D168" i="4"/>
  <c r="D164" i="15"/>
  <c r="D164" i="2"/>
  <c r="D164" i="3"/>
  <c r="D164" i="5"/>
  <c r="D164" i="6"/>
  <c r="D160" i="15"/>
  <c r="D160" i="2"/>
  <c r="D160" i="3"/>
  <c r="D160" i="5"/>
  <c r="D160" i="4"/>
  <c r="D160" i="6"/>
  <c r="D156" i="15"/>
  <c r="D156" i="2"/>
  <c r="D156" i="3"/>
  <c r="D156" i="4"/>
  <c r="D156" i="6"/>
  <c r="D156" i="5"/>
  <c r="D152" i="15"/>
  <c r="D152" i="3"/>
  <c r="D152" i="2"/>
  <c r="D152" i="6"/>
  <c r="D152" i="4"/>
  <c r="D148" i="15"/>
  <c r="D148" i="3"/>
  <c r="D148" i="2"/>
  <c r="D148" i="5"/>
  <c r="D148" i="6"/>
  <c r="D144" i="15"/>
  <c r="D144" i="2"/>
  <c r="D144" i="3"/>
  <c r="D144" i="6"/>
  <c r="D144" i="5"/>
  <c r="D144" i="4"/>
  <c r="D140" i="15"/>
  <c r="D140" i="2"/>
  <c r="D140" i="3"/>
  <c r="D140" i="6"/>
  <c r="D140" i="4"/>
  <c r="D140" i="5"/>
  <c r="D136" i="15"/>
  <c r="D136" i="6"/>
  <c r="D136" i="2"/>
  <c r="D136" i="3"/>
  <c r="D136" i="4"/>
  <c r="D132" i="15"/>
  <c r="D132" i="6"/>
  <c r="D132" i="2"/>
  <c r="D132" i="3"/>
  <c r="D132" i="5"/>
  <c r="D128" i="15"/>
  <c r="D128" i="2"/>
  <c r="D128" i="3"/>
  <c r="D128" i="5"/>
  <c r="D128" i="6"/>
  <c r="D128" i="4"/>
  <c r="D124" i="15"/>
  <c r="D124" i="3"/>
  <c r="D124" i="4"/>
  <c r="D124" i="2"/>
  <c r="D124" i="5"/>
  <c r="D124" i="6"/>
  <c r="D120" i="15"/>
  <c r="D120" i="2"/>
  <c r="D120" i="3"/>
  <c r="D120" i="4"/>
  <c r="D116" i="15"/>
  <c r="D116" i="2"/>
  <c r="D116" i="3"/>
  <c r="D116" i="5"/>
  <c r="D116" i="6"/>
  <c r="D112" i="15"/>
  <c r="D112" i="2"/>
  <c r="D112" i="3"/>
  <c r="D112" i="5"/>
  <c r="D112" i="6"/>
  <c r="D112" i="4"/>
  <c r="D108" i="15"/>
  <c r="D108" i="2"/>
  <c r="D108" i="3"/>
  <c r="D108" i="4"/>
  <c r="D108" i="5"/>
  <c r="D108" i="6"/>
  <c r="D104" i="15"/>
  <c r="D104" i="2"/>
  <c r="D104" i="3"/>
  <c r="D104" i="4"/>
  <c r="D100" i="15"/>
  <c r="D100" i="2"/>
  <c r="D100" i="3"/>
  <c r="D100" i="5"/>
  <c r="D100" i="6"/>
  <c r="D96" i="15"/>
  <c r="D96" i="2"/>
  <c r="D96" i="3"/>
  <c r="D96" i="5"/>
  <c r="D96" i="6"/>
  <c r="D96" i="4"/>
  <c r="D92" i="15"/>
  <c r="D92" i="3"/>
  <c r="D92" i="2"/>
  <c r="D92" i="4"/>
  <c r="D92" i="6"/>
  <c r="D92" i="5"/>
  <c r="D88" i="15"/>
  <c r="D88" i="2"/>
  <c r="D88" i="3"/>
  <c r="D88" i="6"/>
  <c r="D88" i="4"/>
  <c r="D84" i="15"/>
  <c r="D84" i="2"/>
  <c r="D84" i="3"/>
  <c r="D84" i="6"/>
  <c r="D84" i="5"/>
  <c r="D80" i="3"/>
  <c r="D80" i="5"/>
  <c r="D80" i="6"/>
  <c r="D80" i="4"/>
  <c r="D48" i="3"/>
  <c r="D48" i="4"/>
  <c r="D48" i="5"/>
  <c r="D49"/>
  <c r="D32" i="15"/>
  <c r="D32" i="4"/>
  <c r="D32" i="6"/>
  <c r="D32" i="5"/>
  <c r="D32" i="3"/>
  <c r="D78"/>
  <c r="D67" i="4"/>
  <c r="T145" i="7"/>
  <c r="T205"/>
  <c r="J31" i="4"/>
  <c r="K31"/>
  <c r="E289" i="7"/>
  <c r="E231"/>
  <c r="D231"/>
  <c r="D69" i="4"/>
  <c r="D69" i="5"/>
  <c r="D69" i="2"/>
  <c r="D69" i="6"/>
  <c r="D69" i="3"/>
  <c r="D35" i="15"/>
  <c r="D35" i="5"/>
  <c r="D61" i="2"/>
  <c r="D61" i="5"/>
  <c r="D61" i="4"/>
  <c r="D61" i="3"/>
  <c r="D8" i="15"/>
  <c r="D8" i="5"/>
  <c r="C6" i="12"/>
  <c r="C42"/>
  <c r="C98"/>
  <c r="E203" i="7"/>
  <c r="D80" i="2"/>
  <c r="C260" i="10"/>
  <c r="C258"/>
  <c r="C242"/>
  <c r="C226"/>
  <c r="C210"/>
  <c r="C194"/>
  <c r="C178"/>
  <c r="C162"/>
  <c r="C146"/>
  <c r="C134"/>
  <c r="C10"/>
  <c r="C18"/>
  <c r="C26"/>
  <c r="C34"/>
  <c r="C42"/>
  <c r="C50"/>
  <c r="C58"/>
  <c r="C66"/>
  <c r="C74"/>
  <c r="C82"/>
  <c r="C90"/>
  <c r="C98"/>
  <c r="C106"/>
  <c r="C114"/>
  <c r="C122"/>
  <c r="C130"/>
  <c r="E176" i="7"/>
  <c r="E139"/>
  <c r="D139"/>
  <c r="D68" i="3"/>
  <c r="D188" i="7"/>
  <c r="E188"/>
  <c r="D136"/>
  <c r="E136"/>
  <c r="D301" i="2"/>
  <c r="D301" i="4"/>
  <c r="D301" i="5"/>
  <c r="D297" i="15"/>
  <c r="D297" i="2"/>
  <c r="D297" i="4"/>
  <c r="D297" i="5"/>
  <c r="D293" i="15"/>
  <c r="D293" i="2"/>
  <c r="D293" i="4"/>
  <c r="D293" i="5"/>
  <c r="D289" i="15"/>
  <c r="D289" i="2"/>
  <c r="D289" i="4"/>
  <c r="D289" i="5"/>
  <c r="D285" i="15"/>
  <c r="D285" i="2"/>
  <c r="D285" i="4"/>
  <c r="D285" i="5"/>
  <c r="D281" i="15"/>
  <c r="D281" i="2"/>
  <c r="D281" i="4"/>
  <c r="D281" i="5"/>
  <c r="D277" i="15"/>
  <c r="D277" i="2"/>
  <c r="D277" i="4"/>
  <c r="D277" i="5"/>
  <c r="D273" i="15"/>
  <c r="D273" i="2"/>
  <c r="D273" i="4"/>
  <c r="D273" i="5"/>
  <c r="D269" i="15"/>
  <c r="D269" i="2"/>
  <c r="D269" i="4"/>
  <c r="D269" i="5"/>
  <c r="D265" i="15"/>
  <c r="D265" i="2"/>
  <c r="D265" i="4"/>
  <c r="D265" i="5"/>
  <c r="D261" i="15"/>
  <c r="D261" i="2"/>
  <c r="D261" i="4"/>
  <c r="D261" i="5"/>
  <c r="D257" i="15"/>
  <c r="D257" i="2"/>
  <c r="D257" i="4"/>
  <c r="D257" i="5"/>
  <c r="D253" i="15"/>
  <c r="D253" i="2"/>
  <c r="D253" i="4"/>
  <c r="D253" i="5"/>
  <c r="D249" i="15"/>
  <c r="D249" i="2"/>
  <c r="D249" i="4"/>
  <c r="D249" i="5"/>
  <c r="D245" i="15"/>
  <c r="D245" i="2"/>
  <c r="D245" i="4"/>
  <c r="D245" i="5"/>
  <c r="D241" i="15"/>
  <c r="D241" i="2"/>
  <c r="D241" i="4"/>
  <c r="D241" i="5"/>
  <c r="D237" i="15"/>
  <c r="D237" i="2"/>
  <c r="D237" i="4"/>
  <c r="D237" i="5"/>
  <c r="D233" i="15"/>
  <c r="D233" i="4"/>
  <c r="D233" i="5"/>
  <c r="D229" i="15"/>
  <c r="D229" i="4"/>
  <c r="D229" i="5"/>
  <c r="D225" i="15"/>
  <c r="D225" i="4"/>
  <c r="D225" i="5"/>
  <c r="D221" i="15"/>
  <c r="D221" i="4"/>
  <c r="D221" i="5"/>
  <c r="D217" i="15"/>
  <c r="D217" i="4"/>
  <c r="D217" i="5"/>
  <c r="D213" i="15"/>
  <c r="D213" i="4"/>
  <c r="D213" i="5"/>
  <c r="D209" i="15"/>
  <c r="D209" i="4"/>
  <c r="D209" i="5"/>
  <c r="D205" i="15"/>
  <c r="D205" i="4"/>
  <c r="D205" i="5"/>
  <c r="D201" i="15"/>
  <c r="D201" i="4"/>
  <c r="D201" i="5"/>
  <c r="D197" i="15"/>
  <c r="D197" i="4"/>
  <c r="D197" i="5"/>
  <c r="D193" i="15"/>
  <c r="D193" i="4"/>
  <c r="D193" i="5"/>
  <c r="D193" i="2"/>
  <c r="D189" i="15"/>
  <c r="D189" i="4"/>
  <c r="D189" i="5"/>
  <c r="D189" i="2"/>
  <c r="D185" i="15"/>
  <c r="D185" i="4"/>
  <c r="D185" i="5"/>
  <c r="D185" i="2"/>
  <c r="D181" i="15"/>
  <c r="D181" i="4"/>
  <c r="D181" i="5"/>
  <c r="D181" i="2"/>
  <c r="D177" i="15"/>
  <c r="D177" i="4"/>
  <c r="D177" i="5"/>
  <c r="D177" i="2"/>
  <c r="D173" i="15"/>
  <c r="D173" i="4"/>
  <c r="D173" i="5"/>
  <c r="D173" i="2"/>
  <c r="D169" i="15"/>
  <c r="D169" i="4"/>
  <c r="D169" i="5"/>
  <c r="D169" i="2"/>
  <c r="D165" i="15"/>
  <c r="D165" i="4"/>
  <c r="D165" i="5"/>
  <c r="D165" i="2"/>
  <c r="D161" i="15"/>
  <c r="D161" i="4"/>
  <c r="D161" i="5"/>
  <c r="D161" i="2"/>
  <c r="D157" i="15"/>
  <c r="D157" i="4"/>
  <c r="D157" i="5"/>
  <c r="D157" i="2"/>
  <c r="D153" i="15"/>
  <c r="D153" i="4"/>
  <c r="D153" i="5"/>
  <c r="D149" i="15"/>
  <c r="D149" i="2"/>
  <c r="D149" i="4"/>
  <c r="D149" i="5"/>
  <c r="D145" i="15"/>
  <c r="D145" i="2"/>
  <c r="D145" i="4"/>
  <c r="D145" i="5"/>
  <c r="D141" i="15"/>
  <c r="D141" i="4"/>
  <c r="D141" i="5"/>
  <c r="D137" i="15"/>
  <c r="D137" i="4"/>
  <c r="D137" i="5"/>
  <c r="D137" i="6"/>
  <c r="D133" i="15"/>
  <c r="D133" i="4"/>
  <c r="D133" i="5"/>
  <c r="D133" i="6"/>
  <c r="D129" i="15"/>
  <c r="D129" i="4"/>
  <c r="D129" i="5"/>
  <c r="D129" i="6"/>
  <c r="D125" i="15"/>
  <c r="D125" i="2"/>
  <c r="D125" i="4"/>
  <c r="D125" i="5"/>
  <c r="D125" i="6"/>
  <c r="D117" i="15"/>
  <c r="D117" i="4"/>
  <c r="D117" i="5"/>
  <c r="D117" i="6"/>
  <c r="D113" i="15"/>
  <c r="D113" i="4"/>
  <c r="D113" i="5"/>
  <c r="D113" i="6"/>
  <c r="D109" i="15"/>
  <c r="D109" i="4"/>
  <c r="D109" i="5"/>
  <c r="D109" i="6"/>
  <c r="D109" i="2"/>
  <c r="D105" i="15"/>
  <c r="D105" i="4"/>
  <c r="D105" i="5"/>
  <c r="D105" i="6"/>
  <c r="D105" i="2"/>
  <c r="D101" i="15"/>
  <c r="D101" i="4"/>
  <c r="D101" i="5"/>
  <c r="D101" i="6"/>
  <c r="D101" i="2"/>
  <c r="D97" i="15"/>
  <c r="D97" i="4"/>
  <c r="D97" i="5"/>
  <c r="D97" i="6"/>
  <c r="D97" i="2"/>
  <c r="D93" i="15"/>
  <c r="D93" i="4"/>
  <c r="D93" i="5"/>
  <c r="D89" i="15"/>
  <c r="D89" i="4"/>
  <c r="D89" i="5"/>
  <c r="D89" i="2"/>
  <c r="D85" i="15"/>
  <c r="D85" i="4"/>
  <c r="D85" i="5"/>
  <c r="D85" i="2"/>
  <c r="D81" i="4"/>
  <c r="D81" i="5"/>
  <c r="D76" i="2"/>
  <c r="D76" i="3"/>
  <c r="D51"/>
  <c r="D50" i="4"/>
  <c r="E143" i="7"/>
  <c r="D143"/>
  <c r="D77" i="2"/>
  <c r="D77" i="4"/>
  <c r="D77" i="5"/>
  <c r="D45" i="15"/>
  <c r="D45" i="3"/>
  <c r="D45" i="5"/>
  <c r="D45" i="2"/>
  <c r="D45" i="4"/>
  <c r="D71" i="3"/>
  <c r="J57"/>
  <c r="K57"/>
  <c r="D209" i="2"/>
  <c r="D141"/>
  <c r="D113"/>
  <c r="D81"/>
  <c r="D52"/>
  <c r="D38" i="15"/>
  <c r="J67" i="2"/>
  <c r="K67"/>
  <c r="J4"/>
  <c r="K4"/>
  <c r="D42"/>
  <c r="D42" i="4"/>
  <c r="D42" i="6"/>
  <c r="J67" i="4"/>
  <c r="K67"/>
  <c r="J66"/>
  <c r="K66"/>
  <c r="J65"/>
  <c r="K65"/>
  <c r="J64"/>
  <c r="K64"/>
  <c r="J63"/>
  <c r="K63"/>
  <c r="J62"/>
  <c r="K62"/>
  <c r="J61"/>
  <c r="K61"/>
  <c r="J60"/>
  <c r="K60"/>
  <c r="J59"/>
  <c r="K59"/>
  <c r="J33"/>
  <c r="K33"/>
  <c r="J56"/>
  <c r="K56"/>
  <c r="J55"/>
  <c r="K55"/>
  <c r="J24"/>
  <c r="K24"/>
  <c r="J11"/>
  <c r="K11"/>
  <c r="J30"/>
  <c r="K30"/>
  <c r="D27" i="15"/>
  <c r="D27" i="2"/>
  <c r="D27" i="3"/>
  <c r="D27" i="4"/>
  <c r="D27" i="5"/>
  <c r="D27" i="6"/>
  <c r="D28"/>
  <c r="J50" i="4"/>
  <c r="K50"/>
  <c r="J29" i="2"/>
  <c r="K29"/>
  <c r="J13" i="4"/>
  <c r="K13"/>
  <c r="D7" i="3"/>
  <c r="D7" i="5"/>
  <c r="D7" i="15"/>
  <c r="D7" i="2"/>
  <c r="D7" i="4"/>
  <c r="D7" i="6"/>
  <c r="J46" i="4"/>
  <c r="K46"/>
  <c r="J44"/>
  <c r="K44"/>
  <c r="J39"/>
  <c r="K39"/>
  <c r="J26"/>
  <c r="K26"/>
  <c r="J38"/>
  <c r="K38"/>
  <c r="J17"/>
  <c r="K17"/>
  <c r="J38" i="3"/>
  <c r="K38"/>
  <c r="J13"/>
  <c r="K13"/>
  <c r="J14"/>
  <c r="K14"/>
  <c r="D17" i="15"/>
  <c r="D13" i="2"/>
  <c r="X299" i="7"/>
  <c r="R299"/>
  <c r="E4" i="11"/>
  <c r="I4"/>
  <c r="L4" i="2"/>
  <c r="E287" i="7"/>
  <c r="D271"/>
  <c r="E255"/>
  <c r="D255"/>
  <c r="D191"/>
  <c r="E175"/>
  <c r="D175"/>
  <c r="D159"/>
  <c r="E127"/>
  <c r="J16" i="2"/>
  <c r="K16"/>
  <c r="D8" i="4"/>
  <c r="S145" i="7"/>
  <c r="X145"/>
  <c r="K4" i="12"/>
  <c r="E285" i="7"/>
  <c r="E269"/>
  <c r="D253"/>
  <c r="I4" i="12"/>
  <c r="D21" i="2"/>
  <c r="D15" i="15"/>
  <c r="D15" i="2"/>
  <c r="D15" i="6"/>
  <c r="D302" i="7"/>
  <c r="E302"/>
  <c r="E297"/>
  <c r="D297"/>
  <c r="D286"/>
  <c r="E286"/>
  <c r="E281"/>
  <c r="D281"/>
  <c r="D270"/>
  <c r="D265"/>
  <c r="D254"/>
  <c r="E254"/>
  <c r="D179"/>
  <c r="E163"/>
  <c r="D163"/>
  <c r="J9" i="2"/>
  <c r="K9"/>
  <c r="D4" i="4"/>
  <c r="D16" i="15"/>
  <c r="C8" i="12"/>
  <c r="C12"/>
  <c r="C16"/>
  <c r="C20"/>
  <c r="C24"/>
  <c r="C28"/>
  <c r="C32"/>
  <c r="C38"/>
  <c r="C46"/>
  <c r="C54"/>
  <c r="C62"/>
  <c r="C70"/>
  <c r="C78"/>
  <c r="C86"/>
  <c r="C94"/>
  <c r="C102"/>
  <c r="C110"/>
  <c r="C118"/>
  <c r="C126"/>
  <c r="C134"/>
  <c r="C142"/>
  <c r="C150"/>
  <c r="D32" i="2"/>
  <c r="D30" i="15"/>
  <c r="D6" i="2"/>
  <c r="D6" i="4"/>
  <c r="D6" i="15"/>
  <c r="D6" i="5"/>
  <c r="D6" i="6"/>
  <c r="D6" i="3"/>
  <c r="D10"/>
  <c r="K55" i="2"/>
  <c r="D13" i="5"/>
  <c r="D13" i="3"/>
  <c r="J24" i="2"/>
  <c r="K24"/>
  <c r="J54" i="4"/>
  <c r="K54"/>
  <c r="D25" i="15"/>
  <c r="D25" i="4"/>
  <c r="D25" i="3"/>
  <c r="D25" i="5"/>
  <c r="D25" i="2"/>
  <c r="D25" i="6"/>
  <c r="D17" i="2"/>
  <c r="D17" i="5"/>
  <c r="D22" i="15"/>
  <c r="D22" i="3"/>
  <c r="D22" i="5"/>
  <c r="D22" i="4"/>
  <c r="D22" i="6"/>
  <c r="D8" i="3"/>
  <c r="D8" i="2"/>
  <c r="D55" i="15"/>
  <c r="D55" i="6"/>
  <c r="J51" i="2"/>
  <c r="K51"/>
  <c r="D40" i="4"/>
  <c r="D40" i="15"/>
  <c r="D24"/>
  <c r="D24" i="5"/>
  <c r="D24" i="6"/>
  <c r="D24" i="4"/>
  <c r="D52" i="15"/>
  <c r="D52" i="3"/>
  <c r="D52" i="4"/>
  <c r="D52" i="5"/>
  <c r="D52" i="6"/>
  <c r="D50" i="15"/>
  <c r="D50" i="6"/>
  <c r="D50" i="5"/>
  <c r="D50" i="2"/>
  <c r="D50" i="3"/>
  <c r="D67"/>
  <c r="D67" i="2"/>
  <c r="D67" i="6"/>
  <c r="D67" i="5"/>
  <c r="D9" i="2"/>
  <c r="D9" i="4"/>
  <c r="D9" i="15"/>
  <c r="D9" i="3"/>
  <c r="D39" i="2"/>
  <c r="D39" i="5"/>
  <c r="D26"/>
  <c r="D26" i="4"/>
  <c r="D26" i="6"/>
  <c r="D26" i="3"/>
  <c r="D74" i="6"/>
  <c r="D74" i="4"/>
  <c r="D74" i="5"/>
  <c r="D74" i="2"/>
  <c r="D74" i="3"/>
  <c r="D19" i="15"/>
  <c r="D19" i="5"/>
  <c r="D19" i="2"/>
  <c r="D19" i="3"/>
  <c r="D19" i="4"/>
  <c r="D19" i="6"/>
  <c r="D29" i="2"/>
  <c r="D29" i="6"/>
  <c r="D29" i="15"/>
  <c r="D29" i="4"/>
  <c r="D29" i="3"/>
  <c r="D29" i="5"/>
  <c r="D51" i="6"/>
  <c r="D73" i="2"/>
  <c r="D73" i="4"/>
  <c r="D73" i="5"/>
  <c r="D73" i="6"/>
  <c r="D73" i="3"/>
  <c r="D78" i="5"/>
  <c r="D26" i="15"/>
  <c r="D39" i="3"/>
  <c r="D38" i="2"/>
  <c r="D21" i="4"/>
  <c r="D21" i="15"/>
  <c r="D21" i="5"/>
  <c r="D37" i="2"/>
  <c r="D37" i="6"/>
  <c r="D37" i="5"/>
  <c r="D37" i="3"/>
  <c r="D49" i="15"/>
  <c r="D49" i="4"/>
  <c r="D49" i="2"/>
  <c r="D49" i="3"/>
  <c r="D49" i="6"/>
  <c r="D26" i="2"/>
  <c r="J5" i="4"/>
  <c r="K5"/>
  <c r="J42"/>
  <c r="K42"/>
  <c r="J12"/>
  <c r="K12"/>
  <c r="J49"/>
  <c r="K49"/>
  <c r="J25"/>
  <c r="K25"/>
  <c r="J7" i="3"/>
  <c r="K7"/>
  <c r="J48"/>
  <c r="K48"/>
  <c r="J14" i="4"/>
  <c r="K14"/>
  <c r="J48"/>
  <c r="K48"/>
  <c r="J45"/>
  <c r="K45"/>
  <c r="J41"/>
  <c r="K41"/>
  <c r="J27"/>
  <c r="K27"/>
  <c r="J18"/>
  <c r="K18"/>
  <c r="D23" i="15"/>
  <c r="D23" i="3"/>
  <c r="D23" i="5"/>
  <c r="D23" i="6"/>
  <c r="D23" i="4"/>
  <c r="D23" i="2"/>
  <c r="J28" i="4"/>
  <c r="K28"/>
  <c r="J23"/>
  <c r="K23"/>
  <c r="J10"/>
  <c r="K10"/>
  <c r="J24" i="3"/>
  <c r="K24"/>
  <c r="J34"/>
  <c r="K34"/>
  <c r="J20"/>
  <c r="K20"/>
  <c r="D16" i="5"/>
  <c r="D28" i="3"/>
  <c r="W270" i="7"/>
  <c r="T270"/>
  <c r="R270"/>
  <c r="V270"/>
  <c r="J21" i="2"/>
  <c r="K21"/>
  <c r="E268" i="7"/>
  <c r="D268"/>
  <c r="E260"/>
  <c r="D260"/>
  <c r="D230"/>
  <c r="E230"/>
  <c r="E185"/>
  <c r="D185"/>
  <c r="D256"/>
  <c r="E256"/>
  <c r="E161"/>
  <c r="D161"/>
  <c r="E263"/>
  <c r="E248"/>
  <c r="D248"/>
  <c r="D138"/>
  <c r="D53" i="4"/>
  <c r="D53" i="15"/>
  <c r="D53" i="6"/>
  <c r="D53" i="3"/>
  <c r="D53" i="5"/>
  <c r="D53" i="2"/>
  <c r="D208" i="7"/>
  <c r="E208"/>
  <c r="D184"/>
  <c r="E184"/>
  <c r="D30" i="4"/>
  <c r="D30" i="5"/>
  <c r="D16" i="2"/>
  <c r="D16" i="6"/>
  <c r="D40" i="5"/>
  <c r="D55" i="2"/>
  <c r="D15" i="3"/>
  <c r="D39" i="4"/>
  <c r="D39" i="15"/>
  <c r="D272" i="7"/>
  <c r="E272"/>
  <c r="E262"/>
  <c r="D262"/>
  <c r="E238"/>
  <c r="D238"/>
  <c r="D144"/>
  <c r="E144"/>
  <c r="D20" i="5"/>
  <c r="D20" i="4"/>
  <c r="D20" i="3"/>
  <c r="D20" i="6"/>
  <c r="D20" i="15"/>
  <c r="D42"/>
  <c r="D42" i="5"/>
  <c r="D42" i="3"/>
  <c r="D10" i="6"/>
  <c r="D10" i="5"/>
  <c r="D10" i="15"/>
  <c r="D13" i="4"/>
  <c r="D13" i="6"/>
  <c r="D13" i="15"/>
  <c r="E296" i="7"/>
  <c r="D296"/>
  <c r="D246"/>
  <c r="E246"/>
  <c r="D198"/>
  <c r="E198"/>
  <c r="E173"/>
  <c r="D71" i="4"/>
  <c r="D71" i="2"/>
  <c r="D71" i="6"/>
  <c r="D71" i="5"/>
  <c r="D66" i="6"/>
  <c r="D66" i="4"/>
  <c r="D66" i="5"/>
  <c r="D66" i="3"/>
  <c r="D17"/>
  <c r="D17" i="6"/>
  <c r="D17" i="4"/>
  <c r="E249" i="7"/>
  <c r="D249"/>
  <c r="D247"/>
  <c r="E209"/>
  <c r="D209"/>
  <c r="D48" i="15"/>
  <c r="D48" i="6"/>
  <c r="D48" i="2"/>
  <c r="D58" i="15"/>
  <c r="D58" i="6"/>
  <c r="D58" i="4"/>
  <c r="D58" i="5"/>
  <c r="D58" i="3"/>
  <c r="E243" i="7"/>
  <c r="D243"/>
  <c r="D241"/>
  <c r="E235"/>
  <c r="D235"/>
  <c r="E200"/>
  <c r="D200"/>
  <c r="D166"/>
  <c r="E166"/>
  <c r="D46" i="2"/>
  <c r="D46" i="6"/>
  <c r="D46" i="15"/>
  <c r="D46" i="3"/>
  <c r="D46" i="4"/>
  <c r="D46" i="5"/>
  <c r="D14" i="15"/>
  <c r="J77" i="3"/>
  <c r="K77"/>
  <c r="D41" i="2"/>
  <c r="D41" i="15"/>
  <c r="D41" i="3"/>
  <c r="D41" i="5"/>
  <c r="J18" i="3"/>
  <c r="K18"/>
  <c r="R123" i="7"/>
  <c r="S123"/>
  <c r="V123"/>
  <c r="T123"/>
  <c r="X123"/>
  <c r="D14" i="6"/>
  <c r="D14" i="3"/>
  <c r="E283" i="7"/>
  <c r="E274"/>
  <c r="E232"/>
  <c r="D232"/>
  <c r="E135"/>
  <c r="E275"/>
  <c r="D275"/>
  <c r="E245"/>
  <c r="D204"/>
  <c r="E204"/>
  <c r="D30" i="3"/>
  <c r="D16" i="4"/>
  <c r="D39" i="6"/>
  <c r="D55" i="4"/>
  <c r="E291" i="7"/>
  <c r="E276"/>
  <c r="D276"/>
  <c r="D259"/>
  <c r="E201"/>
  <c r="D201"/>
  <c r="D192"/>
  <c r="E192"/>
  <c r="E226"/>
  <c r="D220"/>
  <c r="E220"/>
  <c r="E190"/>
  <c r="D190"/>
  <c r="E128"/>
  <c r="D128"/>
  <c r="D16" i="3"/>
  <c r="D119" i="2"/>
  <c r="D114"/>
  <c r="D95"/>
  <c r="D82"/>
  <c r="D58"/>
  <c r="D111"/>
  <c r="D87"/>
  <c r="D79" i="6"/>
  <c r="L4" i="10"/>
  <c r="N4"/>
  <c r="D4"/>
  <c r="J20" i="4"/>
  <c r="K20"/>
  <c r="G4" i="10"/>
  <c r="K4"/>
  <c r="J32" i="4"/>
  <c r="K32"/>
  <c r="I4" i="10"/>
  <c r="J25" i="3"/>
  <c r="K25"/>
  <c r="J42"/>
  <c r="K42"/>
  <c r="J21"/>
  <c r="K21"/>
  <c r="D4" i="6"/>
  <c r="D28" i="4"/>
  <c r="D28" i="15"/>
  <c r="D38" i="4"/>
  <c r="D34" i="15"/>
  <c r="D51" i="5"/>
  <c r="D51" i="15"/>
  <c r="D63" i="4"/>
  <c r="D30" i="2"/>
  <c r="D30" i="6"/>
  <c r="D21"/>
  <c r="D21" i="3"/>
  <c r="D37" i="15"/>
  <c r="D37" i="4"/>
  <c r="D78" i="6"/>
  <c r="D78" i="2"/>
  <c r="D40" i="3"/>
  <c r="D40" i="6"/>
  <c r="J40" i="3"/>
  <c r="K40"/>
  <c r="D4" i="5"/>
  <c r="D28"/>
  <c r="D34" i="6"/>
  <c r="D78" i="4"/>
  <c r="D51"/>
  <c r="D63" i="5"/>
  <c r="D24" i="3"/>
  <c r="D24" i="2"/>
  <c r="D65" i="5"/>
  <c r="D65" i="3"/>
  <c r="J9"/>
  <c r="K9" s="1"/>
  <c r="J39"/>
  <c r="K39"/>
  <c r="D38"/>
  <c r="D38" i="6"/>
  <c r="D4" i="2"/>
  <c r="D4" i="15"/>
  <c r="D28" i="2"/>
  <c r="D38" i="5"/>
  <c r="D34"/>
  <c r="D34" i="3"/>
  <c r="D51" i="2"/>
  <c r="X270" i="7"/>
  <c r="D9" i="5"/>
  <c r="D9" i="6"/>
  <c r="C147" i="10"/>
  <c r="C163"/>
  <c r="C179"/>
  <c r="C195"/>
  <c r="C211"/>
  <c r="C227"/>
  <c r="C243"/>
  <c r="C259"/>
  <c r="C297"/>
  <c r="C289"/>
  <c r="C281"/>
  <c r="C273"/>
  <c r="C265"/>
  <c r="C232"/>
  <c r="C200"/>
  <c r="C168"/>
  <c r="C137"/>
  <c r="C15"/>
  <c r="C31"/>
  <c r="C47"/>
  <c r="C63"/>
  <c r="C79"/>
  <c r="C95"/>
  <c r="C111"/>
  <c r="C127"/>
  <c r="C94"/>
  <c r="C52"/>
  <c r="C8"/>
  <c r="C246"/>
  <c r="C222"/>
  <c r="C202"/>
  <c r="C182"/>
  <c r="C158"/>
  <c r="C138"/>
  <c r="C12"/>
  <c r="C22"/>
  <c r="C32"/>
  <c r="C44"/>
  <c r="C54"/>
  <c r="C64"/>
  <c r="C76"/>
  <c r="C86"/>
  <c r="C96"/>
  <c r="C108"/>
  <c r="C118"/>
  <c r="C128"/>
  <c r="C238"/>
  <c r="C218"/>
  <c r="C198"/>
  <c r="C174"/>
  <c r="C154"/>
  <c r="C136"/>
  <c r="C14"/>
  <c r="C24"/>
  <c r="C36"/>
  <c r="C46"/>
  <c r="C56"/>
  <c r="C68"/>
  <c r="C78"/>
  <c r="C88"/>
  <c r="C100"/>
  <c r="C110"/>
  <c r="C120"/>
  <c r="C254"/>
  <c r="C214"/>
  <c r="C170"/>
  <c r="C6"/>
  <c r="C28"/>
  <c r="C48"/>
  <c r="C70"/>
  <c r="C92"/>
  <c r="C112"/>
  <c r="C129"/>
  <c r="C121"/>
  <c r="C113"/>
  <c r="C105"/>
  <c r="C97"/>
  <c r="C89"/>
  <c r="C81"/>
  <c r="C73"/>
  <c r="C65"/>
  <c r="C57"/>
  <c r="C49"/>
  <c r="C41"/>
  <c r="C33"/>
  <c r="C25"/>
  <c r="C17"/>
  <c r="C9"/>
  <c r="C135"/>
  <c r="C148"/>
  <c r="C164"/>
  <c r="C180"/>
  <c r="C196"/>
  <c r="C212"/>
  <c r="C228"/>
  <c r="C244"/>
  <c r="C263"/>
  <c r="C267"/>
  <c r="C271"/>
  <c r="C275"/>
  <c r="C279"/>
  <c r="C283"/>
  <c r="C287"/>
  <c r="C291"/>
  <c r="C295"/>
  <c r="C299"/>
  <c r="C303"/>
  <c r="C255"/>
  <c r="C247"/>
  <c r="C239"/>
  <c r="C231"/>
  <c r="C223"/>
  <c r="C215"/>
  <c r="C207"/>
  <c r="C199"/>
  <c r="C191"/>
  <c r="C183"/>
  <c r="C175"/>
  <c r="C167"/>
  <c r="C159"/>
  <c r="C151"/>
  <c r="C143"/>
  <c r="C230"/>
  <c r="C186"/>
  <c r="C142"/>
  <c r="C20"/>
  <c r="C40"/>
  <c r="C62"/>
  <c r="C84"/>
  <c r="C104"/>
  <c r="C126"/>
  <c r="C131"/>
  <c r="C123"/>
  <c r="C115"/>
  <c r="C107"/>
  <c r="C99"/>
  <c r="C91"/>
  <c r="C83"/>
  <c r="C75"/>
  <c r="C67"/>
  <c r="C59"/>
  <c r="C51"/>
  <c r="C43"/>
  <c r="C35"/>
  <c r="C27"/>
  <c r="C19"/>
  <c r="C11"/>
  <c r="C133"/>
  <c r="C144"/>
  <c r="C160"/>
  <c r="C176"/>
  <c r="C192"/>
  <c r="C208"/>
  <c r="C224"/>
  <c r="C240"/>
  <c r="C256"/>
  <c r="C262"/>
  <c r="C266"/>
  <c r="C270"/>
  <c r="C274"/>
  <c r="C278"/>
  <c r="C282"/>
  <c r="C286"/>
  <c r="C290"/>
  <c r="C294"/>
  <c r="C298"/>
  <c r="C302"/>
  <c r="C257"/>
  <c r="C249"/>
  <c r="C241"/>
  <c r="C233"/>
  <c r="C225"/>
  <c r="C217"/>
  <c r="C209"/>
  <c r="C201"/>
  <c r="C193"/>
  <c r="C185"/>
  <c r="C177"/>
  <c r="C169"/>
  <c r="C161"/>
  <c r="C153"/>
  <c r="C145"/>
  <c r="D10" i="2"/>
  <c r="D10" i="4"/>
  <c r="D15" i="5"/>
  <c r="C141" i="10"/>
  <c r="C157"/>
  <c r="C173"/>
  <c r="C189"/>
  <c r="C205"/>
  <c r="C221"/>
  <c r="C237"/>
  <c r="C253"/>
  <c r="C300"/>
  <c r="C292"/>
  <c r="C284"/>
  <c r="C276"/>
  <c r="C268"/>
  <c r="C132"/>
  <c r="C236"/>
  <c r="C204"/>
  <c r="C172"/>
  <c r="C140"/>
  <c r="C13"/>
  <c r="C29"/>
  <c r="C45"/>
  <c r="C61"/>
  <c r="C77"/>
  <c r="C93"/>
  <c r="C109"/>
  <c r="C125"/>
  <c r="C102"/>
  <c r="C60"/>
  <c r="C16"/>
  <c r="C190"/>
  <c r="E278" i="7"/>
  <c r="D278"/>
  <c r="E219"/>
  <c r="D219"/>
  <c r="E295"/>
  <c r="D295"/>
  <c r="E284"/>
  <c r="D284"/>
  <c r="D178"/>
  <c r="E207"/>
  <c r="D207"/>
  <c r="W205"/>
  <c r="D183"/>
  <c r="E183"/>
  <c r="D170" i="15"/>
  <c r="D170" i="2"/>
  <c r="D130" i="15"/>
  <c r="D130" i="2"/>
  <c r="D102" i="15"/>
  <c r="D102" i="2"/>
  <c r="D99" i="15"/>
  <c r="D99" i="2"/>
  <c r="D298" i="6"/>
  <c r="D178"/>
  <c r="D130"/>
  <c r="D99"/>
  <c r="D77"/>
  <c r="D238" i="5"/>
  <c r="D222"/>
  <c r="D130"/>
  <c r="D231" i="4"/>
  <c r="D178"/>
  <c r="D170"/>
  <c r="D99"/>
  <c r="D298" i="3"/>
  <c r="D185"/>
  <c r="D178"/>
  <c r="D170"/>
  <c r="D298" i="2"/>
  <c r="D222"/>
  <c r="D238" i="6"/>
  <c r="D231"/>
  <c r="D195"/>
  <c r="D298" i="5"/>
  <c r="D195"/>
  <c r="D238" i="4"/>
  <c r="D222"/>
  <c r="D191"/>
  <c r="D130"/>
  <c r="D231" i="3"/>
  <c r="D195"/>
  <c r="D178" i="2"/>
  <c r="D258" i="6"/>
  <c r="D222"/>
  <c r="D170"/>
  <c r="D258" i="5"/>
  <c r="D102"/>
  <c r="D298" i="4"/>
  <c r="D258" i="3"/>
  <c r="D238"/>
  <c r="D222"/>
  <c r="D130"/>
  <c r="D102"/>
  <c r="D191" i="2"/>
  <c r="D36" i="15"/>
  <c r="D66" i="2"/>
  <c r="J61" i="3"/>
  <c r="K61"/>
  <c r="J55"/>
  <c r="K55"/>
  <c r="J51"/>
  <c r="K51"/>
  <c r="D64" i="2"/>
  <c r="D64" i="4"/>
  <c r="D64" i="3"/>
  <c r="D64" i="6"/>
  <c r="D64" i="5"/>
  <c r="D72"/>
  <c r="D72" i="3"/>
  <c r="D72" i="2"/>
  <c r="D72" i="6"/>
  <c r="D72" i="4"/>
  <c r="D47" i="6"/>
  <c r="D47" i="4"/>
  <c r="D47" i="3"/>
  <c r="D47" i="15"/>
  <c r="D47" i="5"/>
  <c r="D47" i="2"/>
  <c r="D65" i="4"/>
  <c r="D65" i="6"/>
  <c r="D65" i="2"/>
  <c r="D43" i="5"/>
  <c r="D43" i="6"/>
  <c r="D43" i="4"/>
  <c r="D43" i="2"/>
  <c r="D43" i="3"/>
  <c r="D43" i="15"/>
  <c r="D63" i="3"/>
  <c r="D63" i="6"/>
  <c r="D18" i="2"/>
  <c r="D18" i="6"/>
  <c r="D18" i="15"/>
  <c r="D18" i="5"/>
  <c r="D18" i="3"/>
  <c r="D18" i="4"/>
  <c r="D57" i="15"/>
  <c r="D57" i="3"/>
  <c r="D57" i="6"/>
  <c r="D57" i="2"/>
  <c r="D57" i="5"/>
  <c r="D57" i="4"/>
  <c r="D12"/>
  <c r="D12" i="15"/>
  <c r="D12" i="6"/>
  <c r="D12" i="5"/>
  <c r="D12" i="3"/>
  <c r="D12" i="2"/>
  <c r="D34" i="4"/>
  <c r="D34" i="2"/>
  <c r="D36"/>
  <c r="D36" i="3"/>
  <c r="D36" i="4"/>
  <c r="D36" i="5"/>
  <c r="D36" i="6"/>
  <c r="D56" i="2"/>
  <c r="D56" i="5"/>
  <c r="D56" i="6"/>
  <c r="D56" i="15"/>
  <c r="D56" i="4"/>
  <c r="D56" i="3"/>
  <c r="D54" i="15"/>
  <c r="D54" i="3"/>
  <c r="D54" i="4"/>
  <c r="D54" i="5"/>
  <c r="D54" i="2"/>
  <c r="D54" i="6"/>
  <c r="D60" i="2"/>
  <c r="D60" i="6"/>
  <c r="D60" i="4"/>
  <c r="D60" i="5"/>
  <c r="D60" i="3"/>
  <c r="D60" i="15"/>
  <c r="D59" i="5"/>
  <c r="D59" i="2"/>
  <c r="D59" i="4"/>
  <c r="D59" i="3"/>
  <c r="D59" i="15"/>
  <c r="D59" i="6"/>
  <c r="D62" i="3"/>
  <c r="D62" i="4"/>
  <c r="D62" i="6"/>
  <c r="D62" i="5"/>
  <c r="D62" i="2"/>
  <c r="J15" i="4"/>
  <c r="K15"/>
  <c r="J71"/>
  <c r="K71"/>
  <c r="J9"/>
  <c r="K9"/>
  <c r="J40"/>
  <c r="K40"/>
  <c r="J37"/>
  <c r="K37"/>
  <c r="J77"/>
  <c r="K77"/>
  <c r="J76"/>
  <c r="K76"/>
  <c r="J79"/>
  <c r="K79"/>
  <c r="J58"/>
  <c r="K58"/>
  <c r="J35"/>
  <c r="K35"/>
  <c r="J57"/>
  <c r="K57"/>
  <c r="J16"/>
  <c r="K16"/>
  <c r="J19"/>
  <c r="K19"/>
  <c r="J7"/>
  <c r="K7"/>
  <c r="J8"/>
  <c r="K8"/>
  <c r="J70"/>
  <c r="K70"/>
  <c r="J21"/>
  <c r="K21"/>
  <c r="J4"/>
  <c r="K4"/>
  <c r="J6"/>
  <c r="K6"/>
  <c r="E165" i="7" l="1"/>
  <c r="D237"/>
  <c r="D242"/>
  <c r="D250"/>
  <c r="D266"/>
  <c r="R293"/>
  <c r="D157"/>
  <c r="E202"/>
  <c r="E258"/>
  <c r="D130"/>
  <c r="D261"/>
  <c r="D282"/>
  <c r="E301"/>
  <c r="S293"/>
  <c r="E146"/>
  <c r="V205"/>
  <c r="E277"/>
  <c r="D298"/>
  <c r="X293"/>
  <c r="E213"/>
  <c r="E229"/>
  <c r="E210"/>
  <c r="D141"/>
  <c r="D293"/>
  <c r="D170"/>
  <c r="V207"/>
  <c r="R295"/>
  <c r="V278"/>
  <c r="X276"/>
  <c r="S245"/>
  <c r="R274"/>
  <c r="W173"/>
  <c r="V238"/>
  <c r="T263"/>
  <c r="V268"/>
  <c r="W175"/>
  <c r="T143"/>
  <c r="T188"/>
  <c r="W252"/>
  <c r="T290"/>
  <c r="T292"/>
  <c r="V298"/>
  <c r="R194"/>
  <c r="T141"/>
  <c r="W130"/>
  <c r="W178"/>
  <c r="S165"/>
  <c r="X135"/>
  <c r="T249"/>
  <c r="V246"/>
  <c r="V272"/>
  <c r="R302"/>
  <c r="S255"/>
  <c r="R206"/>
  <c r="V147"/>
  <c r="S218"/>
  <c r="S264"/>
  <c r="V155"/>
  <c r="T177"/>
  <c r="S187"/>
  <c r="T211"/>
  <c r="W124"/>
  <c r="R126"/>
  <c r="W202"/>
  <c r="R258"/>
  <c r="T142"/>
  <c r="S288"/>
  <c r="X259"/>
  <c r="W195"/>
  <c r="S171"/>
  <c r="W183"/>
  <c r="V219"/>
  <c r="S220"/>
  <c r="T237"/>
  <c r="V275"/>
  <c r="X283"/>
  <c r="R235"/>
  <c r="V262"/>
  <c r="X161"/>
  <c r="V260"/>
  <c r="W301"/>
  <c r="X136"/>
  <c r="X294"/>
  <c r="R217"/>
  <c r="T156"/>
  <c r="R233"/>
  <c r="V228"/>
  <c r="W140"/>
  <c r="S158"/>
  <c r="S270"/>
  <c r="V257"/>
  <c r="W241"/>
  <c r="T225"/>
  <c r="W291"/>
  <c r="W243"/>
  <c r="V138"/>
  <c r="S254"/>
  <c r="W253"/>
  <c r="W282"/>
  <c r="R212"/>
  <c r="X300"/>
  <c r="X137"/>
  <c r="S222"/>
  <c r="X148"/>
  <c r="V240"/>
  <c r="X247"/>
  <c r="V239"/>
  <c r="S223"/>
  <c r="R199"/>
  <c r="T191"/>
  <c r="R164"/>
  <c r="R159"/>
  <c r="W123"/>
  <c r="AR30"/>
  <c r="AR29" s="1"/>
  <c r="AR28" s="1"/>
  <c r="AR27" s="1"/>
  <c r="AR26" s="1"/>
  <c r="AR25" s="1"/>
  <c r="AR24" s="1"/>
  <c r="AR23" s="1"/>
  <c r="AR22" s="1"/>
  <c r="AR21" s="1"/>
  <c r="AR20" s="1"/>
  <c r="AR19" s="1"/>
  <c r="AR18" s="1"/>
  <c r="AR17" s="1"/>
  <c r="AR16" s="1"/>
  <c r="AR15" s="1"/>
  <c r="AR14" s="1"/>
  <c r="AR13" s="1"/>
  <c r="AR12" s="1"/>
  <c r="AR11" s="1"/>
  <c r="AR10" s="1"/>
  <c r="AR9" s="1"/>
  <c r="AR8" s="1"/>
  <c r="AR7" s="1"/>
  <c r="AR6" s="1"/>
  <c r="AR5" s="1"/>
  <c r="AR4" s="1"/>
  <c r="AS39"/>
  <c r="AS38" s="1"/>
  <c r="AS37" s="1"/>
  <c r="AS36" s="1"/>
  <c r="AS35" s="1"/>
  <c r="AS34" s="1"/>
  <c r="AS33" s="1"/>
  <c r="AS32" s="1"/>
  <c r="AS31" s="1"/>
  <c r="AS30" s="1"/>
  <c r="AS29" s="1"/>
  <c r="AS28" s="1"/>
  <c r="AS27" s="1"/>
  <c r="AS26" s="1"/>
  <c r="AS25" s="1"/>
  <c r="AS24" s="1"/>
  <c r="AS23" s="1"/>
  <c r="AS22" s="1"/>
  <c r="AS21" s="1"/>
  <c r="AS20" s="1"/>
  <c r="AS19" s="1"/>
  <c r="AS18" s="1"/>
  <c r="AS17" s="1"/>
  <c r="AS16" s="1"/>
  <c r="AS15" s="1"/>
  <c r="AS14" s="1"/>
  <c r="AS13" s="1"/>
  <c r="AS12" s="1"/>
  <c r="AS11" s="1"/>
  <c r="AS10" s="1"/>
  <c r="AS9" s="1"/>
  <c r="AS8" s="1"/>
  <c r="AS7" s="1"/>
  <c r="AS6" s="1"/>
  <c r="AS5" s="1"/>
  <c r="AS4" s="1"/>
  <c r="D44" i="3"/>
  <c r="D44" i="15"/>
  <c r="D120" i="6"/>
  <c r="D44" i="4"/>
  <c r="D44" i="6"/>
  <c r="D76" i="4"/>
  <c r="V293" i="7"/>
  <c r="W293"/>
  <c r="D221"/>
  <c r="E221"/>
  <c r="S205"/>
  <c r="R205"/>
  <c r="D197"/>
  <c r="E197"/>
  <c r="D189"/>
  <c r="E189"/>
  <c r="D133"/>
  <c r="E133"/>
  <c r="K4" i="11"/>
  <c r="E4" i="10"/>
  <c r="V299" i="7"/>
  <c r="T299"/>
  <c r="S299"/>
  <c r="D267"/>
  <c r="E267"/>
  <c r="E227"/>
  <c r="D227"/>
  <c r="H4" i="11"/>
  <c r="G4"/>
  <c r="R240" i="7"/>
  <c r="C220" i="11"/>
  <c r="C136"/>
  <c r="C44"/>
  <c r="C84"/>
  <c r="C132"/>
  <c r="C299"/>
  <c r="C279"/>
  <c r="C255"/>
  <c r="C235"/>
  <c r="C215"/>
  <c r="C191"/>
  <c r="C171"/>
  <c r="C103"/>
  <c r="C22"/>
  <c r="C62"/>
  <c r="C102"/>
  <c r="C158"/>
  <c r="C274"/>
  <c r="C242"/>
  <c r="C210"/>
  <c r="C178"/>
  <c r="C57"/>
  <c r="C47"/>
  <c r="C65"/>
  <c r="C123"/>
  <c r="C59"/>
  <c r="C149"/>
  <c r="C85"/>
  <c r="C21"/>
  <c r="C151"/>
  <c r="C221"/>
  <c r="C285"/>
  <c r="C66"/>
  <c r="C180"/>
  <c r="C276"/>
  <c r="C10"/>
  <c r="C74"/>
  <c r="C138"/>
  <c r="C281"/>
  <c r="C249"/>
  <c r="C217"/>
  <c r="C185"/>
  <c r="C41"/>
  <c r="E273" i="7"/>
  <c r="D273"/>
  <c r="E153"/>
  <c r="D153"/>
  <c r="W145"/>
  <c r="V145"/>
  <c r="R145"/>
  <c r="D129"/>
  <c r="E129"/>
  <c r="G4" i="12"/>
  <c r="M4"/>
  <c r="D4" i="11"/>
  <c r="M4" i="10"/>
  <c r="C188" i="11"/>
  <c r="C300"/>
  <c r="C8"/>
  <c r="C36"/>
  <c r="C76"/>
  <c r="C116"/>
  <c r="C303"/>
  <c r="C283"/>
  <c r="C263"/>
  <c r="C239"/>
  <c r="C219"/>
  <c r="C199"/>
  <c r="C175"/>
  <c r="C135"/>
  <c r="C6"/>
  <c r="C54"/>
  <c r="C94"/>
  <c r="C150"/>
  <c r="C278"/>
  <c r="C246"/>
  <c r="C214"/>
  <c r="C182"/>
  <c r="C89"/>
  <c r="C63"/>
  <c r="C81"/>
  <c r="C131"/>
  <c r="C67"/>
  <c r="C157"/>
  <c r="C93"/>
  <c r="C29"/>
  <c r="C197"/>
  <c r="C261"/>
  <c r="C114"/>
  <c r="C73"/>
  <c r="C236"/>
  <c r="C56"/>
  <c r="C64"/>
  <c r="C128"/>
  <c r="C288"/>
  <c r="C256"/>
  <c r="C224"/>
  <c r="C192"/>
  <c r="C160"/>
  <c r="C119"/>
  <c r="C168"/>
  <c r="C184"/>
  <c r="C200"/>
  <c r="C216"/>
  <c r="C232"/>
  <c r="C248"/>
  <c r="C264"/>
  <c r="C280"/>
  <c r="C296"/>
  <c r="C144"/>
  <c r="C112"/>
  <c r="C80"/>
  <c r="C48"/>
  <c r="C16"/>
  <c r="C24"/>
  <c r="C152"/>
  <c r="C252"/>
  <c r="C204"/>
  <c r="C164"/>
  <c r="C34"/>
  <c r="C98"/>
  <c r="C301"/>
  <c r="C269"/>
  <c r="C237"/>
  <c r="C205"/>
  <c r="C173"/>
  <c r="C13"/>
  <c r="C45"/>
  <c r="C77"/>
  <c r="C109"/>
  <c r="C141"/>
  <c r="C19"/>
  <c r="C51"/>
  <c r="C83"/>
  <c r="C115"/>
  <c r="C147"/>
  <c r="C49"/>
  <c r="C113"/>
  <c r="C31"/>
  <c r="C95"/>
  <c r="C25"/>
  <c r="C153"/>
  <c r="C174"/>
  <c r="C190"/>
  <c r="C206"/>
  <c r="C222"/>
  <c r="C238"/>
  <c r="C254"/>
  <c r="C270"/>
  <c r="C286"/>
  <c r="C302"/>
  <c r="C134"/>
  <c r="C105"/>
  <c r="C161"/>
  <c r="C177"/>
  <c r="C193"/>
  <c r="C209"/>
  <c r="C225"/>
  <c r="C241"/>
  <c r="C257"/>
  <c r="C273"/>
  <c r="C289"/>
  <c r="C154"/>
  <c r="C122"/>
  <c r="C90"/>
  <c r="C58"/>
  <c r="C26"/>
  <c r="C120"/>
  <c r="C260"/>
  <c r="C212"/>
  <c r="C172"/>
  <c r="C18"/>
  <c r="C82"/>
  <c r="C146"/>
  <c r="C277"/>
  <c r="C245"/>
  <c r="C213"/>
  <c r="C181"/>
  <c r="C87"/>
  <c r="C5"/>
  <c r="C37"/>
  <c r="C69"/>
  <c r="C101"/>
  <c r="C133"/>
  <c r="C11"/>
  <c r="C43"/>
  <c r="C75"/>
  <c r="C107"/>
  <c r="C139"/>
  <c r="C33"/>
  <c r="C97"/>
  <c r="C15"/>
  <c r="C79"/>
  <c r="C143"/>
  <c r="C121"/>
  <c r="C170"/>
  <c r="C186"/>
  <c r="C202"/>
  <c r="C218"/>
  <c r="C234"/>
  <c r="C250"/>
  <c r="C266"/>
  <c r="C282"/>
  <c r="C298"/>
  <c r="C142"/>
  <c r="C110"/>
  <c r="C78"/>
  <c r="C46"/>
  <c r="C14"/>
  <c r="C71"/>
  <c r="C163"/>
  <c r="C179"/>
  <c r="C195"/>
  <c r="C211"/>
  <c r="C227"/>
  <c r="C243"/>
  <c r="C259"/>
  <c r="C275"/>
  <c r="C291"/>
  <c r="C156"/>
  <c r="C124"/>
  <c r="C92"/>
  <c r="C60"/>
  <c r="C28"/>
  <c r="C104"/>
  <c r="C268"/>
  <c r="C137"/>
  <c r="D279" i="7"/>
  <c r="E279"/>
  <c r="E215"/>
  <c r="D215"/>
  <c r="E167"/>
  <c r="D167"/>
  <c r="V192"/>
  <c r="W198"/>
  <c r="X208"/>
  <c r="W286"/>
  <c r="W250"/>
  <c r="X266"/>
  <c r="W134"/>
  <c r="V162"/>
  <c r="V186"/>
  <c r="X210"/>
  <c r="V180"/>
  <c r="V132"/>
  <c r="W216"/>
  <c r="C304" i="8"/>
  <c r="C300"/>
  <c r="C296"/>
  <c r="C292"/>
  <c r="C288"/>
  <c r="C284"/>
  <c r="C280"/>
  <c r="C276"/>
  <c r="C272"/>
  <c r="C268"/>
  <c r="C264"/>
  <c r="C260"/>
  <c r="C256"/>
  <c r="C252"/>
  <c r="C248"/>
  <c r="C244"/>
  <c r="C240"/>
  <c r="C236"/>
  <c r="C232"/>
  <c r="C228"/>
  <c r="C224"/>
  <c r="C220"/>
  <c r="C216"/>
  <c r="C212"/>
  <c r="C208"/>
  <c r="C204"/>
  <c r="C200"/>
  <c r="C196"/>
  <c r="C192"/>
  <c r="C188"/>
  <c r="C184"/>
  <c r="C180"/>
  <c r="C176"/>
  <c r="C172"/>
  <c r="C168"/>
  <c r="C164"/>
  <c r="C160"/>
  <c r="C156"/>
  <c r="C152"/>
  <c r="C148"/>
  <c r="C144"/>
  <c r="C140"/>
  <c r="C136"/>
  <c r="C132"/>
  <c r="C128"/>
  <c r="C124"/>
  <c r="C120"/>
  <c r="C116"/>
  <c r="C112"/>
  <c r="C108"/>
  <c r="C104"/>
  <c r="C100"/>
  <c r="C96"/>
  <c r="C92"/>
  <c r="C88"/>
  <c r="C84"/>
  <c r="C80"/>
  <c r="C76"/>
  <c r="C72"/>
  <c r="C68"/>
  <c r="C64"/>
  <c r="C60"/>
  <c r="C56"/>
  <c r="C52"/>
  <c r="C48"/>
  <c r="C44"/>
  <c r="C40"/>
  <c r="C36"/>
  <c r="C32"/>
  <c r="C28"/>
  <c r="C24"/>
  <c r="C20"/>
  <c r="C16"/>
  <c r="C12"/>
  <c r="C8"/>
  <c r="V160" i="7"/>
  <c r="X182"/>
  <c r="C301" i="8"/>
  <c r="C297"/>
  <c r="C293"/>
  <c r="C289"/>
  <c r="C285"/>
  <c r="C281"/>
  <c r="C277"/>
  <c r="C273"/>
  <c r="C269"/>
  <c r="C265"/>
  <c r="C261"/>
  <c r="C257"/>
  <c r="C253"/>
  <c r="C249"/>
  <c r="C245"/>
  <c r="C241"/>
  <c r="C237"/>
  <c r="C233"/>
  <c r="C229"/>
  <c r="C225"/>
  <c r="C221"/>
  <c r="C217"/>
  <c r="C213"/>
  <c r="C209"/>
  <c r="C205"/>
  <c r="C201"/>
  <c r="C197"/>
  <c r="C193"/>
  <c r="C189"/>
  <c r="C185"/>
  <c r="C181"/>
  <c r="C177"/>
  <c r="C173"/>
  <c r="C169"/>
  <c r="C165"/>
  <c r="C161"/>
  <c r="C157"/>
  <c r="C153"/>
  <c r="C149"/>
  <c r="C145"/>
  <c r="C141"/>
  <c r="C137"/>
  <c r="C133"/>
  <c r="C129"/>
  <c r="C125"/>
  <c r="C121"/>
  <c r="C117"/>
  <c r="C113"/>
  <c r="C109"/>
  <c r="C105"/>
  <c r="C101"/>
  <c r="C97"/>
  <c r="C93"/>
  <c r="C89"/>
  <c r="C85"/>
  <c r="C81"/>
  <c r="C77"/>
  <c r="C73"/>
  <c r="C69"/>
  <c r="C65"/>
  <c r="C61"/>
  <c r="C57"/>
  <c r="C53"/>
  <c r="C49"/>
  <c r="C45"/>
  <c r="C41"/>
  <c r="C37"/>
  <c r="C33"/>
  <c r="C29"/>
  <c r="C25"/>
  <c r="C21"/>
  <c r="C17"/>
  <c r="C13"/>
  <c r="C9"/>
  <c r="C6"/>
  <c r="C302"/>
  <c r="C298"/>
  <c r="C294"/>
  <c r="C290"/>
  <c r="C286"/>
  <c r="C282"/>
  <c r="C278"/>
  <c r="C274"/>
  <c r="C270"/>
  <c r="C266"/>
  <c r="C262"/>
  <c r="C258"/>
  <c r="C254"/>
  <c r="C250"/>
  <c r="C246"/>
  <c r="C242"/>
  <c r="C238"/>
  <c r="C234"/>
  <c r="C230"/>
  <c r="C226"/>
  <c r="C222"/>
  <c r="C218"/>
  <c r="C214"/>
  <c r="C210"/>
  <c r="C206"/>
  <c r="C202"/>
  <c r="C198"/>
  <c r="C194"/>
  <c r="C190"/>
  <c r="C186"/>
  <c r="C182"/>
  <c r="C178"/>
  <c r="C174"/>
  <c r="C170"/>
  <c r="C166"/>
  <c r="C162"/>
  <c r="C158"/>
  <c r="C154"/>
  <c r="C150"/>
  <c r="C146"/>
  <c r="C142"/>
  <c r="C138"/>
  <c r="C134"/>
  <c r="C130"/>
  <c r="C126"/>
  <c r="C122"/>
  <c r="C118"/>
  <c r="C114"/>
  <c r="C110"/>
  <c r="C106"/>
  <c r="C102"/>
  <c r="C98"/>
  <c r="C94"/>
  <c r="C90"/>
  <c r="C86"/>
  <c r="C82"/>
  <c r="C78"/>
  <c r="C74"/>
  <c r="C70"/>
  <c r="C66"/>
  <c r="C62"/>
  <c r="C58"/>
  <c r="C54"/>
  <c r="C50"/>
  <c r="C46"/>
  <c r="C42"/>
  <c r="C38"/>
  <c r="C34"/>
  <c r="C30"/>
  <c r="C26"/>
  <c r="C22"/>
  <c r="C18"/>
  <c r="C14"/>
  <c r="C10"/>
  <c r="L145" i="7"/>
  <c r="L205"/>
  <c r="K299"/>
  <c r="J145"/>
  <c r="J267"/>
  <c r="L123"/>
  <c r="J270"/>
  <c r="L299"/>
  <c r="J158"/>
  <c r="J293"/>
  <c r="K267"/>
  <c r="K145"/>
  <c r="L270"/>
  <c r="L267"/>
  <c r="K123"/>
  <c r="J205"/>
  <c r="K293"/>
  <c r="K270"/>
  <c r="J123"/>
  <c r="K205"/>
  <c r="K189"/>
  <c r="L293"/>
  <c r="J299"/>
  <c r="J209"/>
  <c r="J144"/>
  <c r="L256"/>
  <c r="L230"/>
  <c r="L163"/>
  <c r="L269"/>
  <c r="L285"/>
  <c r="K271"/>
  <c r="J139"/>
  <c r="K231"/>
  <c r="L150"/>
  <c r="L193"/>
  <c r="J229"/>
  <c r="J234"/>
  <c r="J174"/>
  <c r="K181"/>
  <c r="L131"/>
  <c r="L190"/>
  <c r="K204"/>
  <c r="K242"/>
  <c r="L166"/>
  <c r="L248"/>
  <c r="J185"/>
  <c r="L213"/>
  <c r="J280"/>
  <c r="L236"/>
  <c r="L251"/>
  <c r="J157"/>
  <c r="J226"/>
  <c r="K201"/>
  <c r="L232"/>
  <c r="L200"/>
  <c r="L261"/>
  <c r="K184"/>
  <c r="L179"/>
  <c r="J265"/>
  <c r="L127"/>
  <c r="J203"/>
  <c r="J289"/>
  <c r="K169"/>
  <c r="K146"/>
  <c r="L151"/>
  <c r="L172"/>
  <c r="K168"/>
  <c r="L277"/>
  <c r="K284"/>
  <c r="L128"/>
  <c r="K296"/>
  <c r="K281"/>
  <c r="L297"/>
  <c r="J287"/>
  <c r="J176"/>
  <c r="L149"/>
  <c r="K125"/>
  <c r="K214"/>
  <c r="J152"/>
  <c r="J244"/>
  <c r="M54" i="3"/>
  <c r="H54" i="7" s="1"/>
  <c r="M15" i="3"/>
  <c r="H15" i="7" s="1"/>
  <c r="M31" i="3"/>
  <c r="H4" i="9"/>
  <c r="M28" i="3"/>
  <c r="G4" i="9"/>
  <c r="D4"/>
  <c r="M4"/>
  <c r="C4"/>
  <c r="J16" i="3" s="1"/>
  <c r="K16" s="1"/>
  <c r="M16" s="1"/>
  <c r="F4" i="9"/>
  <c r="E4"/>
  <c r="J15" i="3" s="1"/>
  <c r="K15" s="1"/>
  <c r="M9"/>
  <c r="G9" i="15" s="1"/>
  <c r="N4" i="9"/>
  <c r="J4"/>
  <c r="K4"/>
  <c r="I4"/>
  <c r="L4"/>
  <c r="D302" i="3"/>
  <c r="D302" i="2"/>
  <c r="D302" i="5"/>
  <c r="D302" i="15"/>
  <c r="D302" i="4"/>
  <c r="D294" i="15"/>
  <c r="D294" i="4"/>
  <c r="D294" i="5"/>
  <c r="D294" i="2"/>
  <c r="D290" i="15"/>
  <c r="D290" i="4"/>
  <c r="D290" i="5"/>
  <c r="D290" i="2"/>
  <c r="D290" i="3"/>
  <c r="D286" i="15"/>
  <c r="D286" i="4"/>
  <c r="D286" i="5"/>
  <c r="D286" i="2"/>
  <c r="D282" i="3"/>
  <c r="D282" i="4"/>
  <c r="D282" i="5"/>
  <c r="D282" i="2"/>
  <c r="D278" i="4"/>
  <c r="D278" i="5"/>
  <c r="D278" i="3"/>
  <c r="D274" i="15"/>
  <c r="D274" i="2"/>
  <c r="D274" i="4"/>
  <c r="D274" i="5"/>
  <c r="D270" i="15"/>
  <c r="D270" i="4"/>
  <c r="D270" i="5"/>
  <c r="D270" i="2"/>
  <c r="D270" i="3"/>
  <c r="D266" i="15"/>
  <c r="D266" i="4"/>
  <c r="D266" i="5"/>
  <c r="D266" i="2"/>
  <c r="D262" i="15"/>
  <c r="D262" i="2"/>
  <c r="D262" i="4"/>
  <c r="D262" i="5"/>
  <c r="D262" i="3"/>
  <c r="D258" i="2"/>
  <c r="D258" i="15"/>
  <c r="D254" i="3"/>
  <c r="D254" i="2"/>
  <c r="D254" i="4"/>
  <c r="D246" i="15"/>
  <c r="D246" i="2"/>
  <c r="D246" i="3"/>
  <c r="D246" i="4"/>
  <c r="D242" i="3"/>
  <c r="D242" i="15"/>
  <c r="D242" i="2"/>
  <c r="D234" i="4"/>
  <c r="D234" i="5"/>
  <c r="D234" i="15"/>
  <c r="D230" i="5"/>
  <c r="D230" i="3"/>
  <c r="D230" i="15"/>
  <c r="D226" i="2"/>
  <c r="D226" i="3"/>
  <c r="D226" i="15"/>
  <c r="D226" i="5"/>
  <c r="D226" i="4"/>
  <c r="D218" i="3"/>
  <c r="D218" i="15"/>
  <c r="D218" i="4"/>
  <c r="D218" i="2"/>
  <c r="D214" i="4"/>
  <c r="D214" i="3"/>
  <c r="D210" i="15"/>
  <c r="D210" i="4"/>
  <c r="D206"/>
  <c r="D206" i="15"/>
  <c r="D206" i="2"/>
  <c r="D206" i="3"/>
  <c r="D202" i="15"/>
  <c r="D202" i="2"/>
  <c r="D202" i="4"/>
  <c r="D198" i="2"/>
  <c r="D198" i="4"/>
  <c r="D198" i="15"/>
  <c r="D198" i="3"/>
  <c r="D194" i="2"/>
  <c r="D194" i="3"/>
  <c r="D194" i="5"/>
  <c r="D194" i="15"/>
  <c r="D194" i="4"/>
  <c r="D190" i="15"/>
  <c r="D190" i="3"/>
  <c r="D190" i="5"/>
  <c r="D190" i="2"/>
  <c r="D190" i="4"/>
  <c r="D186" i="5"/>
  <c r="D186" i="2"/>
  <c r="D186" i="15"/>
  <c r="D182" i="2"/>
  <c r="D182" i="15"/>
  <c r="D182" i="3"/>
  <c r="D182" i="4"/>
  <c r="D174" i="15"/>
  <c r="D174" i="2"/>
  <c r="D174" i="3"/>
  <c r="D174" i="4"/>
  <c r="D166" i="15"/>
  <c r="D166" i="5"/>
  <c r="D166" i="2"/>
  <c r="D162"/>
  <c r="D162" i="5"/>
  <c r="D162" i="15"/>
  <c r="D162" i="3"/>
  <c r="D162" i="4"/>
  <c r="D158" i="2"/>
  <c r="D158" i="5"/>
  <c r="D154" i="15"/>
  <c r="D154" i="3"/>
  <c r="D154" i="5"/>
  <c r="D154" i="2"/>
  <c r="D154" i="4"/>
  <c r="D150" i="15"/>
  <c r="D150" i="2"/>
  <c r="D150" i="5"/>
  <c r="D150" i="3"/>
  <c r="D146" i="15"/>
  <c r="D146" i="5"/>
  <c r="D146" i="2"/>
  <c r="D146" i="4"/>
  <c r="D142" i="5"/>
  <c r="D142" i="15"/>
  <c r="D142" i="2"/>
  <c r="D142" i="3"/>
  <c r="D138" i="15"/>
  <c r="D138" i="2"/>
  <c r="D138" i="5"/>
  <c r="D138" i="4"/>
  <c r="D134" i="2"/>
  <c r="D134" i="5"/>
  <c r="D134" i="15"/>
  <c r="D134" i="3"/>
  <c r="D126" i="2"/>
  <c r="D126" i="3"/>
  <c r="D126" i="15"/>
  <c r="D118"/>
  <c r="D118" i="2"/>
  <c r="D118" i="3"/>
  <c r="D110" i="15"/>
  <c r="D110" i="2"/>
  <c r="D110" i="3"/>
  <c r="D106" i="2"/>
  <c r="D106" i="15"/>
  <c r="D106" i="4"/>
  <c r="D98" i="15"/>
  <c r="D98" i="3"/>
  <c r="D98" i="5"/>
  <c r="D98" i="2"/>
  <c r="D98" i="4"/>
  <c r="D94"/>
  <c r="D94" i="3"/>
  <c r="D94" i="5"/>
  <c r="D94" i="15"/>
  <c r="D94" i="2"/>
  <c r="D90" i="5"/>
  <c r="D90" i="15"/>
  <c r="D90" i="2"/>
  <c r="D90" i="4"/>
  <c r="D86" i="3"/>
  <c r="D86" i="4"/>
  <c r="D86" i="5"/>
  <c r="D82" i="15"/>
  <c r="D82" i="5"/>
  <c r="D82" i="3"/>
  <c r="D82" i="4"/>
  <c r="D303" i="6"/>
  <c r="D303" i="15"/>
  <c r="D303" i="3"/>
  <c r="D299" i="5"/>
  <c r="D299" i="15"/>
  <c r="D299" i="4"/>
  <c r="D299" i="2"/>
  <c r="D295"/>
  <c r="D295" i="3"/>
  <c r="D295" i="5"/>
  <c r="D295" i="4"/>
  <c r="D291" i="3"/>
  <c r="D291" i="5"/>
  <c r="D291" i="15"/>
  <c r="D287" i="3"/>
  <c r="D287" i="5"/>
  <c r="D287" i="4"/>
  <c r="D283" i="15"/>
  <c r="D283" i="5"/>
  <c r="D279" i="15"/>
  <c r="D279" i="3"/>
  <c r="D279" i="5"/>
  <c r="D279" i="2"/>
  <c r="D279" i="4"/>
  <c r="D275" i="5"/>
  <c r="D275" i="3"/>
  <c r="D275" i="15"/>
  <c r="D275" i="2"/>
  <c r="D271" i="3"/>
  <c r="D271" i="2"/>
  <c r="D271" i="5"/>
  <c r="D271" i="4"/>
  <c r="D267" i="5"/>
  <c r="D267" i="2"/>
  <c r="D267" i="3"/>
  <c r="D267" i="15"/>
  <c r="D263" i="3"/>
  <c r="D263" i="5"/>
  <c r="D263" i="15"/>
  <c r="D263" i="4"/>
  <c r="D259" i="5"/>
  <c r="D259" i="15"/>
  <c r="D259" i="3"/>
  <c r="D259" i="4"/>
  <c r="D259" i="2"/>
  <c r="D255" i="15"/>
  <c r="D255" i="4"/>
  <c r="D255" i="2"/>
  <c r="D255" i="3"/>
  <c r="D251" i="2"/>
  <c r="D251" i="3"/>
  <c r="D251" i="4"/>
  <c r="D251" i="15"/>
  <c r="D247" i="4"/>
  <c r="D247" i="15"/>
  <c r="D247" i="2"/>
  <c r="D243" i="15"/>
  <c r="D243" i="4"/>
  <c r="D243" i="3"/>
  <c r="D239" i="15"/>
  <c r="D239" i="2"/>
  <c r="D239" i="4"/>
  <c r="D235" i="2"/>
  <c r="D235" i="15"/>
  <c r="D235" i="3"/>
  <c r="D235" i="5"/>
  <c r="D231" i="2"/>
  <c r="D231" i="5"/>
  <c r="D231" i="15"/>
  <c r="D227" i="4"/>
  <c r="D227" i="2"/>
  <c r="D227" i="5"/>
  <c r="D223"/>
  <c r="D223" i="4"/>
  <c r="D223" i="15"/>
  <c r="D223" i="2"/>
  <c r="D223" i="3"/>
  <c r="D219" i="2"/>
  <c r="D219" i="4"/>
  <c r="D215" i="15"/>
  <c r="D215" i="2"/>
  <c r="D215" i="3"/>
  <c r="D211" i="2"/>
  <c r="D211" i="3"/>
  <c r="D211" i="15"/>
  <c r="D211" i="4"/>
  <c r="D207" i="3"/>
  <c r="D207" i="2"/>
  <c r="D203" i="3"/>
  <c r="D203" i="15"/>
  <c r="D203" i="4"/>
  <c r="D199" i="3"/>
  <c r="D199" i="15"/>
  <c r="D199" i="2"/>
  <c r="D195"/>
  <c r="D195" i="4"/>
  <c r="D191" i="5"/>
  <c r="D191" i="15"/>
  <c r="D191" i="3"/>
  <c r="D187" i="5"/>
  <c r="D187" i="15"/>
  <c r="D187" i="3"/>
  <c r="D187" i="4"/>
  <c r="D183" i="3"/>
  <c r="D183" i="4"/>
  <c r="D183" i="2"/>
  <c r="D179"/>
  <c r="D179" i="3"/>
  <c r="D179" i="4"/>
  <c r="D175" i="15"/>
  <c r="D175" i="2"/>
  <c r="D175" i="3"/>
  <c r="D175" i="4"/>
  <c r="D167" i="2"/>
  <c r="D167" i="5"/>
  <c r="D167" i="3"/>
  <c r="D167" i="4"/>
  <c r="D167" i="15"/>
  <c r="D163" i="2"/>
  <c r="D163" i="3"/>
  <c r="D163" i="4"/>
  <c r="D163" i="15"/>
  <c r="D163" i="5"/>
  <c r="D159" i="15"/>
  <c r="D159" i="5"/>
  <c r="D159" i="3"/>
  <c r="D159" i="4"/>
  <c r="D159" i="2"/>
  <c r="D155" i="4"/>
  <c r="D155" i="2"/>
  <c r="D155" i="5"/>
  <c r="D155" i="15"/>
  <c r="D151" i="3"/>
  <c r="D151" i="5"/>
  <c r="D151" i="2"/>
  <c r="D151" i="4"/>
  <c r="D151" i="15"/>
  <c r="D147" i="4"/>
  <c r="D147" i="2"/>
  <c r="D147" i="3"/>
  <c r="D147" i="5"/>
  <c r="D147" i="15"/>
  <c r="D143" i="3"/>
  <c r="D143" i="5"/>
  <c r="D143" i="4"/>
  <c r="D139" i="2"/>
  <c r="D139" i="4"/>
  <c r="D139" i="3"/>
  <c r="D139" i="5"/>
  <c r="D139" i="15"/>
  <c r="D135" i="3"/>
  <c r="D135" i="5"/>
  <c r="D135" i="15"/>
  <c r="D135" i="4"/>
  <c r="D135" i="2"/>
  <c r="D131" i="15"/>
  <c r="D131" i="2"/>
  <c r="D131" i="3"/>
  <c r="D131" i="5"/>
  <c r="D127" i="15"/>
  <c r="D127" i="4"/>
  <c r="D127" i="2"/>
  <c r="D127" i="3"/>
  <c r="D123" i="15"/>
  <c r="D123" i="4"/>
  <c r="D123" i="3"/>
  <c r="D123" i="2"/>
  <c r="D119" i="5"/>
  <c r="D119" i="4"/>
  <c r="D115" i="15"/>
  <c r="D115" i="2"/>
  <c r="D115" i="5"/>
  <c r="D115" i="3"/>
  <c r="D111" i="5"/>
  <c r="D111" i="15"/>
  <c r="D111" i="4"/>
  <c r="D107" i="2"/>
  <c r="D107" i="15"/>
  <c r="D107" i="5"/>
  <c r="D107" i="3"/>
  <c r="D103" i="5"/>
  <c r="D103" i="2"/>
  <c r="D103" i="4"/>
  <c r="D95" i="3"/>
  <c r="D95" i="15"/>
  <c r="D95" i="4"/>
  <c r="D91"/>
  <c r="D91" i="2"/>
  <c r="D91" i="3"/>
  <c r="D87" i="15"/>
  <c r="D87" i="3"/>
  <c r="D87" i="4"/>
  <c r="D83" i="3"/>
  <c r="D83" i="15"/>
  <c r="D79" i="2"/>
  <c r="D79" i="3"/>
  <c r="D79" i="15"/>
  <c r="D79" i="5"/>
  <c r="D304" i="15"/>
  <c r="D304" i="5"/>
  <c r="D304" i="6"/>
  <c r="D304" i="3"/>
  <c r="D76" i="15"/>
  <c r="D76" i="5"/>
  <c r="D68" i="15"/>
  <c r="D68" i="6"/>
  <c r="D68" i="4"/>
  <c r="D68" i="2"/>
  <c r="D68" i="5"/>
  <c r="D285" i="3"/>
  <c r="D285" i="6"/>
  <c r="D281"/>
  <c r="D281" i="3"/>
  <c r="D233"/>
  <c r="D233" i="2"/>
  <c r="D157" i="3"/>
  <c r="D157" i="6"/>
  <c r="D153" i="2"/>
  <c r="D153" i="3"/>
  <c r="D93" i="6"/>
  <c r="D93" i="3"/>
  <c r="D93" i="2"/>
  <c r="S164" i="7"/>
  <c r="X302"/>
  <c r="S140"/>
  <c r="J195"/>
  <c r="K240"/>
  <c r="X240"/>
  <c r="V148"/>
  <c r="L240"/>
  <c r="S240"/>
  <c r="R148"/>
  <c r="T240"/>
  <c r="J240"/>
  <c r="W240"/>
  <c r="V199"/>
  <c r="J130"/>
  <c r="K283"/>
  <c r="X157"/>
  <c r="T174"/>
  <c r="X174"/>
  <c r="S214"/>
  <c r="W214"/>
  <c r="J214"/>
  <c r="W258"/>
  <c r="T266"/>
  <c r="V158"/>
  <c r="L195"/>
  <c r="L199"/>
  <c r="T233"/>
  <c r="R130"/>
  <c r="R174"/>
  <c r="T201"/>
  <c r="T172"/>
  <c r="L233"/>
  <c r="W164"/>
  <c r="V174"/>
  <c r="J159"/>
  <c r="K199"/>
  <c r="K164"/>
  <c r="L130"/>
  <c r="S298"/>
  <c r="X289"/>
  <c r="R140"/>
  <c r="J207"/>
  <c r="S291"/>
  <c r="V181"/>
  <c r="K158"/>
  <c r="L158"/>
  <c r="V156"/>
  <c r="S174"/>
  <c r="S199"/>
  <c r="X199"/>
  <c r="W229"/>
  <c r="K130"/>
  <c r="T298"/>
  <c r="V127"/>
  <c r="W228"/>
  <c r="V140"/>
  <c r="R248"/>
  <c r="X181"/>
  <c r="T158"/>
  <c r="W174"/>
  <c r="T199"/>
  <c r="W199"/>
  <c r="X164"/>
  <c r="X130"/>
  <c r="L298"/>
  <c r="W298"/>
  <c r="K300"/>
  <c r="L164"/>
  <c r="R157"/>
  <c r="R158"/>
  <c r="J181"/>
  <c r="K174"/>
  <c r="W157"/>
  <c r="K241"/>
  <c r="K203"/>
  <c r="V157"/>
  <c r="W158"/>
  <c r="L174"/>
  <c r="J199"/>
  <c r="T140"/>
  <c r="T130"/>
  <c r="J298"/>
  <c r="K258"/>
  <c r="X158"/>
  <c r="R294"/>
  <c r="S294"/>
  <c r="K236"/>
  <c r="X236"/>
  <c r="R298"/>
  <c r="K298"/>
  <c r="X298"/>
  <c r="X195"/>
  <c r="V195"/>
  <c r="R195"/>
  <c r="R181"/>
  <c r="T181"/>
  <c r="L181"/>
  <c r="W181"/>
  <c r="V164"/>
  <c r="T164"/>
  <c r="J164"/>
  <c r="L157"/>
  <c r="T157"/>
  <c r="V153"/>
  <c r="S153"/>
  <c r="K153"/>
  <c r="R153"/>
  <c r="L133"/>
  <c r="V130"/>
  <c r="S130"/>
  <c r="K196"/>
  <c r="X196"/>
  <c r="W148"/>
  <c r="K148"/>
  <c r="J237"/>
  <c r="T236"/>
  <c r="L169"/>
  <c r="L223"/>
  <c r="T126"/>
  <c r="V178"/>
  <c r="K286"/>
  <c r="C16" i="13"/>
  <c r="C117"/>
  <c r="C113"/>
  <c r="C109"/>
  <c r="C105"/>
  <c r="C101"/>
  <c r="C97"/>
  <c r="C93"/>
  <c r="C89"/>
  <c r="C85"/>
  <c r="C81"/>
  <c r="C77"/>
  <c r="C73"/>
  <c r="C69"/>
  <c r="C65"/>
  <c r="C61"/>
  <c r="C57"/>
  <c r="C53"/>
  <c r="C49"/>
  <c r="C45"/>
  <c r="C41"/>
  <c r="C37"/>
  <c r="C33"/>
  <c r="C29"/>
  <c r="C25"/>
  <c r="C21"/>
  <c r="C17"/>
  <c r="C13"/>
  <c r="C121"/>
  <c r="C118"/>
  <c r="C114"/>
  <c r="C110"/>
  <c r="C106"/>
  <c r="C102"/>
  <c r="C98"/>
  <c r="C94"/>
  <c r="C90"/>
  <c r="C86"/>
  <c r="C82"/>
  <c r="C78"/>
  <c r="C74"/>
  <c r="C70"/>
  <c r="C66"/>
  <c r="C62"/>
  <c r="C58"/>
  <c r="C54"/>
  <c r="C50"/>
  <c r="C46"/>
  <c r="C42"/>
  <c r="C38"/>
  <c r="C34"/>
  <c r="C30"/>
  <c r="C26"/>
  <c r="C22"/>
  <c r="C18"/>
  <c r="C14"/>
  <c r="C119"/>
  <c r="C115"/>
  <c r="C111"/>
  <c r="C107"/>
  <c r="C103"/>
  <c r="C99"/>
  <c r="C95"/>
  <c r="C91"/>
  <c r="C87"/>
  <c r="C83"/>
  <c r="C79"/>
  <c r="C75"/>
  <c r="C71"/>
  <c r="C67"/>
  <c r="C63"/>
  <c r="C59"/>
  <c r="C55"/>
  <c r="C51"/>
  <c r="C47"/>
  <c r="C43"/>
  <c r="C39"/>
  <c r="C35"/>
  <c r="C31"/>
  <c r="C27"/>
  <c r="C23"/>
  <c r="C19"/>
  <c r="C15"/>
  <c r="C120"/>
  <c r="C116"/>
  <c r="C112"/>
  <c r="C108"/>
  <c r="C104"/>
  <c r="C100"/>
  <c r="C96"/>
  <c r="C92"/>
  <c r="C88"/>
  <c r="C84"/>
  <c r="C80"/>
  <c r="C76"/>
  <c r="C72"/>
  <c r="C68"/>
  <c r="C64"/>
  <c r="C60"/>
  <c r="C56"/>
  <c r="C52"/>
  <c r="C48"/>
  <c r="C44"/>
  <c r="C40"/>
  <c r="C36"/>
  <c r="C32"/>
  <c r="C28"/>
  <c r="C24"/>
  <c r="C20"/>
  <c r="C121" i="3"/>
  <c r="C121" i="4"/>
  <c r="C121" i="5"/>
  <c r="C121" i="15"/>
  <c r="C121" i="6"/>
  <c r="C121" i="2"/>
  <c r="C121" i="7" s="1"/>
  <c r="D121" s="1"/>
  <c r="T245"/>
  <c r="S143"/>
  <c r="T257"/>
  <c r="T159"/>
  <c r="W257"/>
  <c r="L300"/>
  <c r="J277"/>
  <c r="L284"/>
  <c r="K277"/>
  <c r="T272"/>
  <c r="R166"/>
  <c r="S247"/>
  <c r="T219"/>
  <c r="X226"/>
  <c r="T198"/>
  <c r="R291"/>
  <c r="L262"/>
  <c r="K198"/>
  <c r="R269"/>
  <c r="S163"/>
  <c r="X291"/>
  <c r="V241"/>
  <c r="J261"/>
  <c r="S183"/>
  <c r="W135"/>
  <c r="J190"/>
  <c r="R249"/>
  <c r="W231"/>
  <c r="W249"/>
  <c r="K135"/>
  <c r="S237"/>
  <c r="S192"/>
  <c r="K173"/>
  <c r="X212"/>
  <c r="X287"/>
  <c r="X249"/>
  <c r="X245"/>
  <c r="K245"/>
  <c r="S209"/>
  <c r="V234"/>
  <c r="J281"/>
  <c r="K162"/>
  <c r="T269"/>
  <c r="R162"/>
  <c r="J206"/>
  <c r="R245"/>
  <c r="S249"/>
  <c r="J175"/>
  <c r="V209"/>
  <c r="W264"/>
  <c r="V281"/>
  <c r="W149"/>
  <c r="L278"/>
  <c r="W276"/>
  <c r="X190"/>
  <c r="J245"/>
  <c r="W209"/>
  <c r="W283"/>
  <c r="T171"/>
  <c r="S232"/>
  <c r="V226"/>
  <c r="W289"/>
  <c r="X159"/>
  <c r="J143"/>
  <c r="V252"/>
  <c r="L137"/>
  <c r="V166"/>
  <c r="R262"/>
  <c r="W185"/>
  <c r="X264"/>
  <c r="T274"/>
  <c r="R204"/>
  <c r="T291"/>
  <c r="R226"/>
  <c r="X262"/>
  <c r="K200"/>
  <c r="W260"/>
  <c r="V184"/>
  <c r="R296"/>
  <c r="T289"/>
  <c r="S286"/>
  <c r="J266"/>
  <c r="S271"/>
  <c r="S203"/>
  <c r="J294"/>
  <c r="V218"/>
  <c r="W211"/>
  <c r="R152"/>
  <c r="V289"/>
  <c r="K254"/>
  <c r="T203"/>
  <c r="V264"/>
  <c r="S204"/>
  <c r="J291"/>
  <c r="S226"/>
  <c r="W262"/>
  <c r="V144"/>
  <c r="X200"/>
  <c r="S184"/>
  <c r="R146"/>
  <c r="X265"/>
  <c r="W150"/>
  <c r="S289"/>
  <c r="S176"/>
  <c r="W143"/>
  <c r="W218"/>
  <c r="J149"/>
  <c r="T283"/>
  <c r="L245"/>
  <c r="V245"/>
  <c r="R192"/>
  <c r="L296"/>
  <c r="R241"/>
  <c r="W200"/>
  <c r="R264"/>
  <c r="W125"/>
  <c r="S302"/>
  <c r="S211"/>
  <c r="X194"/>
  <c r="L125"/>
  <c r="T212"/>
  <c r="L302"/>
  <c r="R250"/>
  <c r="S139"/>
  <c r="L280"/>
  <c r="T252"/>
  <c r="T206"/>
  <c r="S295"/>
  <c r="J283"/>
  <c r="W245"/>
  <c r="V220"/>
  <c r="R259"/>
  <c r="S128"/>
  <c r="T256"/>
  <c r="W206"/>
  <c r="X223"/>
  <c r="K234"/>
  <c r="S137"/>
  <c r="J212"/>
  <c r="L186"/>
  <c r="S202"/>
  <c r="W302"/>
  <c r="V250"/>
  <c r="L255"/>
  <c r="L139"/>
  <c r="X188"/>
  <c r="T280"/>
  <c r="J252"/>
  <c r="T146"/>
  <c r="K264"/>
  <c r="K186"/>
  <c r="V290"/>
  <c r="V254"/>
  <c r="J138"/>
  <c r="W230"/>
  <c r="T223"/>
  <c r="L228"/>
  <c r="J135"/>
  <c r="K232"/>
  <c r="T220"/>
  <c r="R237"/>
  <c r="V204"/>
  <c r="L192"/>
  <c r="W165"/>
  <c r="R243"/>
  <c r="J173"/>
  <c r="L249"/>
  <c r="K262"/>
  <c r="T262"/>
  <c r="J262"/>
  <c r="X185"/>
  <c r="V288"/>
  <c r="L212"/>
  <c r="V212"/>
  <c r="S146"/>
  <c r="X169"/>
  <c r="W127"/>
  <c r="K176"/>
  <c r="K301"/>
  <c r="S296"/>
  <c r="T179"/>
  <c r="J225"/>
  <c r="W222"/>
  <c r="V263"/>
  <c r="J264"/>
  <c r="K212"/>
  <c r="V146"/>
  <c r="R151"/>
  <c r="V302"/>
  <c r="J286"/>
  <c r="J250"/>
  <c r="W265"/>
  <c r="S169"/>
  <c r="X139"/>
  <c r="K126"/>
  <c r="X172"/>
  <c r="L252"/>
  <c r="R149"/>
  <c r="W151"/>
  <c r="T228"/>
  <c r="L206"/>
  <c r="R142"/>
  <c r="R165"/>
  <c r="S173"/>
  <c r="X296"/>
  <c r="K127"/>
  <c r="J301"/>
  <c r="V136"/>
  <c r="X126"/>
  <c r="K295"/>
  <c r="J278"/>
  <c r="K183"/>
  <c r="L135"/>
  <c r="R135"/>
  <c r="T232"/>
  <c r="R220"/>
  <c r="K237"/>
  <c r="S259"/>
  <c r="W128"/>
  <c r="S272"/>
  <c r="X246"/>
  <c r="V173"/>
  <c r="V249"/>
  <c r="R209"/>
  <c r="S262"/>
  <c r="L263"/>
  <c r="K260"/>
  <c r="S206"/>
  <c r="L146"/>
  <c r="T169"/>
  <c r="L286"/>
  <c r="R155"/>
  <c r="L265"/>
  <c r="J177"/>
  <c r="J296"/>
  <c r="L209"/>
  <c r="V225"/>
  <c r="T264"/>
  <c r="L264"/>
  <c r="X146"/>
  <c r="K202"/>
  <c r="T302"/>
  <c r="R266"/>
  <c r="K255"/>
  <c r="T139"/>
  <c r="L126"/>
  <c r="V187"/>
  <c r="R252"/>
  <c r="J196"/>
  <c r="X228"/>
  <c r="K160"/>
  <c r="T277"/>
  <c r="V274"/>
  <c r="J246"/>
  <c r="J166"/>
  <c r="K256"/>
  <c r="R127"/>
  <c r="X176"/>
  <c r="J248"/>
  <c r="R186"/>
  <c r="J127"/>
  <c r="T136"/>
  <c r="T218"/>
  <c r="K180"/>
  <c r="R219"/>
  <c r="K190"/>
  <c r="K246"/>
  <c r="W166"/>
  <c r="W180"/>
  <c r="R234"/>
  <c r="K218"/>
  <c r="K280"/>
  <c r="V211"/>
  <c r="R283"/>
  <c r="V283"/>
  <c r="S135"/>
  <c r="T135"/>
  <c r="S190"/>
  <c r="R190"/>
  <c r="W274"/>
  <c r="R232"/>
  <c r="V232"/>
  <c r="V201"/>
  <c r="S242"/>
  <c r="X237"/>
  <c r="V237"/>
  <c r="L291"/>
  <c r="V291"/>
  <c r="W226"/>
  <c r="L226"/>
  <c r="S246"/>
  <c r="K235"/>
  <c r="T166"/>
  <c r="S166"/>
  <c r="R144"/>
  <c r="X256"/>
  <c r="R156"/>
  <c r="S127"/>
  <c r="X175"/>
  <c r="J300"/>
  <c r="X211"/>
  <c r="L231"/>
  <c r="R136"/>
  <c r="T127"/>
  <c r="X235"/>
  <c r="V248"/>
  <c r="S225"/>
  <c r="R171"/>
  <c r="L222"/>
  <c r="L194"/>
  <c r="W236"/>
  <c r="R124"/>
  <c r="J162"/>
  <c r="L214"/>
  <c r="T186"/>
  <c r="J193"/>
  <c r="T202"/>
  <c r="R139"/>
  <c r="V139"/>
  <c r="W139"/>
  <c r="W136"/>
  <c r="W126"/>
  <c r="J126"/>
  <c r="L234"/>
  <c r="S156"/>
  <c r="X218"/>
  <c r="L218"/>
  <c r="R218"/>
  <c r="V280"/>
  <c r="T214"/>
  <c r="S124"/>
  <c r="J211"/>
  <c r="S228"/>
  <c r="J228"/>
  <c r="L180"/>
  <c r="S186"/>
  <c r="J180"/>
  <c r="K290"/>
  <c r="R207"/>
  <c r="J284"/>
  <c r="V190"/>
  <c r="K166"/>
  <c r="X144"/>
  <c r="X280"/>
  <c r="K211"/>
  <c r="W186"/>
  <c r="V214"/>
  <c r="L219"/>
  <c r="S277"/>
  <c r="X207"/>
  <c r="R284"/>
  <c r="X219"/>
  <c r="W277"/>
  <c r="K207"/>
  <c r="W207"/>
  <c r="T284"/>
  <c r="W284"/>
  <c r="L283"/>
  <c r="V135"/>
  <c r="W190"/>
  <c r="T190"/>
  <c r="X274"/>
  <c r="X232"/>
  <c r="W232"/>
  <c r="J201"/>
  <c r="V242"/>
  <c r="W237"/>
  <c r="L237"/>
  <c r="K291"/>
  <c r="K226"/>
  <c r="T226"/>
  <c r="L243"/>
  <c r="X166"/>
  <c r="K144"/>
  <c r="S256"/>
  <c r="R280"/>
  <c r="L211"/>
  <c r="L136"/>
  <c r="T231"/>
  <c r="X127"/>
  <c r="X160"/>
  <c r="T255"/>
  <c r="S297"/>
  <c r="R202"/>
  <c r="S162"/>
  <c r="J186"/>
  <c r="X186"/>
  <c r="K139"/>
  <c r="S126"/>
  <c r="V126"/>
  <c r="J218"/>
  <c r="S280"/>
  <c r="W280"/>
  <c r="R211"/>
  <c r="K222"/>
  <c r="J290"/>
  <c r="X295"/>
  <c r="K278"/>
  <c r="X183"/>
  <c r="V276"/>
  <c r="T276"/>
  <c r="L259"/>
  <c r="S260"/>
  <c r="K185"/>
  <c r="V243"/>
  <c r="W193"/>
  <c r="W254"/>
  <c r="T301"/>
  <c r="R255"/>
  <c r="W235"/>
  <c r="V198"/>
  <c r="V137"/>
  <c r="S125"/>
  <c r="J210"/>
  <c r="X151"/>
  <c r="S155"/>
  <c r="R150"/>
  <c r="V196"/>
  <c r="X155"/>
  <c r="V300"/>
  <c r="X193"/>
  <c r="S151"/>
  <c r="L295"/>
  <c r="T278"/>
  <c r="J183"/>
  <c r="V259"/>
  <c r="T192"/>
  <c r="J128"/>
  <c r="R198"/>
  <c r="X177"/>
  <c r="L159"/>
  <c r="T254"/>
  <c r="K287"/>
  <c r="W172"/>
  <c r="X125"/>
  <c r="T295"/>
  <c r="W295"/>
  <c r="S278"/>
  <c r="X278"/>
  <c r="R278"/>
  <c r="J178"/>
  <c r="L183"/>
  <c r="V183"/>
  <c r="R276"/>
  <c r="L276"/>
  <c r="J274"/>
  <c r="L274"/>
  <c r="R201"/>
  <c r="L201"/>
  <c r="J220"/>
  <c r="L220"/>
  <c r="W242"/>
  <c r="R242"/>
  <c r="T259"/>
  <c r="W259"/>
  <c r="X192"/>
  <c r="W192"/>
  <c r="K128"/>
  <c r="V128"/>
  <c r="J275"/>
  <c r="X272"/>
  <c r="K243"/>
  <c r="J235"/>
  <c r="S235"/>
  <c r="T173"/>
  <c r="L173"/>
  <c r="X173"/>
  <c r="J249"/>
  <c r="T209"/>
  <c r="X209"/>
  <c r="T144"/>
  <c r="W144"/>
  <c r="W296"/>
  <c r="J198"/>
  <c r="T260"/>
  <c r="X260"/>
  <c r="R260"/>
  <c r="R185"/>
  <c r="V185"/>
  <c r="W184"/>
  <c r="J184"/>
  <c r="V256"/>
  <c r="J256"/>
  <c r="T248"/>
  <c r="X243"/>
  <c r="K137"/>
  <c r="X150"/>
  <c r="V172"/>
  <c r="W159"/>
  <c r="T286"/>
  <c r="R254"/>
  <c r="K155"/>
  <c r="S287"/>
  <c r="X202"/>
  <c r="R134"/>
  <c r="R271"/>
  <c r="V296"/>
  <c r="L271"/>
  <c r="V301"/>
  <c r="L235"/>
  <c r="K209"/>
  <c r="K248"/>
  <c r="K251"/>
  <c r="S198"/>
  <c r="L198"/>
  <c r="R289"/>
  <c r="K225"/>
  <c r="W171"/>
  <c r="J288"/>
  <c r="R222"/>
  <c r="V125"/>
  <c r="T125"/>
  <c r="W210"/>
  <c r="L147"/>
  <c r="W177"/>
  <c r="S149"/>
  <c r="T151"/>
  <c r="W155"/>
  <c r="S193"/>
  <c r="J202"/>
  <c r="T271"/>
  <c r="W290"/>
  <c r="L254"/>
  <c r="J302"/>
  <c r="R286"/>
  <c r="X286"/>
  <c r="L266"/>
  <c r="X250"/>
  <c r="K265"/>
  <c r="V287"/>
  <c r="T287"/>
  <c r="X255"/>
  <c r="W271"/>
  <c r="V159"/>
  <c r="J150"/>
  <c r="V150"/>
  <c r="K289"/>
  <c r="X203"/>
  <c r="V193"/>
  <c r="X143"/>
  <c r="L188"/>
  <c r="K188"/>
  <c r="J172"/>
  <c r="V210"/>
  <c r="L187"/>
  <c r="K252"/>
  <c r="X252"/>
  <c r="R196"/>
  <c r="W196"/>
  <c r="J155"/>
  <c r="X134"/>
  <c r="S300"/>
  <c r="T300"/>
  <c r="R125"/>
  <c r="K229"/>
  <c r="J137"/>
  <c r="T193"/>
  <c r="X222"/>
  <c r="K149"/>
  <c r="R290"/>
  <c r="J222"/>
  <c r="T279"/>
  <c r="V295"/>
  <c r="R183"/>
  <c r="K259"/>
  <c r="J192"/>
  <c r="T128"/>
  <c r="S243"/>
  <c r="T235"/>
  <c r="L260"/>
  <c r="S185"/>
  <c r="L185"/>
  <c r="X184"/>
  <c r="T184"/>
  <c r="L184"/>
  <c r="L155"/>
  <c r="T147"/>
  <c r="V202"/>
  <c r="J254"/>
  <c r="X301"/>
  <c r="W287"/>
  <c r="J255"/>
  <c r="S150"/>
  <c r="W188"/>
  <c r="T137"/>
  <c r="J295"/>
  <c r="W278"/>
  <c r="R178"/>
  <c r="T183"/>
  <c r="S276"/>
  <c r="K276"/>
  <c r="S274"/>
  <c r="K274"/>
  <c r="X201"/>
  <c r="S201"/>
  <c r="X220"/>
  <c r="W220"/>
  <c r="L242"/>
  <c r="J259"/>
  <c r="K192"/>
  <c r="X128"/>
  <c r="R128"/>
  <c r="T243"/>
  <c r="J243"/>
  <c r="V235"/>
  <c r="R173"/>
  <c r="K249"/>
  <c r="L144"/>
  <c r="S144"/>
  <c r="X198"/>
  <c r="J260"/>
  <c r="T185"/>
  <c r="R184"/>
  <c r="R256"/>
  <c r="W256"/>
  <c r="X248"/>
  <c r="J125"/>
  <c r="K193"/>
  <c r="K172"/>
  <c r="S159"/>
  <c r="K302"/>
  <c r="T155"/>
  <c r="W300"/>
  <c r="R287"/>
  <c r="R301"/>
  <c r="S265"/>
  <c r="T149"/>
  <c r="X271"/>
  <c r="V265"/>
  <c r="T296"/>
  <c r="J271"/>
  <c r="W255"/>
  <c r="T265"/>
  <c r="S301"/>
  <c r="S248"/>
  <c r="X251"/>
  <c r="L216"/>
  <c r="R172"/>
  <c r="L202"/>
  <c r="R137"/>
  <c r="R229"/>
  <c r="J257"/>
  <c r="R187"/>
  <c r="L289"/>
  <c r="V149"/>
  <c r="V151"/>
  <c r="R193"/>
  <c r="L301"/>
  <c r="X254"/>
  <c r="V286"/>
  <c r="R265"/>
  <c r="L287"/>
  <c r="V255"/>
  <c r="V271"/>
  <c r="K159"/>
  <c r="K150"/>
  <c r="T150"/>
  <c r="V203"/>
  <c r="R188"/>
  <c r="S172"/>
  <c r="S252"/>
  <c r="T196"/>
  <c r="L196"/>
  <c r="X149"/>
  <c r="R300"/>
  <c r="W137"/>
  <c r="R182"/>
  <c r="S290"/>
  <c r="L253"/>
  <c r="J253"/>
  <c r="V253"/>
  <c r="R253"/>
  <c r="X253"/>
  <c r="S154"/>
  <c r="L154"/>
  <c r="W154"/>
  <c r="J154"/>
  <c r="K154"/>
  <c r="L239"/>
  <c r="W239"/>
  <c r="X239"/>
  <c r="J239"/>
  <c r="X170"/>
  <c r="V170"/>
  <c r="S170"/>
  <c r="J170"/>
  <c r="K170"/>
  <c r="S141"/>
  <c r="R141"/>
  <c r="J141"/>
  <c r="L141"/>
  <c r="W141"/>
  <c r="T131"/>
  <c r="K131"/>
  <c r="R131"/>
  <c r="W131"/>
  <c r="L161"/>
  <c r="S161"/>
  <c r="R161"/>
  <c r="T161"/>
  <c r="K161"/>
  <c r="W268"/>
  <c r="T268"/>
  <c r="R268"/>
  <c r="L268"/>
  <c r="X268"/>
  <c r="V282"/>
  <c r="S282"/>
  <c r="T282"/>
  <c r="X282"/>
  <c r="K282"/>
  <c r="R213"/>
  <c r="W213"/>
  <c r="S213"/>
  <c r="X213"/>
  <c r="K213"/>
  <c r="T168"/>
  <c r="X168"/>
  <c r="L168"/>
  <c r="S238"/>
  <c r="T238"/>
  <c r="R238"/>
  <c r="K238"/>
  <c r="X238"/>
  <c r="L138"/>
  <c r="K138"/>
  <c r="S138"/>
  <c r="R138"/>
  <c r="X263"/>
  <c r="J263"/>
  <c r="R263"/>
  <c r="K263"/>
  <c r="K230"/>
  <c r="X230"/>
  <c r="J230"/>
  <c r="R230"/>
  <c r="J163"/>
  <c r="T163"/>
  <c r="V163"/>
  <c r="K163"/>
  <c r="W269"/>
  <c r="K269"/>
  <c r="V269"/>
  <c r="J269"/>
  <c r="X269"/>
  <c r="X285"/>
  <c r="V285"/>
  <c r="W285"/>
  <c r="K285"/>
  <c r="R285"/>
  <c r="T285"/>
  <c r="J285"/>
  <c r="V134"/>
  <c r="K134"/>
  <c r="T134"/>
  <c r="S134"/>
  <c r="L134"/>
  <c r="J134"/>
  <c r="X257"/>
  <c r="K257"/>
  <c r="L257"/>
  <c r="K147"/>
  <c r="J147"/>
  <c r="R147"/>
  <c r="X147"/>
  <c r="W147"/>
  <c r="K217"/>
  <c r="L217"/>
  <c r="V217"/>
  <c r="T217"/>
  <c r="W217"/>
  <c r="S229"/>
  <c r="X229"/>
  <c r="L229"/>
  <c r="V229"/>
  <c r="V142"/>
  <c r="X142"/>
  <c r="J142"/>
  <c r="L142"/>
  <c r="K142"/>
  <c r="W142"/>
  <c r="T152"/>
  <c r="W152"/>
  <c r="V152"/>
  <c r="K152"/>
  <c r="S152"/>
  <c r="J160"/>
  <c r="L160"/>
  <c r="S160"/>
  <c r="T160"/>
  <c r="V182"/>
  <c r="L182"/>
  <c r="W288"/>
  <c r="K288"/>
  <c r="X288"/>
  <c r="T288"/>
  <c r="L288"/>
  <c r="J251"/>
  <c r="W251"/>
  <c r="X244"/>
  <c r="S244"/>
  <c r="W225"/>
  <c r="X225"/>
  <c r="L225"/>
  <c r="R225"/>
  <c r="S215"/>
  <c r="X215"/>
  <c r="V215"/>
  <c r="J215"/>
  <c r="W194"/>
  <c r="T194"/>
  <c r="V194"/>
  <c r="J171"/>
  <c r="V171"/>
  <c r="X171"/>
  <c r="L171"/>
  <c r="K171"/>
  <c r="L178"/>
  <c r="S275"/>
  <c r="L281"/>
  <c r="S239"/>
  <c r="R282"/>
  <c r="T213"/>
  <c r="K141"/>
  <c r="L170"/>
  <c r="W170"/>
  <c r="V131"/>
  <c r="V141"/>
  <c r="H165"/>
  <c r="G118" i="15"/>
  <c r="W297" i="7"/>
  <c r="X297"/>
  <c r="V297"/>
  <c r="R297"/>
  <c r="J297"/>
  <c r="W191"/>
  <c r="L191"/>
  <c r="S191"/>
  <c r="R191"/>
  <c r="J191"/>
  <c r="L292"/>
  <c r="J292"/>
  <c r="S292"/>
  <c r="W292"/>
  <c r="X165"/>
  <c r="K165"/>
  <c r="T165"/>
  <c r="L165"/>
  <c r="W246"/>
  <c r="T246"/>
  <c r="L246"/>
  <c r="R246"/>
  <c r="L272"/>
  <c r="W272"/>
  <c r="K272"/>
  <c r="J272"/>
  <c r="R272"/>
  <c r="V175"/>
  <c r="S175"/>
  <c r="T175"/>
  <c r="K175"/>
  <c r="L175"/>
  <c r="R143"/>
  <c r="L143"/>
  <c r="K143"/>
  <c r="V143"/>
  <c r="V231"/>
  <c r="R231"/>
  <c r="S231"/>
  <c r="J231"/>
  <c r="X231"/>
  <c r="W169"/>
  <c r="V169"/>
  <c r="J169"/>
  <c r="R169"/>
  <c r="K223"/>
  <c r="V223"/>
  <c r="W223"/>
  <c r="R223"/>
  <c r="J223"/>
  <c r="W162"/>
  <c r="T162"/>
  <c r="X162"/>
  <c r="L162"/>
  <c r="T180"/>
  <c r="S180"/>
  <c r="X180"/>
  <c r="R180"/>
  <c r="T234"/>
  <c r="X234"/>
  <c r="S234"/>
  <c r="W234"/>
  <c r="W161"/>
  <c r="K292"/>
  <c r="T297"/>
  <c r="T253"/>
  <c r="X131"/>
  <c r="K219"/>
  <c r="J219"/>
  <c r="T242"/>
  <c r="X138"/>
  <c r="J161"/>
  <c r="S230"/>
  <c r="R288"/>
  <c r="V191"/>
  <c r="J268"/>
  <c r="R160"/>
  <c r="S253"/>
  <c r="S131"/>
  <c r="V292"/>
  <c r="W238"/>
  <c r="J182"/>
  <c r="S217"/>
  <c r="W263"/>
  <c r="K191"/>
  <c r="S285"/>
  <c r="X163"/>
  <c r="R257"/>
  <c r="V213"/>
  <c r="S257"/>
  <c r="S147"/>
  <c r="J217"/>
  <c r="X292"/>
  <c r="S194"/>
  <c r="K279"/>
  <c r="J131"/>
  <c r="L279"/>
  <c r="T170"/>
  <c r="K239"/>
  <c r="X141"/>
  <c r="L275"/>
  <c r="X275"/>
  <c r="W275"/>
  <c r="R275"/>
  <c r="K275"/>
  <c r="W247"/>
  <c r="L247"/>
  <c r="K247"/>
  <c r="V247"/>
  <c r="J247"/>
  <c r="V208"/>
  <c r="W208"/>
  <c r="K208"/>
  <c r="R208"/>
  <c r="X281"/>
  <c r="T281"/>
  <c r="R281"/>
  <c r="W281"/>
  <c r="W132"/>
  <c r="R132"/>
  <c r="J132"/>
  <c r="K132"/>
  <c r="K216"/>
  <c r="S216"/>
  <c r="R216"/>
  <c r="J216"/>
  <c r="X216"/>
  <c r="W204"/>
  <c r="J204"/>
  <c r="T204"/>
  <c r="L204"/>
  <c r="X204"/>
  <c r="R200"/>
  <c r="V200"/>
  <c r="T200"/>
  <c r="S200"/>
  <c r="J200"/>
  <c r="J241"/>
  <c r="L241"/>
  <c r="S241"/>
  <c r="X241"/>
  <c r="T241"/>
  <c r="W179"/>
  <c r="S179"/>
  <c r="R179"/>
  <c r="J179"/>
  <c r="X179"/>
  <c r="K179"/>
  <c r="V179"/>
  <c r="L250"/>
  <c r="T250"/>
  <c r="K250"/>
  <c r="S250"/>
  <c r="K266"/>
  <c r="S266"/>
  <c r="V266"/>
  <c r="W266"/>
  <c r="K136"/>
  <c r="J136"/>
  <c r="S136"/>
  <c r="T176"/>
  <c r="V176"/>
  <c r="L176"/>
  <c r="W176"/>
  <c r="R176"/>
  <c r="W294"/>
  <c r="L294"/>
  <c r="V294"/>
  <c r="K294"/>
  <c r="T294"/>
  <c r="R177"/>
  <c r="K177"/>
  <c r="S177"/>
  <c r="L177"/>
  <c r="V177"/>
  <c r="W187"/>
  <c r="K187"/>
  <c r="X187"/>
  <c r="T187"/>
  <c r="J187"/>
  <c r="L210"/>
  <c r="T210"/>
  <c r="S210"/>
  <c r="K210"/>
  <c r="R210"/>
  <c r="K124"/>
  <c r="J124"/>
  <c r="L124"/>
  <c r="X124"/>
  <c r="K156"/>
  <c r="J156"/>
  <c r="L156"/>
  <c r="W156"/>
  <c r="X156"/>
  <c r="X233"/>
  <c r="K233"/>
  <c r="W233"/>
  <c r="V233"/>
  <c r="J233"/>
  <c r="S233"/>
  <c r="S236"/>
  <c r="J236"/>
  <c r="X214"/>
  <c r="R214"/>
  <c r="S258"/>
  <c r="J258"/>
  <c r="T258"/>
  <c r="T178"/>
  <c r="X132"/>
  <c r="K268"/>
  <c r="T216"/>
  <c r="W219"/>
  <c r="R277"/>
  <c r="X277"/>
  <c r="S207"/>
  <c r="T207"/>
  <c r="X284"/>
  <c r="V284"/>
  <c r="S178"/>
  <c r="K178"/>
  <c r="X242"/>
  <c r="L238"/>
  <c r="J208"/>
  <c r="J213"/>
  <c r="K297"/>
  <c r="X191"/>
  <c r="W163"/>
  <c r="S219"/>
  <c r="V277"/>
  <c r="L207"/>
  <c r="S284"/>
  <c r="X178"/>
  <c r="S283"/>
  <c r="J276"/>
  <c r="J232"/>
  <c r="W201"/>
  <c r="K220"/>
  <c r="J242"/>
  <c r="T275"/>
  <c r="J165"/>
  <c r="V165"/>
  <c r="T138"/>
  <c r="W138"/>
  <c r="V161"/>
  <c r="T230"/>
  <c r="T208"/>
  <c r="S269"/>
  <c r="S268"/>
  <c r="W160"/>
  <c r="R292"/>
  <c r="V216"/>
  <c r="J238"/>
  <c r="T247"/>
  <c r="S208"/>
  <c r="L208"/>
  <c r="V230"/>
  <c r="X217"/>
  <c r="S263"/>
  <c r="K253"/>
  <c r="S281"/>
  <c r="R163"/>
  <c r="T229"/>
  <c r="S132"/>
  <c r="T239"/>
  <c r="R170"/>
  <c r="X152"/>
  <c r="L132"/>
  <c r="S142"/>
  <c r="R239"/>
  <c r="J279"/>
  <c r="G55" i="15"/>
  <c r="G36"/>
  <c r="G21"/>
  <c r="G20"/>
  <c r="K228" i="7"/>
  <c r="R228"/>
  <c r="X154"/>
  <c r="R154"/>
  <c r="W168"/>
  <c r="S168"/>
  <c r="S182"/>
  <c r="T182"/>
  <c r="L227"/>
  <c r="T195"/>
  <c r="K195"/>
  <c r="S195"/>
  <c r="S157"/>
  <c r="K157"/>
  <c r="L153"/>
  <c r="T153"/>
  <c r="J153"/>
  <c r="W153"/>
  <c r="K133"/>
  <c r="C6" i="13"/>
  <c r="C6" i="15" s="1"/>
  <c r="C10" i="13"/>
  <c r="C10" i="5" s="1"/>
  <c r="G54" i="15"/>
  <c r="G22"/>
  <c r="K206" i="7"/>
  <c r="X206"/>
  <c r="V206"/>
  <c r="X258"/>
  <c r="L258"/>
  <c r="V258"/>
  <c r="W248"/>
  <c r="R247"/>
  <c r="K261"/>
  <c r="J282"/>
  <c r="L282"/>
  <c r="R203"/>
  <c r="L203"/>
  <c r="J188"/>
  <c r="S188"/>
  <c r="S196"/>
  <c r="J146"/>
  <c r="K151"/>
  <c r="W212"/>
  <c r="K182"/>
  <c r="C9" i="13"/>
  <c r="J140" i="7"/>
  <c r="K140"/>
  <c r="X140"/>
  <c r="L140"/>
  <c r="X261"/>
  <c r="W203"/>
  <c r="V188"/>
  <c r="W146"/>
  <c r="J151"/>
  <c r="S212"/>
  <c r="R175"/>
  <c r="V168"/>
  <c r="C8" i="13"/>
  <c r="C5"/>
  <c r="C5" i="15" s="1"/>
  <c r="V124" i="7"/>
  <c r="T124"/>
  <c r="V236"/>
  <c r="R236"/>
  <c r="L148"/>
  <c r="J148"/>
  <c r="S148"/>
  <c r="W279"/>
  <c r="S279"/>
  <c r="X279"/>
  <c r="V279"/>
  <c r="S251"/>
  <c r="R251"/>
  <c r="V251"/>
  <c r="T251"/>
  <c r="W244"/>
  <c r="V244"/>
  <c r="R244"/>
  <c r="T244"/>
  <c r="K244"/>
  <c r="L244"/>
  <c r="L215"/>
  <c r="T215"/>
  <c r="R215"/>
  <c r="K215"/>
  <c r="J194"/>
  <c r="K194"/>
  <c r="R129"/>
  <c r="T261"/>
  <c r="R168"/>
  <c r="J168"/>
  <c r="W182"/>
  <c r="G117" i="15"/>
  <c r="G4"/>
  <c r="G115"/>
  <c r="G113"/>
  <c r="G112"/>
  <c r="G111"/>
  <c r="G110"/>
  <c r="G109"/>
  <c r="H108" i="7"/>
  <c r="G90" i="15"/>
  <c r="H51" i="7"/>
  <c r="G18" i="15"/>
  <c r="G165"/>
  <c r="H164" i="7"/>
  <c r="G163" i="15"/>
  <c r="G162"/>
  <c r="G161"/>
  <c r="G160"/>
  <c r="G159"/>
  <c r="G158"/>
  <c r="G157"/>
  <c r="H156" i="7"/>
  <c r="H155"/>
  <c r="G154" i="15"/>
  <c r="G153"/>
  <c r="H152" i="7"/>
  <c r="H151"/>
  <c r="G150" i="15"/>
  <c r="G149"/>
  <c r="G148"/>
  <c r="G147"/>
  <c r="G146"/>
  <c r="G145"/>
  <c r="G144"/>
  <c r="G143"/>
  <c r="G142"/>
  <c r="H141" i="7"/>
  <c r="H140"/>
  <c r="G139" i="15"/>
  <c r="G138"/>
  <c r="G137"/>
  <c r="G136"/>
  <c r="G135"/>
  <c r="G134"/>
  <c r="G133"/>
  <c r="G132"/>
  <c r="G131"/>
  <c r="G130"/>
  <c r="H129" i="7"/>
  <c r="G128" i="15"/>
  <c r="G127"/>
  <c r="G126"/>
  <c r="H125" i="7"/>
  <c r="H124"/>
  <c r="G123" i="15"/>
  <c r="G122"/>
  <c r="G88"/>
  <c r="G86"/>
  <c r="G29"/>
  <c r="C11" i="13"/>
  <c r="C7"/>
  <c r="H303" i="7"/>
  <c r="G302" i="15"/>
  <c r="G301"/>
  <c r="G300"/>
  <c r="G299"/>
  <c r="G298"/>
  <c r="G297"/>
  <c r="G296"/>
  <c r="H295" i="7"/>
  <c r="G294" i="15"/>
  <c r="H293" i="7"/>
  <c r="G292" i="15"/>
  <c r="G291"/>
  <c r="G290"/>
  <c r="G289"/>
  <c r="H288" i="7"/>
  <c r="H287"/>
  <c r="G286" i="15"/>
  <c r="G285"/>
  <c r="H284" i="7"/>
  <c r="H283"/>
  <c r="G282" i="15"/>
  <c r="G281"/>
  <c r="G280"/>
  <c r="G279"/>
  <c r="G278"/>
  <c r="H277" i="7"/>
  <c r="G276" i="15"/>
  <c r="G275"/>
  <c r="G274"/>
  <c r="H273" i="7"/>
  <c r="H272"/>
  <c r="G271" i="15"/>
  <c r="G270"/>
  <c r="G269"/>
  <c r="H268" i="7"/>
  <c r="H267"/>
  <c r="G266" i="15"/>
  <c r="G265"/>
  <c r="H264" i="7"/>
  <c r="G263" i="15"/>
  <c r="G262"/>
  <c r="G261"/>
  <c r="G260"/>
  <c r="G259"/>
  <c r="G258"/>
  <c r="G257"/>
  <c r="H256" i="7"/>
  <c r="G255" i="15"/>
  <c r="G254"/>
  <c r="G253"/>
  <c r="H252" i="7"/>
  <c r="H251"/>
  <c r="G250" i="15"/>
  <c r="G249"/>
  <c r="G248"/>
  <c r="G247"/>
  <c r="G246"/>
  <c r="G245"/>
  <c r="G244"/>
  <c r="G243"/>
  <c r="G242"/>
  <c r="G241"/>
  <c r="H240" i="7"/>
  <c r="G239" i="15"/>
  <c r="G238"/>
  <c r="G237"/>
  <c r="H236" i="7"/>
  <c r="G235" i="15"/>
  <c r="G234"/>
  <c r="G233"/>
  <c r="H232" i="7"/>
  <c r="G231" i="15"/>
  <c r="G230"/>
  <c r="G229"/>
  <c r="G228"/>
  <c r="G227"/>
  <c r="G226"/>
  <c r="G225"/>
  <c r="H224" i="7"/>
  <c r="G223" i="15"/>
  <c r="G222"/>
  <c r="G221"/>
  <c r="G220"/>
  <c r="G219"/>
  <c r="G218"/>
  <c r="G217"/>
  <c r="G216"/>
  <c r="G215"/>
  <c r="G214"/>
  <c r="G213"/>
  <c r="G212"/>
  <c r="G211"/>
  <c r="G210"/>
  <c r="G209"/>
  <c r="H208" i="7"/>
  <c r="G207" i="15"/>
  <c r="G206"/>
  <c r="G205"/>
  <c r="G204"/>
  <c r="H203" i="7"/>
  <c r="G202" i="15"/>
  <c r="G201"/>
  <c r="G200"/>
  <c r="G199"/>
  <c r="G198"/>
  <c r="G197"/>
  <c r="H196" i="7"/>
  <c r="G195" i="15"/>
  <c r="G194"/>
  <c r="G193"/>
  <c r="G192"/>
  <c r="G191"/>
  <c r="G190"/>
  <c r="G189"/>
  <c r="H188" i="7"/>
  <c r="G187" i="15"/>
  <c r="G186"/>
  <c r="G185"/>
  <c r="H184" i="7"/>
  <c r="G183" i="15"/>
  <c r="G182"/>
  <c r="G181"/>
  <c r="H180" i="7"/>
  <c r="H179"/>
  <c r="G178" i="15"/>
  <c r="G177"/>
  <c r="G176"/>
  <c r="G175"/>
  <c r="G174"/>
  <c r="G173"/>
  <c r="H172" i="7"/>
  <c r="G171" i="15"/>
  <c r="G170"/>
  <c r="G169"/>
  <c r="H168" i="7"/>
  <c r="G167" i="15"/>
  <c r="G166"/>
  <c r="G103"/>
  <c r="G102"/>
  <c r="G101"/>
  <c r="H100" i="7"/>
  <c r="G99" i="15"/>
  <c r="G98"/>
  <c r="G97"/>
  <c r="H96" i="7"/>
  <c r="G95" i="15"/>
  <c r="G94"/>
  <c r="G93"/>
  <c r="G83"/>
  <c r="G81"/>
  <c r="G80"/>
  <c r="G59"/>
  <c r="G24"/>
  <c r="G304"/>
  <c r="C12" i="13"/>
  <c r="D122" i="15"/>
  <c r="D122" i="2"/>
  <c r="D122" i="5"/>
  <c r="D122" i="6"/>
  <c r="D122" i="4"/>
  <c r="D122" i="3"/>
  <c r="D121"/>
  <c r="D121" i="6"/>
  <c r="D121" i="5"/>
  <c r="D121" i="4"/>
  <c r="D121" i="2"/>
  <c r="D121" i="15"/>
  <c r="H21" i="7"/>
  <c r="H18"/>
  <c r="D303"/>
  <c r="E303"/>
  <c r="K304"/>
  <c r="R304"/>
  <c r="J304"/>
  <c r="X304"/>
  <c r="T304"/>
  <c r="W304"/>
  <c r="L304"/>
  <c r="S304"/>
  <c r="V304"/>
  <c r="L224"/>
  <c r="S224"/>
  <c r="T224"/>
  <c r="V224"/>
  <c r="W224"/>
  <c r="R224"/>
  <c r="K224"/>
  <c r="J224"/>
  <c r="X224"/>
  <c r="T122"/>
  <c r="J122"/>
  <c r="S122"/>
  <c r="X122"/>
  <c r="V122"/>
  <c r="R122"/>
  <c r="W122"/>
  <c r="K122"/>
  <c r="L122"/>
  <c r="V261"/>
  <c r="W261"/>
  <c r="T148"/>
  <c r="T222"/>
  <c r="L290"/>
  <c r="X290"/>
  <c r="T132"/>
  <c r="V154"/>
  <c r="D304"/>
  <c r="S261"/>
  <c r="R261"/>
  <c r="L152"/>
  <c r="T154"/>
  <c r="H95"/>
  <c r="H59"/>
  <c r="H220"/>
  <c r="H163"/>
  <c r="H193"/>
  <c r="H197"/>
  <c r="H247"/>
  <c r="H185"/>
  <c r="H249"/>
  <c r="H202"/>
  <c r="H93"/>
  <c r="H131"/>
  <c r="H177"/>
  <c r="H161"/>
  <c r="H171"/>
  <c r="H101"/>
  <c r="H209"/>
  <c r="G203" i="15"/>
  <c r="H195" i="7"/>
  <c r="G295" i="15"/>
  <c r="H205" i="7"/>
  <c r="H99"/>
  <c r="H265"/>
  <c r="H134"/>
  <c r="H213"/>
  <c r="H147"/>
  <c r="H115"/>
  <c r="H229"/>
  <c r="H269"/>
  <c r="H297"/>
  <c r="H122"/>
  <c r="H266"/>
  <c r="H243"/>
  <c r="H159"/>
  <c r="H211"/>
  <c r="H189"/>
  <c r="H150"/>
  <c r="H254"/>
  <c r="G129" i="15"/>
  <c r="H291" i="7"/>
  <c r="H238"/>
  <c r="H201"/>
  <c r="H222"/>
  <c r="H187"/>
  <c r="H127"/>
  <c r="H111"/>
  <c r="H36"/>
  <c r="H281"/>
  <c r="H259"/>
  <c r="H245"/>
  <c r="H143"/>
  <c r="H170"/>
  <c r="H137"/>
  <c r="H20"/>
  <c r="M4" i="8"/>
  <c r="H261" i="7"/>
  <c r="H183"/>
  <c r="G277" i="15"/>
  <c r="F4" i="8"/>
  <c r="J84" i="2" s="1"/>
  <c r="K84" s="1"/>
  <c r="M84" s="1"/>
  <c r="H301" i="7"/>
  <c r="H233"/>
  <c r="H218"/>
  <c r="H198"/>
  <c r="H138"/>
  <c r="H118"/>
  <c r="H81"/>
  <c r="G155" i="15"/>
  <c r="I4" i="8"/>
  <c r="H207" i="7"/>
  <c r="H191"/>
  <c r="H153"/>
  <c r="G51" i="15"/>
  <c r="H263" i="7"/>
  <c r="H275"/>
  <c r="H253"/>
  <c r="H181"/>
  <c r="H145"/>
  <c r="H113"/>
  <c r="H24"/>
  <c r="H154"/>
  <c r="G188" i="15"/>
  <c r="G100"/>
  <c r="G293"/>
  <c r="H175" i="7"/>
  <c r="H123"/>
  <c r="H239"/>
  <c r="H223"/>
  <c r="G303" i="15"/>
  <c r="H285" i="7"/>
  <c r="H217"/>
  <c r="H133"/>
  <c r="H102"/>
  <c r="H86"/>
  <c r="P86" s="1"/>
  <c r="H55"/>
  <c r="G141" i="15"/>
  <c r="D4" i="8"/>
  <c r="J11" i="2" s="1"/>
  <c r="K11" s="1"/>
  <c r="M11" s="1"/>
  <c r="G151" i="15"/>
  <c r="H290" i="7"/>
  <c r="G273" i="15"/>
  <c r="G208"/>
  <c r="H299" i="7"/>
  <c r="H199"/>
  <c r="H186"/>
  <c r="H149"/>
  <c r="H83"/>
  <c r="P83" s="1"/>
  <c r="H22"/>
  <c r="H139"/>
  <c r="L4" i="8"/>
  <c r="H279" i="7"/>
  <c r="G4" i="8"/>
  <c r="H289" i="7"/>
  <c r="H257"/>
  <c r="H166"/>
  <c r="H117"/>
  <c r="H294"/>
  <c r="H255"/>
  <c r="H234"/>
  <c r="H219"/>
  <c r="H241"/>
  <c r="H286"/>
  <c r="H270"/>
  <c r="H226"/>
  <c r="H280"/>
  <c r="H271"/>
  <c r="H250"/>
  <c r="H237"/>
  <c r="G179" i="15"/>
  <c r="G283"/>
  <c r="G256"/>
  <c r="H227" i="7"/>
  <c r="H214"/>
  <c r="H182"/>
  <c r="H174"/>
  <c r="H135"/>
  <c r="H97"/>
  <c r="H90"/>
  <c r="P90" s="1"/>
  <c r="G124" i="15"/>
  <c r="H278" i="7"/>
  <c r="H225"/>
  <c r="H215"/>
  <c r="H210"/>
  <c r="H173"/>
  <c r="H146"/>
  <c r="H109"/>
  <c r="H282"/>
  <c r="H194"/>
  <c r="H167"/>
  <c r="H130"/>
  <c r="G172" i="15"/>
  <c r="G125"/>
  <c r="G287"/>
  <c r="G267"/>
  <c r="G240"/>
  <c r="H298" i="7"/>
  <c r="H274"/>
  <c r="H242"/>
  <c r="H231"/>
  <c r="H190"/>
  <c r="H169"/>
  <c r="H158"/>
  <c r="H110"/>
  <c r="G156" i="15"/>
  <c r="G288"/>
  <c r="G251"/>
  <c r="G224"/>
  <c r="H4" i="8"/>
  <c r="H302" i="7"/>
  <c r="H292"/>
  <c r="H262"/>
  <c r="H246"/>
  <c r="H235"/>
  <c r="H230"/>
  <c r="H178"/>
  <c r="H162"/>
  <c r="H157"/>
  <c r="H103"/>
  <c r="H98"/>
  <c r="H29"/>
  <c r="G108" i="15"/>
  <c r="H258" i="7"/>
  <c r="H221"/>
  <c r="H206"/>
  <c r="H142"/>
  <c r="H126"/>
  <c r="H94"/>
  <c r="K4" i="8"/>
  <c r="G140" i="15"/>
  <c r="G272"/>
  <c r="E4" i="8"/>
  <c r="H296" i="7"/>
  <c r="H248"/>
  <c r="H244"/>
  <c r="H228"/>
  <c r="H204"/>
  <c r="H200"/>
  <c r="H176"/>
  <c r="H148"/>
  <c r="H144"/>
  <c r="H136"/>
  <c r="H132"/>
  <c r="G184" i="15"/>
  <c r="G168"/>
  <c r="G152"/>
  <c r="G284"/>
  <c r="G268"/>
  <c r="G252"/>
  <c r="G236"/>
  <c r="H276" i="7"/>
  <c r="H216"/>
  <c r="H128"/>
  <c r="H88"/>
  <c r="H80"/>
  <c r="P80" s="1"/>
  <c r="G96" i="15"/>
  <c r="G196"/>
  <c r="G180"/>
  <c r="G164"/>
  <c r="G264"/>
  <c r="G232"/>
  <c r="H300" i="7"/>
  <c r="H260"/>
  <c r="H212"/>
  <c r="H192"/>
  <c r="H160"/>
  <c r="H112"/>
  <c r="H304"/>
  <c r="N4" i="8"/>
  <c r="J4"/>
  <c r="D304" i="4"/>
  <c r="D304" i="2"/>
  <c r="D5"/>
  <c r="D5" i="5"/>
  <c r="D5" i="4"/>
  <c r="D5" i="3"/>
  <c r="D5" i="15"/>
  <c r="D5" i="6"/>
  <c r="G84" i="15" l="1"/>
  <c r="H84" i="7"/>
  <c r="J41" i="2"/>
  <c r="K41" s="1"/>
  <c r="M41" s="1"/>
  <c r="G41" i="15" s="1"/>
  <c r="J34" i="2"/>
  <c r="K34" s="1"/>
  <c r="M34" s="1"/>
  <c r="J14"/>
  <c r="K14" s="1"/>
  <c r="M14" s="1"/>
  <c r="H14" i="7" s="1"/>
  <c r="J57" i="2"/>
  <c r="K57" s="1"/>
  <c r="M57" s="1"/>
  <c r="C4" i="8"/>
  <c r="J33" i="2" s="1"/>
  <c r="K33" s="1"/>
  <c r="M33" s="1"/>
  <c r="L189" i="7"/>
  <c r="S167"/>
  <c r="W129"/>
  <c r="T273"/>
  <c r="X227"/>
  <c r="V133"/>
  <c r="L197"/>
  <c r="W221"/>
  <c r="R279"/>
  <c r="J189"/>
  <c r="W215"/>
  <c r="X153"/>
  <c r="S273"/>
  <c r="T227"/>
  <c r="T133"/>
  <c r="L273"/>
  <c r="S197"/>
  <c r="J167"/>
  <c r="W227"/>
  <c r="V227"/>
  <c r="K129"/>
  <c r="W167"/>
  <c r="J129"/>
  <c r="J227"/>
  <c r="X129"/>
  <c r="J221"/>
  <c r="R197"/>
  <c r="S129"/>
  <c r="K227"/>
  <c r="K167"/>
  <c r="X167"/>
  <c r="V129"/>
  <c r="T197"/>
  <c r="R167"/>
  <c r="J133"/>
  <c r="K273"/>
  <c r="W133"/>
  <c r="S221"/>
  <c r="X273"/>
  <c r="W197"/>
  <c r="T129"/>
  <c r="X197"/>
  <c r="L167"/>
  <c r="V197"/>
  <c r="V273"/>
  <c r="S227"/>
  <c r="L221"/>
  <c r="S133"/>
  <c r="V221"/>
  <c r="X221"/>
  <c r="T221"/>
  <c r="K221"/>
  <c r="C6" i="4"/>
  <c r="L129" i="7"/>
  <c r="R133"/>
  <c r="R227"/>
  <c r="J273"/>
  <c r="J197"/>
  <c r="K197"/>
  <c r="T167"/>
  <c r="V167"/>
  <c r="W273"/>
  <c r="R221"/>
  <c r="R273"/>
  <c r="X133"/>
  <c r="J53" i="2"/>
  <c r="K53" s="1"/>
  <c r="J47"/>
  <c r="K47" s="1"/>
  <c r="J50"/>
  <c r="K50" s="1"/>
  <c r="J121"/>
  <c r="K121" s="1"/>
  <c r="M121" s="1"/>
  <c r="J77"/>
  <c r="K77" s="1"/>
  <c r="M77" s="1"/>
  <c r="J66"/>
  <c r="K66" s="1"/>
  <c r="M66" s="1"/>
  <c r="J75"/>
  <c r="K75" s="1"/>
  <c r="M75" s="1"/>
  <c r="J49"/>
  <c r="K49" s="1"/>
  <c r="M49" s="1"/>
  <c r="J42"/>
  <c r="K42" s="1"/>
  <c r="M42" s="1"/>
  <c r="J56"/>
  <c r="K56" s="1"/>
  <c r="M56" s="1"/>
  <c r="J62"/>
  <c r="K62" s="1"/>
  <c r="M62" s="1"/>
  <c r="J39"/>
  <c r="K39" s="1"/>
  <c r="M39" s="1"/>
  <c r="J25"/>
  <c r="K25" s="1"/>
  <c r="M25" s="1"/>
  <c r="J82"/>
  <c r="K82" s="1"/>
  <c r="M82" s="1"/>
  <c r="J8"/>
  <c r="K8" s="1"/>
  <c r="M8" s="1"/>
  <c r="J32"/>
  <c r="K32" s="1"/>
  <c r="M32" s="1"/>
  <c r="J64"/>
  <c r="K64" s="1"/>
  <c r="M64" s="1"/>
  <c r="J87"/>
  <c r="K87" s="1"/>
  <c r="M87" s="1"/>
  <c r="J48"/>
  <c r="K48" s="1"/>
  <c r="J79"/>
  <c r="K79" s="1"/>
  <c r="M79" s="1"/>
  <c r="J61"/>
  <c r="K61" s="1"/>
  <c r="M61" s="1"/>
  <c r="J60"/>
  <c r="K60" s="1"/>
  <c r="M60" s="1"/>
  <c r="J74"/>
  <c r="K74" s="1"/>
  <c r="M74" s="1"/>
  <c r="J31"/>
  <c r="K31" s="1"/>
  <c r="M31" s="1"/>
  <c r="H31" i="7" s="1"/>
  <c r="P31" s="1"/>
  <c r="J38" i="2"/>
  <c r="K38" s="1"/>
  <c r="M38" s="1"/>
  <c r="T189" i="7"/>
  <c r="X189"/>
  <c r="R189"/>
  <c r="S189"/>
  <c r="V189"/>
  <c r="W189"/>
  <c r="X267"/>
  <c r="S267"/>
  <c r="V267"/>
  <c r="T267"/>
  <c r="R267"/>
  <c r="W267"/>
  <c r="C4" i="11"/>
  <c r="J37" i="2"/>
  <c r="J5"/>
  <c r="K5" s="1"/>
  <c r="J76" i="3"/>
  <c r="K76" s="1"/>
  <c r="M76" s="1"/>
  <c r="J89"/>
  <c r="K89" s="1"/>
  <c r="M89" s="1"/>
  <c r="H9" i="7"/>
  <c r="J54" i="3"/>
  <c r="K54" s="1"/>
  <c r="J58"/>
  <c r="K58" s="1"/>
  <c r="M58" s="1"/>
  <c r="J91"/>
  <c r="K91" s="1"/>
  <c r="M91" s="1"/>
  <c r="J35"/>
  <c r="K35" s="1"/>
  <c r="M35" s="1"/>
  <c r="G15" i="15"/>
  <c r="G16"/>
  <c r="H16" i="7"/>
  <c r="J114" i="3"/>
  <c r="K114" s="1"/>
  <c r="M114" s="1"/>
  <c r="G114" i="15" s="1"/>
  <c r="J121" i="3"/>
  <c r="K121" s="1"/>
  <c r="M121" s="1"/>
  <c r="J69"/>
  <c r="K69" s="1"/>
  <c r="M69" s="1"/>
  <c r="J19"/>
  <c r="K19" s="1"/>
  <c r="M19" s="1"/>
  <c r="J106"/>
  <c r="K106" s="1"/>
  <c r="M106" s="1"/>
  <c r="G106" i="15" s="1"/>
  <c r="J107" i="3"/>
  <c r="K107" s="1"/>
  <c r="M107" s="1"/>
  <c r="J72"/>
  <c r="K72" s="1"/>
  <c r="M72" s="1"/>
  <c r="J104"/>
  <c r="K104" s="1"/>
  <c r="M104" s="1"/>
  <c r="J71"/>
  <c r="K71" s="1"/>
  <c r="M71" s="1"/>
  <c r="J75"/>
  <c r="K75" s="1"/>
  <c r="M75" s="1"/>
  <c r="J70"/>
  <c r="K70" s="1"/>
  <c r="M70" s="1"/>
  <c r="J73"/>
  <c r="K73" s="1"/>
  <c r="M73" s="1"/>
  <c r="J47"/>
  <c r="K47" s="1"/>
  <c r="M47" s="1"/>
  <c r="J68"/>
  <c r="K68" s="1"/>
  <c r="M68" s="1"/>
  <c r="J52"/>
  <c r="K52" s="1"/>
  <c r="M52" s="1"/>
  <c r="J67"/>
  <c r="K67" s="1"/>
  <c r="M67" s="1"/>
  <c r="J65"/>
  <c r="K65" s="1"/>
  <c r="M65" s="1"/>
  <c r="J66"/>
  <c r="K66" s="1"/>
  <c r="M66" s="1"/>
  <c r="J45"/>
  <c r="K45" s="1"/>
  <c r="M45" s="1"/>
  <c r="J63"/>
  <c r="K63" s="1"/>
  <c r="M63" s="1"/>
  <c r="J31"/>
  <c r="K31" s="1"/>
  <c r="J46"/>
  <c r="K46" s="1"/>
  <c r="M46" s="1"/>
  <c r="J11"/>
  <c r="K11" s="1"/>
  <c r="M11" s="1"/>
  <c r="G11" i="15" s="1"/>
  <c r="J44" i="3"/>
  <c r="K44" s="1"/>
  <c r="M44" s="1"/>
  <c r="J33"/>
  <c r="K33" s="1"/>
  <c r="M33" s="1"/>
  <c r="J37"/>
  <c r="K37" s="1"/>
  <c r="M37" s="1"/>
  <c r="J28"/>
  <c r="K28" s="1"/>
  <c r="J32"/>
  <c r="K32" s="1"/>
  <c r="M32" s="1"/>
  <c r="J26"/>
  <c r="K26" s="1"/>
  <c r="M26" s="1"/>
  <c r="J27"/>
  <c r="K27" s="1"/>
  <c r="M27" s="1"/>
  <c r="J17"/>
  <c r="K17" s="1"/>
  <c r="M17" s="1"/>
  <c r="J23"/>
  <c r="K23" s="1"/>
  <c r="M23" s="1"/>
  <c r="J6"/>
  <c r="K6" s="1"/>
  <c r="M6" s="1"/>
  <c r="J10"/>
  <c r="K10" s="1"/>
  <c r="M10" s="1"/>
  <c r="C5" i="6"/>
  <c r="C10" i="15"/>
  <c r="E121" i="7"/>
  <c r="C20" i="4"/>
  <c r="C20" i="5"/>
  <c r="C20" i="15"/>
  <c r="C20" i="6"/>
  <c r="C20" i="3"/>
  <c r="C20" i="2"/>
  <c r="C20" i="7" s="1"/>
  <c r="C36" i="3"/>
  <c r="C36" i="5"/>
  <c r="C36" i="15"/>
  <c r="C36" i="6"/>
  <c r="C36" i="4"/>
  <c r="C36" i="2"/>
  <c r="C36" i="7" s="1"/>
  <c r="C52" i="3"/>
  <c r="C52" i="5"/>
  <c r="C52" i="15"/>
  <c r="C52" i="6"/>
  <c r="C52" i="2"/>
  <c r="L52" s="1"/>
  <c r="C52" i="4"/>
  <c r="C68" i="2"/>
  <c r="C68" i="3"/>
  <c r="C68" i="5"/>
  <c r="C68" i="6"/>
  <c r="C68" i="15"/>
  <c r="C68" i="4"/>
  <c r="C84" i="2"/>
  <c r="C84" i="7" s="1"/>
  <c r="C84" i="15"/>
  <c r="C84" i="3"/>
  <c r="C84" i="5"/>
  <c r="C84" i="6"/>
  <c r="C84" i="4"/>
  <c r="C100" i="3"/>
  <c r="C100" i="6"/>
  <c r="C100" i="15"/>
  <c r="C100" i="5"/>
  <c r="C100" i="2"/>
  <c r="C100" i="7" s="1"/>
  <c r="C100" i="4"/>
  <c r="C116" i="5"/>
  <c r="C116" i="3"/>
  <c r="C116" i="6"/>
  <c r="C116" i="15"/>
  <c r="C116" i="2"/>
  <c r="L116" s="1"/>
  <c r="C116" i="4"/>
  <c r="C23" i="3"/>
  <c r="C23" i="6"/>
  <c r="C23" i="15"/>
  <c r="C23" i="4"/>
  <c r="C23" i="5"/>
  <c r="C23" i="2"/>
  <c r="L23" s="1"/>
  <c r="C39"/>
  <c r="C39" i="7" s="1"/>
  <c r="C39" i="6"/>
  <c r="C39" i="4"/>
  <c r="C39" i="15"/>
  <c r="C39" i="5"/>
  <c r="C39" i="3"/>
  <c r="C55" i="6"/>
  <c r="C55" i="2"/>
  <c r="C55" i="7" s="1"/>
  <c r="C55" i="3"/>
  <c r="C55" i="15"/>
  <c r="C55" i="5"/>
  <c r="C55" i="4"/>
  <c r="C71" i="2"/>
  <c r="L71" s="1"/>
  <c r="C71" i="15"/>
  <c r="C71" i="3"/>
  <c r="C71" i="6"/>
  <c r="C71" i="5"/>
  <c r="C71" i="4"/>
  <c r="C87" i="15"/>
  <c r="C87" i="4"/>
  <c r="C87" i="6"/>
  <c r="C87" i="3"/>
  <c r="C87" i="5"/>
  <c r="C87" i="2"/>
  <c r="C87" i="7" s="1"/>
  <c r="C103" i="15"/>
  <c r="C103" i="3"/>
  <c r="C103" i="6"/>
  <c r="C103" i="4"/>
  <c r="C103" i="2"/>
  <c r="C103" i="7" s="1"/>
  <c r="C103" i="5"/>
  <c r="C119" i="15"/>
  <c r="C119" i="3"/>
  <c r="C119" i="6"/>
  <c r="C119" i="4"/>
  <c r="C119" i="2"/>
  <c r="L119" s="1"/>
  <c r="C119" i="5"/>
  <c r="C26" i="2"/>
  <c r="L26" s="1"/>
  <c r="C26" i="4"/>
  <c r="C26" i="3"/>
  <c r="C26" i="5"/>
  <c r="C26" i="6"/>
  <c r="C26" i="15"/>
  <c r="C42" i="2"/>
  <c r="C42" i="7" s="1"/>
  <c r="C42" i="3"/>
  <c r="C42" i="5"/>
  <c r="C42" i="4"/>
  <c r="C42" i="6"/>
  <c r="C42" i="15"/>
  <c r="C58" i="4"/>
  <c r="C58" i="2"/>
  <c r="L58" s="1"/>
  <c r="C58" i="3"/>
  <c r="C58" i="5"/>
  <c r="C58" i="6"/>
  <c r="C58" i="15"/>
  <c r="C74" i="2"/>
  <c r="C74" i="7" s="1"/>
  <c r="C74" i="15"/>
  <c r="C74" i="3"/>
  <c r="C74" i="5"/>
  <c r="C74" i="4"/>
  <c r="C74" i="6"/>
  <c r="C90" i="2"/>
  <c r="C90" i="7" s="1"/>
  <c r="C90" i="15"/>
  <c r="C90" i="6"/>
  <c r="C90" i="3"/>
  <c r="C90" i="4"/>
  <c r="C90" i="5"/>
  <c r="C106" i="2"/>
  <c r="C106" i="7" s="1"/>
  <c r="C106" i="5"/>
  <c r="C106" i="15"/>
  <c r="C106" i="3"/>
  <c r="C106" i="6"/>
  <c r="C106" i="4"/>
  <c r="C25" i="15"/>
  <c r="C25" i="2"/>
  <c r="C25" i="7" s="1"/>
  <c r="C25" i="4"/>
  <c r="C25" i="5"/>
  <c r="C25" i="6"/>
  <c r="C25" i="3"/>
  <c r="C41"/>
  <c r="C41" i="2"/>
  <c r="C41" i="7" s="1"/>
  <c r="C41" i="15"/>
  <c r="C41" i="5"/>
  <c r="C41" i="6"/>
  <c r="C41" i="4"/>
  <c r="C57" i="15"/>
  <c r="C57" i="3"/>
  <c r="C57" i="4"/>
  <c r="C57" i="5"/>
  <c r="C57" i="2"/>
  <c r="C57" i="7" s="1"/>
  <c r="C57" i="6"/>
  <c r="C73" i="3"/>
  <c r="C73" i="5"/>
  <c r="C73" i="2"/>
  <c r="C73" i="6"/>
  <c r="C73" i="15"/>
  <c r="C73" i="4"/>
  <c r="C89"/>
  <c r="C89" i="6"/>
  <c r="C89" i="3"/>
  <c r="C89" i="5"/>
  <c r="C89" i="2"/>
  <c r="L89" s="1"/>
  <c r="C89" i="15"/>
  <c r="C105" i="2"/>
  <c r="L105" s="1"/>
  <c r="C105" i="3"/>
  <c r="C105" i="6"/>
  <c r="C105" i="5"/>
  <c r="C105" i="15"/>
  <c r="C105" i="4"/>
  <c r="C16" i="2"/>
  <c r="C16" i="7" s="1"/>
  <c r="C16" i="4"/>
  <c r="C16" i="5"/>
  <c r="C16" i="15"/>
  <c r="C16" i="6"/>
  <c r="C16" i="3"/>
  <c r="C32" i="4"/>
  <c r="C32" i="5"/>
  <c r="C32" i="15"/>
  <c r="C32" i="6"/>
  <c r="C32" i="2"/>
  <c r="C32" i="7" s="1"/>
  <c r="C32" i="3"/>
  <c r="C48" i="2"/>
  <c r="C48" i="3"/>
  <c r="C48" i="4"/>
  <c r="C48" i="5"/>
  <c r="C48" i="15"/>
  <c r="C48" i="6"/>
  <c r="C64" i="5"/>
  <c r="C64" i="2"/>
  <c r="C64" i="7" s="1"/>
  <c r="C64" i="6"/>
  <c r="C64" i="4"/>
  <c r="C64" i="15"/>
  <c r="C64" i="3"/>
  <c r="C80" i="2"/>
  <c r="C80" i="7" s="1"/>
  <c r="C80" i="3"/>
  <c r="C80" i="4"/>
  <c r="C80" i="5"/>
  <c r="C80" i="6"/>
  <c r="C80" i="15"/>
  <c r="C96" i="4"/>
  <c r="C96" i="5"/>
  <c r="C96" i="2"/>
  <c r="C96" i="7" s="1"/>
  <c r="C96" i="3"/>
  <c r="C96" i="6"/>
  <c r="C96" i="15"/>
  <c r="C112" i="3"/>
  <c r="C112" i="6"/>
  <c r="C112" i="4"/>
  <c r="C112" i="2"/>
  <c r="C112" i="7" s="1"/>
  <c r="C112" i="15"/>
  <c r="C112" i="5"/>
  <c r="C19" i="2"/>
  <c r="L19" s="1"/>
  <c r="C19" i="3"/>
  <c r="C19" i="6"/>
  <c r="C19" i="4"/>
  <c r="C19" i="15"/>
  <c r="C19" i="5"/>
  <c r="C35" i="2"/>
  <c r="C35" i="6"/>
  <c r="C35" i="3"/>
  <c r="C35" i="4"/>
  <c r="C35" i="15"/>
  <c r="C35" i="5"/>
  <c r="C51" i="6"/>
  <c r="C51" i="3"/>
  <c r="C51" i="4"/>
  <c r="C51" i="2"/>
  <c r="C51" i="7" s="1"/>
  <c r="C51" i="15"/>
  <c r="C51" i="5"/>
  <c r="C67" i="15"/>
  <c r="C67" i="6"/>
  <c r="C67" i="2"/>
  <c r="C67" i="7" s="1"/>
  <c r="C67" i="3"/>
  <c r="C67" i="5"/>
  <c r="C67" i="4"/>
  <c r="C83" i="2"/>
  <c r="C83" i="7" s="1"/>
  <c r="C83" i="15"/>
  <c r="C83" i="3"/>
  <c r="C83" i="5"/>
  <c r="C83" i="6"/>
  <c r="C83" i="4"/>
  <c r="C99" i="15"/>
  <c r="C99" i="3"/>
  <c r="C99" i="6"/>
  <c r="C99" i="2"/>
  <c r="C99" i="7" s="1"/>
  <c r="C99" i="4"/>
  <c r="C99" i="5"/>
  <c r="C115" i="15"/>
  <c r="C115" i="5"/>
  <c r="C115" i="2"/>
  <c r="C115" i="7" s="1"/>
  <c r="C115" i="3"/>
  <c r="C115" i="6"/>
  <c r="C115" i="4"/>
  <c r="C22" i="2"/>
  <c r="C22" i="7" s="1"/>
  <c r="C22" i="3"/>
  <c r="C22" i="6"/>
  <c r="C22" i="15"/>
  <c r="C22" i="4"/>
  <c r="C22" i="5"/>
  <c r="C38" i="3"/>
  <c r="C38" i="2"/>
  <c r="C38" i="7" s="1"/>
  <c r="C38" i="4"/>
  <c r="C38" i="6"/>
  <c r="C38" i="15"/>
  <c r="C38" i="5"/>
  <c r="C54" i="3"/>
  <c r="C54" i="4"/>
  <c r="C54" i="6"/>
  <c r="C54" i="15"/>
  <c r="C54" i="2"/>
  <c r="C54" i="7" s="1"/>
  <c r="C54" i="5"/>
  <c r="C70" i="3"/>
  <c r="C70" i="15"/>
  <c r="C70" i="5"/>
  <c r="C70" i="6"/>
  <c r="C70" i="2"/>
  <c r="L70" s="1"/>
  <c r="C70" i="4"/>
  <c r="C86"/>
  <c r="C86" i="6"/>
  <c r="C86" i="15"/>
  <c r="C86" i="3"/>
  <c r="C86" i="5"/>
  <c r="C86" i="2"/>
  <c r="C86" i="7" s="1"/>
  <c r="C102" i="2"/>
  <c r="C102" i="7" s="1"/>
  <c r="C102" i="6"/>
  <c r="C102" i="15"/>
  <c r="C102" i="4"/>
  <c r="C102" i="5"/>
  <c r="C102" i="3"/>
  <c r="C118" i="2"/>
  <c r="C118" i="7" s="1"/>
  <c r="C118" i="3"/>
  <c r="C118" i="6"/>
  <c r="C118" i="15"/>
  <c r="C118" i="4"/>
  <c r="C118" i="5"/>
  <c r="C21" i="15"/>
  <c r="C21" i="2"/>
  <c r="C21" i="7" s="1"/>
  <c r="C21" i="5"/>
  <c r="C21" i="4"/>
  <c r="C21" i="3"/>
  <c r="C21" i="6"/>
  <c r="C37" i="15"/>
  <c r="C37" i="2"/>
  <c r="L37" s="1"/>
  <c r="C37" i="5"/>
  <c r="C37" i="4"/>
  <c r="C37" i="3"/>
  <c r="C37" i="6"/>
  <c r="C53" i="15"/>
  <c r="C53" i="5"/>
  <c r="C53" i="2"/>
  <c r="C53" i="4"/>
  <c r="C53" i="3"/>
  <c r="C53" i="6"/>
  <c r="C69" i="3"/>
  <c r="C69" i="5"/>
  <c r="C69" i="2"/>
  <c r="L69" s="1"/>
  <c r="C69" i="15"/>
  <c r="C69" i="4"/>
  <c r="C69" i="6"/>
  <c r="C85" i="3"/>
  <c r="C85" i="5"/>
  <c r="C85" i="6"/>
  <c r="C85" i="2"/>
  <c r="C85" i="15"/>
  <c r="C85" i="4"/>
  <c r="C101"/>
  <c r="C101" i="5"/>
  <c r="C101" i="2"/>
  <c r="C101" i="7" s="1"/>
  <c r="C101" i="15"/>
  <c r="C101" i="3"/>
  <c r="C101" i="6"/>
  <c r="C117" i="4"/>
  <c r="C117" i="2"/>
  <c r="C117" i="7" s="1"/>
  <c r="C117" i="5"/>
  <c r="C117" i="15"/>
  <c r="C117" i="3"/>
  <c r="C117" i="6"/>
  <c r="C28" i="5"/>
  <c r="C28" i="2"/>
  <c r="C28" i="15"/>
  <c r="C28" i="3"/>
  <c r="C28" i="6"/>
  <c r="C28" i="4"/>
  <c r="C44" i="5"/>
  <c r="C44" i="2"/>
  <c r="C44" i="15"/>
  <c r="C44" i="6"/>
  <c r="C44" i="3"/>
  <c r="C44" i="4"/>
  <c r="C60" i="5"/>
  <c r="C60" i="15"/>
  <c r="C60" i="6"/>
  <c r="C60" i="2"/>
  <c r="C60" i="7" s="1"/>
  <c r="C60" i="4"/>
  <c r="C60" i="3"/>
  <c r="C76"/>
  <c r="C76" i="2"/>
  <c r="L76" s="1"/>
  <c r="C76" i="4"/>
  <c r="C76" i="6"/>
  <c r="C76" i="15"/>
  <c r="C76" i="5"/>
  <c r="C92" i="6"/>
  <c r="C92" i="15"/>
  <c r="C92" i="3"/>
  <c r="C92" i="4"/>
  <c r="C92" i="5"/>
  <c r="C92" i="2"/>
  <c r="L92" s="1"/>
  <c r="C108" i="5"/>
  <c r="C108" i="3"/>
  <c r="C108" i="6"/>
  <c r="C108" i="15"/>
  <c r="C108" i="2"/>
  <c r="C108" i="7" s="1"/>
  <c r="C108" i="4"/>
  <c r="C15" i="3"/>
  <c r="C15" i="6"/>
  <c r="C15" i="2"/>
  <c r="C15" i="7" s="1"/>
  <c r="C15" i="4"/>
  <c r="C15" i="15"/>
  <c r="C15" i="5"/>
  <c r="C31" i="6"/>
  <c r="C31" i="2"/>
  <c r="C31" i="7" s="1"/>
  <c r="C31" i="4"/>
  <c r="C31" i="15"/>
  <c r="C31" i="5"/>
  <c r="C31" i="3"/>
  <c r="C47" i="2"/>
  <c r="C47" i="6"/>
  <c r="C47" i="15"/>
  <c r="C47" i="5"/>
  <c r="C47" i="4"/>
  <c r="C47" i="3"/>
  <c r="C63" i="15"/>
  <c r="C63" i="6"/>
  <c r="C63" i="3"/>
  <c r="C63" i="5"/>
  <c r="C63" i="4"/>
  <c r="C63" i="2"/>
  <c r="L63" s="1"/>
  <c r="C79" i="15"/>
  <c r="C79" i="3"/>
  <c r="C79" i="6"/>
  <c r="C79" i="5"/>
  <c r="C79" i="2"/>
  <c r="C79" i="7" s="1"/>
  <c r="C79" i="4"/>
  <c r="C95" i="15"/>
  <c r="C95" i="4"/>
  <c r="C95" i="5"/>
  <c r="C95" i="2"/>
  <c r="C95" i="7" s="1"/>
  <c r="C95" i="3"/>
  <c r="C95" i="6"/>
  <c r="C111" i="15"/>
  <c r="C111" i="3"/>
  <c r="C111" i="6"/>
  <c r="C111" i="4"/>
  <c r="C111" i="2"/>
  <c r="C111" i="7" s="1"/>
  <c r="C111" i="5"/>
  <c r="C18" i="2"/>
  <c r="C18" i="7" s="1"/>
  <c r="C18" i="3"/>
  <c r="C18" i="4"/>
  <c r="C18" i="5"/>
  <c r="C18" i="6"/>
  <c r="C18" i="15"/>
  <c r="C34" i="2"/>
  <c r="C34" i="7" s="1"/>
  <c r="C34" i="4"/>
  <c r="C34" i="3"/>
  <c r="C34" i="5"/>
  <c r="C34" i="6"/>
  <c r="C34" i="15"/>
  <c r="C50" i="3"/>
  <c r="C50" i="2"/>
  <c r="C50" i="5"/>
  <c r="C50" i="4"/>
  <c r="C50" i="6"/>
  <c r="C50" i="15"/>
  <c r="C66" i="3"/>
  <c r="C66" i="4"/>
  <c r="C66" i="2"/>
  <c r="C66" i="7" s="1"/>
  <c r="C66" i="15"/>
  <c r="C66" i="5"/>
  <c r="C66" i="6"/>
  <c r="C82" i="2"/>
  <c r="C82" i="7" s="1"/>
  <c r="C82" i="15"/>
  <c r="C82" i="3"/>
  <c r="C82" i="5"/>
  <c r="C82" i="6"/>
  <c r="C82" i="4"/>
  <c r="C98" i="2"/>
  <c r="C98" i="7" s="1"/>
  <c r="C98" i="15"/>
  <c r="C98" i="3"/>
  <c r="C98" i="6"/>
  <c r="C98" i="4"/>
  <c r="C98" i="5"/>
  <c r="C114" i="2"/>
  <c r="C114" i="7" s="1"/>
  <c r="C114" i="5"/>
  <c r="C114" i="15"/>
  <c r="C114" i="3"/>
  <c r="C114" i="6"/>
  <c r="C114" i="4"/>
  <c r="C17" i="15"/>
  <c r="C17" i="5"/>
  <c r="C17" i="6"/>
  <c r="C17" i="2"/>
  <c r="L17" s="1"/>
  <c r="C17" i="4"/>
  <c r="C17" i="3"/>
  <c r="C33"/>
  <c r="C33" i="15"/>
  <c r="C33" i="5"/>
  <c r="C33" i="2"/>
  <c r="C33" i="4"/>
  <c r="C33" i="6"/>
  <c r="C49" i="15"/>
  <c r="C49" i="5"/>
  <c r="C49" i="3"/>
  <c r="C49" i="2"/>
  <c r="C49" i="7" s="1"/>
  <c r="C49" i="6"/>
  <c r="C49" i="4"/>
  <c r="C65" i="2"/>
  <c r="C65" i="4"/>
  <c r="C65" i="5"/>
  <c r="C65" i="3"/>
  <c r="C65" i="6"/>
  <c r="C65" i="15"/>
  <c r="C81" i="2"/>
  <c r="C81" i="7" s="1"/>
  <c r="C81" i="3"/>
  <c r="C81" i="5"/>
  <c r="C81" i="6"/>
  <c r="C81" i="15"/>
  <c r="C81" i="4"/>
  <c r="C97" i="3"/>
  <c r="C97" i="6"/>
  <c r="C97" i="2"/>
  <c r="C97" i="7" s="1"/>
  <c r="C97" i="4"/>
  <c r="C97" i="5"/>
  <c r="C97" i="15"/>
  <c r="C113" i="2"/>
  <c r="C113" i="7" s="1"/>
  <c r="C113" i="3"/>
  <c r="C113" i="6"/>
  <c r="C113" i="5"/>
  <c r="C113" i="15"/>
  <c r="C113" i="4"/>
  <c r="C24" i="5"/>
  <c r="C24" i="15"/>
  <c r="C24" i="6"/>
  <c r="C24" i="3"/>
  <c r="C24" i="2"/>
  <c r="C24" i="7" s="1"/>
  <c r="C24" i="4"/>
  <c r="C40"/>
  <c r="C40" i="5"/>
  <c r="C40" i="2"/>
  <c r="L40" s="1"/>
  <c r="C40" i="15"/>
  <c r="C40" i="6"/>
  <c r="C40" i="3"/>
  <c r="C56"/>
  <c r="C56" i="5"/>
  <c r="C56" i="15"/>
  <c r="C56" i="6"/>
  <c r="C56" i="2"/>
  <c r="C56" i="7" s="1"/>
  <c r="C56" i="4"/>
  <c r="C72"/>
  <c r="C72" i="6"/>
  <c r="C72" i="3"/>
  <c r="C72" i="5"/>
  <c r="C72" i="2"/>
  <c r="L72" s="1"/>
  <c r="C72" i="15"/>
  <c r="C88" i="2"/>
  <c r="C88" i="7" s="1"/>
  <c r="C88" i="4"/>
  <c r="C88" i="6"/>
  <c r="C88" i="3"/>
  <c r="C88" i="5"/>
  <c r="C88" i="15"/>
  <c r="C104" i="3"/>
  <c r="C104" i="6"/>
  <c r="C104" i="4"/>
  <c r="C104" i="2"/>
  <c r="L104" s="1"/>
  <c r="C104" i="15"/>
  <c r="C104" i="5"/>
  <c r="C120" i="3"/>
  <c r="C120" i="6"/>
  <c r="C120" i="4"/>
  <c r="C120" i="2"/>
  <c r="L120" s="1"/>
  <c r="C120" i="15"/>
  <c r="C120" i="5"/>
  <c r="C27" i="6"/>
  <c r="C27" i="2"/>
  <c r="L27" s="1"/>
  <c r="C27" i="15"/>
  <c r="C27" i="4"/>
  <c r="C27" i="5"/>
  <c r="C27" i="3"/>
  <c r="C43" i="2"/>
  <c r="C43" i="7" s="1"/>
  <c r="C43" i="6"/>
  <c r="C43" i="4"/>
  <c r="C43" i="3"/>
  <c r="C43" i="15"/>
  <c r="C43" i="5"/>
  <c r="C59" i="2"/>
  <c r="C59" i="7" s="1"/>
  <c r="C59" i="6"/>
  <c r="C59" i="3"/>
  <c r="C59" i="15"/>
  <c r="C59" i="5"/>
  <c r="C59" i="4"/>
  <c r="C75" i="15"/>
  <c r="C75" i="4"/>
  <c r="C75" i="6"/>
  <c r="C75" i="3"/>
  <c r="C75" i="5"/>
  <c r="C75" i="2"/>
  <c r="C75" i="7" s="1"/>
  <c r="C91" i="2"/>
  <c r="L91" s="1"/>
  <c r="C91" i="15"/>
  <c r="C91" i="6"/>
  <c r="C91" i="3"/>
  <c r="C91" i="4"/>
  <c r="C91" i="5"/>
  <c r="C107" i="15"/>
  <c r="C107" i="5"/>
  <c r="C107" i="2"/>
  <c r="C107" i="7" s="1"/>
  <c r="C107" i="3"/>
  <c r="C107" i="6"/>
  <c r="C107" i="4"/>
  <c r="C14" i="3"/>
  <c r="C14" i="6"/>
  <c r="C14" i="15"/>
  <c r="C14" i="2"/>
  <c r="C14" i="7" s="1"/>
  <c r="C14" i="4"/>
  <c r="C14" i="5"/>
  <c r="C30" i="6"/>
  <c r="C30" i="2"/>
  <c r="L30" s="1"/>
  <c r="C30" i="15"/>
  <c r="C30" i="3"/>
  <c r="C30" i="4"/>
  <c r="C30" i="5"/>
  <c r="C46" i="2"/>
  <c r="L46" s="1"/>
  <c r="C46" i="3"/>
  <c r="C46" i="4"/>
  <c r="C46" i="6"/>
  <c r="C46" i="15"/>
  <c r="C46" i="5"/>
  <c r="C62" i="4"/>
  <c r="C62" i="15"/>
  <c r="C62" i="2"/>
  <c r="C62" i="7" s="1"/>
  <c r="C62" i="6"/>
  <c r="C62" i="3"/>
  <c r="C62" i="5"/>
  <c r="C78"/>
  <c r="C78" i="15"/>
  <c r="C78" i="3"/>
  <c r="C78" i="6"/>
  <c r="C78" i="4"/>
  <c r="C78" i="2"/>
  <c r="C94"/>
  <c r="C94" i="7" s="1"/>
  <c r="C94" i="4"/>
  <c r="C94" i="15"/>
  <c r="C94" i="5"/>
  <c r="C94" i="3"/>
  <c r="C94" i="6"/>
  <c r="C110" i="2"/>
  <c r="C110" i="7" s="1"/>
  <c r="C110" i="3"/>
  <c r="C110" i="6"/>
  <c r="C110" i="15"/>
  <c r="C110" i="4"/>
  <c r="C110" i="5"/>
  <c r="C13" i="15"/>
  <c r="C13" i="3"/>
  <c r="C13" i="5"/>
  <c r="C13" i="2"/>
  <c r="L13" s="1"/>
  <c r="C13" i="4"/>
  <c r="C13" i="6"/>
  <c r="C29" i="2"/>
  <c r="C29" i="7" s="1"/>
  <c r="C29" i="15"/>
  <c r="C29" i="3"/>
  <c r="C29" i="4"/>
  <c r="C29" i="5"/>
  <c r="C29" i="6"/>
  <c r="C45" i="2"/>
  <c r="C45" i="15"/>
  <c r="C45" i="3"/>
  <c r="C45" i="4"/>
  <c r="C45" i="5"/>
  <c r="C45" i="6"/>
  <c r="C61" i="15"/>
  <c r="C61" i="2"/>
  <c r="C61" i="7" s="1"/>
  <c r="C61" i="4"/>
  <c r="C61" i="5"/>
  <c r="C61" i="3"/>
  <c r="C61" i="6"/>
  <c r="C77" i="3"/>
  <c r="C77" i="2"/>
  <c r="C77" i="7" s="1"/>
  <c r="C77" i="15"/>
  <c r="C77" i="4"/>
  <c r="C77" i="5"/>
  <c r="C77" i="6"/>
  <c r="C93" i="5"/>
  <c r="C93" i="2"/>
  <c r="C93" i="7" s="1"/>
  <c r="C93" i="15"/>
  <c r="C93" i="6"/>
  <c r="C93" i="3"/>
  <c r="C93" i="4"/>
  <c r="C109"/>
  <c r="C109" i="2"/>
  <c r="C109" i="7" s="1"/>
  <c r="C109" i="5"/>
  <c r="C109" i="15"/>
  <c r="C109" i="3"/>
  <c r="C109" i="6"/>
  <c r="C6" i="3"/>
  <c r="C5" i="5"/>
  <c r="C6" i="6"/>
  <c r="C5" i="2"/>
  <c r="C5" i="4"/>
  <c r="C6" i="2"/>
  <c r="C5" i="3"/>
  <c r="C6" i="5"/>
  <c r="C11" i="3"/>
  <c r="C11" i="2"/>
  <c r="C11" i="7" s="1"/>
  <c r="C11" i="6"/>
  <c r="C11" i="15"/>
  <c r="C11" i="4"/>
  <c r="C11" i="5"/>
  <c r="C8" i="3"/>
  <c r="C8" i="4"/>
  <c r="C8" i="6"/>
  <c r="C8" i="2"/>
  <c r="C8" i="7" s="1"/>
  <c r="C8" i="5"/>
  <c r="C8" i="15"/>
  <c r="C7" i="2"/>
  <c r="L7" s="1"/>
  <c r="C7" i="3"/>
  <c r="C7" i="6"/>
  <c r="C7" i="15"/>
  <c r="C7" i="5"/>
  <c r="C7" i="4"/>
  <c r="C10"/>
  <c r="C10" i="6"/>
  <c r="C10" i="2"/>
  <c r="L10" s="1"/>
  <c r="C10" i="3"/>
  <c r="C12"/>
  <c r="C12" i="2"/>
  <c r="C12" i="7" s="1"/>
  <c r="C12" i="5"/>
  <c r="C12" i="15"/>
  <c r="C12" i="4"/>
  <c r="C12" i="6"/>
  <c r="C9" i="3"/>
  <c r="C9" i="4"/>
  <c r="C9" i="5"/>
  <c r="C9" i="15"/>
  <c r="C9" i="2"/>
  <c r="C9" i="7" s="1"/>
  <c r="C9" i="6"/>
  <c r="J76" i="2"/>
  <c r="K76" s="1"/>
  <c r="J72"/>
  <c r="K72" s="1"/>
  <c r="J119"/>
  <c r="K119" s="1"/>
  <c r="J89"/>
  <c r="K89" s="1"/>
  <c r="J105"/>
  <c r="K105" s="1"/>
  <c r="J116"/>
  <c r="K116" s="1"/>
  <c r="J104"/>
  <c r="K104" s="1"/>
  <c r="J70"/>
  <c r="K70" s="1"/>
  <c r="T303" i="7"/>
  <c r="V303"/>
  <c r="J303"/>
  <c r="L303"/>
  <c r="K303"/>
  <c r="X303"/>
  <c r="W303"/>
  <c r="S303"/>
  <c r="R303"/>
  <c r="J78" i="2"/>
  <c r="K78" s="1"/>
  <c r="J120"/>
  <c r="K120" s="1"/>
  <c r="J65"/>
  <c r="K65" s="1"/>
  <c r="M65" s="1"/>
  <c r="J85"/>
  <c r="K85" s="1"/>
  <c r="J45"/>
  <c r="K45" s="1"/>
  <c r="M45" s="1"/>
  <c r="J91"/>
  <c r="K91" s="1"/>
  <c r="J92"/>
  <c r="K92" s="1"/>
  <c r="J71"/>
  <c r="K71" s="1"/>
  <c r="J63"/>
  <c r="K63" s="1"/>
  <c r="J69"/>
  <c r="K69" s="1"/>
  <c r="K37"/>
  <c r="J58"/>
  <c r="K58" s="1"/>
  <c r="J46"/>
  <c r="K46" s="1"/>
  <c r="J52"/>
  <c r="K52" s="1"/>
  <c r="J19"/>
  <c r="K19" s="1"/>
  <c r="J40"/>
  <c r="K40" s="1"/>
  <c r="J35"/>
  <c r="K35" s="1"/>
  <c r="M35" s="1"/>
  <c r="J27"/>
  <c r="K27" s="1"/>
  <c r="J28"/>
  <c r="K28" s="1"/>
  <c r="M28" s="1"/>
  <c r="J23"/>
  <c r="K23" s="1"/>
  <c r="J26"/>
  <c r="K26" s="1"/>
  <c r="J13"/>
  <c r="K13" s="1"/>
  <c r="J17"/>
  <c r="K17" s="1"/>
  <c r="J6"/>
  <c r="K6" s="1"/>
  <c r="J10"/>
  <c r="K10" s="1"/>
  <c r="G34" i="15" l="1"/>
  <c r="H34" i="7"/>
  <c r="P34" s="1"/>
  <c r="H41"/>
  <c r="P41" s="1"/>
  <c r="G57" i="15"/>
  <c r="H57" i="7"/>
  <c r="G14" i="15"/>
  <c r="J44" i="2"/>
  <c r="K44" s="1"/>
  <c r="M44" s="1"/>
  <c r="G44" i="15" s="1"/>
  <c r="J43" i="2"/>
  <c r="K43" s="1"/>
  <c r="M43" s="1"/>
  <c r="H43" i="7" s="1"/>
  <c r="J73" i="2"/>
  <c r="K73" s="1"/>
  <c r="M73" s="1"/>
  <c r="H73" i="7" s="1"/>
  <c r="J30" i="2"/>
  <c r="K30" s="1"/>
  <c r="M30" s="1"/>
  <c r="G30" i="15" s="1"/>
  <c r="J12" i="2"/>
  <c r="K12" s="1"/>
  <c r="M12" s="1"/>
  <c r="G12" i="15" s="1"/>
  <c r="J7" i="2"/>
  <c r="K7" s="1"/>
  <c r="M7" s="1"/>
  <c r="X121" i="7"/>
  <c r="C5"/>
  <c r="E5" s="1"/>
  <c r="L5" i="2"/>
  <c r="M5" s="1"/>
  <c r="C50" i="7"/>
  <c r="L50" i="2"/>
  <c r="M50" s="1"/>
  <c r="G50" i="15" s="1"/>
  <c r="C47" i="7"/>
  <c r="L47" i="2"/>
  <c r="M47" s="1"/>
  <c r="C53" i="7"/>
  <c r="L53" i="2"/>
  <c r="M53" s="1"/>
  <c r="C48" i="7"/>
  <c r="L48" i="2"/>
  <c r="M48" s="1"/>
  <c r="H121" i="7"/>
  <c r="G31" i="15"/>
  <c r="G121"/>
  <c r="M78" i="2"/>
  <c r="H78" i="7" s="1"/>
  <c r="G60" i="15"/>
  <c r="H60" i="7"/>
  <c r="P60" s="1"/>
  <c r="H87"/>
  <c r="P87" s="1"/>
  <c r="G87" i="15"/>
  <c r="G82"/>
  <c r="H82" i="7"/>
  <c r="G39" i="15"/>
  <c r="H39" i="7"/>
  <c r="P39" s="1"/>
  <c r="G49" i="15"/>
  <c r="H49" i="7"/>
  <c r="P49" s="1"/>
  <c r="G74" i="15"/>
  <c r="H74" i="7"/>
  <c r="G8" i="15"/>
  <c r="H8" i="7"/>
  <c r="H25"/>
  <c r="G25" i="15"/>
  <c r="G42"/>
  <c r="H42" i="7"/>
  <c r="H77"/>
  <c r="G77" i="15"/>
  <c r="G79"/>
  <c r="H79" i="7"/>
  <c r="G56" i="15"/>
  <c r="H56" i="7"/>
  <c r="G38" i="15"/>
  <c r="H38" i="7"/>
  <c r="P38" s="1"/>
  <c r="G61" i="15"/>
  <c r="H61" i="7"/>
  <c r="P61" s="1"/>
  <c r="H64"/>
  <c r="P64" s="1"/>
  <c r="G64" i="15"/>
  <c r="G62"/>
  <c r="H62" i="7"/>
  <c r="H114"/>
  <c r="G107" i="15"/>
  <c r="H107" i="7"/>
  <c r="H106"/>
  <c r="G75" i="15"/>
  <c r="H75" i="7"/>
  <c r="P75" s="1"/>
  <c r="H67"/>
  <c r="G67" i="15"/>
  <c r="H66" i="7"/>
  <c r="P66" s="1"/>
  <c r="G66" i="15"/>
  <c r="H65" i="7"/>
  <c r="H11"/>
  <c r="G33" i="15"/>
  <c r="H32" i="7"/>
  <c r="G32" i="15"/>
  <c r="M10" i="2"/>
  <c r="M46"/>
  <c r="M91"/>
  <c r="M72"/>
  <c r="M89"/>
  <c r="M26"/>
  <c r="G26" i="15" s="1"/>
  <c r="M71" i="2"/>
  <c r="M116"/>
  <c r="H116" i="7" s="1"/>
  <c r="M52" i="2"/>
  <c r="M13"/>
  <c r="G13" i="15" s="1"/>
  <c r="M27" i="2"/>
  <c r="M120"/>
  <c r="G120" i="15" s="1"/>
  <c r="M92" i="2"/>
  <c r="G92" i="15" s="1"/>
  <c r="M37" i="2"/>
  <c r="M58"/>
  <c r="M40"/>
  <c r="M69"/>
  <c r="M70"/>
  <c r="M19"/>
  <c r="M105"/>
  <c r="M119"/>
  <c r="M104"/>
  <c r="M17"/>
  <c r="M63"/>
  <c r="M76"/>
  <c r="M23"/>
  <c r="C6" i="7"/>
  <c r="L6" i="2"/>
  <c r="M6" s="1"/>
  <c r="G6" i="15" s="1"/>
  <c r="C68" i="7"/>
  <c r="E68" s="1"/>
  <c r="L68" i="2"/>
  <c r="M68" s="1"/>
  <c r="J121" i="7"/>
  <c r="T121"/>
  <c r="L121"/>
  <c r="K121"/>
  <c r="W121"/>
  <c r="R121"/>
  <c r="S121"/>
  <c r="V121"/>
  <c r="E109"/>
  <c r="D109"/>
  <c r="E77"/>
  <c r="D77"/>
  <c r="C30"/>
  <c r="E14"/>
  <c r="D14"/>
  <c r="D75"/>
  <c r="E75"/>
  <c r="C104"/>
  <c r="E113"/>
  <c r="D113"/>
  <c r="E97"/>
  <c r="D97"/>
  <c r="E81"/>
  <c r="D81"/>
  <c r="D98"/>
  <c r="E98"/>
  <c r="E34"/>
  <c r="D34"/>
  <c r="E111"/>
  <c r="D111"/>
  <c r="D79"/>
  <c r="E79"/>
  <c r="E47"/>
  <c r="D47"/>
  <c r="D117"/>
  <c r="E117"/>
  <c r="E21"/>
  <c r="D21"/>
  <c r="D38"/>
  <c r="E38"/>
  <c r="E99"/>
  <c r="D99"/>
  <c r="E112"/>
  <c r="D112"/>
  <c r="E64"/>
  <c r="D64"/>
  <c r="E16"/>
  <c r="D16"/>
  <c r="C89"/>
  <c r="C73"/>
  <c r="D57"/>
  <c r="E57"/>
  <c r="D90"/>
  <c r="E90"/>
  <c r="C26"/>
  <c r="E103"/>
  <c r="D103"/>
  <c r="C71"/>
  <c r="E39"/>
  <c r="D39"/>
  <c r="C116"/>
  <c r="D84"/>
  <c r="E84"/>
  <c r="C52"/>
  <c r="L5"/>
  <c r="E29"/>
  <c r="D29"/>
  <c r="E110"/>
  <c r="D110"/>
  <c r="E62"/>
  <c r="D62"/>
  <c r="C46"/>
  <c r="E107"/>
  <c r="D107"/>
  <c r="C91"/>
  <c r="D59"/>
  <c r="E59"/>
  <c r="C72"/>
  <c r="C33"/>
  <c r="E95"/>
  <c r="D95"/>
  <c r="C92"/>
  <c r="C28"/>
  <c r="D53"/>
  <c r="E53"/>
  <c r="D118"/>
  <c r="E118"/>
  <c r="D54"/>
  <c r="E54"/>
  <c r="D22"/>
  <c r="E22"/>
  <c r="E115"/>
  <c r="D115"/>
  <c r="C35"/>
  <c r="D96"/>
  <c r="E96"/>
  <c r="D80"/>
  <c r="E80"/>
  <c r="E48"/>
  <c r="D48"/>
  <c r="E25"/>
  <c r="D25"/>
  <c r="C58"/>
  <c r="E20"/>
  <c r="D20"/>
  <c r="E93"/>
  <c r="D93"/>
  <c r="E61"/>
  <c r="D61"/>
  <c r="C13"/>
  <c r="C78"/>
  <c r="C27"/>
  <c r="C120"/>
  <c r="C65"/>
  <c r="D114"/>
  <c r="E114"/>
  <c r="D82"/>
  <c r="E82"/>
  <c r="D66"/>
  <c r="E66"/>
  <c r="E18"/>
  <c r="D18"/>
  <c r="D15"/>
  <c r="E15"/>
  <c r="E108"/>
  <c r="D108"/>
  <c r="C85"/>
  <c r="C37"/>
  <c r="D86"/>
  <c r="E86"/>
  <c r="D51"/>
  <c r="E51"/>
  <c r="C105"/>
  <c r="E106"/>
  <c r="D106"/>
  <c r="E74"/>
  <c r="D74"/>
  <c r="E42"/>
  <c r="D42"/>
  <c r="C119"/>
  <c r="E100"/>
  <c r="D100"/>
  <c r="C45"/>
  <c r="D94"/>
  <c r="E94"/>
  <c r="E43"/>
  <c r="D43"/>
  <c r="E88"/>
  <c r="D88"/>
  <c r="D56"/>
  <c r="E56"/>
  <c r="C40"/>
  <c r="E24"/>
  <c r="D24"/>
  <c r="D49"/>
  <c r="E49"/>
  <c r="C17"/>
  <c r="E50"/>
  <c r="D50"/>
  <c r="C63"/>
  <c r="E31"/>
  <c r="D31"/>
  <c r="C76"/>
  <c r="D60"/>
  <c r="E60"/>
  <c r="C44"/>
  <c r="E101"/>
  <c r="D101"/>
  <c r="C69"/>
  <c r="E102"/>
  <c r="D102"/>
  <c r="C70"/>
  <c r="D83"/>
  <c r="E83"/>
  <c r="E67"/>
  <c r="D67"/>
  <c r="C19"/>
  <c r="E32"/>
  <c r="D32"/>
  <c r="E41"/>
  <c r="D41"/>
  <c r="D87"/>
  <c r="E87"/>
  <c r="E55"/>
  <c r="D55"/>
  <c r="C23"/>
  <c r="E36"/>
  <c r="D36"/>
  <c r="S5"/>
  <c r="D5"/>
  <c r="D9"/>
  <c r="E9"/>
  <c r="C10"/>
  <c r="C7"/>
  <c r="D8"/>
  <c r="E8"/>
  <c r="D11"/>
  <c r="E11"/>
  <c r="D12"/>
  <c r="E12"/>
  <c r="D6"/>
  <c r="E6"/>
  <c r="G85" i="15"/>
  <c r="H85" i="7"/>
  <c r="G65" i="15"/>
  <c r="G45"/>
  <c r="H45" i="7"/>
  <c r="G35" i="15"/>
  <c r="H35" i="7"/>
  <c r="H33"/>
  <c r="G28" i="15"/>
  <c r="H28" i="7"/>
  <c r="G73" i="15" l="1"/>
  <c r="G43"/>
  <c r="H44" i="7"/>
  <c r="H12"/>
  <c r="T12" s="1"/>
  <c r="G78" i="15"/>
  <c r="N5" i="7"/>
  <c r="O5"/>
  <c r="P5"/>
  <c r="W5"/>
  <c r="J5"/>
  <c r="K5"/>
  <c r="R5"/>
  <c r="V5"/>
  <c r="T5"/>
  <c r="G5" i="15"/>
  <c r="H5" i="7"/>
  <c r="X5" s="1"/>
  <c r="H50"/>
  <c r="L50" s="1"/>
  <c r="G47" i="15"/>
  <c r="H47" i="7"/>
  <c r="H48"/>
  <c r="P48" s="1"/>
  <c r="G48" i="15"/>
  <c r="H53" i="7"/>
  <c r="P53" s="1"/>
  <c r="G53" i="15"/>
  <c r="D68" i="7"/>
  <c r="H68"/>
  <c r="G68" i="15"/>
  <c r="H26" i="7"/>
  <c r="H30"/>
  <c r="H92"/>
  <c r="H58"/>
  <c r="G58" i="15"/>
  <c r="G104"/>
  <c r="H104" i="7"/>
  <c r="G70" i="15"/>
  <c r="H70" i="7"/>
  <c r="P70" s="1"/>
  <c r="H71"/>
  <c r="P71" s="1"/>
  <c r="G71" i="15"/>
  <c r="G116"/>
  <c r="H63" i="7"/>
  <c r="G63" i="15"/>
  <c r="G40"/>
  <c r="H40" i="7"/>
  <c r="P40" s="1"/>
  <c r="G27" i="15"/>
  <c r="H27" i="7"/>
  <c r="G89" i="15"/>
  <c r="H89" i="7"/>
  <c r="P89" s="1"/>
  <c r="H13"/>
  <c r="H120"/>
  <c r="H17"/>
  <c r="G17" i="15"/>
  <c r="H23" i="7"/>
  <c r="G23" i="15"/>
  <c r="G52"/>
  <c r="H52" i="7"/>
  <c r="G19" i="15"/>
  <c r="H19" i="7"/>
  <c r="H72"/>
  <c r="G72" i="15"/>
  <c r="G46"/>
  <c r="H46" i="7"/>
  <c r="G69" i="15"/>
  <c r="H69" i="7"/>
  <c r="H76"/>
  <c r="P76" s="1"/>
  <c r="G76" i="15"/>
  <c r="G37"/>
  <c r="H37" i="7"/>
  <c r="H119"/>
  <c r="G119" i="15"/>
  <c r="H105" i="7"/>
  <c r="G105" i="15"/>
  <c r="H91" i="7"/>
  <c r="G91" i="15"/>
  <c r="E23" i="7"/>
  <c r="D23"/>
  <c r="S32"/>
  <c r="L32"/>
  <c r="V32"/>
  <c r="R32"/>
  <c r="X32"/>
  <c r="K32"/>
  <c r="J32"/>
  <c r="W32"/>
  <c r="T32"/>
  <c r="S67"/>
  <c r="V67"/>
  <c r="L67"/>
  <c r="K67"/>
  <c r="T67"/>
  <c r="X67"/>
  <c r="J67"/>
  <c r="R67"/>
  <c r="W67"/>
  <c r="E70"/>
  <c r="D70"/>
  <c r="E44"/>
  <c r="D44"/>
  <c r="E63"/>
  <c r="D63"/>
  <c r="L24"/>
  <c r="W24"/>
  <c r="X24"/>
  <c r="K24"/>
  <c r="S24"/>
  <c r="J24"/>
  <c r="R24"/>
  <c r="V24"/>
  <c r="T24"/>
  <c r="K43"/>
  <c r="R43"/>
  <c r="L43"/>
  <c r="W43"/>
  <c r="S43"/>
  <c r="V43"/>
  <c r="T43"/>
  <c r="J43"/>
  <c r="X43"/>
  <c r="D45"/>
  <c r="E45"/>
  <c r="X51"/>
  <c r="W51"/>
  <c r="T51"/>
  <c r="S51"/>
  <c r="J51"/>
  <c r="R51"/>
  <c r="K51"/>
  <c r="L51"/>
  <c r="V51"/>
  <c r="L82"/>
  <c r="V82"/>
  <c r="K82"/>
  <c r="W82"/>
  <c r="X82"/>
  <c r="R82"/>
  <c r="S82"/>
  <c r="J82"/>
  <c r="T82"/>
  <c r="E65"/>
  <c r="D65"/>
  <c r="E27"/>
  <c r="D27"/>
  <c r="J96"/>
  <c r="W96"/>
  <c r="K96"/>
  <c r="R96"/>
  <c r="T96"/>
  <c r="S96"/>
  <c r="X96"/>
  <c r="V96"/>
  <c r="L96"/>
  <c r="R54"/>
  <c r="K54"/>
  <c r="J54"/>
  <c r="S54"/>
  <c r="L54"/>
  <c r="V54"/>
  <c r="T54"/>
  <c r="W54"/>
  <c r="X54"/>
  <c r="R53"/>
  <c r="S53"/>
  <c r="T53"/>
  <c r="W53"/>
  <c r="J53"/>
  <c r="K53"/>
  <c r="L53"/>
  <c r="V53"/>
  <c r="X53"/>
  <c r="D33"/>
  <c r="E33"/>
  <c r="R59"/>
  <c r="W59"/>
  <c r="V59"/>
  <c r="J59"/>
  <c r="K59"/>
  <c r="L59"/>
  <c r="T59"/>
  <c r="S59"/>
  <c r="X59"/>
  <c r="K39"/>
  <c r="R39"/>
  <c r="L39"/>
  <c r="V39"/>
  <c r="S39"/>
  <c r="J39"/>
  <c r="W39"/>
  <c r="X39"/>
  <c r="T39"/>
  <c r="W103"/>
  <c r="T103"/>
  <c r="R103"/>
  <c r="K103"/>
  <c r="S103"/>
  <c r="J103"/>
  <c r="V103"/>
  <c r="X103"/>
  <c r="L103"/>
  <c r="D73"/>
  <c r="E73"/>
  <c r="L16"/>
  <c r="J16"/>
  <c r="W16"/>
  <c r="X16"/>
  <c r="R16"/>
  <c r="V16"/>
  <c r="K16"/>
  <c r="T16"/>
  <c r="S16"/>
  <c r="J112"/>
  <c r="X112"/>
  <c r="S112"/>
  <c r="V112"/>
  <c r="T112"/>
  <c r="K112"/>
  <c r="W112"/>
  <c r="R112"/>
  <c r="L112"/>
  <c r="R34"/>
  <c r="K34"/>
  <c r="W34"/>
  <c r="X34"/>
  <c r="V34"/>
  <c r="J34"/>
  <c r="L34"/>
  <c r="S34"/>
  <c r="T34"/>
  <c r="R81"/>
  <c r="T81"/>
  <c r="X81"/>
  <c r="K81"/>
  <c r="S81"/>
  <c r="W81"/>
  <c r="J81"/>
  <c r="V81"/>
  <c r="L81"/>
  <c r="K113"/>
  <c r="V113"/>
  <c r="S113"/>
  <c r="L113"/>
  <c r="T113"/>
  <c r="J113"/>
  <c r="W113"/>
  <c r="X113"/>
  <c r="R113"/>
  <c r="X109"/>
  <c r="T109"/>
  <c r="R109"/>
  <c r="S109"/>
  <c r="J109"/>
  <c r="V109"/>
  <c r="K109"/>
  <c r="W109"/>
  <c r="L109"/>
  <c r="R87"/>
  <c r="K87"/>
  <c r="W87"/>
  <c r="V87"/>
  <c r="S87"/>
  <c r="L87"/>
  <c r="T87"/>
  <c r="J87"/>
  <c r="X87"/>
  <c r="D69"/>
  <c r="E69"/>
  <c r="E76"/>
  <c r="D76"/>
  <c r="D17"/>
  <c r="E17"/>
  <c r="L56"/>
  <c r="X56"/>
  <c r="S56"/>
  <c r="J56"/>
  <c r="V56"/>
  <c r="R56"/>
  <c r="W56"/>
  <c r="K56"/>
  <c r="T56"/>
  <c r="E119"/>
  <c r="D119"/>
  <c r="V74"/>
  <c r="L74"/>
  <c r="R74"/>
  <c r="S74"/>
  <c r="T74"/>
  <c r="W74"/>
  <c r="J74"/>
  <c r="K74"/>
  <c r="X74"/>
  <c r="E105"/>
  <c r="D105"/>
  <c r="D85"/>
  <c r="E85"/>
  <c r="D120"/>
  <c r="E120"/>
  <c r="E78"/>
  <c r="D78"/>
  <c r="S61"/>
  <c r="V61"/>
  <c r="L61"/>
  <c r="W61"/>
  <c r="K61"/>
  <c r="J61"/>
  <c r="X61"/>
  <c r="R61"/>
  <c r="T61"/>
  <c r="J20"/>
  <c r="W20"/>
  <c r="V20"/>
  <c r="L20"/>
  <c r="S20"/>
  <c r="X20"/>
  <c r="R20"/>
  <c r="K20"/>
  <c r="T20"/>
  <c r="X25"/>
  <c r="R25"/>
  <c r="L25"/>
  <c r="V25"/>
  <c r="S25"/>
  <c r="J25"/>
  <c r="K25"/>
  <c r="W25"/>
  <c r="T25"/>
  <c r="D28"/>
  <c r="E28"/>
  <c r="L95"/>
  <c r="W95"/>
  <c r="T95"/>
  <c r="S95"/>
  <c r="V95"/>
  <c r="K95"/>
  <c r="J95"/>
  <c r="R95"/>
  <c r="X95"/>
  <c r="D91"/>
  <c r="E91"/>
  <c r="W110"/>
  <c r="S110"/>
  <c r="K110"/>
  <c r="R110"/>
  <c r="J110"/>
  <c r="V110"/>
  <c r="T110"/>
  <c r="L110"/>
  <c r="X110"/>
  <c r="J84"/>
  <c r="R84"/>
  <c r="X84"/>
  <c r="W84"/>
  <c r="L84"/>
  <c r="S84"/>
  <c r="V84"/>
  <c r="K84"/>
  <c r="T84"/>
  <c r="L90"/>
  <c r="K90"/>
  <c r="X90"/>
  <c r="R90"/>
  <c r="W90"/>
  <c r="V90"/>
  <c r="S90"/>
  <c r="J90"/>
  <c r="T90"/>
  <c r="W38"/>
  <c r="T38"/>
  <c r="J38"/>
  <c r="R38"/>
  <c r="S38"/>
  <c r="L38"/>
  <c r="K38"/>
  <c r="V38"/>
  <c r="X38"/>
  <c r="X117"/>
  <c r="W117"/>
  <c r="J117"/>
  <c r="S117"/>
  <c r="V117"/>
  <c r="T117"/>
  <c r="L117"/>
  <c r="K117"/>
  <c r="R117"/>
  <c r="T79"/>
  <c r="S79"/>
  <c r="V79"/>
  <c r="J79"/>
  <c r="K79"/>
  <c r="W79"/>
  <c r="X79"/>
  <c r="R79"/>
  <c r="L79"/>
  <c r="J75"/>
  <c r="K75"/>
  <c r="V75"/>
  <c r="S75"/>
  <c r="T75"/>
  <c r="W75"/>
  <c r="X75"/>
  <c r="R75"/>
  <c r="L75"/>
  <c r="E30"/>
  <c r="D30"/>
  <c r="L45"/>
  <c r="V36"/>
  <c r="K36"/>
  <c r="W36"/>
  <c r="L36"/>
  <c r="X36"/>
  <c r="J36"/>
  <c r="R36"/>
  <c r="T36"/>
  <c r="S36"/>
  <c r="W55"/>
  <c r="V55"/>
  <c r="S55"/>
  <c r="K55"/>
  <c r="J55"/>
  <c r="T55"/>
  <c r="X55"/>
  <c r="R55"/>
  <c r="L55"/>
  <c r="V41"/>
  <c r="K41"/>
  <c r="W41"/>
  <c r="S41"/>
  <c r="J41"/>
  <c r="R41"/>
  <c r="T41"/>
  <c r="X41"/>
  <c r="L41"/>
  <c r="V102"/>
  <c r="W102"/>
  <c r="T102"/>
  <c r="R102"/>
  <c r="K102"/>
  <c r="X102"/>
  <c r="J102"/>
  <c r="L102"/>
  <c r="S102"/>
  <c r="W101"/>
  <c r="S101"/>
  <c r="K101"/>
  <c r="X101"/>
  <c r="T101"/>
  <c r="R101"/>
  <c r="J101"/>
  <c r="V101"/>
  <c r="L101"/>
  <c r="W31"/>
  <c r="R31"/>
  <c r="J31"/>
  <c r="X31"/>
  <c r="K31"/>
  <c r="L31"/>
  <c r="V31"/>
  <c r="S31"/>
  <c r="T31"/>
  <c r="K50"/>
  <c r="S50"/>
  <c r="V50"/>
  <c r="R50"/>
  <c r="J50"/>
  <c r="T50"/>
  <c r="W50"/>
  <c r="X50"/>
  <c r="D40"/>
  <c r="E40"/>
  <c r="J88"/>
  <c r="K88"/>
  <c r="R88"/>
  <c r="S88"/>
  <c r="X88"/>
  <c r="T88"/>
  <c r="W88"/>
  <c r="V88"/>
  <c r="L88"/>
  <c r="J68"/>
  <c r="W68"/>
  <c r="R68"/>
  <c r="V68"/>
  <c r="T68"/>
  <c r="S68"/>
  <c r="L68"/>
  <c r="K68"/>
  <c r="X68"/>
  <c r="W86"/>
  <c r="K86"/>
  <c r="L86"/>
  <c r="V86"/>
  <c r="R86"/>
  <c r="S86"/>
  <c r="T86"/>
  <c r="J86"/>
  <c r="X86"/>
  <c r="L15"/>
  <c r="W15"/>
  <c r="X15"/>
  <c r="R15"/>
  <c r="V15"/>
  <c r="S15"/>
  <c r="J15"/>
  <c r="K15"/>
  <c r="T15"/>
  <c r="J66"/>
  <c r="R66"/>
  <c r="X66"/>
  <c r="V66"/>
  <c r="S66"/>
  <c r="W66"/>
  <c r="T66"/>
  <c r="K66"/>
  <c r="L66"/>
  <c r="K114"/>
  <c r="V114"/>
  <c r="J114"/>
  <c r="T114"/>
  <c r="S114"/>
  <c r="L114"/>
  <c r="X114"/>
  <c r="R114"/>
  <c r="W114"/>
  <c r="T80"/>
  <c r="R80"/>
  <c r="S80"/>
  <c r="K80"/>
  <c r="W80"/>
  <c r="V80"/>
  <c r="J80"/>
  <c r="L80"/>
  <c r="X80"/>
  <c r="D35"/>
  <c r="E35"/>
  <c r="T22"/>
  <c r="W22"/>
  <c r="K22"/>
  <c r="S22"/>
  <c r="L22"/>
  <c r="X22"/>
  <c r="R22"/>
  <c r="V22"/>
  <c r="J22"/>
  <c r="K118"/>
  <c r="L118"/>
  <c r="W118"/>
  <c r="R118"/>
  <c r="V118"/>
  <c r="S118"/>
  <c r="J118"/>
  <c r="X118"/>
  <c r="T118"/>
  <c r="E72"/>
  <c r="D72"/>
  <c r="D46"/>
  <c r="E46"/>
  <c r="D52"/>
  <c r="E52"/>
  <c r="E116"/>
  <c r="D116"/>
  <c r="D71"/>
  <c r="E71"/>
  <c r="S64"/>
  <c r="V64"/>
  <c r="R64"/>
  <c r="T64"/>
  <c r="X64"/>
  <c r="K64"/>
  <c r="W64"/>
  <c r="J64"/>
  <c r="L64"/>
  <c r="W99"/>
  <c r="R99"/>
  <c r="L99"/>
  <c r="S99"/>
  <c r="K99"/>
  <c r="T99"/>
  <c r="J99"/>
  <c r="V99"/>
  <c r="X99"/>
  <c r="R21"/>
  <c r="V21"/>
  <c r="J21"/>
  <c r="W21"/>
  <c r="K21"/>
  <c r="X21"/>
  <c r="S21"/>
  <c r="L21"/>
  <c r="T21"/>
  <c r="W47"/>
  <c r="K47"/>
  <c r="V47"/>
  <c r="T47"/>
  <c r="R47"/>
  <c r="L47"/>
  <c r="J47"/>
  <c r="S47"/>
  <c r="X47"/>
  <c r="X111"/>
  <c r="K111"/>
  <c r="T111"/>
  <c r="V111"/>
  <c r="L111"/>
  <c r="W111"/>
  <c r="J111"/>
  <c r="R111"/>
  <c r="S111"/>
  <c r="S97"/>
  <c r="T97"/>
  <c r="V97"/>
  <c r="R97"/>
  <c r="L97"/>
  <c r="J97"/>
  <c r="W97"/>
  <c r="K97"/>
  <c r="X97"/>
  <c r="D104"/>
  <c r="E104"/>
  <c r="S14"/>
  <c r="K14"/>
  <c r="W14"/>
  <c r="V14"/>
  <c r="L14"/>
  <c r="R14"/>
  <c r="T14"/>
  <c r="J14"/>
  <c r="X14"/>
  <c r="S77"/>
  <c r="R77"/>
  <c r="J77"/>
  <c r="X77"/>
  <c r="W77"/>
  <c r="K77"/>
  <c r="V77"/>
  <c r="T77"/>
  <c r="L77"/>
  <c r="T33"/>
  <c r="D19"/>
  <c r="E19"/>
  <c r="R83"/>
  <c r="J83"/>
  <c r="T83"/>
  <c r="X83"/>
  <c r="S83"/>
  <c r="V83"/>
  <c r="K83"/>
  <c r="W83"/>
  <c r="L83"/>
  <c r="L60"/>
  <c r="R60"/>
  <c r="T60"/>
  <c r="J60"/>
  <c r="W60"/>
  <c r="S60"/>
  <c r="V60"/>
  <c r="K60"/>
  <c r="X60"/>
  <c r="V49"/>
  <c r="L49"/>
  <c r="W49"/>
  <c r="J49"/>
  <c r="R49"/>
  <c r="S49"/>
  <c r="K49"/>
  <c r="X49"/>
  <c r="T49"/>
  <c r="W94"/>
  <c r="R94"/>
  <c r="V94"/>
  <c r="S94"/>
  <c r="K94"/>
  <c r="T94"/>
  <c r="X94"/>
  <c r="J94"/>
  <c r="L94"/>
  <c r="L100"/>
  <c r="S100"/>
  <c r="W100"/>
  <c r="R100"/>
  <c r="T100"/>
  <c r="K100"/>
  <c r="J100"/>
  <c r="V100"/>
  <c r="X100"/>
  <c r="S42"/>
  <c r="J42"/>
  <c r="K42"/>
  <c r="W42"/>
  <c r="T42"/>
  <c r="R42"/>
  <c r="L42"/>
  <c r="V42"/>
  <c r="X42"/>
  <c r="R106"/>
  <c r="W106"/>
  <c r="K106"/>
  <c r="V106"/>
  <c r="S106"/>
  <c r="L106"/>
  <c r="J106"/>
  <c r="T106"/>
  <c r="X106"/>
  <c r="E37"/>
  <c r="D37"/>
  <c r="J108"/>
  <c r="W108"/>
  <c r="T108"/>
  <c r="X108"/>
  <c r="R108"/>
  <c r="S108"/>
  <c r="K108"/>
  <c r="L108"/>
  <c r="V108"/>
  <c r="S18"/>
  <c r="K18"/>
  <c r="J18"/>
  <c r="V18"/>
  <c r="R18"/>
  <c r="L18"/>
  <c r="W18"/>
  <c r="X18"/>
  <c r="T18"/>
  <c r="D13"/>
  <c r="E13"/>
  <c r="V93"/>
  <c r="X93"/>
  <c r="J93"/>
  <c r="S93"/>
  <c r="R93"/>
  <c r="K93"/>
  <c r="L93"/>
  <c r="W93"/>
  <c r="T93"/>
  <c r="D58"/>
  <c r="E58"/>
  <c r="R48"/>
  <c r="W48"/>
  <c r="T48"/>
  <c r="X48"/>
  <c r="K48"/>
  <c r="J48"/>
  <c r="S48"/>
  <c r="V48"/>
  <c r="L48"/>
  <c r="X115"/>
  <c r="W115"/>
  <c r="S115"/>
  <c r="K115"/>
  <c r="R115"/>
  <c r="L115"/>
  <c r="V115"/>
  <c r="T115"/>
  <c r="J115"/>
  <c r="D92"/>
  <c r="E92"/>
  <c r="L107"/>
  <c r="R107"/>
  <c r="S107"/>
  <c r="J107"/>
  <c r="X107"/>
  <c r="V107"/>
  <c r="W107"/>
  <c r="K107"/>
  <c r="T107"/>
  <c r="L62"/>
  <c r="W62"/>
  <c r="K62"/>
  <c r="V62"/>
  <c r="R62"/>
  <c r="S62"/>
  <c r="T62"/>
  <c r="J62"/>
  <c r="X62"/>
  <c r="X29"/>
  <c r="J29"/>
  <c r="R29"/>
  <c r="L29"/>
  <c r="S29"/>
  <c r="V29"/>
  <c r="K29"/>
  <c r="W29"/>
  <c r="T29"/>
  <c r="D26"/>
  <c r="E26"/>
  <c r="R57"/>
  <c r="J57"/>
  <c r="L57"/>
  <c r="V57"/>
  <c r="S57"/>
  <c r="T57"/>
  <c r="W57"/>
  <c r="K57"/>
  <c r="X57"/>
  <c r="E89"/>
  <c r="D89"/>
  <c r="S98"/>
  <c r="W98"/>
  <c r="K98"/>
  <c r="X98"/>
  <c r="T98"/>
  <c r="L98"/>
  <c r="R98"/>
  <c r="V98"/>
  <c r="J98"/>
  <c r="H10"/>
  <c r="G10" i="15"/>
  <c r="G7"/>
  <c r="H7" i="7"/>
  <c r="J12"/>
  <c r="K12"/>
  <c r="L12"/>
  <c r="V12"/>
  <c r="R12"/>
  <c r="X12"/>
  <c r="S12"/>
  <c r="W12"/>
  <c r="J8"/>
  <c r="K8"/>
  <c r="V8"/>
  <c r="R8"/>
  <c r="L8"/>
  <c r="X8"/>
  <c r="T8"/>
  <c r="S8"/>
  <c r="W8"/>
  <c r="D7"/>
  <c r="E7"/>
  <c r="L9"/>
  <c r="R9"/>
  <c r="J9"/>
  <c r="S9"/>
  <c r="K9"/>
  <c r="X9"/>
  <c r="T9"/>
  <c r="W9"/>
  <c r="V9"/>
  <c r="S11"/>
  <c r="J11"/>
  <c r="L11"/>
  <c r="X11"/>
  <c r="K11"/>
  <c r="V11"/>
  <c r="W11"/>
  <c r="R11"/>
  <c r="T11"/>
  <c r="D10"/>
  <c r="E10"/>
  <c r="H6"/>
  <c r="T6" s="1"/>
  <c r="W6"/>
  <c r="K6"/>
  <c r="V6"/>
  <c r="S6"/>
  <c r="J6"/>
  <c r="L6"/>
  <c r="R6"/>
  <c r="T35" l="1"/>
  <c r="X85"/>
  <c r="L92"/>
  <c r="T28"/>
  <c r="X71"/>
  <c r="L104"/>
  <c r="AK24"/>
  <c r="X10"/>
  <c r="X6"/>
  <c r="X63"/>
  <c r="L70"/>
  <c r="T13"/>
  <c r="X120"/>
  <c r="T27"/>
  <c r="T30"/>
  <c r="T40"/>
  <c r="W89"/>
  <c r="V89"/>
  <c r="T89"/>
  <c r="S89"/>
  <c r="J89"/>
  <c r="K89"/>
  <c r="X89"/>
  <c r="R89"/>
  <c r="K116"/>
  <c r="J116"/>
  <c r="S116"/>
  <c r="L116"/>
  <c r="W116"/>
  <c r="R116"/>
  <c r="V116"/>
  <c r="T116"/>
  <c r="T78"/>
  <c r="J78"/>
  <c r="S78"/>
  <c r="K78"/>
  <c r="R78"/>
  <c r="W78"/>
  <c r="X78"/>
  <c r="V78"/>
  <c r="L78"/>
  <c r="V33"/>
  <c r="L33"/>
  <c r="R33"/>
  <c r="X33"/>
  <c r="J33"/>
  <c r="S33"/>
  <c r="K33"/>
  <c r="W33"/>
  <c r="W65"/>
  <c r="L65"/>
  <c r="K65"/>
  <c r="V65"/>
  <c r="J65"/>
  <c r="R65"/>
  <c r="T65"/>
  <c r="S65"/>
  <c r="X65"/>
  <c r="V63"/>
  <c r="T63"/>
  <c r="R63"/>
  <c r="K63"/>
  <c r="S63"/>
  <c r="W63"/>
  <c r="L63"/>
  <c r="J63"/>
  <c r="S70"/>
  <c r="W70"/>
  <c r="X70"/>
  <c r="R70"/>
  <c r="K70"/>
  <c r="T70"/>
  <c r="J70"/>
  <c r="V70"/>
  <c r="K23"/>
  <c r="W23"/>
  <c r="J23"/>
  <c r="S23"/>
  <c r="X23"/>
  <c r="R23"/>
  <c r="L23"/>
  <c r="V23"/>
  <c r="X105"/>
  <c r="L72"/>
  <c r="T17"/>
  <c r="R92"/>
  <c r="V92"/>
  <c r="J92"/>
  <c r="W92"/>
  <c r="S92"/>
  <c r="T92"/>
  <c r="X92"/>
  <c r="K92"/>
  <c r="V58"/>
  <c r="L58"/>
  <c r="K58"/>
  <c r="R58"/>
  <c r="W58"/>
  <c r="S58"/>
  <c r="T58"/>
  <c r="J58"/>
  <c r="W37"/>
  <c r="R37"/>
  <c r="J37"/>
  <c r="X37"/>
  <c r="S37"/>
  <c r="L37"/>
  <c r="V37"/>
  <c r="K37"/>
  <c r="J19"/>
  <c r="X19"/>
  <c r="V19"/>
  <c r="W19"/>
  <c r="R19"/>
  <c r="K19"/>
  <c r="L19"/>
  <c r="S19"/>
  <c r="V46"/>
  <c r="X46"/>
  <c r="J46"/>
  <c r="S46"/>
  <c r="R46"/>
  <c r="W46"/>
  <c r="L46"/>
  <c r="K46"/>
  <c r="X30"/>
  <c r="R30"/>
  <c r="W30"/>
  <c r="V30"/>
  <c r="L30"/>
  <c r="S30"/>
  <c r="K30"/>
  <c r="J30"/>
  <c r="K91"/>
  <c r="V91"/>
  <c r="J91"/>
  <c r="T91"/>
  <c r="S91"/>
  <c r="W91"/>
  <c r="R91"/>
  <c r="X91"/>
  <c r="J85"/>
  <c r="T85"/>
  <c r="R85"/>
  <c r="S85"/>
  <c r="V85"/>
  <c r="K85"/>
  <c r="L85"/>
  <c r="W85"/>
  <c r="S17"/>
  <c r="V17"/>
  <c r="L17"/>
  <c r="X17"/>
  <c r="W17"/>
  <c r="K17"/>
  <c r="J17"/>
  <c r="R17"/>
  <c r="T69"/>
  <c r="V69"/>
  <c r="W69"/>
  <c r="J69"/>
  <c r="L69"/>
  <c r="K69"/>
  <c r="R69"/>
  <c r="S69"/>
  <c r="V73"/>
  <c r="T73"/>
  <c r="W73"/>
  <c r="K73"/>
  <c r="L73"/>
  <c r="S73"/>
  <c r="J73"/>
  <c r="R73"/>
  <c r="X73"/>
  <c r="V45"/>
  <c r="K45"/>
  <c r="W45"/>
  <c r="R45"/>
  <c r="T45"/>
  <c r="X45"/>
  <c r="J45"/>
  <c r="S45"/>
  <c r="T37"/>
  <c r="X69"/>
  <c r="X52"/>
  <c r="S26"/>
  <c r="W26"/>
  <c r="V26"/>
  <c r="J26"/>
  <c r="L26"/>
  <c r="R26"/>
  <c r="K26"/>
  <c r="X26"/>
  <c r="J13"/>
  <c r="S13"/>
  <c r="K13"/>
  <c r="R13"/>
  <c r="W13"/>
  <c r="V13"/>
  <c r="L13"/>
  <c r="X13"/>
  <c r="R72"/>
  <c r="V72"/>
  <c r="T72"/>
  <c r="K72"/>
  <c r="J72"/>
  <c r="W72"/>
  <c r="S72"/>
  <c r="X72"/>
  <c r="W40"/>
  <c r="R40"/>
  <c r="S40"/>
  <c r="J40"/>
  <c r="K40"/>
  <c r="X40"/>
  <c r="V40"/>
  <c r="L40"/>
  <c r="L28"/>
  <c r="X28"/>
  <c r="S28"/>
  <c r="K28"/>
  <c r="R28"/>
  <c r="V28"/>
  <c r="J28"/>
  <c r="W28"/>
  <c r="W105"/>
  <c r="T105"/>
  <c r="K105"/>
  <c r="J105"/>
  <c r="R105"/>
  <c r="S105"/>
  <c r="V105"/>
  <c r="L105"/>
  <c r="J76"/>
  <c r="V76"/>
  <c r="K76"/>
  <c r="W76"/>
  <c r="L76"/>
  <c r="T76"/>
  <c r="R76"/>
  <c r="S76"/>
  <c r="K27"/>
  <c r="X27"/>
  <c r="V27"/>
  <c r="J27"/>
  <c r="W27"/>
  <c r="L27"/>
  <c r="R27"/>
  <c r="S27"/>
  <c r="K44"/>
  <c r="V44"/>
  <c r="S44"/>
  <c r="T44"/>
  <c r="J44"/>
  <c r="R44"/>
  <c r="W44"/>
  <c r="L44"/>
  <c r="X44"/>
  <c r="L89"/>
  <c r="X116"/>
  <c r="L91"/>
  <c r="X119"/>
  <c r="X76"/>
  <c r="T23"/>
  <c r="V104"/>
  <c r="J104"/>
  <c r="S104"/>
  <c r="X104"/>
  <c r="R104"/>
  <c r="K104"/>
  <c r="W104"/>
  <c r="T104"/>
  <c r="W71"/>
  <c r="L71"/>
  <c r="K71"/>
  <c r="J71"/>
  <c r="V71"/>
  <c r="R71"/>
  <c r="S71"/>
  <c r="T71"/>
  <c r="R52"/>
  <c r="K52"/>
  <c r="W52"/>
  <c r="L52"/>
  <c r="J52"/>
  <c r="V52"/>
  <c r="T52"/>
  <c r="S52"/>
  <c r="J35"/>
  <c r="V35"/>
  <c r="K35"/>
  <c r="W35"/>
  <c r="S35"/>
  <c r="L35"/>
  <c r="X35"/>
  <c r="R35"/>
  <c r="R120"/>
  <c r="W120"/>
  <c r="V120"/>
  <c r="L120"/>
  <c r="K120"/>
  <c r="T120"/>
  <c r="S120"/>
  <c r="J120"/>
  <c r="J119"/>
  <c r="S119"/>
  <c r="V119"/>
  <c r="R119"/>
  <c r="W119"/>
  <c r="K119"/>
  <c r="L119"/>
  <c r="T119"/>
  <c r="X58"/>
  <c r="T26"/>
  <c r="T46"/>
  <c r="T19"/>
  <c r="T10"/>
  <c r="R10"/>
  <c r="K10"/>
  <c r="V10"/>
  <c r="S10"/>
  <c r="W10"/>
  <c r="L10"/>
  <c r="J10"/>
  <c r="R7"/>
  <c r="S7"/>
  <c r="L7"/>
  <c r="K7"/>
  <c r="V7"/>
  <c r="J7"/>
  <c r="X7"/>
  <c r="W7"/>
  <c r="T7"/>
  <c r="AK23" l="1"/>
  <c r="AK22" l="1"/>
  <c r="AK21" s="1"/>
  <c r="AK20" s="1"/>
  <c r="AK19" s="1"/>
  <c r="AK18" s="1"/>
  <c r="AK17" s="1"/>
  <c r="AK16" s="1"/>
  <c r="AK15" s="1"/>
  <c r="AK14" s="1"/>
  <c r="AK13" s="1"/>
  <c r="AK12" s="1"/>
  <c r="AK11" s="1"/>
  <c r="AK10" s="1"/>
  <c r="AK9" s="1"/>
  <c r="AK8" s="1"/>
  <c r="AK7" s="1"/>
  <c r="AK6" s="1"/>
  <c r="AK5" s="1"/>
  <c r="AK4" s="1"/>
  <c r="AO30" l="1"/>
  <c r="AO29" l="1"/>
  <c r="AO28" l="1"/>
  <c r="AO27" l="1"/>
  <c r="AO26" l="1"/>
  <c r="AO25" s="1"/>
  <c r="AO24" s="1"/>
  <c r="AO23" s="1"/>
  <c r="AO22" s="1"/>
  <c r="AO21" s="1"/>
  <c r="AO20" s="1"/>
  <c r="AO19" s="1"/>
  <c r="AO18" l="1"/>
  <c r="AO17" s="1"/>
  <c r="AO16" s="1"/>
  <c r="AO15" s="1"/>
  <c r="AO14" s="1"/>
  <c r="AO13" s="1"/>
  <c r="AO12" s="1"/>
  <c r="AO11" s="1"/>
  <c r="AO10" s="1"/>
  <c r="AO9" s="1"/>
  <c r="AO8" s="1"/>
  <c r="AO7" s="1"/>
  <c r="AO6" s="1"/>
  <c r="AO5" s="1"/>
  <c r="AO4" s="1"/>
</calcChain>
</file>

<file path=xl/comments1.xml><?xml version="1.0" encoding="utf-8"?>
<comments xmlns="http://schemas.openxmlformats.org/spreadsheetml/2006/main">
  <authors>
    <author>Alain</author>
  </authors>
  <commentList>
    <comment ref="D6" authorId="0">
      <text>
        <r>
          <rPr>
            <sz val="8"/>
            <color indexed="10"/>
            <rFont val="Tahoma"/>
            <family val="2"/>
          </rPr>
          <t xml:space="preserve">Entrez:
</t>
        </r>
        <r>
          <rPr>
            <b/>
            <sz val="8"/>
            <color indexed="10"/>
            <rFont val="Tahoma"/>
            <family val="2"/>
          </rPr>
          <t>F</t>
        </r>
        <r>
          <rPr>
            <sz val="8"/>
            <color indexed="10"/>
            <rFont val="Tahoma"/>
            <family val="2"/>
          </rPr>
          <t xml:space="preserve"> pour jeune fille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 xml:space="preserve">pour homme
</t>
        </r>
        <r>
          <rPr>
            <b/>
            <sz val="8"/>
            <color indexed="10"/>
            <rFont val="Tahoma"/>
            <family val="2"/>
          </rPr>
          <t>G</t>
        </r>
        <r>
          <rPr>
            <sz val="8"/>
            <color indexed="10"/>
            <rFont val="Tahoma"/>
            <family val="2"/>
          </rPr>
          <t xml:space="preserve"> pour jeune garçon
</t>
        </r>
      </text>
    </comment>
    <comment ref="E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F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G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H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I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J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K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L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M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N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O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P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Q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R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S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T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U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V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W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X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Y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Z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AA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AB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AC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AD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AE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AF6" authorId="0">
      <text>
        <r>
          <rPr>
            <sz val="8"/>
            <color indexed="10"/>
            <rFont val="Tahoma"/>
            <family val="2"/>
          </rPr>
          <t xml:space="preserve">Entrez:
</t>
        </r>
        <r>
          <rPr>
            <b/>
            <sz val="8"/>
            <color indexed="10"/>
            <rFont val="Tahoma"/>
            <family val="2"/>
          </rPr>
          <t>J</t>
        </r>
        <r>
          <rPr>
            <sz val="8"/>
            <color indexed="10"/>
            <rFont val="Tahoma"/>
            <family val="2"/>
          </rPr>
          <t xml:space="preserve"> 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AG6" authorId="0">
      <text>
        <r>
          <rPr>
            <sz val="8"/>
            <color indexed="10"/>
            <rFont val="Tahoma"/>
            <family val="2"/>
          </rPr>
          <t xml:space="preserve">Entrez:
</t>
        </r>
        <r>
          <rPr>
            <b/>
            <sz val="8"/>
            <color indexed="10"/>
            <rFont val="Tahoma"/>
            <family val="2"/>
          </rPr>
          <t xml:space="preserve">J </t>
        </r>
        <r>
          <rPr>
            <sz val="8"/>
            <color indexed="10"/>
            <rFont val="Tahoma"/>
            <family val="2"/>
          </rPr>
          <t xml:space="preserve">pour jeune
</t>
        </r>
        <r>
          <rPr>
            <b/>
            <sz val="10"/>
            <color indexed="10"/>
            <rFont val="Tahoma"/>
            <family val="2"/>
          </rPr>
          <t>D</t>
        </r>
        <r>
          <rPr>
            <sz val="8"/>
            <color indexed="10"/>
            <rFont val="Tahoma"/>
            <family val="2"/>
          </rPr>
          <t xml:space="preserve"> pour dame
</t>
        </r>
        <r>
          <rPr>
            <b/>
            <sz val="10"/>
            <color indexed="10"/>
            <rFont val="Tahoma"/>
            <family val="2"/>
          </rPr>
          <t xml:space="preserve">H </t>
        </r>
        <r>
          <rPr>
            <sz val="8"/>
            <color indexed="10"/>
            <rFont val="Tahoma"/>
            <family val="2"/>
          </rPr>
          <t>pour homme</t>
        </r>
      </text>
    </comment>
    <comment ref="D8" authorId="0">
      <text>
        <r>
          <rPr>
            <sz val="8"/>
            <color indexed="10"/>
            <rFont val="Tahoma"/>
            <family val="2"/>
          </rPr>
          <t>Entrer le nombre de points correspondant à la catégorie pour le circuit</t>
        </r>
      </text>
    </comment>
    <comment ref="E8" authorId="0">
      <text>
        <r>
          <rPr>
            <sz val="8"/>
            <color indexed="10"/>
            <rFont val="Tahoma"/>
            <family val="2"/>
          </rPr>
          <t>Entrer le nombre de points correspondant à la catégorie pour le circuit</t>
        </r>
      </text>
    </comment>
    <comment ref="F8" authorId="0">
      <text>
        <r>
          <rPr>
            <sz val="8"/>
            <color indexed="10"/>
            <rFont val="Tahoma"/>
            <family val="2"/>
          </rPr>
          <t>Entrer le nombre de points correspondant à la catégorie pour le circuit</t>
        </r>
      </text>
    </comment>
    <comment ref="G8" authorId="0">
      <text>
        <r>
          <rPr>
            <sz val="8"/>
            <color indexed="10"/>
            <rFont val="Tahoma"/>
            <family val="2"/>
          </rPr>
          <t>Entrer le nombre de points correspondant à la catégorie pour le circuit</t>
        </r>
      </text>
    </comment>
    <comment ref="H8" authorId="0">
      <text>
        <r>
          <rPr>
            <sz val="8"/>
            <color indexed="10"/>
            <rFont val="Tahoma"/>
            <family val="2"/>
          </rPr>
          <t>Entrer le nombre de points correspondant à la catégorie pour le circuit</t>
        </r>
      </text>
    </comment>
    <comment ref="I8" authorId="0">
      <text>
        <r>
          <rPr>
            <sz val="8"/>
            <color indexed="10"/>
            <rFont val="Tahoma"/>
            <family val="2"/>
          </rPr>
          <t>Entrer le nombre de points correspondant à la catégorie pour le circuit</t>
        </r>
      </text>
    </comment>
    <comment ref="J8" authorId="0">
      <text>
        <r>
          <rPr>
            <sz val="8"/>
            <color indexed="10"/>
            <rFont val="Tahoma"/>
            <family val="2"/>
          </rPr>
          <t>Entrer le nombre de points correspondant à la catégorie pour le circuit</t>
        </r>
      </text>
    </comment>
    <comment ref="K8" authorId="0">
      <text>
        <r>
          <rPr>
            <sz val="8"/>
            <color indexed="10"/>
            <rFont val="Tahoma"/>
            <family val="2"/>
          </rPr>
          <t>Entrer le nombre de points correspondant à la catégorie pour le circuit</t>
        </r>
      </text>
    </comment>
    <comment ref="L8" authorId="0">
      <text>
        <r>
          <rPr>
            <sz val="8"/>
            <color indexed="10"/>
            <rFont val="Tahoma"/>
            <family val="2"/>
          </rPr>
          <t>Entrer le nombre de points correspondant à la catégorie pour le circuit</t>
        </r>
      </text>
    </comment>
    <comment ref="M8" authorId="0">
      <text>
        <r>
          <rPr>
            <sz val="8"/>
            <color indexed="10"/>
            <rFont val="Tahoma"/>
            <family val="2"/>
          </rPr>
          <t>Entrer le nombre de points correspondant à la catégorie pour le circuit</t>
        </r>
      </text>
    </comment>
    <comment ref="N8" authorId="0">
      <text>
        <r>
          <rPr>
            <sz val="8"/>
            <color indexed="10"/>
            <rFont val="Tahoma"/>
            <family val="2"/>
          </rPr>
          <t>Entrer le nombre de points correspondant à la catégorie pour le circuit</t>
        </r>
      </text>
    </comment>
    <comment ref="O8" authorId="0">
      <text>
        <r>
          <rPr>
            <sz val="8"/>
            <color indexed="10"/>
            <rFont val="Tahoma"/>
            <family val="2"/>
          </rPr>
          <t>Entrer le nombre de points correspondant à la catégorie pour le circuit</t>
        </r>
      </text>
    </comment>
    <comment ref="P8" authorId="0">
      <text>
        <r>
          <rPr>
            <sz val="8"/>
            <color indexed="10"/>
            <rFont val="Tahoma"/>
            <family val="2"/>
          </rPr>
          <t>Entrer le nombre de points correspondant à la catégorie pour le circuit</t>
        </r>
      </text>
    </comment>
    <comment ref="Q8" authorId="0">
      <text>
        <r>
          <rPr>
            <sz val="8"/>
            <color indexed="10"/>
            <rFont val="Tahoma"/>
            <family val="2"/>
          </rPr>
          <t>Entrer le nombre de points correspondant à la catégorie pour le circuit</t>
        </r>
      </text>
    </comment>
    <comment ref="R8" authorId="0">
      <text>
        <r>
          <rPr>
            <sz val="8"/>
            <color indexed="10"/>
            <rFont val="Tahoma"/>
            <family val="2"/>
          </rPr>
          <t>Entrer le nombre de points correspondant à la catégorie pour le circuit</t>
        </r>
      </text>
    </comment>
    <comment ref="S8" authorId="0">
      <text>
        <r>
          <rPr>
            <sz val="8"/>
            <color indexed="10"/>
            <rFont val="Tahoma"/>
            <family val="2"/>
          </rPr>
          <t>Entrer le nombre de points correspondant à la catégorie pour le circuit</t>
        </r>
      </text>
    </comment>
    <comment ref="T8" authorId="0">
      <text>
        <r>
          <rPr>
            <sz val="8"/>
            <color indexed="10"/>
            <rFont val="Tahoma"/>
            <family val="2"/>
          </rPr>
          <t>Entrer le nombre de points correspondant à la catégorie pour le circuit</t>
        </r>
      </text>
    </comment>
    <comment ref="U8" authorId="0">
      <text>
        <r>
          <rPr>
            <sz val="8"/>
            <color indexed="10"/>
            <rFont val="Tahoma"/>
            <family val="2"/>
          </rPr>
          <t>Entrer le nombre de points correspondant à la catégorie pour le circuit</t>
        </r>
      </text>
    </comment>
    <comment ref="V8" authorId="0">
      <text>
        <r>
          <rPr>
            <sz val="8"/>
            <color indexed="10"/>
            <rFont val="Tahoma"/>
            <family val="2"/>
          </rPr>
          <t>Entrer le nombre de points correspondant à la catégorie pour le circuit</t>
        </r>
      </text>
    </comment>
    <comment ref="W8" authorId="0">
      <text>
        <r>
          <rPr>
            <sz val="8"/>
            <color indexed="10"/>
            <rFont val="Tahoma"/>
            <family val="2"/>
          </rPr>
          <t>Entrer le nombre de points correspondant à la catégorie pour le circuit</t>
        </r>
      </text>
    </comment>
    <comment ref="X8" authorId="0">
      <text>
        <r>
          <rPr>
            <sz val="8"/>
            <color indexed="10"/>
            <rFont val="Tahoma"/>
            <family val="2"/>
          </rPr>
          <t>Entrer le nombre de points correspondant à la catégorie pour le circuit</t>
        </r>
      </text>
    </comment>
    <comment ref="Y8" authorId="0">
      <text>
        <r>
          <rPr>
            <sz val="8"/>
            <color indexed="10"/>
            <rFont val="Tahoma"/>
            <family val="2"/>
          </rPr>
          <t>Entrer le nombre de points correspondant à la catégorie pour le circuit</t>
        </r>
      </text>
    </comment>
    <comment ref="Z8" authorId="0">
      <text>
        <r>
          <rPr>
            <sz val="8"/>
            <color indexed="10"/>
            <rFont val="Tahoma"/>
            <family val="2"/>
          </rPr>
          <t>Entrer le nombre de points correspondant à la catégorie pour le circuit</t>
        </r>
      </text>
    </comment>
    <comment ref="AA8" authorId="0">
      <text>
        <r>
          <rPr>
            <sz val="8"/>
            <color indexed="10"/>
            <rFont val="Tahoma"/>
            <family val="2"/>
          </rPr>
          <t>Entrer le nombre de points correspondant à la catégorie pour le circuit</t>
        </r>
      </text>
    </comment>
    <comment ref="AB8" authorId="0">
      <text>
        <r>
          <rPr>
            <sz val="8"/>
            <color indexed="10"/>
            <rFont val="Tahoma"/>
            <family val="2"/>
          </rPr>
          <t>Entrer le nombre de points correspondant à la catégorie pour le circuit</t>
        </r>
      </text>
    </comment>
    <comment ref="AC8" authorId="0">
      <text>
        <r>
          <rPr>
            <sz val="8"/>
            <color indexed="10"/>
            <rFont val="Tahoma"/>
            <family val="2"/>
          </rPr>
          <t>Entrer le nombre de points correspondant à la catégorie pour le circuit</t>
        </r>
      </text>
    </comment>
    <comment ref="AD8" authorId="0">
      <text>
        <r>
          <rPr>
            <sz val="8"/>
            <color indexed="10"/>
            <rFont val="Tahoma"/>
            <family val="2"/>
          </rPr>
          <t>Entrer le nombre de points correspondant à la catégorie pour le circuit</t>
        </r>
      </text>
    </comment>
    <comment ref="AE8" authorId="0">
      <text>
        <r>
          <rPr>
            <sz val="8"/>
            <color indexed="10"/>
            <rFont val="Tahoma"/>
            <family val="2"/>
          </rPr>
          <t>Entrer le nombre de points correspondant à la catégorie pour le circuit</t>
        </r>
      </text>
    </comment>
    <comment ref="AF8" authorId="0">
      <text>
        <r>
          <rPr>
            <sz val="8"/>
            <color indexed="10"/>
            <rFont val="Tahoma"/>
            <family val="2"/>
          </rPr>
          <t>Entrer le nombre de points correspondant à la catégorie pour le circuit</t>
        </r>
      </text>
    </comment>
    <comment ref="AG8" authorId="0">
      <text>
        <r>
          <rPr>
            <sz val="8"/>
            <color indexed="10"/>
            <rFont val="Tahoma"/>
            <family val="2"/>
          </rPr>
          <t>Entrer le nombre de points correspondant à la catégorie pour le circuit</t>
        </r>
      </text>
    </comment>
    <comment ref="D23" authorId="0">
      <text>
        <r>
          <rPr>
            <sz val="8"/>
            <color indexed="10"/>
            <rFont val="Tahoma"/>
            <family val="2"/>
          </rPr>
          <t>Entrer le nombre de points de pénalité par minute de retard sur le premier du circuit</t>
        </r>
      </text>
    </comment>
  </commentList>
</comments>
</file>

<file path=xl/comments2.xml><?xml version="1.0" encoding="utf-8"?>
<comments xmlns="http://schemas.openxmlformats.org/spreadsheetml/2006/main">
  <authors>
    <author>Alain</author>
  </authors>
  <commentList>
    <comment ref="N3" authorId="0">
      <text>
        <r>
          <rPr>
            <sz val="8"/>
            <color indexed="10"/>
            <rFont val="Tahoma"/>
            <family val="2"/>
          </rPr>
          <t>Entrer une valeur positive ou négative (coefficient binette)</t>
        </r>
      </text>
    </comment>
  </commentList>
</comments>
</file>

<file path=xl/comments3.xml><?xml version="1.0" encoding="utf-8"?>
<comments xmlns="http://schemas.openxmlformats.org/spreadsheetml/2006/main">
  <authors>
    <author>Alain</author>
  </authors>
  <commentList>
    <comment ref="I3" authorId="0">
      <text>
        <r>
          <rPr>
            <sz val="8"/>
            <color indexed="10"/>
            <rFont val="Tahoma"/>
            <family val="2"/>
          </rPr>
          <t>Entrer le temps dans le format hh:mm:ss, ou PM</t>
        </r>
      </text>
    </comment>
    <comment ref="N3" authorId="0">
      <text>
        <r>
          <rPr>
            <sz val="8"/>
            <color indexed="10"/>
            <rFont val="Tahoma"/>
            <family val="2"/>
          </rPr>
          <t>Entrer une valeur positive ou négative (coefficient binette)</t>
        </r>
      </text>
    </comment>
  </commentList>
</comments>
</file>

<file path=xl/comments4.xml><?xml version="1.0" encoding="utf-8"?>
<comments xmlns="http://schemas.openxmlformats.org/spreadsheetml/2006/main">
  <authors>
    <author>Alain</author>
  </authors>
  <commentList>
    <comment ref="I3" authorId="0">
      <text>
        <r>
          <rPr>
            <sz val="8"/>
            <color indexed="10"/>
            <rFont val="Tahoma"/>
            <family val="2"/>
          </rPr>
          <t>Entrer le temps dans le format hh:mm:ss, ou PM</t>
        </r>
      </text>
    </comment>
    <comment ref="N3" authorId="0">
      <text>
        <r>
          <rPr>
            <sz val="8"/>
            <color indexed="10"/>
            <rFont val="Tahoma"/>
            <family val="2"/>
          </rPr>
          <t>Entrer une valeur positive ou négative (coefficient binette)</t>
        </r>
      </text>
    </comment>
  </commentList>
</comments>
</file>

<file path=xl/comments5.xml><?xml version="1.0" encoding="utf-8"?>
<comments xmlns="http://schemas.openxmlformats.org/spreadsheetml/2006/main">
  <authors>
    <author>Alain</author>
  </authors>
  <commentList>
    <comment ref="I3" authorId="0">
      <text>
        <r>
          <rPr>
            <sz val="8"/>
            <color indexed="10"/>
            <rFont val="Tahoma"/>
            <family val="2"/>
          </rPr>
          <t>Entrer le temps dans le format hh:mm:ss, ou PM</t>
        </r>
      </text>
    </comment>
    <comment ref="N3" authorId="0">
      <text>
        <r>
          <rPr>
            <sz val="8"/>
            <color indexed="10"/>
            <rFont val="Tahoma"/>
            <family val="2"/>
          </rPr>
          <t>Entrer une valeur positive ou négative (coefficient binette)</t>
        </r>
      </text>
    </comment>
  </commentList>
</comments>
</file>

<file path=xl/comments6.xml><?xml version="1.0" encoding="utf-8"?>
<comments xmlns="http://schemas.openxmlformats.org/spreadsheetml/2006/main">
  <authors>
    <author>Alain</author>
  </authors>
  <commentList>
    <comment ref="I3" authorId="0">
      <text>
        <r>
          <rPr>
            <sz val="8"/>
            <color indexed="10"/>
            <rFont val="Tahoma"/>
            <family val="2"/>
          </rPr>
          <t>Entrer le temps dans le format hh:mm:ss, ou PM</t>
        </r>
      </text>
    </comment>
    <comment ref="N3" authorId="0">
      <text>
        <r>
          <rPr>
            <sz val="8"/>
            <color indexed="10"/>
            <rFont val="Tahoma"/>
            <family val="2"/>
          </rPr>
          <t>Entrer une valeur positive ou négative (coefficient binette)</t>
        </r>
      </text>
    </comment>
  </commentList>
</comments>
</file>

<file path=xl/comments7.xml><?xml version="1.0" encoding="utf-8"?>
<comments xmlns="http://schemas.openxmlformats.org/spreadsheetml/2006/main">
  <authors>
    <author>Alain</author>
  </authors>
  <commentList>
    <comment ref="AC2" authorId="0">
      <text>
        <r>
          <rPr>
            <sz val="14"/>
            <color indexed="10"/>
            <rFont val="Tahoma"/>
          </rPr>
          <t xml:space="preserve">Cliquer sur le bouton
</t>
        </r>
        <r>
          <rPr>
            <sz val="10"/>
            <rFont val="Arial"/>
          </rPr>
          <t xml:space="preserve">"Trier classement A"
</t>
        </r>
        <r>
          <rPr>
            <sz val="14"/>
            <color indexed="10"/>
            <rFont val="Tahoma"/>
          </rPr>
          <t xml:space="preserve">
ou faire:
</t>
        </r>
        <r>
          <rPr>
            <b/>
            <sz val="14"/>
            <color indexed="10"/>
            <rFont val="Tahoma"/>
          </rPr>
          <t>Ctrl+a</t>
        </r>
      </text>
    </comment>
    <comment ref="AG2" authorId="0">
      <text>
        <r>
          <rPr>
            <sz val="14"/>
            <color indexed="10"/>
            <rFont val="Tahoma"/>
          </rPr>
          <t xml:space="preserve">Cliquer sur le bouton
</t>
        </r>
        <r>
          <rPr>
            <sz val="10"/>
            <rFont val="Arial"/>
          </rPr>
          <t xml:space="preserve">"Trier classement A"
</t>
        </r>
        <r>
          <rPr>
            <sz val="14"/>
            <color indexed="10"/>
            <rFont val="Tahoma"/>
          </rPr>
          <t xml:space="preserve">
ou faire:
</t>
        </r>
        <r>
          <rPr>
            <b/>
            <sz val="14"/>
            <color indexed="10"/>
            <rFont val="Tahoma"/>
          </rPr>
          <t>Ctrl+a</t>
        </r>
      </text>
    </comment>
    <comment ref="AK2" authorId="0">
      <text>
        <r>
          <rPr>
            <sz val="14"/>
            <color indexed="10"/>
            <rFont val="Tahoma"/>
          </rPr>
          <t xml:space="preserve">Cliquer sur le bouton
</t>
        </r>
        <r>
          <rPr>
            <b/>
            <sz val="14"/>
            <color indexed="10"/>
            <rFont val="Tahoma"/>
          </rPr>
          <t xml:space="preserve">"Trier classement B"
</t>
        </r>
        <r>
          <rPr>
            <sz val="14"/>
            <color indexed="10"/>
            <rFont val="Tahoma"/>
          </rPr>
          <t xml:space="preserve">
ou faire:
</t>
        </r>
        <r>
          <rPr>
            <sz val="10"/>
            <rFont val="Arial"/>
          </rPr>
          <t>Ctrl+b</t>
        </r>
      </text>
    </comment>
    <comment ref="AO2" authorId="0">
      <text>
        <r>
          <rPr>
            <sz val="14"/>
            <color indexed="10"/>
            <rFont val="Tahoma"/>
          </rPr>
          <t xml:space="preserve">Cliquer sur le bouton
</t>
        </r>
        <r>
          <rPr>
            <b/>
            <sz val="14"/>
            <color indexed="10"/>
            <rFont val="Tahoma"/>
          </rPr>
          <t xml:space="preserve">"Trier classement C"
</t>
        </r>
        <r>
          <rPr>
            <sz val="14"/>
            <color indexed="10"/>
            <rFont val="Tahoma"/>
          </rPr>
          <t xml:space="preserve">
ou faire:
</t>
        </r>
        <r>
          <rPr>
            <b/>
            <sz val="14"/>
            <color indexed="10"/>
            <rFont val="Tahoma"/>
          </rPr>
          <t>Ctrl+c</t>
        </r>
      </text>
    </comment>
  </commentList>
</comments>
</file>

<file path=xl/sharedStrings.xml><?xml version="1.0" encoding="utf-8"?>
<sst xmlns="http://schemas.openxmlformats.org/spreadsheetml/2006/main" count="843" uniqueCount="242">
  <si>
    <t>Circuit</t>
  </si>
  <si>
    <t>Catégorie</t>
  </si>
  <si>
    <t>A</t>
  </si>
  <si>
    <t>B</t>
  </si>
  <si>
    <t>D</t>
  </si>
  <si>
    <t>E</t>
  </si>
  <si>
    <t>F</t>
  </si>
  <si>
    <t>G</t>
  </si>
  <si>
    <t>H</t>
  </si>
  <si>
    <t>I</t>
  </si>
  <si>
    <t>J</t>
  </si>
  <si>
    <t>K</t>
  </si>
  <si>
    <t>C</t>
  </si>
  <si>
    <t>L</t>
  </si>
  <si>
    <t>Nom</t>
  </si>
  <si>
    <t>Points</t>
  </si>
  <si>
    <t>SI</t>
  </si>
  <si>
    <t>1 min =</t>
  </si>
  <si>
    <t>Circuits</t>
  </si>
  <si>
    <t>point(s) =</t>
  </si>
  <si>
    <t>Tableau des temps par circuit</t>
  </si>
  <si>
    <t>Temps mini par circuit</t>
  </si>
  <si>
    <r>
      <t>D</t>
    </r>
    <r>
      <rPr>
        <b/>
        <sz val="12"/>
        <rFont val="Arial"/>
        <family val="2"/>
      </rPr>
      <t xml:space="preserve"> temps  /1er du circuit</t>
    </r>
  </si>
  <si>
    <r>
      <t>D</t>
    </r>
    <r>
      <rPr>
        <b/>
        <sz val="12"/>
        <rFont val="Arial"/>
        <family val="2"/>
      </rPr>
      <t xml:space="preserve"> points   / 1er du circuit</t>
    </r>
  </si>
  <si>
    <t>Points de base  / cat &amp; circuit</t>
  </si>
  <si>
    <t>Prénom</t>
  </si>
  <si>
    <t>N° Réf catégorie</t>
  </si>
  <si>
    <t/>
  </si>
  <si>
    <t>Points de base par catégorie et par circuit</t>
  </si>
  <si>
    <t>Temps hh:mm:ss ou PM</t>
  </si>
  <si>
    <t>Cat de classement</t>
  </si>
  <si>
    <t>Classement A</t>
  </si>
  <si>
    <t>Classement B</t>
  </si>
  <si>
    <t>Classement C</t>
  </si>
  <si>
    <t>BALISE 77 - Trophé Chlor'Ofeel</t>
  </si>
  <si>
    <t>Place</t>
  </si>
  <si>
    <t>Temps si PM</t>
  </si>
  <si>
    <t>Remarques</t>
  </si>
  <si>
    <t>Dames</t>
  </si>
  <si>
    <t>Hommes</t>
  </si>
  <si>
    <t>Définir les catégories de classement</t>
  </si>
  <si>
    <t>non en service</t>
  </si>
  <si>
    <t>Définir le nombre de point par minute de retard</t>
  </si>
  <si>
    <t>Bonus malus</t>
  </si>
  <si>
    <t>D10</t>
  </si>
  <si>
    <t>H10</t>
  </si>
  <si>
    <t>D12</t>
  </si>
  <si>
    <t>D14</t>
  </si>
  <si>
    <t>D16</t>
  </si>
  <si>
    <t>D18</t>
  </si>
  <si>
    <t>H18</t>
  </si>
  <si>
    <t>D20</t>
  </si>
  <si>
    <t>H20</t>
  </si>
  <si>
    <t>H21</t>
  </si>
  <si>
    <t>D35</t>
  </si>
  <si>
    <t>H35</t>
  </si>
  <si>
    <t>D40</t>
  </si>
  <si>
    <t>H40</t>
  </si>
  <si>
    <t>D45</t>
  </si>
  <si>
    <t>H45</t>
  </si>
  <si>
    <t>D50</t>
  </si>
  <si>
    <t>H50</t>
  </si>
  <si>
    <t>D55</t>
  </si>
  <si>
    <t>H55</t>
  </si>
  <si>
    <t>D60</t>
  </si>
  <si>
    <t>H60</t>
  </si>
  <si>
    <t>D65</t>
  </si>
  <si>
    <t>H65</t>
  </si>
  <si>
    <t>D70</t>
  </si>
  <si>
    <t>H70</t>
  </si>
  <si>
    <t>D21</t>
  </si>
  <si>
    <t>Catégories  d'orienteurs et catégories de classements</t>
  </si>
  <si>
    <t>N°réf</t>
  </si>
  <si>
    <t>Total points</t>
  </si>
  <si>
    <t>Catégorie de classement</t>
  </si>
  <si>
    <t>Ne saisir que dans les cellules jaunes et laisser les feuilles protégées.</t>
  </si>
  <si>
    <t>Course 1</t>
  </si>
  <si>
    <t>Course 2</t>
  </si>
  <si>
    <t>N° Réf</t>
  </si>
  <si>
    <t xml:space="preserve"> Catégorie</t>
  </si>
  <si>
    <t xml:space="preserve">N° Réf </t>
  </si>
  <si>
    <t>Course 3</t>
  </si>
  <si>
    <t>Course 4</t>
  </si>
  <si>
    <t>Course 5</t>
  </si>
  <si>
    <r>
      <t>D</t>
    </r>
    <r>
      <rPr>
        <b/>
        <sz val="14"/>
        <rFont val="Arial"/>
        <family val="2"/>
      </rPr>
      <t xml:space="preserve"> temps  /1er du circuit</t>
    </r>
  </si>
  <si>
    <r>
      <t>D</t>
    </r>
    <r>
      <rPr>
        <b/>
        <sz val="14"/>
        <rFont val="Arial"/>
        <family val="2"/>
      </rPr>
      <t xml:space="preserve"> points   / 1er du circuit</t>
    </r>
  </si>
  <si>
    <t>Age</t>
  </si>
  <si>
    <t>Date de naissance</t>
  </si>
  <si>
    <t>H/F</t>
  </si>
  <si>
    <t>GARDEUR</t>
  </si>
  <si>
    <t>Julien</t>
  </si>
  <si>
    <t>TOUSSAINT</t>
  </si>
  <si>
    <t>Stéphane</t>
  </si>
  <si>
    <t>VANNIER</t>
  </si>
  <si>
    <t>Fabrice</t>
  </si>
  <si>
    <t>HAMON</t>
  </si>
  <si>
    <t>Patrick</t>
  </si>
  <si>
    <t>GILLARD</t>
  </si>
  <si>
    <t>Hugues</t>
  </si>
  <si>
    <t>OLIVIER</t>
  </si>
  <si>
    <t>Sandra</t>
  </si>
  <si>
    <t>MOLINIER</t>
  </si>
  <si>
    <t>Frederique</t>
  </si>
  <si>
    <t>Caroline</t>
  </si>
  <si>
    <t>RORA</t>
  </si>
  <si>
    <t>Jose</t>
  </si>
  <si>
    <t>Isabelle</t>
  </si>
  <si>
    <t>PERSE</t>
  </si>
  <si>
    <t>Philippe</t>
  </si>
  <si>
    <t>DENIAU</t>
  </si>
  <si>
    <t>Alain</t>
  </si>
  <si>
    <t>LAGRANGE</t>
  </si>
  <si>
    <t>Florence</t>
  </si>
  <si>
    <t>FINAUD-GUYOT</t>
  </si>
  <si>
    <t>Lionel</t>
  </si>
  <si>
    <t>ADOLPHE</t>
  </si>
  <si>
    <t>LECONTE</t>
  </si>
  <si>
    <t>Gilbert</t>
  </si>
  <si>
    <t>Sylvie</t>
  </si>
  <si>
    <t>MEY</t>
  </si>
  <si>
    <t>Milena</t>
  </si>
  <si>
    <t>Tom</t>
  </si>
  <si>
    <t>Perrine</t>
  </si>
  <si>
    <t>Lucas</t>
  </si>
  <si>
    <t>LEBLOIS</t>
  </si>
  <si>
    <t>Delphine</t>
  </si>
  <si>
    <t>Vincent</t>
  </si>
  <si>
    <t>FOUCHER</t>
  </si>
  <si>
    <t>Marie</t>
  </si>
  <si>
    <t>Laetitia</t>
  </si>
  <si>
    <t>GUERIN</t>
  </si>
  <si>
    <t>Fabien</t>
  </si>
  <si>
    <t>BIARD</t>
  </si>
  <si>
    <t>Michael</t>
  </si>
  <si>
    <t>GUERINI</t>
  </si>
  <si>
    <t>Robin</t>
  </si>
  <si>
    <t>Alice</t>
  </si>
  <si>
    <t>RINTJEMA</t>
  </si>
  <si>
    <t>Carole</t>
  </si>
  <si>
    <t>AUDEFROY</t>
  </si>
  <si>
    <t>Arthur</t>
  </si>
  <si>
    <t>Elsa</t>
  </si>
  <si>
    <t>COIFFIER</t>
  </si>
  <si>
    <t>Laurent</t>
  </si>
  <si>
    <t>ANDRIEU-PHELEP</t>
  </si>
  <si>
    <t>Titouan</t>
  </si>
  <si>
    <t>TONDU</t>
  </si>
  <si>
    <t>maxime</t>
  </si>
  <si>
    <t>Loïza</t>
  </si>
  <si>
    <t>DERLOT</t>
  </si>
  <si>
    <t>Stéphanie</t>
  </si>
  <si>
    <t>Damien</t>
  </si>
  <si>
    <t>Lise</t>
  </si>
  <si>
    <t>DE LAMINNE</t>
  </si>
  <si>
    <t>Gilles</t>
  </si>
  <si>
    <t>LUCAS-VIOU</t>
  </si>
  <si>
    <t>Charlotte</t>
  </si>
  <si>
    <t>CHAFI</t>
  </si>
  <si>
    <t>Yanis</t>
  </si>
  <si>
    <t>Louise</t>
  </si>
  <si>
    <t>NONDEDEO</t>
  </si>
  <si>
    <t>Baptiste</t>
  </si>
  <si>
    <t>LANFRANCHI</t>
  </si>
  <si>
    <t>lucine</t>
  </si>
  <si>
    <t>PACHER</t>
  </si>
  <si>
    <t>Alexandre</t>
  </si>
  <si>
    <t>Maeva</t>
  </si>
  <si>
    <t>MONTANDON VARODA</t>
  </si>
  <si>
    <t>Christine</t>
  </si>
  <si>
    <t>Jeanne</t>
  </si>
  <si>
    <t>Alexandra</t>
  </si>
  <si>
    <t>CHATAIGNIER</t>
  </si>
  <si>
    <t>Remi</t>
  </si>
  <si>
    <t>KOEPP</t>
  </si>
  <si>
    <t>Sonora</t>
  </si>
  <si>
    <t>FRENOY</t>
  </si>
  <si>
    <t>Anatole</t>
  </si>
  <si>
    <t>BROCHOT</t>
  </si>
  <si>
    <t>KORZEC</t>
  </si>
  <si>
    <t>Patricia</t>
  </si>
  <si>
    <t>BOUSQUET</t>
  </si>
  <si>
    <t>Claire</t>
  </si>
  <si>
    <t>ROGUIEZ</t>
  </si>
  <si>
    <t>Timéo</t>
  </si>
  <si>
    <t>Alix</t>
  </si>
  <si>
    <t>H12</t>
  </si>
  <si>
    <t>H14</t>
  </si>
  <si>
    <t>H16</t>
  </si>
  <si>
    <t>Liste des coureurs pour l'année</t>
  </si>
  <si>
    <t>FONTAINE</t>
  </si>
  <si>
    <t>Valentin</t>
  </si>
  <si>
    <t>GARDETTE-POIRIER</t>
  </si>
  <si>
    <t>Théodore</t>
  </si>
  <si>
    <t>ALBERT</t>
  </si>
  <si>
    <t>Arnault</t>
  </si>
  <si>
    <t>SNELLMAN</t>
  </si>
  <si>
    <t>Max</t>
  </si>
  <si>
    <t>GARDETTE -POIRIER</t>
  </si>
  <si>
    <t>BELLECOURT</t>
  </si>
  <si>
    <t>Loic</t>
  </si>
  <si>
    <t>Aaron</t>
  </si>
  <si>
    <t>Nanette</t>
  </si>
  <si>
    <t>Sahara</t>
  </si>
  <si>
    <t>DE LA ROCHE</t>
  </si>
  <si>
    <t>Paul</t>
  </si>
  <si>
    <t>Raphael</t>
  </si>
  <si>
    <t>LAGARDE</t>
  </si>
  <si>
    <t>Lilia</t>
  </si>
  <si>
    <t>PASQUALINI</t>
  </si>
  <si>
    <t>Hanna</t>
  </si>
  <si>
    <t>LAUDET</t>
  </si>
  <si>
    <t>Sacha</t>
  </si>
  <si>
    <t>LEFEVRE</t>
  </si>
  <si>
    <t>Gauthier</t>
  </si>
  <si>
    <t>BENSET</t>
  </si>
  <si>
    <t>Estelle</t>
  </si>
  <si>
    <t>BOUCHERIE</t>
  </si>
  <si>
    <t>Pascal</t>
  </si>
  <si>
    <t>caroline</t>
  </si>
  <si>
    <t>Achille</t>
  </si>
  <si>
    <t>jules</t>
  </si>
  <si>
    <t>louis</t>
  </si>
  <si>
    <t>ZHANG</t>
  </si>
  <si>
    <t>Felix</t>
  </si>
  <si>
    <t>DUSSAIX</t>
  </si>
  <si>
    <t>Margaux</t>
  </si>
  <si>
    <t>DELABROYE DUCROQ</t>
  </si>
  <si>
    <t>Arnaud</t>
  </si>
  <si>
    <t>Adam</t>
  </si>
  <si>
    <t>RICHARD</t>
  </si>
  <si>
    <t>Mathis</t>
  </si>
  <si>
    <t>COQUET</t>
  </si>
  <si>
    <t>Coralie</t>
  </si>
  <si>
    <t>MONTACIE</t>
  </si>
  <si>
    <t>Victor</t>
  </si>
  <si>
    <t>MEUNIER</t>
  </si>
  <si>
    <t>Hadrien</t>
  </si>
  <si>
    <t>Kaisa</t>
  </si>
  <si>
    <t>Jeunes Hommes</t>
  </si>
  <si>
    <t>Jeunes Filles</t>
  </si>
  <si>
    <t>Classement D</t>
  </si>
  <si>
    <t>PM</t>
  </si>
</sst>
</file>

<file path=xl/styles.xml><?xml version="1.0" encoding="utf-8"?>
<styleSheet xmlns="http://schemas.openxmlformats.org/spreadsheetml/2006/main">
  <numFmts count="4">
    <numFmt numFmtId="164" formatCode="h:mm:ss"/>
    <numFmt numFmtId="165" formatCode="0.0"/>
    <numFmt numFmtId="166" formatCode="0.00000"/>
    <numFmt numFmtId="167" formatCode="#,##0.0\ _€"/>
  </numFmts>
  <fonts count="25">
    <font>
      <sz val="10"/>
      <name val="Arial"/>
    </font>
    <font>
      <b/>
      <sz val="10"/>
      <name val="Arial"/>
      <family val="2"/>
    </font>
    <font>
      <b/>
      <sz val="16"/>
      <name val="Arial"/>
      <family val="2"/>
    </font>
    <font>
      <b/>
      <sz val="14"/>
      <name val="Arial"/>
      <family val="2"/>
    </font>
    <font>
      <b/>
      <sz val="12"/>
      <name val="Arial"/>
      <family val="2"/>
    </font>
    <font>
      <sz val="10"/>
      <color indexed="10"/>
      <name val="Arial"/>
      <family val="2"/>
    </font>
    <font>
      <sz val="8"/>
      <color indexed="10"/>
      <name val="Tahoma"/>
      <family val="2"/>
    </font>
    <font>
      <b/>
      <sz val="10"/>
      <color indexed="10"/>
      <name val="Tahoma"/>
      <family val="2"/>
    </font>
    <font>
      <sz val="10"/>
      <name val="Arial"/>
      <family val="2"/>
    </font>
    <font>
      <b/>
      <sz val="18"/>
      <color indexed="48"/>
      <name val="Arial"/>
      <family val="2"/>
    </font>
    <font>
      <b/>
      <sz val="8"/>
      <color indexed="10"/>
      <name val="Tahoma"/>
      <family val="2"/>
    </font>
    <font>
      <u/>
      <sz val="10"/>
      <color theme="10"/>
      <name val="Arial"/>
    </font>
    <font>
      <u/>
      <sz val="10"/>
      <color theme="11"/>
      <name val="Arial"/>
    </font>
    <font>
      <b/>
      <sz val="18"/>
      <color rgb="FFFF0000"/>
      <name val="Arial"/>
    </font>
    <font>
      <b/>
      <sz val="18"/>
      <color theme="0"/>
      <name val="Arial"/>
    </font>
    <font>
      <b/>
      <sz val="16"/>
      <color theme="0"/>
      <name val="Arial"/>
    </font>
    <font>
      <sz val="14"/>
      <color indexed="10"/>
      <name val="Tahoma"/>
    </font>
    <font>
      <b/>
      <sz val="14"/>
      <color indexed="10"/>
      <name val="Tahoma"/>
    </font>
    <font>
      <sz val="16"/>
      <name val="Arial"/>
    </font>
    <font>
      <b/>
      <sz val="14"/>
      <color theme="0"/>
      <name val="Arial"/>
      <family val="2"/>
    </font>
    <font>
      <b/>
      <sz val="24"/>
      <name val="Arial"/>
    </font>
    <font>
      <b/>
      <sz val="14"/>
      <name val="Symbol"/>
      <family val="1"/>
      <charset val="2"/>
    </font>
    <font>
      <b/>
      <sz val="24"/>
      <name val="Arial"/>
      <family val="2"/>
    </font>
    <font>
      <b/>
      <sz val="18"/>
      <color rgb="FFFF0000"/>
      <name val="Arial"/>
      <family val="2"/>
    </font>
    <font>
      <b/>
      <sz val="10"/>
      <color theme="1"/>
      <name val="Arial"/>
      <family val="2"/>
    </font>
  </fonts>
  <fills count="8">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rgb="FFFF0000"/>
        <bgColor indexed="64"/>
      </patternFill>
    </fill>
    <fill>
      <patternFill patternType="solid">
        <fgColor rgb="FFCCFFCC"/>
        <bgColor indexed="64"/>
      </patternFill>
    </fill>
    <fill>
      <patternFill patternType="solid">
        <fgColor theme="0"/>
        <bgColor indexed="64"/>
      </patternFill>
    </fill>
    <fill>
      <patternFill patternType="solid">
        <fgColor rgb="FFFFFF66"/>
        <bgColor indexed="64"/>
      </patternFill>
    </fill>
  </fills>
  <borders count="26">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thin">
        <color auto="1"/>
      </right>
      <top/>
      <bottom/>
      <diagonal/>
    </border>
    <border>
      <left/>
      <right style="thin">
        <color auto="1"/>
      </right>
      <top/>
      <bottom/>
      <diagonal/>
    </border>
    <border>
      <left style="thin">
        <color auto="1"/>
      </left>
      <right style="thin">
        <color auto="1"/>
      </right>
      <top/>
      <bottom style="medium">
        <color auto="1"/>
      </bottom>
      <diagonal/>
    </border>
  </borders>
  <cellStyleXfs count="305">
    <xf numFmtId="0" fontId="0"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95">
    <xf numFmtId="0" fontId="0" fillId="0" borderId="0" xfId="0"/>
    <xf numFmtId="0" fontId="0" fillId="0" borderId="0" xfId="0" quotePrefix="1" applyAlignment="1">
      <alignment horizontal="left"/>
    </xf>
    <xf numFmtId="164" fontId="0" fillId="0" borderId="0" xfId="0" applyNumberFormat="1"/>
    <xf numFmtId="0" fontId="0" fillId="0" borderId="0" xfId="0" applyBorder="1"/>
    <xf numFmtId="164" fontId="0" fillId="0" borderId="1" xfId="0" applyNumberFormat="1" applyBorder="1"/>
    <xf numFmtId="164" fontId="0" fillId="0" borderId="2" xfId="0" applyNumberFormat="1" applyBorder="1"/>
    <xf numFmtId="164" fontId="0" fillId="0" borderId="3" xfId="0" applyNumberFormat="1" applyBorder="1"/>
    <xf numFmtId="164" fontId="0" fillId="0" borderId="4" xfId="0" applyNumberFormat="1" applyBorder="1"/>
    <xf numFmtId="164" fontId="0" fillId="0" borderId="0" xfId="0" applyNumberFormat="1" applyBorder="1"/>
    <xf numFmtId="164" fontId="0" fillId="0" borderId="5" xfId="0" applyNumberFormat="1" applyBorder="1"/>
    <xf numFmtId="164" fontId="0" fillId="0" borderId="6" xfId="0" applyNumberFormat="1" applyBorder="1"/>
    <xf numFmtId="164" fontId="0" fillId="0" borderId="7" xfId="0" applyNumberFormat="1" applyBorder="1"/>
    <xf numFmtId="164" fontId="0" fillId="0" borderId="8" xfId="0" applyNumberFormat="1" applyBorder="1"/>
    <xf numFmtId="0" fontId="0" fillId="0" borderId="0" xfId="0" applyNumberFormat="1"/>
    <xf numFmtId="0" fontId="0" fillId="0" borderId="0" xfId="0" applyAlignment="1">
      <alignment horizontal="center"/>
    </xf>
    <xf numFmtId="164" fontId="0" fillId="2" borderId="0" xfId="0" applyNumberFormat="1" applyFill="1" applyBorder="1"/>
    <xf numFmtId="0" fontId="1" fillId="2" borderId="0" xfId="0" applyFont="1" applyFill="1" applyBorder="1" applyAlignment="1">
      <alignment horizontal="center"/>
    </xf>
    <xf numFmtId="0" fontId="1" fillId="2" borderId="0" xfId="0" quotePrefix="1" applyFont="1" applyFill="1" applyBorder="1" applyAlignment="1">
      <alignment horizontal="center"/>
    </xf>
    <xf numFmtId="0" fontId="1" fillId="2" borderId="0" xfId="0" quotePrefix="1" applyFont="1" applyFill="1" applyAlignment="1">
      <alignment horizontal="left"/>
    </xf>
    <xf numFmtId="0" fontId="0" fillId="3" borderId="9"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0" fillId="3" borderId="11" xfId="0" applyFill="1" applyBorder="1" applyAlignment="1" applyProtection="1">
      <alignment horizontal="center"/>
      <protection locked="0"/>
    </xf>
    <xf numFmtId="0" fontId="0" fillId="3" borderId="12" xfId="0" applyFill="1" applyBorder="1" applyAlignment="1" applyProtection="1">
      <alignment horizontal="center"/>
      <protection locked="0"/>
    </xf>
    <xf numFmtId="2" fontId="0" fillId="0" borderId="0" xfId="0" applyNumberFormat="1" applyBorder="1"/>
    <xf numFmtId="0" fontId="0" fillId="3" borderId="0" xfId="0" applyFill="1" applyBorder="1" applyProtection="1">
      <protection locked="0"/>
    </xf>
    <xf numFmtId="0" fontId="0" fillId="3" borderId="0" xfId="0" applyFill="1" applyBorder="1" applyAlignment="1" applyProtection="1">
      <alignment horizontal="center"/>
      <protection locked="0"/>
    </xf>
    <xf numFmtId="0" fontId="0" fillId="3" borderId="13" xfId="0" applyFill="1" applyBorder="1" applyAlignment="1" applyProtection="1">
      <alignment horizontal="center"/>
      <protection locked="0"/>
    </xf>
    <xf numFmtId="0" fontId="0" fillId="3" borderId="14" xfId="0" applyFill="1" applyBorder="1" applyAlignment="1" applyProtection="1">
      <alignment horizontal="center"/>
      <protection locked="0"/>
    </xf>
    <xf numFmtId="0" fontId="0" fillId="0" borderId="0" xfId="0" quotePrefix="1" applyFill="1" applyBorder="1" applyAlignment="1" applyProtection="1">
      <alignment horizontal="center"/>
      <protection locked="0"/>
    </xf>
    <xf numFmtId="0" fontId="0" fillId="0" borderId="0" xfId="0" applyFill="1" applyAlignment="1">
      <alignment horizontal="center"/>
    </xf>
    <xf numFmtId="0" fontId="0" fillId="3" borderId="15" xfId="0" applyFill="1" applyBorder="1" applyAlignment="1" applyProtection="1">
      <alignment horizontal="center"/>
      <protection locked="0"/>
    </xf>
    <xf numFmtId="0" fontId="0" fillId="3" borderId="16" xfId="0" applyFill="1" applyBorder="1" applyAlignment="1" applyProtection="1">
      <alignment horizontal="center"/>
      <protection locked="0"/>
    </xf>
    <xf numFmtId="0" fontId="4" fillId="2" borderId="17" xfId="0" applyFont="1" applyFill="1" applyBorder="1" applyAlignment="1">
      <alignment horizontal="center" vertical="justify"/>
    </xf>
    <xf numFmtId="0" fontId="4" fillId="0" borderId="0" xfId="0" applyFont="1" applyAlignment="1">
      <alignment horizontal="center"/>
    </xf>
    <xf numFmtId="0" fontId="5" fillId="0" borderId="0" xfId="0" applyFont="1"/>
    <xf numFmtId="0" fontId="0" fillId="2" borderId="5" xfId="0" applyFill="1" applyBorder="1" applyAlignment="1">
      <alignment horizontal="center"/>
    </xf>
    <xf numFmtId="1" fontId="4" fillId="2" borderId="4" xfId="0" applyNumberFormat="1" applyFont="1" applyFill="1" applyBorder="1" applyAlignment="1">
      <alignment horizontal="center"/>
    </xf>
    <xf numFmtId="1" fontId="4" fillId="2" borderId="6" xfId="0" applyNumberFormat="1" applyFont="1" applyFill="1" applyBorder="1" applyAlignment="1">
      <alignment horizontal="center"/>
    </xf>
    <xf numFmtId="0" fontId="0" fillId="0" borderId="0" xfId="0" applyAlignment="1">
      <alignment horizontal="right"/>
    </xf>
    <xf numFmtId="0" fontId="1" fillId="2" borderId="1" xfId="0" applyFont="1" applyFill="1" applyBorder="1" applyAlignment="1">
      <alignment horizontal="center"/>
    </xf>
    <xf numFmtId="21" fontId="0" fillId="3" borderId="0" xfId="0" applyNumberFormat="1" applyFill="1" applyBorder="1" applyAlignment="1" applyProtection="1">
      <alignment horizontal="right"/>
      <protection locked="0"/>
    </xf>
    <xf numFmtId="0" fontId="0" fillId="3" borderId="0" xfId="0" applyFill="1" applyBorder="1" applyAlignment="1" applyProtection="1">
      <alignment horizontal="right"/>
      <protection locked="0"/>
    </xf>
    <xf numFmtId="0" fontId="1" fillId="3" borderId="0" xfId="0" applyFont="1" applyFill="1" applyBorder="1" applyAlignment="1" applyProtection="1">
      <alignment horizontal="center"/>
      <protection locked="0"/>
    </xf>
    <xf numFmtId="0" fontId="8" fillId="0" borderId="0" xfId="0" applyFont="1" applyFill="1" applyBorder="1"/>
    <xf numFmtId="0" fontId="8" fillId="0" borderId="0" xfId="0" applyFont="1" applyFill="1" applyBorder="1" applyAlignment="1">
      <alignment horizontal="center"/>
    </xf>
    <xf numFmtId="1" fontId="8" fillId="0" borderId="0" xfId="0" applyNumberFormat="1" applyFont="1" applyFill="1" applyBorder="1"/>
    <xf numFmtId="0" fontId="8" fillId="0" borderId="0" xfId="0" quotePrefix="1" applyFont="1" applyFill="1" applyBorder="1" applyAlignment="1" applyProtection="1">
      <alignment horizontal="center"/>
      <protection locked="0"/>
    </xf>
    <xf numFmtId="0" fontId="8" fillId="2" borderId="0" xfId="0" applyFont="1" applyFill="1" applyBorder="1"/>
    <xf numFmtId="0" fontId="8" fillId="2" borderId="0" xfId="0" applyFont="1" applyFill="1" applyBorder="1" applyAlignment="1">
      <alignment horizontal="center" vertical="justify"/>
    </xf>
    <xf numFmtId="0" fontId="4" fillId="2" borderId="19" xfId="0" applyFont="1" applyFill="1" applyBorder="1" applyAlignment="1">
      <alignment horizontal="center" vertical="justify"/>
    </xf>
    <xf numFmtId="0" fontId="0" fillId="0" borderId="0" xfId="0" quotePrefix="1" applyFill="1" applyBorder="1" applyAlignment="1" applyProtection="1">
      <alignment horizontal="center"/>
    </xf>
    <xf numFmtId="164" fontId="0" fillId="3" borderId="0" xfId="0" applyNumberFormat="1" applyFill="1" applyBorder="1" applyProtection="1">
      <protection locked="0"/>
    </xf>
    <xf numFmtId="0" fontId="0" fillId="3" borderId="5" xfId="0" applyFill="1" applyBorder="1" applyProtection="1">
      <protection locked="0"/>
    </xf>
    <xf numFmtId="165" fontId="8" fillId="0" borderId="0" xfId="0" applyNumberFormat="1" applyFont="1" applyFill="1" applyBorder="1"/>
    <xf numFmtId="0" fontId="0" fillId="0" borderId="0" xfId="0" applyProtection="1">
      <protection hidden="1"/>
    </xf>
    <xf numFmtId="0" fontId="1" fillId="2" borderId="2" xfId="0" quotePrefix="1" applyFont="1" applyFill="1" applyBorder="1" applyAlignment="1">
      <alignment horizontal="center"/>
    </xf>
    <xf numFmtId="167" fontId="8" fillId="0" borderId="0" xfId="0" applyNumberFormat="1" applyFont="1" applyFill="1" applyBorder="1"/>
    <xf numFmtId="167" fontId="8" fillId="2" borderId="0" xfId="0" applyNumberFormat="1" applyFont="1" applyFill="1" applyBorder="1" applyAlignment="1">
      <alignment horizontal="center" vertical="justify"/>
    </xf>
    <xf numFmtId="0" fontId="8" fillId="2" borderId="17" xfId="0" applyFont="1" applyFill="1" applyBorder="1"/>
    <xf numFmtId="0" fontId="8" fillId="2" borderId="18" xfId="0" applyFont="1" applyFill="1" applyBorder="1"/>
    <xf numFmtId="1" fontId="8" fillId="2" borderId="19" xfId="0" applyNumberFormat="1" applyFont="1" applyFill="1" applyBorder="1"/>
    <xf numFmtId="1" fontId="8" fillId="2" borderId="17" xfId="0" applyNumberFormat="1" applyFont="1" applyFill="1" applyBorder="1"/>
    <xf numFmtId="1" fontId="8" fillId="2" borderId="18" xfId="0" applyNumberFormat="1" applyFont="1" applyFill="1" applyBorder="1"/>
    <xf numFmtId="165" fontId="8" fillId="2" borderId="19" xfId="0" applyNumberFormat="1" applyFont="1" applyFill="1" applyBorder="1"/>
    <xf numFmtId="0" fontId="1" fillId="2" borderId="2" xfId="0" applyFont="1" applyFill="1" applyBorder="1" applyAlignment="1">
      <alignment horizontal="center"/>
    </xf>
    <xf numFmtId="0" fontId="1" fillId="2" borderId="3" xfId="0" applyFont="1" applyFill="1" applyBorder="1" applyAlignment="1">
      <alignment horizontal="center"/>
    </xf>
    <xf numFmtId="164" fontId="0" fillId="2" borderId="4" xfId="0" applyNumberFormat="1" applyFill="1" applyBorder="1"/>
    <xf numFmtId="164" fontId="0" fillId="2" borderId="5" xfId="0" applyNumberFormat="1" applyFill="1" applyBorder="1"/>
    <xf numFmtId="0" fontId="0" fillId="0" borderId="7" xfId="0" quotePrefix="1" applyBorder="1" applyAlignment="1">
      <alignment horizontal="center"/>
    </xf>
    <xf numFmtId="166" fontId="0" fillId="0" borderId="7" xfId="0" applyNumberFormat="1" applyBorder="1" applyAlignment="1">
      <alignment horizontal="left"/>
    </xf>
    <xf numFmtId="0" fontId="0" fillId="0" borderId="8" xfId="0" applyBorder="1"/>
    <xf numFmtId="0" fontId="1" fillId="3" borderId="0" xfId="0" applyNumberFormat="1" applyFont="1" applyFill="1" applyBorder="1" applyAlignment="1" applyProtection="1">
      <alignment horizontal="center"/>
      <protection locked="0"/>
    </xf>
    <xf numFmtId="0" fontId="1" fillId="3" borderId="0" xfId="0" quotePrefix="1" applyNumberFormat="1" applyFont="1" applyFill="1" applyBorder="1" applyAlignment="1" applyProtection="1">
      <alignment horizontal="left"/>
      <protection locked="0"/>
    </xf>
    <xf numFmtId="0" fontId="1" fillId="3" borderId="0" xfId="0" applyFont="1" applyFill="1" applyBorder="1" applyProtection="1">
      <protection locked="0"/>
    </xf>
    <xf numFmtId="0" fontId="5" fillId="3" borderId="0" xfId="0" applyFont="1" applyFill="1" applyBorder="1" applyAlignment="1" applyProtection="1">
      <alignment horizontal="left"/>
      <protection locked="0"/>
    </xf>
    <xf numFmtId="0" fontId="5" fillId="3" borderId="7" xfId="0" applyFont="1" applyFill="1" applyBorder="1" applyAlignment="1" applyProtection="1">
      <alignment horizontal="left"/>
      <protection locked="0"/>
    </xf>
    <xf numFmtId="0" fontId="1" fillId="3" borderId="7" xfId="0" applyFont="1" applyFill="1" applyBorder="1" applyProtection="1">
      <protection locked="0"/>
    </xf>
    <xf numFmtId="0" fontId="8" fillId="0" borderId="0" xfId="0" applyFont="1" applyFill="1" applyBorder="1" applyProtection="1">
      <protection locked="0"/>
    </xf>
    <xf numFmtId="165" fontId="8" fillId="0" borderId="0" xfId="0" applyNumberFormat="1" applyFont="1" applyFill="1" applyBorder="1" applyProtection="1">
      <protection locked="0"/>
    </xf>
    <xf numFmtId="1" fontId="8" fillId="0" borderId="0" xfId="0" applyNumberFormat="1" applyFont="1" applyFill="1" applyBorder="1" applyProtection="1">
      <protection locked="0"/>
    </xf>
    <xf numFmtId="2" fontId="0" fillId="3" borderId="0" xfId="0" applyNumberFormat="1" applyFill="1" applyBorder="1" applyProtection="1">
      <protection locked="0"/>
    </xf>
    <xf numFmtId="0" fontId="0" fillId="2" borderId="8" xfId="0" applyFill="1" applyBorder="1" applyAlignment="1">
      <alignment horizontal="center"/>
    </xf>
    <xf numFmtId="0" fontId="0" fillId="3" borderId="7" xfId="0" applyFill="1" applyBorder="1" applyProtection="1">
      <protection locked="0"/>
    </xf>
    <xf numFmtId="0" fontId="0" fillId="3" borderId="8" xfId="0" applyFill="1" applyBorder="1" applyProtection="1">
      <protection locked="0"/>
    </xf>
    <xf numFmtId="0" fontId="0" fillId="0" borderId="4" xfId="0" applyBorder="1" applyAlignment="1">
      <alignment horizontal="center"/>
    </xf>
    <xf numFmtId="0" fontId="0" fillId="3" borderId="23" xfId="0" applyFill="1" applyBorder="1" applyProtection="1">
      <protection locked="0"/>
    </xf>
    <xf numFmtId="0" fontId="0" fillId="3" borderId="24" xfId="0" applyFill="1" applyBorder="1" applyProtection="1">
      <protection locked="0"/>
    </xf>
    <xf numFmtId="0" fontId="0" fillId="0" borderId="0" xfId="0" quotePrefix="1" applyFill="1" applyBorder="1" applyAlignment="1" applyProtection="1"/>
    <xf numFmtId="46" fontId="0" fillId="3" borderId="0" xfId="0" applyNumberFormat="1" applyFill="1" applyBorder="1" applyAlignment="1" applyProtection="1">
      <alignment horizontal="right"/>
      <protection locked="0"/>
    </xf>
    <xf numFmtId="0" fontId="1" fillId="3" borderId="1" xfId="0" applyFont="1" applyFill="1" applyBorder="1" applyAlignment="1" applyProtection="1">
      <alignment horizontal="center"/>
      <protection locked="0"/>
    </xf>
    <xf numFmtId="0" fontId="1" fillId="3" borderId="2" xfId="0" applyFont="1" applyFill="1" applyBorder="1" applyAlignment="1" applyProtection="1">
      <alignment horizontal="center"/>
      <protection locked="0"/>
    </xf>
    <xf numFmtId="0" fontId="1" fillId="3" borderId="2" xfId="0" quotePrefix="1" applyFont="1" applyFill="1" applyBorder="1" applyAlignment="1" applyProtection="1">
      <alignment horizontal="center"/>
      <protection locked="0"/>
    </xf>
    <xf numFmtId="0" fontId="1" fillId="3" borderId="3" xfId="0" quotePrefix="1" applyFont="1" applyFill="1" applyBorder="1" applyAlignment="1" applyProtection="1">
      <alignment horizontal="center"/>
      <protection locked="0"/>
    </xf>
    <xf numFmtId="0" fontId="0" fillId="3" borderId="6" xfId="0" applyFill="1" applyBorder="1" applyAlignment="1" applyProtection="1">
      <alignment horizontal="center"/>
      <protection locked="0"/>
    </xf>
    <xf numFmtId="0" fontId="0" fillId="3" borderId="7" xfId="0" applyFill="1" applyBorder="1" applyAlignment="1" applyProtection="1">
      <alignment horizontal="center"/>
      <protection locked="0"/>
    </xf>
    <xf numFmtId="0" fontId="0" fillId="3" borderId="8" xfId="0" applyFill="1" applyBorder="1" applyAlignment="1" applyProtection="1">
      <alignment horizontal="center"/>
      <protection locked="0"/>
    </xf>
    <xf numFmtId="0" fontId="0" fillId="4" borderId="0" xfId="0" quotePrefix="1" applyFill="1" applyBorder="1" applyAlignment="1" applyProtection="1">
      <alignment horizontal="center"/>
    </xf>
    <xf numFmtId="0" fontId="0" fillId="4" borderId="0" xfId="0" quotePrefix="1" applyFill="1" applyBorder="1" applyAlignment="1" applyProtection="1"/>
    <xf numFmtId="164" fontId="0" fillId="4" borderId="0" xfId="0" applyNumberFormat="1" applyFill="1" applyBorder="1"/>
    <xf numFmtId="2" fontId="0" fillId="4" borderId="0" xfId="0" applyNumberFormat="1" applyFill="1" applyBorder="1"/>
    <xf numFmtId="0" fontId="0" fillId="4" borderId="0" xfId="0" applyFill="1" applyBorder="1"/>
    <xf numFmtId="2" fontId="0" fillId="4" borderId="0" xfId="0" applyNumberFormat="1" applyFill="1" applyBorder="1" applyProtection="1">
      <protection locked="0"/>
    </xf>
    <xf numFmtId="164" fontId="0" fillId="4" borderId="0" xfId="0" applyNumberFormat="1" applyFill="1" applyBorder="1" applyProtection="1">
      <protection locked="0"/>
    </xf>
    <xf numFmtId="0" fontId="0" fillId="4" borderId="5" xfId="0" applyFill="1" applyBorder="1" applyProtection="1">
      <protection locked="0"/>
    </xf>
    <xf numFmtId="165" fontId="0" fillId="4" borderId="0" xfId="0" applyNumberFormat="1" applyFill="1" applyBorder="1"/>
    <xf numFmtId="165" fontId="0" fillId="0" borderId="0" xfId="0" applyNumberFormat="1" applyBorder="1"/>
    <xf numFmtId="0" fontId="8" fillId="3" borderId="0" xfId="0" applyFont="1" applyFill="1" applyBorder="1" applyAlignment="1" applyProtection="1">
      <alignment horizontal="center"/>
      <protection locked="0"/>
    </xf>
    <xf numFmtId="21" fontId="8" fillId="3" borderId="0" xfId="0" applyNumberFormat="1" applyFont="1" applyFill="1" applyBorder="1" applyAlignment="1" applyProtection="1">
      <alignment horizontal="right"/>
      <protection locked="0"/>
    </xf>
    <xf numFmtId="0" fontId="0" fillId="3" borderId="0" xfId="0" applyNumberFormat="1" applyFill="1" applyBorder="1" applyAlignment="1" applyProtection="1">
      <alignment horizontal="center"/>
      <protection locked="0"/>
    </xf>
    <xf numFmtId="0" fontId="0" fillId="0" borderId="0" xfId="0" applyFill="1" applyBorder="1" applyAlignment="1" applyProtection="1"/>
    <xf numFmtId="0" fontId="8" fillId="3" borderId="0" xfId="0" applyNumberFormat="1" applyFont="1" applyFill="1" applyBorder="1" applyAlignment="1" applyProtection="1">
      <alignment horizontal="center"/>
      <protection locked="0"/>
    </xf>
    <xf numFmtId="0" fontId="0" fillId="3" borderId="0" xfId="0" applyFont="1" applyFill="1" applyBorder="1" applyAlignment="1" applyProtection="1">
      <alignment horizontal="center"/>
      <protection locked="0"/>
    </xf>
    <xf numFmtId="0" fontId="13" fillId="0" borderId="0" xfId="0" applyFont="1" applyAlignment="1">
      <alignment horizontal="left" vertical="center"/>
    </xf>
    <xf numFmtId="0" fontId="0" fillId="4" borderId="0" xfId="0" applyFill="1"/>
    <xf numFmtId="0" fontId="15" fillId="4" borderId="0" xfId="0" applyFont="1" applyFill="1" applyAlignment="1">
      <alignment horizontal="right" vertical="center"/>
    </xf>
    <xf numFmtId="165" fontId="2" fillId="5" borderId="3" xfId="0" applyNumberFormat="1" applyFont="1" applyFill="1" applyBorder="1" applyAlignment="1" applyProtection="1">
      <alignment horizontal="center" vertical="center"/>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center"/>
    </xf>
    <xf numFmtId="1" fontId="8" fillId="0" borderId="0" xfId="0" applyNumberFormat="1" applyFont="1" applyFill="1" applyBorder="1" applyAlignment="1" applyProtection="1">
      <alignment horizontal="left"/>
      <protection locked="0"/>
    </xf>
    <xf numFmtId="1" fontId="8" fillId="0" borderId="0" xfId="0" applyNumberFormat="1" applyFont="1" applyFill="1" applyBorder="1" applyAlignment="1">
      <alignment horizontal="left"/>
    </xf>
    <xf numFmtId="0" fontId="0" fillId="4" borderId="0" xfId="0" applyFont="1" applyFill="1" applyBorder="1" applyAlignment="1" applyProtection="1">
      <alignment horizontal="center"/>
      <protection locked="0"/>
    </xf>
    <xf numFmtId="21" fontId="0" fillId="4" borderId="0" xfId="0" applyNumberFormat="1" applyFill="1" applyBorder="1" applyAlignment="1" applyProtection="1">
      <alignment horizontal="right"/>
      <protection locked="0"/>
    </xf>
    <xf numFmtId="0" fontId="0" fillId="4" borderId="0" xfId="0" applyFill="1" applyBorder="1" applyAlignment="1">
      <alignment horizontal="center"/>
    </xf>
    <xf numFmtId="0" fontId="0" fillId="4" borderId="0" xfId="0" applyFill="1" applyBorder="1" applyProtection="1">
      <protection locked="0"/>
    </xf>
    <xf numFmtId="0" fontId="4" fillId="4" borderId="0" xfId="0" applyFont="1" applyFill="1" applyBorder="1" applyAlignment="1" applyProtection="1">
      <alignment horizontal="center"/>
      <protection locked="0"/>
    </xf>
    <xf numFmtId="0" fontId="0" fillId="4" borderId="17" xfId="0" quotePrefix="1" applyFill="1" applyBorder="1" applyAlignment="1" applyProtection="1">
      <alignment horizontal="center"/>
    </xf>
    <xf numFmtId="0" fontId="0" fillId="4" borderId="18" xfId="0" quotePrefix="1" applyFill="1" applyBorder="1" applyAlignment="1" applyProtection="1"/>
    <xf numFmtId="0" fontId="0" fillId="4" borderId="18" xfId="0" quotePrefix="1" applyFill="1" applyBorder="1" applyAlignment="1" applyProtection="1">
      <alignment horizontal="center"/>
    </xf>
    <xf numFmtId="0" fontId="4" fillId="0" borderId="0" xfId="0" applyFont="1" applyAlignment="1">
      <alignment horizontal="center" vertical="top"/>
    </xf>
    <xf numFmtId="0" fontId="20" fillId="0" borderId="7" xfId="0" applyFont="1" applyFill="1" applyBorder="1" applyAlignment="1">
      <alignment vertical="center"/>
    </xf>
    <xf numFmtId="0" fontId="0" fillId="4" borderId="4" xfId="0" quotePrefix="1" applyFill="1" applyBorder="1" applyAlignment="1" applyProtection="1">
      <alignment horizontal="center"/>
    </xf>
    <xf numFmtId="0" fontId="0" fillId="0" borderId="4" xfId="0" quotePrefix="1" applyFill="1" applyBorder="1" applyAlignment="1" applyProtection="1">
      <alignment horizontal="center"/>
    </xf>
    <xf numFmtId="0" fontId="0" fillId="0" borderId="4" xfId="0" applyFill="1" applyBorder="1" applyAlignment="1" applyProtection="1">
      <alignment horizontal="center"/>
    </xf>
    <xf numFmtId="0" fontId="3" fillId="2" borderId="17" xfId="0" applyFont="1" applyFill="1" applyBorder="1" applyAlignment="1">
      <alignment horizontal="center" vertical="justify"/>
    </xf>
    <xf numFmtId="0" fontId="3" fillId="2" borderId="18" xfId="0" applyFont="1" applyFill="1" applyBorder="1" applyAlignment="1">
      <alignment horizontal="center" vertical="justify"/>
    </xf>
    <xf numFmtId="0" fontId="3" fillId="2" borderId="18" xfId="0" quotePrefix="1" applyFont="1" applyFill="1" applyBorder="1" applyAlignment="1">
      <alignment horizontal="center" vertical="justify"/>
    </xf>
    <xf numFmtId="0" fontId="21" fillId="2" borderId="18" xfId="0" quotePrefix="1" applyFont="1" applyFill="1" applyBorder="1" applyAlignment="1">
      <alignment horizontal="center" vertical="justify"/>
    </xf>
    <xf numFmtId="164" fontId="3" fillId="2" borderId="18" xfId="0" applyNumberFormat="1" applyFont="1" applyFill="1" applyBorder="1" applyAlignment="1">
      <alignment horizontal="center" vertical="justify"/>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0" fillId="0" borderId="0" xfId="0" applyFill="1" applyBorder="1" applyAlignment="1">
      <alignment horizontal="center"/>
    </xf>
    <xf numFmtId="0" fontId="0" fillId="4" borderId="1" xfId="0" quotePrefix="1" applyFont="1" applyFill="1" applyBorder="1" applyAlignment="1" applyProtection="1">
      <alignment horizontal="center"/>
    </xf>
    <xf numFmtId="0" fontId="0" fillId="0" borderId="4" xfId="0" quotePrefix="1" applyFont="1" applyFill="1" applyBorder="1" applyAlignment="1" applyProtection="1">
      <alignment horizontal="center"/>
    </xf>
    <xf numFmtId="0" fontId="3" fillId="2" borderId="4" xfId="0" applyFont="1" applyFill="1" applyBorder="1" applyAlignment="1">
      <alignment horizontal="center"/>
    </xf>
    <xf numFmtId="0" fontId="3" fillId="2" borderId="0" xfId="0" applyFont="1" applyFill="1" applyBorder="1" applyAlignment="1">
      <alignment horizontal="center"/>
    </xf>
    <xf numFmtId="0" fontId="3" fillId="2" borderId="5" xfId="0" applyFont="1" applyFill="1" applyBorder="1" applyAlignment="1">
      <alignment horizontal="center"/>
    </xf>
    <xf numFmtId="0" fontId="3" fillId="2" borderId="17" xfId="0" quotePrefix="1" applyFont="1" applyFill="1" applyBorder="1" applyAlignment="1">
      <alignment horizontal="center"/>
    </xf>
    <xf numFmtId="0" fontId="3" fillId="2" borderId="1" xfId="0" applyFont="1" applyFill="1" applyBorder="1" applyAlignment="1">
      <alignment horizontal="center"/>
    </xf>
    <xf numFmtId="0" fontId="3" fillId="2" borderId="6" xfId="0" applyFont="1" applyFill="1" applyBorder="1" applyAlignment="1">
      <alignment horizontal="center"/>
    </xf>
    <xf numFmtId="0" fontId="3" fillId="2" borderId="6" xfId="0" quotePrefix="1" applyFont="1" applyFill="1" applyBorder="1" applyAlignment="1">
      <alignment horizontal="left"/>
    </xf>
    <xf numFmtId="0" fontId="4" fillId="3" borderId="25" xfId="0" applyFont="1" applyFill="1" applyBorder="1" applyAlignment="1" applyProtection="1">
      <alignment horizontal="center"/>
      <protection locked="0"/>
    </xf>
    <xf numFmtId="0" fontId="3" fillId="2" borderId="20" xfId="0" applyFont="1" applyFill="1" applyBorder="1" applyAlignment="1">
      <alignment horizontal="center"/>
    </xf>
    <xf numFmtId="0" fontId="3" fillId="2" borderId="21" xfId="0" applyFont="1" applyFill="1" applyBorder="1" applyAlignment="1">
      <alignment horizontal="center"/>
    </xf>
    <xf numFmtId="0" fontId="3" fillId="2" borderId="21" xfId="0" quotePrefix="1" applyFont="1" applyFill="1" applyBorder="1" applyAlignment="1">
      <alignment horizontal="center"/>
    </xf>
    <xf numFmtId="0" fontId="3" fillId="2" borderId="22" xfId="0" applyFont="1" applyFill="1" applyBorder="1" applyAlignment="1">
      <alignment horizontal="center"/>
    </xf>
    <xf numFmtId="0" fontId="14" fillId="4" borderId="18" xfId="0" applyFont="1" applyFill="1" applyBorder="1" applyAlignment="1" applyProtection="1">
      <alignment horizontal="left" vertical="center"/>
    </xf>
    <xf numFmtId="164" fontId="0" fillId="4" borderId="18" xfId="0" applyNumberFormat="1" applyFill="1" applyBorder="1" applyProtection="1"/>
    <xf numFmtId="2" fontId="0" fillId="4" borderId="18" xfId="0" applyNumberFormat="1" applyFill="1" applyBorder="1" applyProtection="1"/>
    <xf numFmtId="0" fontId="0" fillId="4" borderId="18" xfId="0" applyFill="1" applyBorder="1" applyProtection="1"/>
    <xf numFmtId="0" fontId="0" fillId="4" borderId="19" xfId="0" applyFill="1" applyBorder="1" applyProtection="1"/>
    <xf numFmtId="0" fontId="2" fillId="2" borderId="1" xfId="0" applyFont="1" applyFill="1" applyBorder="1" applyAlignment="1" applyProtection="1">
      <alignment horizontal="center"/>
    </xf>
    <xf numFmtId="0" fontId="2" fillId="2" borderId="2" xfId="0" applyFont="1" applyFill="1" applyBorder="1" applyAlignment="1" applyProtection="1">
      <alignment horizontal="center"/>
    </xf>
    <xf numFmtId="0" fontId="2" fillId="2" borderId="6" xfId="0" applyFont="1" applyFill="1" applyBorder="1" applyAlignment="1" applyProtection="1">
      <alignment horizontal="center"/>
    </xf>
    <xf numFmtId="165" fontId="18" fillId="2" borderId="7" xfId="0" applyNumberFormat="1" applyFont="1" applyFill="1" applyBorder="1" applyAlignment="1" applyProtection="1">
      <alignment horizontal="center"/>
    </xf>
    <xf numFmtId="11" fontId="2" fillId="5" borderId="8" xfId="0" applyNumberFormat="1" applyFont="1" applyFill="1" applyBorder="1" applyAlignment="1" applyProtection="1">
      <alignment horizontal="center"/>
    </xf>
    <xf numFmtId="0" fontId="3" fillId="2" borderId="18" xfId="0" applyFont="1" applyFill="1" applyBorder="1" applyAlignment="1">
      <alignment horizontal="center" vertical="center" wrapText="1"/>
    </xf>
    <xf numFmtId="1" fontId="0" fillId="6" borderId="23" xfId="0" applyNumberFormat="1" applyFill="1" applyBorder="1" applyProtection="1">
      <protection locked="0"/>
    </xf>
    <xf numFmtId="14" fontId="0" fillId="3" borderId="5" xfId="0" applyNumberFormat="1" applyFill="1" applyBorder="1" applyProtection="1">
      <protection locked="0"/>
    </xf>
    <xf numFmtId="14" fontId="0" fillId="3" borderId="0" xfId="0" applyNumberFormat="1" applyFill="1" applyBorder="1" applyProtection="1">
      <protection locked="0"/>
    </xf>
    <xf numFmtId="1" fontId="4" fillId="6" borderId="4" xfId="0" applyNumberFormat="1" applyFont="1" applyFill="1" applyBorder="1" applyAlignment="1" applyProtection="1">
      <alignment horizontal="center"/>
      <protection locked="0"/>
    </xf>
    <xf numFmtId="0" fontId="4" fillId="6" borderId="4" xfId="0" applyFont="1" applyFill="1" applyBorder="1" applyAlignment="1" applyProtection="1">
      <alignment horizontal="center"/>
      <protection locked="0"/>
    </xf>
    <xf numFmtId="2" fontId="8" fillId="0" borderId="0" xfId="0" applyNumberFormat="1" applyFont="1" applyFill="1" applyBorder="1" applyProtection="1">
      <protection locked="0"/>
    </xf>
    <xf numFmtId="2" fontId="8" fillId="0" borderId="0" xfId="0" applyNumberFormat="1" applyFont="1" applyFill="1" applyBorder="1"/>
    <xf numFmtId="0" fontId="20" fillId="7" borderId="0" xfId="0" applyFont="1" applyFill="1" applyBorder="1" applyAlignment="1">
      <alignment horizontal="center" vertical="center"/>
    </xf>
    <xf numFmtId="0" fontId="23" fillId="0" borderId="5" xfId="0" applyFont="1" applyFill="1" applyBorder="1" applyAlignment="1" applyProtection="1">
      <alignment horizontal="center"/>
      <protection locked="0"/>
    </xf>
    <xf numFmtId="0" fontId="24" fillId="3" borderId="0" xfId="0" applyFont="1" applyFill="1" applyBorder="1" applyAlignment="1" applyProtection="1">
      <alignment horizontal="center"/>
      <protection locked="0"/>
    </xf>
    <xf numFmtId="0" fontId="4" fillId="2" borderId="17" xfId="0" quotePrefix="1" applyFont="1" applyFill="1" applyBorder="1" applyAlignment="1">
      <alignment horizontal="center"/>
    </xf>
    <xf numFmtId="0" fontId="4" fillId="2" borderId="18" xfId="0" applyFont="1" applyFill="1" applyBorder="1" applyAlignment="1">
      <alignment horizontal="center"/>
    </xf>
    <xf numFmtId="0" fontId="4" fillId="2" borderId="19" xfId="0" applyFont="1" applyFill="1" applyBorder="1" applyAlignment="1">
      <alignment horizontal="center"/>
    </xf>
    <xf numFmtId="0" fontId="3" fillId="2" borderId="1" xfId="0" quotePrefix="1" applyFont="1" applyFill="1" applyBorder="1" applyAlignment="1">
      <alignment horizontal="center"/>
    </xf>
    <xf numFmtId="0" fontId="3" fillId="2" borderId="2" xfId="0" quotePrefix="1" applyFont="1" applyFill="1" applyBorder="1" applyAlignment="1">
      <alignment horizontal="center"/>
    </xf>
    <xf numFmtId="0" fontId="3" fillId="2" borderId="3" xfId="0" quotePrefix="1" applyFont="1" applyFill="1" applyBorder="1" applyAlignment="1">
      <alignment horizontal="center"/>
    </xf>
    <xf numFmtId="0" fontId="20" fillId="0" borderId="0" xfId="0" quotePrefix="1" applyFont="1" applyFill="1" applyBorder="1" applyAlignment="1">
      <alignment horizontal="center"/>
    </xf>
    <xf numFmtId="0" fontId="19" fillId="4" borderId="17" xfId="0" applyFont="1" applyFill="1" applyBorder="1" applyAlignment="1">
      <alignment horizontal="right" vertical="center"/>
    </xf>
    <xf numFmtId="0" fontId="19" fillId="4" borderId="18" xfId="0" applyFont="1" applyFill="1" applyBorder="1" applyAlignment="1">
      <alignment horizontal="right" vertical="center"/>
    </xf>
    <xf numFmtId="0" fontId="19" fillId="4" borderId="19" xfId="0" applyFont="1" applyFill="1" applyBorder="1" applyAlignment="1">
      <alignment horizontal="right" vertical="center"/>
    </xf>
    <xf numFmtId="0" fontId="22" fillId="0" borderId="6" xfId="0" applyFont="1" applyFill="1" applyBorder="1" applyAlignment="1">
      <alignment horizontal="center" vertical="center"/>
    </xf>
    <xf numFmtId="0" fontId="0" fillId="0" borderId="7" xfId="0" applyBorder="1" applyAlignment="1">
      <alignment horizontal="center" vertical="center"/>
    </xf>
    <xf numFmtId="0" fontId="20" fillId="0" borderId="0" xfId="0" applyFont="1" applyFill="1" applyBorder="1" applyAlignment="1">
      <alignment horizontal="center" vertical="center"/>
    </xf>
    <xf numFmtId="0" fontId="9" fillId="3" borderId="0" xfId="0" applyFont="1" applyFill="1" applyBorder="1" applyAlignment="1" applyProtection="1">
      <alignment horizontal="center" vertical="center"/>
      <protection locked="0"/>
    </xf>
    <xf numFmtId="0" fontId="0" fillId="0" borderId="0" xfId="0" applyAlignment="1"/>
    <xf numFmtId="0" fontId="8" fillId="2" borderId="0" xfId="0" applyFont="1" applyFill="1" applyBorder="1" applyAlignment="1">
      <alignment horizontal="center" vertical="justify"/>
    </xf>
    <xf numFmtId="0" fontId="3" fillId="2" borderId="0" xfId="0" quotePrefix="1" applyFont="1" applyFill="1" applyAlignment="1">
      <alignment horizontal="center"/>
    </xf>
    <xf numFmtId="0" fontId="3" fillId="2" borderId="0" xfId="0" applyFont="1" applyFill="1" applyAlignment="1">
      <alignment horizontal="center"/>
    </xf>
  </cellXfs>
  <cellStyles count="305">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xfId="51" builtinId="8" hidden="1"/>
    <cellStyle name="Lien hypertexte" xfId="53" builtinId="8" hidden="1"/>
    <cellStyle name="Lien hypertexte" xfId="55" builtinId="8" hidden="1"/>
    <cellStyle name="Lien hypertexte" xfId="57" builtinId="8" hidden="1"/>
    <cellStyle name="Lien hypertexte" xfId="59" builtinId="8" hidden="1"/>
    <cellStyle name="Lien hypertexte" xfId="61" builtinId="8" hidden="1"/>
    <cellStyle name="Lien hypertexte" xfId="63" builtinId="8" hidden="1"/>
    <cellStyle name="Lien hypertexte" xfId="65" builtinId="8" hidden="1"/>
    <cellStyle name="Lien hypertexte" xfId="67" builtinId="8" hidden="1"/>
    <cellStyle name="Lien hypertexte" xfId="69" builtinId="8" hidden="1"/>
    <cellStyle name="Lien hypertexte" xfId="71" builtinId="8" hidden="1"/>
    <cellStyle name="Lien hypertexte" xfId="73" builtinId="8" hidden="1"/>
    <cellStyle name="Lien hypertexte" xfId="75" builtinId="8" hidden="1"/>
    <cellStyle name="Lien hypertexte" xfId="77" builtinId="8" hidden="1"/>
    <cellStyle name="Lien hypertexte" xfId="79" builtinId="8" hidden="1"/>
    <cellStyle name="Lien hypertexte" xfId="81" builtinId="8" hidden="1"/>
    <cellStyle name="Lien hypertexte" xfId="83" builtinId="8" hidden="1"/>
    <cellStyle name="Lien hypertexte" xfId="85" builtinId="8" hidden="1"/>
    <cellStyle name="Lien hypertexte" xfId="87" builtinId="8" hidden="1"/>
    <cellStyle name="Lien hypertexte" xfId="89" builtinId="8" hidden="1"/>
    <cellStyle name="Lien hypertexte" xfId="91" builtinId="8" hidden="1"/>
    <cellStyle name="Lien hypertexte" xfId="93" builtinId="8" hidden="1"/>
    <cellStyle name="Lien hypertexte" xfId="95" builtinId="8" hidden="1"/>
    <cellStyle name="Lien hypertexte" xfId="97" builtinId="8" hidden="1"/>
    <cellStyle name="Lien hypertexte" xfId="99" builtinId="8" hidden="1"/>
    <cellStyle name="Lien hypertexte" xfId="101" builtinId="8" hidden="1"/>
    <cellStyle name="Lien hypertexte" xfId="103" builtinId="8" hidden="1"/>
    <cellStyle name="Lien hypertexte" xfId="105" builtinId="8" hidden="1"/>
    <cellStyle name="Lien hypertexte" xfId="107" builtinId="8" hidden="1"/>
    <cellStyle name="Lien hypertexte" xfId="109" builtinId="8" hidden="1"/>
    <cellStyle name="Lien hypertexte" xfId="111" builtinId="8" hidden="1"/>
    <cellStyle name="Lien hypertexte" xfId="113" builtinId="8" hidden="1"/>
    <cellStyle name="Lien hypertexte" xfId="115" builtinId="8" hidden="1"/>
    <cellStyle name="Lien hypertexte" xfId="117" builtinId="8" hidden="1"/>
    <cellStyle name="Lien hypertexte" xfId="119" builtinId="8" hidden="1"/>
    <cellStyle name="Lien hypertexte" xfId="121" builtinId="8" hidden="1"/>
    <cellStyle name="Lien hypertexte" xfId="123" builtinId="8" hidden="1"/>
    <cellStyle name="Lien hypertexte" xfId="125" builtinId="8" hidden="1"/>
    <cellStyle name="Lien hypertexte" xfId="127" builtinId="8" hidden="1"/>
    <cellStyle name="Lien hypertexte" xfId="129" builtinId="8" hidden="1"/>
    <cellStyle name="Lien hypertexte" xfId="131" builtinId="8" hidden="1"/>
    <cellStyle name="Lien hypertexte" xfId="133" builtinId="8" hidden="1"/>
    <cellStyle name="Lien hypertexte" xfId="135" builtinId="8" hidden="1"/>
    <cellStyle name="Lien hypertexte" xfId="137" builtinId="8" hidden="1"/>
    <cellStyle name="Lien hypertexte" xfId="139" builtinId="8" hidden="1"/>
    <cellStyle name="Lien hypertexte" xfId="141" builtinId="8" hidden="1"/>
    <cellStyle name="Lien hypertexte" xfId="143" builtinId="8" hidden="1"/>
    <cellStyle name="Lien hypertexte" xfId="145" builtinId="8" hidden="1"/>
    <cellStyle name="Lien hypertexte" xfId="147" builtinId="8" hidden="1"/>
    <cellStyle name="Lien hypertexte" xfId="149" builtinId="8" hidden="1"/>
    <cellStyle name="Lien hypertexte" xfId="151" builtinId="8" hidden="1"/>
    <cellStyle name="Lien hypertexte" xfId="153" builtinId="8" hidden="1"/>
    <cellStyle name="Lien hypertexte" xfId="155" builtinId="8" hidden="1"/>
    <cellStyle name="Lien hypertexte" xfId="157" builtinId="8" hidden="1"/>
    <cellStyle name="Lien hypertexte" xfId="159" builtinId="8" hidden="1"/>
    <cellStyle name="Lien hypertexte" xfId="161" builtinId="8" hidden="1"/>
    <cellStyle name="Lien hypertexte" xfId="163" builtinId="8" hidden="1"/>
    <cellStyle name="Lien hypertexte" xfId="165" builtinId="8" hidden="1"/>
    <cellStyle name="Lien hypertexte" xfId="167" builtinId="8" hidden="1"/>
    <cellStyle name="Lien hypertexte" xfId="169" builtinId="8" hidden="1"/>
    <cellStyle name="Lien hypertexte" xfId="171" builtinId="8" hidden="1"/>
    <cellStyle name="Lien hypertexte" xfId="173" builtinId="8" hidden="1"/>
    <cellStyle name="Lien hypertexte" xfId="175" builtinId="8" hidden="1"/>
    <cellStyle name="Lien hypertexte" xfId="177" builtinId="8" hidden="1"/>
    <cellStyle name="Lien hypertexte" xfId="179" builtinId="8" hidden="1"/>
    <cellStyle name="Lien hypertexte" xfId="181" builtinId="8" hidden="1"/>
    <cellStyle name="Lien hypertexte" xfId="183" builtinId="8" hidden="1"/>
    <cellStyle name="Lien hypertexte" xfId="185" builtinId="8" hidden="1"/>
    <cellStyle name="Lien hypertexte" xfId="187" builtinId="8" hidden="1"/>
    <cellStyle name="Lien hypertexte" xfId="189" builtinId="8" hidden="1"/>
    <cellStyle name="Lien hypertexte" xfId="191" builtinId="8" hidden="1"/>
    <cellStyle name="Lien hypertexte" xfId="193" builtinId="8" hidden="1"/>
    <cellStyle name="Lien hypertexte" xfId="195" builtinId="8" hidden="1"/>
    <cellStyle name="Lien hypertexte" xfId="197" builtinId="8" hidden="1"/>
    <cellStyle name="Lien hypertexte" xfId="199" builtinId="8" hidden="1"/>
    <cellStyle name="Lien hypertexte" xfId="201" builtinId="8" hidden="1"/>
    <cellStyle name="Lien hypertexte" xfId="203" builtinId="8" hidden="1"/>
    <cellStyle name="Lien hypertexte" xfId="205" builtinId="8" hidden="1"/>
    <cellStyle name="Lien hypertexte" xfId="207" builtinId="8" hidden="1"/>
    <cellStyle name="Lien hypertexte" xfId="209" builtinId="8" hidden="1"/>
    <cellStyle name="Lien hypertexte" xfId="211" builtinId="8" hidden="1"/>
    <cellStyle name="Lien hypertexte" xfId="213" builtinId="8" hidden="1"/>
    <cellStyle name="Lien hypertexte" xfId="215" builtinId="8" hidden="1"/>
    <cellStyle name="Lien hypertexte" xfId="217" builtinId="8" hidden="1"/>
    <cellStyle name="Lien hypertexte" xfId="219" builtinId="8" hidden="1"/>
    <cellStyle name="Lien hypertexte" xfId="221" builtinId="8" hidden="1"/>
    <cellStyle name="Lien hypertexte" xfId="223" builtinId="8" hidden="1"/>
    <cellStyle name="Lien hypertexte" xfId="225" builtinId="8" hidden="1"/>
    <cellStyle name="Lien hypertexte" xfId="227" builtinId="8" hidden="1"/>
    <cellStyle name="Lien hypertexte" xfId="229" builtinId="8" hidden="1"/>
    <cellStyle name="Lien hypertexte" xfId="231" builtinId="8" hidden="1"/>
    <cellStyle name="Lien hypertexte" xfId="233" builtinId="8" hidden="1"/>
    <cellStyle name="Lien hypertexte" xfId="235" builtinId="8" hidden="1"/>
    <cellStyle name="Lien hypertexte" xfId="237" builtinId="8" hidden="1"/>
    <cellStyle name="Lien hypertexte" xfId="239" builtinId="8" hidden="1"/>
    <cellStyle name="Lien hypertexte" xfId="241" builtinId="8" hidden="1"/>
    <cellStyle name="Lien hypertexte" xfId="243" builtinId="8" hidden="1"/>
    <cellStyle name="Lien hypertexte" xfId="245" builtinId="8" hidden="1"/>
    <cellStyle name="Lien hypertexte" xfId="247" builtinId="8" hidden="1"/>
    <cellStyle name="Lien hypertexte" xfId="249" builtinId="8" hidden="1"/>
    <cellStyle name="Lien hypertexte" xfId="251" builtinId="8" hidden="1"/>
    <cellStyle name="Lien hypertexte" xfId="253" builtinId="8" hidden="1"/>
    <cellStyle name="Lien hypertexte" xfId="255" builtinId="8" hidden="1"/>
    <cellStyle name="Lien hypertexte" xfId="257" builtinId="8" hidden="1"/>
    <cellStyle name="Lien hypertexte" xfId="259" builtinId="8" hidden="1"/>
    <cellStyle name="Lien hypertexte" xfId="261" builtinId="8" hidden="1"/>
    <cellStyle name="Lien hypertexte" xfId="263" builtinId="8" hidden="1"/>
    <cellStyle name="Lien hypertexte" xfId="265" builtinId="8" hidden="1"/>
    <cellStyle name="Lien hypertexte" xfId="267" builtinId="8" hidden="1"/>
    <cellStyle name="Lien hypertexte" xfId="269" builtinId="8" hidden="1"/>
    <cellStyle name="Lien hypertexte" xfId="271" builtinId="8" hidden="1"/>
    <cellStyle name="Lien hypertexte" xfId="273" builtinId="8" hidden="1"/>
    <cellStyle name="Lien hypertexte" xfId="275" builtinId="8" hidden="1"/>
    <cellStyle name="Lien hypertexte" xfId="277" builtinId="8" hidden="1"/>
    <cellStyle name="Lien hypertexte" xfId="279" builtinId="8" hidden="1"/>
    <cellStyle name="Lien hypertexte" xfId="281" builtinId="8" hidden="1"/>
    <cellStyle name="Lien hypertexte" xfId="283" builtinId="8" hidden="1"/>
    <cellStyle name="Lien hypertexte" xfId="285" builtinId="8" hidden="1"/>
    <cellStyle name="Lien hypertexte" xfId="287" builtinId="8" hidden="1"/>
    <cellStyle name="Lien hypertexte" xfId="289" builtinId="8" hidden="1"/>
    <cellStyle name="Lien hypertexte" xfId="291" builtinId="8" hidden="1"/>
    <cellStyle name="Lien hypertexte" xfId="293" builtinId="8" hidden="1"/>
    <cellStyle name="Lien hypertexte" xfId="295" builtinId="8" hidden="1"/>
    <cellStyle name="Lien hypertexte" xfId="297" builtinId="8" hidden="1"/>
    <cellStyle name="Lien hypertexte" xfId="299" builtinId="8" hidden="1"/>
    <cellStyle name="Lien hypertexte" xfId="301" builtinId="8" hidden="1"/>
    <cellStyle name="Lien hypertexte" xfId="303"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Lien hypertexte visité" xfId="52" builtinId="9" hidden="1"/>
    <cellStyle name="Lien hypertexte visité" xfId="54" builtinId="9" hidden="1"/>
    <cellStyle name="Lien hypertexte visité" xfId="56" builtinId="9" hidden="1"/>
    <cellStyle name="Lien hypertexte visité" xfId="58" builtinId="9" hidden="1"/>
    <cellStyle name="Lien hypertexte visité" xfId="60" builtinId="9" hidden="1"/>
    <cellStyle name="Lien hypertexte visité" xfId="62" builtinId="9" hidden="1"/>
    <cellStyle name="Lien hypertexte visité" xfId="64" builtinId="9" hidden="1"/>
    <cellStyle name="Lien hypertexte visité" xfId="66" builtinId="9" hidden="1"/>
    <cellStyle name="Lien hypertexte visité" xfId="68" builtinId="9" hidden="1"/>
    <cellStyle name="Lien hypertexte visité" xfId="70" builtinId="9" hidden="1"/>
    <cellStyle name="Lien hypertexte visité" xfId="72" builtinId="9" hidden="1"/>
    <cellStyle name="Lien hypertexte visité" xfId="74" builtinId="9" hidden="1"/>
    <cellStyle name="Lien hypertexte visité" xfId="76" builtinId="9" hidden="1"/>
    <cellStyle name="Lien hypertexte visité" xfId="78" builtinId="9" hidden="1"/>
    <cellStyle name="Lien hypertexte visité" xfId="80" builtinId="9" hidden="1"/>
    <cellStyle name="Lien hypertexte visité" xfId="82" builtinId="9" hidden="1"/>
    <cellStyle name="Lien hypertexte visité" xfId="84" builtinId="9" hidden="1"/>
    <cellStyle name="Lien hypertexte visité" xfId="86" builtinId="9" hidden="1"/>
    <cellStyle name="Lien hypertexte visité" xfId="88" builtinId="9" hidden="1"/>
    <cellStyle name="Lien hypertexte visité" xfId="90" builtinId="9" hidden="1"/>
    <cellStyle name="Lien hypertexte visité" xfId="92" builtinId="9" hidden="1"/>
    <cellStyle name="Lien hypertexte visité" xfId="94" builtinId="9" hidden="1"/>
    <cellStyle name="Lien hypertexte visité" xfId="96" builtinId="9" hidden="1"/>
    <cellStyle name="Lien hypertexte visité" xfId="98" builtinId="9" hidden="1"/>
    <cellStyle name="Lien hypertexte visité" xfId="100" builtinId="9" hidden="1"/>
    <cellStyle name="Lien hypertexte visité" xfId="102" builtinId="9" hidden="1"/>
    <cellStyle name="Lien hypertexte visité" xfId="104" builtinId="9" hidden="1"/>
    <cellStyle name="Lien hypertexte visité" xfId="106" builtinId="9" hidden="1"/>
    <cellStyle name="Lien hypertexte visité" xfId="108" builtinId="9" hidden="1"/>
    <cellStyle name="Lien hypertexte visité" xfId="110" builtinId="9" hidden="1"/>
    <cellStyle name="Lien hypertexte visité" xfId="112" builtinId="9" hidden="1"/>
    <cellStyle name="Lien hypertexte visité" xfId="114" builtinId="9" hidden="1"/>
    <cellStyle name="Lien hypertexte visité" xfId="116" builtinId="9" hidden="1"/>
    <cellStyle name="Lien hypertexte visité" xfId="118" builtinId="9" hidden="1"/>
    <cellStyle name="Lien hypertexte visité" xfId="120" builtinId="9" hidden="1"/>
    <cellStyle name="Lien hypertexte visité" xfId="122" builtinId="9" hidden="1"/>
    <cellStyle name="Lien hypertexte visité" xfId="124" builtinId="9" hidden="1"/>
    <cellStyle name="Lien hypertexte visité" xfId="126" builtinId="9" hidden="1"/>
    <cellStyle name="Lien hypertexte visité" xfId="128" builtinId="9" hidden="1"/>
    <cellStyle name="Lien hypertexte visité" xfId="130" builtinId="9" hidden="1"/>
    <cellStyle name="Lien hypertexte visité" xfId="132" builtinId="9" hidden="1"/>
    <cellStyle name="Lien hypertexte visité" xfId="134" builtinId="9" hidden="1"/>
    <cellStyle name="Lien hypertexte visité" xfId="136" builtinId="9" hidden="1"/>
    <cellStyle name="Lien hypertexte visité" xfId="138" builtinId="9" hidden="1"/>
    <cellStyle name="Lien hypertexte visité" xfId="140" builtinId="9" hidden="1"/>
    <cellStyle name="Lien hypertexte visité" xfId="142" builtinId="9" hidden="1"/>
    <cellStyle name="Lien hypertexte visité" xfId="144" builtinId="9" hidden="1"/>
    <cellStyle name="Lien hypertexte visité" xfId="146" builtinId="9" hidden="1"/>
    <cellStyle name="Lien hypertexte visité" xfId="148" builtinId="9" hidden="1"/>
    <cellStyle name="Lien hypertexte visité" xfId="150" builtinId="9" hidden="1"/>
    <cellStyle name="Lien hypertexte visité" xfId="152" builtinId="9" hidden="1"/>
    <cellStyle name="Lien hypertexte visité" xfId="154" builtinId="9" hidden="1"/>
    <cellStyle name="Lien hypertexte visité" xfId="156" builtinId="9" hidden="1"/>
    <cellStyle name="Lien hypertexte visité" xfId="158" builtinId="9" hidden="1"/>
    <cellStyle name="Lien hypertexte visité" xfId="160" builtinId="9" hidden="1"/>
    <cellStyle name="Lien hypertexte visité" xfId="162" builtinId="9" hidden="1"/>
    <cellStyle name="Lien hypertexte visité" xfId="164" builtinId="9" hidden="1"/>
    <cellStyle name="Lien hypertexte visité" xfId="166" builtinId="9" hidden="1"/>
    <cellStyle name="Lien hypertexte visité" xfId="168" builtinId="9" hidden="1"/>
    <cellStyle name="Lien hypertexte visité" xfId="170" builtinId="9" hidden="1"/>
    <cellStyle name="Lien hypertexte visité" xfId="172" builtinId="9" hidden="1"/>
    <cellStyle name="Lien hypertexte visité" xfId="174" builtinId="9" hidden="1"/>
    <cellStyle name="Lien hypertexte visité" xfId="176" builtinId="9" hidden="1"/>
    <cellStyle name="Lien hypertexte visité" xfId="178" builtinId="9" hidden="1"/>
    <cellStyle name="Lien hypertexte visité" xfId="180" builtinId="9" hidden="1"/>
    <cellStyle name="Lien hypertexte visité" xfId="182" builtinId="9" hidden="1"/>
    <cellStyle name="Lien hypertexte visité" xfId="184" builtinId="9" hidden="1"/>
    <cellStyle name="Lien hypertexte visité" xfId="186" builtinId="9" hidden="1"/>
    <cellStyle name="Lien hypertexte visité" xfId="188" builtinId="9" hidden="1"/>
    <cellStyle name="Lien hypertexte visité" xfId="190" builtinId="9" hidden="1"/>
    <cellStyle name="Lien hypertexte visité" xfId="192" builtinId="9" hidden="1"/>
    <cellStyle name="Lien hypertexte visité" xfId="194" builtinId="9" hidden="1"/>
    <cellStyle name="Lien hypertexte visité" xfId="196" builtinId="9" hidden="1"/>
    <cellStyle name="Lien hypertexte visité" xfId="198" builtinId="9" hidden="1"/>
    <cellStyle name="Lien hypertexte visité" xfId="200" builtinId="9" hidden="1"/>
    <cellStyle name="Lien hypertexte visité" xfId="202" builtinId="9" hidden="1"/>
    <cellStyle name="Lien hypertexte visité" xfId="204" builtinId="9" hidden="1"/>
    <cellStyle name="Lien hypertexte visité" xfId="206" builtinId="9" hidden="1"/>
    <cellStyle name="Lien hypertexte visité" xfId="208" builtinId="9" hidden="1"/>
    <cellStyle name="Lien hypertexte visité" xfId="210" builtinId="9" hidden="1"/>
    <cellStyle name="Lien hypertexte visité" xfId="212" builtinId="9" hidden="1"/>
    <cellStyle name="Lien hypertexte visité" xfId="214" builtinId="9" hidden="1"/>
    <cellStyle name="Lien hypertexte visité" xfId="216" builtinId="9" hidden="1"/>
    <cellStyle name="Lien hypertexte visité" xfId="218" builtinId="9" hidden="1"/>
    <cellStyle name="Lien hypertexte visité" xfId="220" builtinId="9" hidden="1"/>
    <cellStyle name="Lien hypertexte visité" xfId="222" builtinId="9" hidden="1"/>
    <cellStyle name="Lien hypertexte visité" xfId="224" builtinId="9" hidden="1"/>
    <cellStyle name="Lien hypertexte visité" xfId="226" builtinId="9" hidden="1"/>
    <cellStyle name="Lien hypertexte visité" xfId="228" builtinId="9" hidden="1"/>
    <cellStyle name="Lien hypertexte visité" xfId="230" builtinId="9" hidden="1"/>
    <cellStyle name="Lien hypertexte visité" xfId="232" builtinId="9" hidden="1"/>
    <cellStyle name="Lien hypertexte visité" xfId="234" builtinId="9" hidden="1"/>
    <cellStyle name="Lien hypertexte visité" xfId="236" builtinId="9" hidden="1"/>
    <cellStyle name="Lien hypertexte visité" xfId="238" builtinId="9" hidden="1"/>
    <cellStyle name="Lien hypertexte visité" xfId="240" builtinId="9" hidden="1"/>
    <cellStyle name="Lien hypertexte visité" xfId="242" builtinId="9" hidden="1"/>
    <cellStyle name="Lien hypertexte visité" xfId="244" builtinId="9" hidden="1"/>
    <cellStyle name="Lien hypertexte visité" xfId="246" builtinId="9" hidden="1"/>
    <cellStyle name="Lien hypertexte visité" xfId="248" builtinId="9" hidden="1"/>
    <cellStyle name="Lien hypertexte visité" xfId="250" builtinId="9" hidden="1"/>
    <cellStyle name="Lien hypertexte visité" xfId="252" builtinId="9" hidden="1"/>
    <cellStyle name="Lien hypertexte visité" xfId="254" builtinId="9" hidden="1"/>
    <cellStyle name="Lien hypertexte visité" xfId="256" builtinId="9" hidden="1"/>
    <cellStyle name="Lien hypertexte visité" xfId="258" builtinId="9" hidden="1"/>
    <cellStyle name="Lien hypertexte visité" xfId="260" builtinId="9" hidden="1"/>
    <cellStyle name="Lien hypertexte visité" xfId="262" builtinId="9" hidden="1"/>
    <cellStyle name="Lien hypertexte visité" xfId="264" builtinId="9" hidden="1"/>
    <cellStyle name="Lien hypertexte visité" xfId="266" builtinId="9" hidden="1"/>
    <cellStyle name="Lien hypertexte visité" xfId="268" builtinId="9" hidden="1"/>
    <cellStyle name="Lien hypertexte visité" xfId="270" builtinId="9" hidden="1"/>
    <cellStyle name="Lien hypertexte visité" xfId="272" builtinId="9" hidden="1"/>
    <cellStyle name="Lien hypertexte visité" xfId="274" builtinId="9" hidden="1"/>
    <cellStyle name="Lien hypertexte visité" xfId="276" builtinId="9" hidden="1"/>
    <cellStyle name="Lien hypertexte visité" xfId="278" builtinId="9" hidden="1"/>
    <cellStyle name="Lien hypertexte visité" xfId="280" builtinId="9" hidden="1"/>
    <cellStyle name="Lien hypertexte visité" xfId="282" builtinId="9" hidden="1"/>
    <cellStyle name="Lien hypertexte visité" xfId="284" builtinId="9" hidden="1"/>
    <cellStyle name="Lien hypertexte visité" xfId="286" builtinId="9" hidden="1"/>
    <cellStyle name="Lien hypertexte visité" xfId="288" builtinId="9" hidden="1"/>
    <cellStyle name="Lien hypertexte visité" xfId="290" builtinId="9" hidden="1"/>
    <cellStyle name="Lien hypertexte visité" xfId="292" builtinId="9" hidden="1"/>
    <cellStyle name="Lien hypertexte visité" xfId="294" builtinId="9" hidden="1"/>
    <cellStyle name="Lien hypertexte visité" xfId="296" builtinId="9" hidden="1"/>
    <cellStyle name="Lien hypertexte visité" xfId="298" builtinId="9" hidden="1"/>
    <cellStyle name="Lien hypertexte visité" xfId="300" builtinId="9" hidden="1"/>
    <cellStyle name="Lien hypertexte visité" xfId="302" builtinId="9" hidden="1"/>
    <cellStyle name="Lien hypertexte visité" xfId="304" builtinId="9" hidden="1"/>
    <cellStyle name="Normal" xfId="0" builtinId="0"/>
  </cellStyles>
  <dxfs count="3">
    <dxf>
      <font>
        <color theme="0"/>
      </font>
      <fill>
        <patternFill patternType="none">
          <fgColor indexed="64"/>
          <bgColor indexed="65"/>
        </patternFill>
      </fill>
    </dxf>
    <dxf>
      <font>
        <color theme="0"/>
      </font>
      <fill>
        <patternFill>
          <bgColor rgb="FFFFC7CE"/>
        </patternFill>
      </fill>
    </dxf>
    <dxf>
      <font>
        <color theme="0"/>
      </font>
      <fill>
        <patternFill patternType="none">
          <fgColor indexed="64"/>
          <bgColor auto="1"/>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jpeg"/><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6</xdr:col>
      <xdr:colOff>266700</xdr:colOff>
      <xdr:row>32</xdr:row>
      <xdr:rowOff>111124</xdr:rowOff>
    </xdr:from>
    <xdr:to>
      <xdr:col>29</xdr:col>
      <xdr:colOff>215900</xdr:colOff>
      <xdr:row>78</xdr:row>
      <xdr:rowOff>63500</xdr:rowOff>
    </xdr:to>
    <xdr:grpSp>
      <xdr:nvGrpSpPr>
        <xdr:cNvPr id="3" name="Grouper 2"/>
        <xdr:cNvGrpSpPr/>
      </xdr:nvGrpSpPr>
      <xdr:grpSpPr>
        <a:xfrm>
          <a:off x="2923117" y="7244291"/>
          <a:ext cx="16067616" cy="7254876"/>
          <a:chOff x="4127500" y="6804024"/>
          <a:chExt cx="18211800" cy="6962776"/>
        </a:xfrm>
      </xdr:grpSpPr>
      <xdr:sp macro="" textlink="">
        <xdr:nvSpPr>
          <xdr:cNvPr id="1025" name="Text Box 1"/>
          <xdr:cNvSpPr txBox="1">
            <a:spLocks noChangeArrowheads="1"/>
          </xdr:cNvSpPr>
        </xdr:nvSpPr>
        <xdr:spPr bwMode="auto">
          <a:xfrm>
            <a:off x="4127500" y="6804024"/>
            <a:ext cx="18211800" cy="6962776"/>
          </a:xfrm>
          <a:prstGeom prst="rect">
            <a:avLst/>
          </a:prstGeom>
          <a:solidFill>
            <a:srgbClr val="FFFFFF"/>
          </a:solidFill>
          <a:ln w="28575">
            <a:solidFill>
              <a:srgbClr val="FF0000"/>
            </a:solidFill>
            <a:miter lim="800000"/>
            <a:headEnd/>
            <a:tailEnd/>
          </a:ln>
        </xdr:spPr>
        <xdr:txBody>
          <a:bodyPr vertOverflow="clip" wrap="square" lIns="27432" tIns="22860" rIns="0" bIns="0" anchor="t" upright="1"/>
          <a:lstStyle/>
          <a:p>
            <a:pPr algn="l" rtl="0">
              <a:defRPr sz="1000"/>
            </a:pPr>
            <a:endParaRPr lang="fr-FR" sz="1000" b="1" i="0" u="none" strike="noStrike" baseline="0">
              <a:solidFill>
                <a:srgbClr val="FF0000"/>
              </a:solidFill>
              <a:latin typeface="Arial"/>
              <a:cs typeface="Arial"/>
            </a:endParaRPr>
          </a:p>
          <a:p>
            <a:pPr algn="ctr" rtl="0">
              <a:defRPr sz="1000"/>
            </a:pPr>
            <a:r>
              <a:rPr lang="fr-FR" sz="1800" b="1" i="0" u="none" strike="noStrike" baseline="0">
                <a:solidFill>
                  <a:srgbClr val="FF0000"/>
                </a:solidFill>
                <a:latin typeface="Arial"/>
                <a:cs typeface="Arial"/>
              </a:rPr>
              <a:t>PETIT MODE D'EMPLOI</a:t>
            </a:r>
          </a:p>
          <a:p>
            <a:pPr algn="l" rtl="0">
              <a:defRPr sz="1000"/>
            </a:pPr>
            <a:endParaRPr lang="fr-FR" sz="1000" b="1" i="0" u="none" strike="noStrike" baseline="0">
              <a:solidFill>
                <a:srgbClr val="FF0000"/>
              </a:solidFill>
              <a:latin typeface="Arial"/>
              <a:cs typeface="Arial"/>
            </a:endParaRPr>
          </a:p>
          <a:p>
            <a:pPr algn="ctr" rtl="0">
              <a:defRPr sz="1000"/>
            </a:pPr>
            <a:r>
              <a:rPr lang="fr-FR" sz="1800" b="1" i="0" u="none" strike="noStrike" baseline="0">
                <a:solidFill>
                  <a:srgbClr val="FF0000"/>
                </a:solidFill>
                <a:latin typeface="Arial"/>
                <a:cs typeface="Arial"/>
              </a:rPr>
              <a:t>Ne saisir que dans les cellules jaunes et laisser les feuilles protégées.</a:t>
            </a:r>
          </a:p>
          <a:p>
            <a:pPr algn="l" rtl="0">
              <a:defRPr sz="1000"/>
            </a:pPr>
            <a:endParaRPr lang="fr-FR" sz="1000" b="1" i="0" u="none" strike="noStrike" baseline="0">
              <a:solidFill>
                <a:srgbClr val="FF0000"/>
              </a:solidFill>
              <a:latin typeface="Arial"/>
              <a:cs typeface="Arial"/>
            </a:endParaRPr>
          </a:p>
          <a:p>
            <a:pPr algn="l" rtl="0">
              <a:defRPr sz="1000"/>
            </a:pPr>
            <a:r>
              <a:rPr lang="fr-FR" sz="1050" b="1" i="0" u="none" strike="noStrike" baseline="0">
                <a:solidFill>
                  <a:srgbClr val="FF0000"/>
                </a:solidFill>
                <a:latin typeface="Arial"/>
                <a:cs typeface="Arial"/>
              </a:rPr>
              <a:t>	Pour </a:t>
            </a:r>
            <a:r>
              <a:rPr lang="fr-FR" sz="1400" b="1" i="0" u="none" strike="noStrike" baseline="0">
                <a:solidFill>
                  <a:srgbClr val="FF0000"/>
                </a:solidFill>
                <a:latin typeface="Arial"/>
                <a:cs typeface="Arial"/>
              </a:rPr>
              <a:t>corriger ou ajouter un nom ou une valeur</a:t>
            </a:r>
            <a:r>
              <a:rPr lang="fr-FR" sz="1050" b="1" i="0" u="none" strike="noStrike" baseline="0">
                <a:solidFill>
                  <a:srgbClr val="FF0000"/>
                </a:solidFill>
                <a:latin typeface="Arial"/>
                <a:cs typeface="Arial"/>
              </a:rPr>
              <a:t> dans une cellule</a:t>
            </a:r>
            <a:r>
              <a:rPr lang="fr-FR" sz="1000" b="1" i="0" u="none" strike="noStrike" baseline="0">
                <a:solidFill>
                  <a:srgbClr val="FF0000"/>
                </a:solidFill>
                <a:latin typeface="Arial"/>
                <a:cs typeface="Arial"/>
              </a:rPr>
              <a:t>, </a:t>
            </a:r>
            <a:r>
              <a:rPr lang="fr-FR" sz="1400" b="1" i="0" u="none" strike="noStrike" baseline="0">
                <a:solidFill>
                  <a:srgbClr val="FF0000"/>
                </a:solidFill>
                <a:latin typeface="Arial"/>
                <a:cs typeface="Arial"/>
              </a:rPr>
              <a:t>ne pas la "déplacer" ou faire de "couper-coller</a:t>
            </a:r>
            <a:r>
              <a:rPr lang="fr-FR" sz="1600" b="1" i="0" u="none" strike="noStrike" baseline="0">
                <a:solidFill>
                  <a:srgbClr val="FF0000"/>
                </a:solidFill>
                <a:latin typeface="Arial"/>
                <a:cs typeface="Arial"/>
              </a:rPr>
              <a:t>"</a:t>
            </a:r>
            <a:r>
              <a:rPr lang="fr-FR" sz="1100" b="1" i="0" u="none" strike="noStrike" baseline="0">
                <a:solidFill>
                  <a:srgbClr val="FF0000"/>
                </a:solidFill>
                <a:latin typeface="Arial"/>
                <a:cs typeface="Arial"/>
              </a:rPr>
              <a:t>, </a:t>
            </a:r>
            <a:r>
              <a:rPr lang="fr-FR" sz="1400" b="1" i="0" u="none" strike="noStrike" baseline="0">
                <a:solidFill>
                  <a:srgbClr val="FF0000"/>
                </a:solidFill>
                <a:latin typeface="Arial"/>
                <a:cs typeface="Arial"/>
              </a:rPr>
              <a:t>mais retaper ou faire un "copier-coller" puis effacer ou remplacer le contenu </a:t>
            </a:r>
            <a:r>
              <a:rPr lang="fr-FR" sz="1050" b="1" i="0" u="none" strike="noStrike" baseline="0">
                <a:solidFill>
                  <a:srgbClr val="FF0000"/>
                </a:solidFill>
                <a:latin typeface="Arial"/>
                <a:cs typeface="Arial"/>
              </a:rPr>
              <a:t>de </a:t>
            </a:r>
            <a:r>
              <a:rPr lang="fr-FR" sz="1400" b="1" i="0" u="none" strike="noStrike" baseline="0">
                <a:solidFill>
                  <a:srgbClr val="FF0000"/>
                </a:solidFill>
                <a:latin typeface="Arial"/>
                <a:cs typeface="Arial"/>
              </a:rPr>
              <a:t> </a:t>
            </a:r>
            <a:r>
              <a:rPr lang="fr-FR" sz="1050" b="1" i="0" u="none" strike="noStrike" baseline="0">
                <a:solidFill>
                  <a:srgbClr val="FF0000"/>
                </a:solidFill>
                <a:latin typeface="Arial"/>
                <a:cs typeface="Arial"/>
              </a:rPr>
              <a:t>la cellule d'origine</a:t>
            </a:r>
            <a:r>
              <a:rPr lang="fr-FR" sz="1000" b="1" i="0" u="none" strike="noStrike" baseline="0">
                <a:solidFill>
                  <a:srgbClr val="FF0000"/>
                </a:solidFill>
                <a:latin typeface="Arial"/>
                <a:cs typeface="Arial"/>
              </a:rPr>
              <a:t>.</a:t>
            </a:r>
          </a:p>
          <a:p>
            <a:pPr algn="l" rtl="0">
              <a:defRPr sz="1000"/>
            </a:pPr>
            <a:endParaRPr lang="fr-FR" sz="1000" b="1" i="0" u="none" strike="noStrike" baseline="0">
              <a:solidFill>
                <a:srgbClr val="FF0000"/>
              </a:solidFill>
              <a:latin typeface="Arial"/>
              <a:cs typeface="Arial"/>
            </a:endParaRPr>
          </a:p>
          <a:p>
            <a:pPr algn="l" rtl="0">
              <a:defRPr sz="1000"/>
            </a:pPr>
            <a:r>
              <a:rPr lang="fr-FR" sz="1000" b="1" i="0" u="none" strike="noStrike" baseline="0">
                <a:solidFill>
                  <a:srgbClr val="FF0000"/>
                </a:solidFill>
                <a:latin typeface="Arial"/>
                <a:cs typeface="Arial"/>
              </a:rPr>
              <a:t>	</a:t>
            </a:r>
            <a:r>
              <a:rPr lang="fr-FR" sz="1200" b="1" i="0" u="none" strike="noStrike" baseline="0">
                <a:solidFill>
                  <a:srgbClr val="FF0000"/>
                </a:solidFill>
                <a:latin typeface="Arial"/>
                <a:cs typeface="Arial"/>
              </a:rPr>
              <a:t>Limites du tableau:</a:t>
            </a:r>
          </a:p>
          <a:p>
            <a:pPr algn="l" rtl="0">
              <a:defRPr sz="1000"/>
            </a:pPr>
            <a:r>
              <a:rPr lang="fr-FR" sz="1200" b="1" i="0" u="none" strike="noStrike" baseline="0">
                <a:solidFill>
                  <a:srgbClr val="FF0000"/>
                </a:solidFill>
                <a:latin typeface="Arial"/>
                <a:cs typeface="Arial"/>
              </a:rPr>
              <a:t>  	  - </a:t>
            </a:r>
            <a:r>
              <a:rPr lang="fr-FR" sz="1200" b="0" i="0" u="none" strike="noStrike" baseline="0">
                <a:solidFill>
                  <a:srgbClr val="FF0000"/>
                </a:solidFill>
                <a:latin typeface="Arial"/>
                <a:cs typeface="Arial"/>
              </a:rPr>
              <a:t>Nombre maximum de coureurs 300</a:t>
            </a:r>
          </a:p>
          <a:p>
            <a:pPr algn="l" rtl="0">
              <a:defRPr sz="1000"/>
            </a:pPr>
            <a:r>
              <a:rPr lang="fr-FR" sz="1200" b="0" i="0" u="none" strike="noStrike" baseline="0">
                <a:solidFill>
                  <a:srgbClr val="FF0000"/>
                </a:solidFill>
                <a:latin typeface="Arial"/>
                <a:cs typeface="Arial"/>
              </a:rPr>
              <a:t>  	  - Nombre maximum de catégories 30</a:t>
            </a:r>
          </a:p>
          <a:p>
            <a:pPr algn="l" rtl="0">
              <a:defRPr sz="1000"/>
            </a:pPr>
            <a:r>
              <a:rPr lang="fr-FR" sz="1200" b="0" i="0" u="none" strike="noStrike" baseline="0">
                <a:solidFill>
                  <a:srgbClr val="FF0000"/>
                </a:solidFill>
                <a:latin typeface="Arial"/>
                <a:cs typeface="Arial"/>
              </a:rPr>
              <a:t> 	   - Nombre maximum de circuits 12</a:t>
            </a:r>
          </a:p>
          <a:p>
            <a:pPr algn="l" rtl="0">
              <a:defRPr sz="1000"/>
            </a:pPr>
            <a:r>
              <a:rPr lang="fr-FR" sz="1200" b="0" i="0" u="none" strike="noStrike" baseline="0">
                <a:solidFill>
                  <a:srgbClr val="FF0000"/>
                </a:solidFill>
                <a:latin typeface="Arial"/>
                <a:cs typeface="Arial"/>
              </a:rPr>
              <a:t> 	   - Nombre maximum de courses 5</a:t>
            </a:r>
          </a:p>
          <a:p>
            <a:pPr algn="l" rtl="0">
              <a:defRPr sz="1000"/>
            </a:pPr>
            <a:r>
              <a:rPr lang="fr-FR" sz="1200" b="0" i="0" u="none" strike="noStrike" baseline="0">
                <a:solidFill>
                  <a:srgbClr val="FF0000"/>
                </a:solidFill>
                <a:latin typeface="Arial"/>
                <a:cs typeface="Arial"/>
              </a:rPr>
              <a:t>  	  - Nombre maximum de classement 3 (actuellement)</a:t>
            </a:r>
          </a:p>
          <a:p>
            <a:pPr algn="l" rtl="0">
              <a:defRPr sz="1000"/>
            </a:pPr>
            <a:endParaRPr lang="fr-FR" sz="1200" b="0" i="0" u="none" strike="noStrike" baseline="0">
              <a:solidFill>
                <a:srgbClr val="FF0000"/>
              </a:solidFill>
              <a:latin typeface="Arial"/>
              <a:cs typeface="Arial"/>
            </a:endParaRPr>
          </a:p>
          <a:p>
            <a:pPr algn="l" rtl="0">
              <a:defRPr sz="1000"/>
            </a:pPr>
            <a:r>
              <a:rPr lang="fr-FR" sz="1200" b="1" i="0" u="none" strike="noStrike" baseline="0">
                <a:solidFill>
                  <a:srgbClr val="FF0000"/>
                </a:solidFill>
                <a:latin typeface="Arial"/>
                <a:cs typeface="Arial"/>
              </a:rPr>
              <a:t>	Remarques:</a:t>
            </a:r>
            <a:endParaRPr lang="fr-FR" sz="1200" b="0" i="0" u="none" strike="noStrike" baseline="0">
              <a:solidFill>
                <a:srgbClr val="FF0000"/>
              </a:solidFill>
              <a:latin typeface="Arial"/>
              <a:cs typeface="Arial"/>
            </a:endParaRPr>
          </a:p>
          <a:p>
            <a:pPr algn="l" rtl="0">
              <a:defRPr sz="1000"/>
            </a:pPr>
            <a:r>
              <a:rPr lang="fr-FR" sz="1200" b="0" i="0" u="none" strike="noStrike" baseline="0">
                <a:solidFill>
                  <a:srgbClr val="FF0000"/>
                </a:solidFill>
                <a:latin typeface="Arial"/>
                <a:cs typeface="Arial"/>
              </a:rPr>
              <a:t>  	   - La règle du jeu est la même pour toutes les courses, même nombre de points par catégorie sur un même circuit, même valeur du point par minute de retard sur le premier du circuit.</a:t>
            </a:r>
          </a:p>
          <a:p>
            <a:pPr algn="l" rtl="0">
              <a:defRPr sz="1000"/>
            </a:pPr>
            <a:r>
              <a:rPr lang="fr-FR" sz="1200" b="0" i="0" u="none" strike="noStrike" baseline="0">
                <a:solidFill>
                  <a:srgbClr val="FF0000"/>
                </a:solidFill>
                <a:latin typeface="Arial"/>
                <a:cs typeface="Arial"/>
              </a:rPr>
              <a:t>  	   - On peut changer de catégorie d'âge, mais on ne peut pas changer de catégorie de classement d'une course à l'autre.</a:t>
            </a:r>
          </a:p>
          <a:p>
            <a:pPr algn="l" rtl="0">
              <a:defRPr sz="1000"/>
            </a:pPr>
            <a:endParaRPr lang="fr-FR" sz="1200" b="0" i="0" u="none" strike="noStrike" baseline="0">
              <a:solidFill>
                <a:srgbClr val="FF0000"/>
              </a:solidFill>
              <a:latin typeface="Arial"/>
              <a:cs typeface="Arial"/>
            </a:endParaRPr>
          </a:p>
          <a:p>
            <a:pPr algn="l" rtl="0">
              <a:defRPr sz="1000"/>
            </a:pPr>
            <a:r>
              <a:rPr lang="fr-FR" sz="1200" b="1" i="0" u="none" strike="noStrike" baseline="0">
                <a:solidFill>
                  <a:srgbClr val="FF0000"/>
                </a:solidFill>
                <a:latin typeface="Arial"/>
                <a:cs typeface="Arial"/>
              </a:rPr>
              <a:t>	Feuille "Règles et points":</a:t>
            </a:r>
            <a:endParaRPr lang="fr-FR" sz="1200" b="0" i="0" u="none" strike="noStrike" baseline="0">
              <a:solidFill>
                <a:srgbClr val="FF0000"/>
              </a:solidFill>
              <a:latin typeface="Arial"/>
              <a:cs typeface="Arial"/>
            </a:endParaRPr>
          </a:p>
          <a:p>
            <a:pPr algn="l" rtl="0">
              <a:defRPr sz="1000"/>
            </a:pPr>
            <a:r>
              <a:rPr lang="fr-FR" sz="1200" b="0" i="0" u="none" strike="noStrike" baseline="0">
                <a:solidFill>
                  <a:srgbClr val="FF0000"/>
                </a:solidFill>
                <a:latin typeface="Arial"/>
                <a:cs typeface="Arial"/>
              </a:rPr>
              <a:t>  	 1/ Définir les catégories de classement.</a:t>
            </a:r>
          </a:p>
          <a:p>
            <a:pPr algn="l" rtl="0">
              <a:defRPr sz="1000"/>
            </a:pPr>
            <a:r>
              <a:rPr lang="fr-FR" sz="1200" b="0" i="0" u="none" strike="noStrike" baseline="0">
                <a:solidFill>
                  <a:srgbClr val="FF0000"/>
                </a:solidFill>
                <a:latin typeface="Arial"/>
                <a:cs typeface="Arial"/>
              </a:rPr>
              <a:t> 	  2/ Définir les catégories d'âge et de sexe.</a:t>
            </a:r>
          </a:p>
          <a:p>
            <a:pPr algn="l" rtl="0">
              <a:defRPr sz="1000"/>
            </a:pPr>
            <a:r>
              <a:rPr lang="fr-FR" sz="1200" b="0" i="0" u="none" strike="noStrike" baseline="0">
                <a:solidFill>
                  <a:srgbClr val="FF0000"/>
                </a:solidFill>
                <a:latin typeface="Arial"/>
                <a:cs typeface="Arial"/>
              </a:rPr>
              <a:t> 	  3/ Définir le nombre de points.</a:t>
            </a:r>
          </a:p>
          <a:p>
            <a:pPr algn="l" rtl="0">
              <a:defRPr sz="1000"/>
            </a:pPr>
            <a:r>
              <a:rPr lang="fr-FR" sz="1200" b="0" i="0" u="none" strike="noStrike" baseline="0">
                <a:solidFill>
                  <a:srgbClr val="FF0000"/>
                </a:solidFill>
                <a:latin typeface="Arial"/>
                <a:cs typeface="Arial"/>
              </a:rPr>
              <a:t> 	  4/ Définir la valeur du point par minute de retard.</a:t>
            </a:r>
          </a:p>
          <a:p>
            <a:pPr algn="l" rtl="0">
              <a:defRPr sz="1000"/>
            </a:pPr>
            <a:endParaRPr lang="fr-FR" sz="1200" b="0" i="0" u="none" strike="noStrike" baseline="0">
              <a:solidFill>
                <a:srgbClr val="FF0000"/>
              </a:solidFill>
              <a:latin typeface="Arial"/>
              <a:cs typeface="Arial"/>
            </a:endParaRPr>
          </a:p>
          <a:p>
            <a:pPr algn="l" rtl="0">
              <a:defRPr sz="1000"/>
            </a:pPr>
            <a:r>
              <a:rPr lang="fr-FR" sz="1200" b="1" i="0" u="none" strike="noStrike" baseline="0">
                <a:solidFill>
                  <a:srgbClr val="FF0000"/>
                </a:solidFill>
                <a:latin typeface="Arial"/>
                <a:cs typeface="Arial"/>
              </a:rPr>
              <a:t>	Feuille "Courreurs":</a:t>
            </a:r>
            <a:endParaRPr lang="fr-FR" sz="1200" b="0" i="0" u="none" strike="noStrike" baseline="0">
              <a:solidFill>
                <a:srgbClr val="FF0000"/>
              </a:solidFill>
              <a:latin typeface="Arial"/>
              <a:cs typeface="Arial"/>
            </a:endParaRPr>
          </a:p>
          <a:p>
            <a:pPr algn="l" rtl="0">
              <a:defRPr sz="1000"/>
            </a:pPr>
            <a:r>
              <a:rPr lang="fr-FR" sz="1200" b="0" i="0" u="none" strike="noStrike" baseline="0">
                <a:solidFill>
                  <a:srgbClr val="FF0000"/>
                </a:solidFill>
                <a:latin typeface="Arial"/>
                <a:cs typeface="Arial"/>
              </a:rPr>
              <a:t>  	 Recopier nom, prénom sexe et date de naissance de l'annuaire des coureurs, éventuellement le N° Sportindent</a:t>
            </a:r>
          </a:p>
          <a:p>
            <a:pPr algn="l" rtl="0">
              <a:defRPr sz="1000"/>
            </a:pPr>
            <a:endParaRPr lang="fr-FR" sz="1200" b="0" i="0" u="none" strike="noStrike" baseline="0">
              <a:solidFill>
                <a:srgbClr val="FF0000"/>
              </a:solidFill>
              <a:latin typeface="Arial"/>
              <a:cs typeface="Arial"/>
            </a:endParaRPr>
          </a:p>
          <a:p>
            <a:pPr algn="l" rtl="0">
              <a:defRPr sz="1000"/>
            </a:pPr>
            <a:r>
              <a:rPr lang="fr-FR" sz="1200" b="1" i="0" u="none" strike="noStrike" baseline="0">
                <a:solidFill>
                  <a:srgbClr val="FF0000"/>
                </a:solidFill>
                <a:latin typeface="Arial"/>
                <a:cs typeface="Arial"/>
              </a:rPr>
              <a:t>	Feuilles "Courses 1, 2, 3, 4, 5":</a:t>
            </a:r>
            <a:endParaRPr lang="fr-FR" sz="1200" b="0" i="0" u="none" strike="noStrike" baseline="0">
              <a:solidFill>
                <a:srgbClr val="FF0000"/>
              </a:solidFill>
              <a:latin typeface="Arial"/>
              <a:cs typeface="Arial"/>
            </a:endParaRPr>
          </a:p>
          <a:p>
            <a:pPr algn="l" rtl="0">
              <a:defRPr sz="1000"/>
            </a:pPr>
            <a:r>
              <a:rPr lang="fr-FR" sz="1200" b="0" i="0" u="none" strike="noStrike" baseline="0">
                <a:solidFill>
                  <a:srgbClr val="FF0000"/>
                </a:solidFill>
                <a:latin typeface="Arial"/>
                <a:cs typeface="Arial"/>
              </a:rPr>
              <a:t>  	 1/ Entrer le numéro de circuit.</a:t>
            </a:r>
          </a:p>
          <a:p>
            <a:pPr algn="l" rtl="0">
              <a:defRPr sz="1000"/>
            </a:pPr>
            <a:r>
              <a:rPr lang="fr-FR" sz="1200" b="0" i="0" u="none" strike="noStrike" baseline="0">
                <a:solidFill>
                  <a:srgbClr val="FF0000"/>
                </a:solidFill>
                <a:latin typeface="Arial"/>
                <a:cs typeface="Arial"/>
              </a:rPr>
              <a:t> 	  2/ Entrer les circuit et les temps, ou PM.</a:t>
            </a:r>
          </a:p>
          <a:p>
            <a:pPr algn="l" rtl="0">
              <a:defRPr sz="1000"/>
            </a:pPr>
            <a:r>
              <a:rPr lang="fr-FR" sz="1200" b="0" i="0" u="none" strike="noStrike" baseline="0">
                <a:solidFill>
                  <a:srgbClr val="FF0000"/>
                </a:solidFill>
                <a:latin typeface="Arial"/>
                <a:cs typeface="Arial"/>
              </a:rPr>
              <a:t>  	 3/ Entrer éventuellement des points de bonus-malus.</a:t>
            </a:r>
          </a:p>
          <a:p>
            <a:pPr algn="l" rtl="0">
              <a:defRPr sz="1000"/>
            </a:pPr>
            <a:endParaRPr lang="fr-FR" sz="1200" b="0" i="0" u="none" strike="noStrike" baseline="0">
              <a:solidFill>
                <a:srgbClr val="FF0000"/>
              </a:solidFill>
              <a:latin typeface="Arial"/>
              <a:cs typeface="Arial"/>
            </a:endParaRPr>
          </a:p>
          <a:p>
            <a:pPr algn="l" rtl="0">
              <a:defRPr sz="1000"/>
            </a:pPr>
            <a:r>
              <a:rPr lang="fr-FR" sz="1200" b="1" i="0" u="none" strike="noStrike" baseline="0">
                <a:solidFill>
                  <a:srgbClr val="FF0000"/>
                </a:solidFill>
                <a:latin typeface="Arial"/>
                <a:cs typeface="Arial"/>
              </a:rPr>
              <a:t>	Feuille "Classements":</a:t>
            </a:r>
            <a:endParaRPr lang="fr-FR" sz="1200" b="0" i="0" u="none" strike="noStrike" baseline="0">
              <a:solidFill>
                <a:srgbClr val="FF0000"/>
              </a:solidFill>
              <a:latin typeface="Arial"/>
              <a:cs typeface="Arial"/>
            </a:endParaRPr>
          </a:p>
          <a:p>
            <a:pPr algn="l" rtl="0">
              <a:defRPr sz="1000"/>
            </a:pPr>
            <a:r>
              <a:rPr lang="fr-FR" sz="1200" b="0" i="0" u="none" strike="noStrike" baseline="0">
                <a:solidFill>
                  <a:srgbClr val="FF0000"/>
                </a:solidFill>
                <a:latin typeface="Arial"/>
                <a:cs typeface="Arial"/>
              </a:rPr>
              <a:t>  	  1/ Cliquer sur le bouton "Trier classement x", ou faire Ctrl+x, x étant la lettre du classement</a:t>
            </a:r>
          </a:p>
          <a:p>
            <a:pPr algn="l" rtl="0">
              <a:defRPr sz="1000"/>
            </a:pPr>
            <a:r>
              <a:rPr lang="fr-FR" sz="1200" b="0" i="0" u="none" strike="noStrike" baseline="0">
                <a:solidFill>
                  <a:srgbClr val="FF0000"/>
                </a:solidFill>
                <a:latin typeface="Arial"/>
                <a:cs typeface="Arial"/>
              </a:rPr>
              <a:t>  	      Le trie du classement se fait par ordre croissant de points; les premiers sont les derniers.</a:t>
            </a:r>
          </a:p>
          <a:p>
            <a:pPr algn="l" rtl="0">
              <a:defRPr sz="1000"/>
            </a:pPr>
            <a:r>
              <a:rPr lang="fr-FR" sz="1200" b="0" i="0" u="none" strike="noStrike" baseline="0">
                <a:solidFill>
                  <a:srgbClr val="FF0000"/>
                </a:solidFill>
                <a:latin typeface="Arial"/>
                <a:cs typeface="Arial"/>
              </a:rPr>
              <a:t>   	 2/ Entrer les numéros de place manuellement.</a:t>
            </a:r>
          </a:p>
        </xdr:txBody>
      </xdr:sp>
      <xdr:pic>
        <xdr:nvPicPr>
          <xdr:cNvPr id="2" name="Image 1" descr="pictogram-din-w000-general.png"/>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8534400" y="6946900"/>
            <a:ext cx="939800" cy="939800"/>
          </a:xfrm>
          <a:prstGeom prst="rect">
            <a:avLst/>
          </a:prstGeom>
        </xdr:spPr>
      </xdr:pic>
    </xdr:grpSp>
    <xdr:clientData/>
  </xdr:twoCellAnchor>
  <xdr:twoCellAnchor>
    <xdr:from>
      <xdr:col>13</xdr:col>
      <xdr:colOff>114300</xdr:colOff>
      <xdr:row>20</xdr:row>
      <xdr:rowOff>127000</xdr:rowOff>
    </xdr:from>
    <xdr:to>
      <xdr:col>23</xdr:col>
      <xdr:colOff>241300</xdr:colOff>
      <xdr:row>30</xdr:row>
      <xdr:rowOff>63500</xdr:rowOff>
    </xdr:to>
    <xdr:sp macro="" textlink="">
      <xdr:nvSpPr>
        <xdr:cNvPr id="4" name="Text Box 1"/>
        <xdr:cNvSpPr txBox="1">
          <a:spLocks noChangeArrowheads="1"/>
        </xdr:cNvSpPr>
      </xdr:nvSpPr>
      <xdr:spPr bwMode="auto">
        <a:xfrm>
          <a:off x="9486900" y="4394200"/>
          <a:ext cx="8001000" cy="1917700"/>
        </a:xfrm>
        <a:prstGeom prst="rect">
          <a:avLst/>
        </a:prstGeom>
        <a:solidFill>
          <a:srgbClr val="FFFFFF"/>
        </a:solidFill>
        <a:ln w="28575">
          <a:solidFill>
            <a:srgbClr val="FF0000"/>
          </a:solidFill>
          <a:miter lim="800000"/>
          <a:headEnd/>
          <a:tailEnd/>
        </a:ln>
      </xdr:spPr>
      <xdr:txBody>
        <a:bodyPr vertOverflow="clip" wrap="square" lIns="27432" tIns="22860" rIns="0" bIns="0" anchor="ctr" upright="1"/>
        <a:lstStyle/>
        <a:p>
          <a:pPr algn="l" rtl="0">
            <a:defRPr sz="1000"/>
          </a:pPr>
          <a:endParaRPr lang="fr-FR" sz="1800" b="1" i="0" u="none" strike="noStrike" baseline="0">
            <a:solidFill>
              <a:srgbClr val="FF0000"/>
            </a:solidFill>
            <a:latin typeface="Arial"/>
            <a:cs typeface="Arial"/>
          </a:endParaRPr>
        </a:p>
        <a:p>
          <a:pPr algn="ctr" rtl="0">
            <a:defRPr sz="1000"/>
          </a:pPr>
          <a:r>
            <a:rPr lang="fr-FR" sz="1800" b="1" i="0" u="none" strike="noStrike" baseline="0">
              <a:solidFill>
                <a:srgbClr val="FF0000"/>
              </a:solidFill>
              <a:latin typeface="Arial"/>
              <a:cs typeface="Arial"/>
            </a:rPr>
            <a:t>NOUVEAUTÉS Classement aux points V2</a:t>
          </a:r>
        </a:p>
        <a:p>
          <a:pPr algn="l" rtl="0">
            <a:defRPr sz="1000"/>
          </a:pPr>
          <a:endParaRPr lang="fr-FR" sz="1800" b="1" i="0" u="none" strike="noStrike" baseline="0">
            <a:solidFill>
              <a:srgbClr val="FF0000"/>
            </a:solidFill>
            <a:latin typeface="Arial"/>
            <a:cs typeface="Arial"/>
          </a:endParaRPr>
        </a:p>
        <a:p>
          <a:pPr algn="l" rtl="0">
            <a:defRPr sz="1000"/>
          </a:pPr>
          <a:r>
            <a:rPr lang="fr-FR" sz="1800" b="1" i="0" u="none" strike="noStrike" baseline="0">
              <a:solidFill>
                <a:srgbClr val="FF0000"/>
              </a:solidFill>
              <a:latin typeface="Arial"/>
              <a:cs typeface="Arial"/>
            </a:rPr>
            <a:t>	Les feuilles sont protégées avec un mot de passe</a:t>
          </a:r>
        </a:p>
        <a:p>
          <a:pPr algn="l" rtl="0">
            <a:defRPr sz="1000"/>
          </a:pPr>
          <a:r>
            <a:rPr lang="fr-FR" sz="1800" b="1" i="0" u="none" strike="noStrike" baseline="0">
              <a:solidFill>
                <a:srgbClr val="FF0000"/>
              </a:solidFill>
              <a:latin typeface="Arial"/>
              <a:cs typeface="Arial"/>
            </a:rPr>
            <a:t>	On ne peut plus saisir que dans les cellules jaunes.</a:t>
          </a:r>
        </a:p>
        <a:p>
          <a:pPr algn="l" rtl="0">
            <a:defRPr sz="1000"/>
          </a:pPr>
          <a:r>
            <a:rPr lang="fr-FR" sz="1800" b="1" i="0" u="none" strike="noStrike" baseline="0">
              <a:solidFill>
                <a:srgbClr val="FF0000"/>
              </a:solidFill>
              <a:latin typeface="Arial"/>
              <a:cs typeface="Arial"/>
            </a:rPr>
            <a:t>	Les autres ne sont pas modifiables ni même accésibles.</a:t>
          </a:r>
        </a:p>
        <a:p>
          <a:pPr algn="l" rtl="0">
            <a:defRPr sz="1000"/>
          </a:pPr>
          <a:r>
            <a:rPr lang="fr-FR" sz="1800" b="1" i="0" u="none" strike="noStrike" baseline="0">
              <a:solidFill>
                <a:srgbClr val="FF0000"/>
              </a:solidFill>
              <a:latin typeface="Arial"/>
              <a:cs typeface="Arial"/>
            </a:rPr>
            <a:t>	Dans la feuille "Classement" le tri est maintenant automatique.</a:t>
          </a:r>
        </a:p>
        <a:p>
          <a:pPr algn="l" rtl="0">
            <a:defRPr sz="1000"/>
          </a:pPr>
          <a:endParaRPr lang="fr-FR" sz="1200" b="0" i="0" u="none" strike="noStrike" baseline="0">
            <a:solidFill>
              <a:srgbClr val="FF0000"/>
            </a:solidFill>
            <a:latin typeface="Arial"/>
            <a:cs typeface="Arial"/>
          </a:endParaRPr>
        </a:p>
        <a:p>
          <a:pPr algn="l" rtl="0">
            <a:defRPr sz="1000"/>
          </a:pPr>
          <a:r>
            <a:rPr lang="fr-FR" sz="1200" b="0" i="0" u="none" strike="noStrike" baseline="0">
              <a:solidFill>
                <a:srgbClr val="FF0000"/>
              </a:solidFill>
              <a:latin typeface="Arial"/>
              <a:cs typeface="Arial"/>
            </a:rPr>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292100</xdr:colOff>
      <xdr:row>1</xdr:row>
      <xdr:rowOff>482600</xdr:rowOff>
    </xdr:from>
    <xdr:to>
      <xdr:col>3</xdr:col>
      <xdr:colOff>127000</xdr:colOff>
      <xdr:row>2</xdr:row>
      <xdr:rowOff>571500</xdr:rowOff>
    </xdr:to>
    <xdr:pic>
      <xdr:nvPicPr>
        <xdr:cNvPr id="2" name="Image 1" descr="pictogram-din-w000-general.png"/>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939800" y="1104900"/>
          <a:ext cx="622300" cy="622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485776</xdr:colOff>
      <xdr:row>1</xdr:row>
      <xdr:rowOff>574675</xdr:rowOff>
    </xdr:from>
    <xdr:to>
      <xdr:col>4</xdr:col>
      <xdr:colOff>533400</xdr:colOff>
      <xdr:row>4</xdr:row>
      <xdr:rowOff>19050</xdr:rowOff>
    </xdr:to>
    <xdr:pic>
      <xdr:nvPicPr>
        <xdr:cNvPr id="2" name="Image 1" descr="pictogram-din-w000-general.png"/>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2533651" y="1146175"/>
          <a:ext cx="866774" cy="6064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609600</xdr:colOff>
      <xdr:row>1</xdr:row>
      <xdr:rowOff>774700</xdr:rowOff>
    </xdr:from>
    <xdr:to>
      <xdr:col>5</xdr:col>
      <xdr:colOff>76200</xdr:colOff>
      <xdr:row>4</xdr:row>
      <xdr:rowOff>50800</xdr:rowOff>
    </xdr:to>
    <xdr:pic>
      <xdr:nvPicPr>
        <xdr:cNvPr id="2" name="Image 1" descr="pictogram-din-w000-general.png"/>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2273300" y="1346200"/>
          <a:ext cx="622300" cy="622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533400</xdr:colOff>
      <xdr:row>1</xdr:row>
      <xdr:rowOff>736600</xdr:rowOff>
    </xdr:from>
    <xdr:to>
      <xdr:col>5</xdr:col>
      <xdr:colOff>0</xdr:colOff>
      <xdr:row>4</xdr:row>
      <xdr:rowOff>12700</xdr:rowOff>
    </xdr:to>
    <xdr:pic>
      <xdr:nvPicPr>
        <xdr:cNvPr id="2" name="Image 1" descr="pictogram-din-w000-general.png"/>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2197100" y="1308100"/>
          <a:ext cx="622300" cy="6223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508000</xdr:colOff>
      <xdr:row>1</xdr:row>
      <xdr:rowOff>736600</xdr:rowOff>
    </xdr:from>
    <xdr:to>
      <xdr:col>4</xdr:col>
      <xdr:colOff>1130300</xdr:colOff>
      <xdr:row>4</xdr:row>
      <xdr:rowOff>12700</xdr:rowOff>
    </xdr:to>
    <xdr:pic>
      <xdr:nvPicPr>
        <xdr:cNvPr id="2" name="Image 1" descr="pictogram-din-w000-general.png"/>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2171700" y="1308100"/>
          <a:ext cx="622300" cy="6223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571500</xdr:colOff>
      <xdr:row>1</xdr:row>
      <xdr:rowOff>749300</xdr:rowOff>
    </xdr:from>
    <xdr:to>
      <xdr:col>5</xdr:col>
      <xdr:colOff>38100</xdr:colOff>
      <xdr:row>4</xdr:row>
      <xdr:rowOff>25400</xdr:rowOff>
    </xdr:to>
    <xdr:pic>
      <xdr:nvPicPr>
        <xdr:cNvPr id="2" name="Image 1" descr="pictogram-din-w000-general.png"/>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2235200" y="1320800"/>
          <a:ext cx="622300" cy="622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38100</xdr:colOff>
      <xdr:row>1</xdr:row>
      <xdr:rowOff>444500</xdr:rowOff>
    </xdr:from>
    <xdr:to>
      <xdr:col>3</xdr:col>
      <xdr:colOff>660400</xdr:colOff>
      <xdr:row>4</xdr:row>
      <xdr:rowOff>12700</xdr:rowOff>
    </xdr:to>
    <xdr:pic>
      <xdr:nvPicPr>
        <xdr:cNvPr id="2" name="Image 1" descr="pictogram-din-w000-general.png"/>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863600" y="952500"/>
          <a:ext cx="622300" cy="6223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25</xdr:col>
      <xdr:colOff>161925</xdr:colOff>
      <xdr:row>0</xdr:row>
      <xdr:rowOff>66675</xdr:rowOff>
    </xdr:from>
    <xdr:to>
      <xdr:col>25</xdr:col>
      <xdr:colOff>733425</xdr:colOff>
      <xdr:row>0</xdr:row>
      <xdr:rowOff>600075</xdr:rowOff>
    </xdr:to>
    <xdr:pic>
      <xdr:nvPicPr>
        <xdr:cNvPr id="8235" name="Picture 11" descr="Logo arbre seul"/>
        <xdr:cNvPicPr>
          <a:picLocks noChangeAspect="1" noChangeArrowheads="1"/>
        </xdr:cNvPicPr>
      </xdr:nvPicPr>
      <xdr:blipFill>
        <a:blip xmlns:r="http://schemas.openxmlformats.org/officeDocument/2006/relationships" r:embed="rId1" cstate="print"/>
        <a:srcRect/>
        <a:stretch>
          <a:fillRect/>
        </a:stretch>
      </xdr:blipFill>
      <xdr:spPr bwMode="auto">
        <a:xfrm>
          <a:off x="161925" y="66675"/>
          <a:ext cx="571500" cy="533400"/>
        </a:xfrm>
        <a:prstGeom prst="rect">
          <a:avLst/>
        </a:prstGeom>
        <a:noFill/>
        <a:ln w="9525">
          <a:noFill/>
          <a:miter lim="800000"/>
          <a:headEnd/>
          <a:tailEnd/>
        </a:ln>
      </xdr:spPr>
    </xdr:pic>
    <xdr:clientData/>
  </xdr:twoCellAnchor>
  <xdr:twoCellAnchor editAs="oneCell">
    <xdr:from>
      <xdr:col>30</xdr:col>
      <xdr:colOff>79374</xdr:colOff>
      <xdr:row>1</xdr:row>
      <xdr:rowOff>38100</xdr:rowOff>
    </xdr:from>
    <xdr:to>
      <xdr:col>32</xdr:col>
      <xdr:colOff>158749</xdr:colOff>
      <xdr:row>2</xdr:row>
      <xdr:rowOff>79375</xdr:rowOff>
    </xdr:to>
    <xdr:pic macro="[0]!Classb">
      <xdr:nvPicPr>
        <xdr:cNvPr id="8217" name="CommandButton2"/>
        <xdr:cNvPicPr preferRelativeResize="0">
          <a:picLocks noChangeArrowheads="1" noChangeShapeType="1"/>
        </xdr:cNvPicPr>
      </xdr:nvPicPr>
      <xdr:blipFill>
        <a:blip xmlns:r="http://schemas.openxmlformats.org/officeDocument/2006/relationships" r:embed="rId2">
          <a:extLst>
            <a:ext uri="{28A0092B-C50C-407E-A947-70E740481C1C}">
              <a14:useLocalDpi xmlns="" xmlns:a14="http://schemas.microsoft.com/office/drawing/2010/main" val="0"/>
            </a:ext>
          </a:extLst>
        </a:blip>
        <a:srcRect/>
        <a:stretch>
          <a:fillRect/>
        </a:stretch>
      </xdr:blipFill>
      <xdr:spPr bwMode="auto">
        <a:xfrm>
          <a:off x="5699124" y="720725"/>
          <a:ext cx="1635125" cy="4064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twoCellAnchor editAs="oneCell">
    <xdr:from>
      <xdr:col>34</xdr:col>
      <xdr:colOff>190500</xdr:colOff>
      <xdr:row>1</xdr:row>
      <xdr:rowOff>63500</xdr:rowOff>
    </xdr:from>
    <xdr:to>
      <xdr:col>35</xdr:col>
      <xdr:colOff>698500</xdr:colOff>
      <xdr:row>2</xdr:row>
      <xdr:rowOff>79375</xdr:rowOff>
    </xdr:to>
    <xdr:pic macro="[0]!Classc">
      <xdr:nvPicPr>
        <xdr:cNvPr id="8219" name="CommandButton1"/>
        <xdr:cNvPicPr preferRelativeResize="0">
          <a:picLocks noChangeArrowheads="1" noChangeShapeType="1"/>
        </xdr:cNvPicPr>
      </xdr:nvPicPr>
      <xdr:blipFill>
        <a:blip xmlns:r="http://schemas.openxmlformats.org/officeDocument/2006/relationships" r:embed="rId3">
          <a:extLst>
            <a:ext uri="{28A0092B-C50C-407E-A947-70E740481C1C}">
              <a14:useLocalDpi xmlns="" xmlns:a14="http://schemas.microsoft.com/office/drawing/2010/main" val="0"/>
            </a:ext>
          </a:extLst>
        </a:blip>
        <a:srcRect/>
        <a:stretch>
          <a:fillRect/>
        </a:stretch>
      </xdr:blipFill>
      <xdr:spPr bwMode="auto">
        <a:xfrm>
          <a:off x="9683750" y="746125"/>
          <a:ext cx="1428750" cy="3810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twoCellAnchor editAs="oneCell">
    <xdr:from>
      <xdr:col>38</xdr:col>
      <xdr:colOff>228600</xdr:colOff>
      <xdr:row>1</xdr:row>
      <xdr:rowOff>50800</xdr:rowOff>
    </xdr:from>
    <xdr:to>
      <xdr:col>40</xdr:col>
      <xdr:colOff>12700</xdr:colOff>
      <xdr:row>1</xdr:row>
      <xdr:rowOff>355600</xdr:rowOff>
    </xdr:to>
    <xdr:pic macro="[0]!Classd">
      <xdr:nvPicPr>
        <xdr:cNvPr id="8220" name="CommandButton3"/>
        <xdr:cNvPicPr preferRelativeResize="0">
          <a:picLocks noChangeArrowheads="1" noChangeShapeType="1"/>
        </xdr:cNvPicPr>
      </xdr:nvPicPr>
      <xdr:blipFill>
        <a:blip xmlns:r="http://schemas.openxmlformats.org/officeDocument/2006/relationships" r:embed="rId4">
          <a:extLst>
            <a:ext uri="{28A0092B-C50C-407E-A947-70E740481C1C}">
              <a14:useLocalDpi xmlns="" xmlns:a14="http://schemas.microsoft.com/office/drawing/2010/main" val="0"/>
            </a:ext>
          </a:extLst>
        </a:blip>
        <a:srcRect/>
        <a:stretch>
          <a:fillRect/>
        </a:stretch>
      </xdr:blipFill>
      <xdr:spPr bwMode="auto">
        <a:xfrm>
          <a:off x="10248900" y="723900"/>
          <a:ext cx="1562100" cy="3048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twoCellAnchor>
    <xdr:from>
      <xdr:col>41</xdr:col>
      <xdr:colOff>546100</xdr:colOff>
      <xdr:row>0</xdr:row>
      <xdr:rowOff>76200</xdr:rowOff>
    </xdr:from>
    <xdr:to>
      <xdr:col>49</xdr:col>
      <xdr:colOff>914400</xdr:colOff>
      <xdr:row>2</xdr:row>
      <xdr:rowOff>241300</xdr:rowOff>
    </xdr:to>
    <xdr:sp macro="" textlink="">
      <xdr:nvSpPr>
        <xdr:cNvPr id="2" name="ZoneTexte 1"/>
        <xdr:cNvSpPr txBox="1"/>
      </xdr:nvSpPr>
      <xdr:spPr>
        <a:xfrm>
          <a:off x="14808200" y="76200"/>
          <a:ext cx="5511800" cy="1206500"/>
        </a:xfrm>
        <a:prstGeom prst="rect">
          <a:avLst/>
        </a:prstGeom>
        <a:solidFill>
          <a:schemeClr val="lt1"/>
        </a:solid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solidFill>
                <a:srgbClr val="FF0000"/>
              </a:solidFill>
            </a:rPr>
            <a:t>Remarque:</a:t>
          </a:r>
        </a:p>
        <a:p>
          <a:r>
            <a:rPr lang="fr-FR" sz="1400">
              <a:solidFill>
                <a:srgbClr val="FF0000"/>
              </a:solidFill>
            </a:rPr>
            <a:t>Il se peut que les </a:t>
          </a:r>
          <a:r>
            <a:rPr lang="fr-FR" sz="1800">
              <a:solidFill>
                <a:srgbClr val="FF0000"/>
              </a:solidFill>
            </a:rPr>
            <a:t>boutons </a:t>
          </a:r>
          <a:r>
            <a:rPr lang="fr-FR" sz="1800" b="1">
              <a:solidFill>
                <a:srgbClr val="FF0000"/>
              </a:solidFill>
            </a:rPr>
            <a:t>"Trier classement</a:t>
          </a:r>
          <a:r>
            <a:rPr lang="fr-FR" sz="1800" b="1" baseline="0">
              <a:solidFill>
                <a:srgbClr val="FF0000"/>
              </a:solidFill>
            </a:rPr>
            <a:t> x</a:t>
          </a:r>
          <a:r>
            <a:rPr lang="fr-FR" sz="1800" b="1">
              <a:solidFill>
                <a:srgbClr val="FF0000"/>
              </a:solidFill>
            </a:rPr>
            <a:t>"</a:t>
          </a:r>
          <a:r>
            <a:rPr lang="fr-FR" sz="1400" b="1">
              <a:solidFill>
                <a:srgbClr val="FF0000"/>
              </a:solidFill>
            </a:rPr>
            <a:t> </a:t>
          </a:r>
          <a:r>
            <a:rPr lang="fr-FR" sz="1400">
              <a:solidFill>
                <a:srgbClr val="FF0000"/>
              </a:solidFill>
            </a:rPr>
            <a:t>ne fonctionnent</a:t>
          </a:r>
          <a:r>
            <a:rPr lang="fr-FR" sz="1400" baseline="0">
              <a:solidFill>
                <a:srgbClr val="FF0000"/>
              </a:solidFill>
            </a:rPr>
            <a:t> pas dans certaines configurations.</a:t>
          </a:r>
        </a:p>
        <a:p>
          <a:r>
            <a:rPr lang="fr-FR" sz="1400" baseline="0">
              <a:solidFill>
                <a:srgbClr val="FF0000"/>
              </a:solidFill>
            </a:rPr>
            <a:t>Dans ce cas préférez la combinaison de touches  </a:t>
          </a:r>
          <a:r>
            <a:rPr lang="fr-FR" sz="1800" b="1" baseline="0">
              <a:solidFill>
                <a:srgbClr val="FF0000"/>
              </a:solidFill>
            </a:rPr>
            <a:t>"ctrl + x"</a:t>
          </a:r>
          <a:endParaRPr lang="fr-FR" sz="1800" b="1">
            <a:solidFill>
              <a:srgbClr val="FF0000"/>
            </a:solidFill>
          </a:endParaRPr>
        </a:p>
      </xdr:txBody>
    </xdr:sp>
    <xdr:clientData/>
  </xdr:twoCellAnchor>
  <xdr:twoCellAnchor editAs="oneCell">
    <xdr:from>
      <xdr:col>26</xdr:col>
      <xdr:colOff>304800</xdr:colOff>
      <xdr:row>1</xdr:row>
      <xdr:rowOff>38100</xdr:rowOff>
    </xdr:from>
    <xdr:to>
      <xdr:col>27</xdr:col>
      <xdr:colOff>358775</xdr:colOff>
      <xdr:row>1</xdr:row>
      <xdr:rowOff>342900</xdr:rowOff>
    </xdr:to>
    <xdr:pic macro="[0]!Classa">
      <xdr:nvPicPr>
        <xdr:cNvPr id="8" name="CommandButton2"/>
        <xdr:cNvPicPr preferRelativeResize="0">
          <a:picLocks noChangeArrowheads="1" noChangeShapeType="1"/>
        </xdr:cNvPicPr>
      </xdr:nvPicPr>
      <xdr:blipFill>
        <a:blip xmlns:r="http://schemas.openxmlformats.org/officeDocument/2006/relationships" r:embed="rId2">
          <a:extLst>
            <a:ext uri="{28A0092B-C50C-407E-A947-70E740481C1C}">
              <a14:useLocalDpi xmlns="" xmlns:a14="http://schemas.microsoft.com/office/drawing/2010/main" val="0"/>
            </a:ext>
          </a:extLst>
        </a:blip>
        <a:srcRect/>
        <a:stretch>
          <a:fillRect/>
        </a:stretch>
      </xdr:blipFill>
      <xdr:spPr bwMode="auto">
        <a:xfrm>
          <a:off x="14163675" y="720725"/>
          <a:ext cx="1339850" cy="3048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3.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sheetPr codeName="Feuil2" enableFormatConditionsCalculation="0"/>
  <dimension ref="B2:AG32"/>
  <sheetViews>
    <sheetView topLeftCell="C1" zoomScale="90" zoomScaleNormal="90" workbookViewId="0">
      <selection activeCell="D6" sqref="D6"/>
    </sheetView>
  </sheetViews>
  <sheetFormatPr baseColWidth="10" defaultRowHeight="12.75"/>
  <cols>
    <col min="1" max="1" width="0" hidden="1" customWidth="1"/>
    <col min="2" max="2" width="5.28515625" hidden="1" customWidth="1"/>
    <col min="3" max="3" width="8.85546875" customWidth="1"/>
    <col min="4" max="25" width="10.28515625" customWidth="1"/>
  </cols>
  <sheetData>
    <row r="2" spans="2:33" ht="30">
      <c r="D2" s="183" t="s">
        <v>28</v>
      </c>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row>
    <row r="3" spans="2:33" ht="13.5" thickBot="1"/>
    <row r="4" spans="2:33" ht="18">
      <c r="D4" s="180" t="s">
        <v>71</v>
      </c>
      <c r="E4" s="181"/>
      <c r="F4" s="181"/>
      <c r="G4" s="181"/>
      <c r="H4" s="181"/>
      <c r="I4" s="181"/>
      <c r="J4" s="181"/>
      <c r="K4" s="181"/>
      <c r="L4" s="181"/>
      <c r="M4" s="181"/>
      <c r="N4" s="181"/>
      <c r="O4" s="181"/>
      <c r="P4" s="181"/>
      <c r="Q4" s="181"/>
      <c r="R4" s="181"/>
      <c r="S4" s="181"/>
      <c r="T4" s="181"/>
      <c r="U4" s="181"/>
      <c r="V4" s="181"/>
      <c r="W4" s="181"/>
      <c r="X4" s="181"/>
      <c r="Y4" s="181"/>
      <c r="Z4" s="181"/>
      <c r="AA4" s="181"/>
      <c r="AB4" s="181"/>
      <c r="AC4" s="181"/>
      <c r="AD4" s="181"/>
      <c r="AE4" s="181"/>
      <c r="AF4" s="181"/>
      <c r="AG4" s="182"/>
    </row>
    <row r="5" spans="2:33" ht="18.75" thickBot="1">
      <c r="D5" s="144">
        <v>1</v>
      </c>
      <c r="E5" s="145">
        <v>2</v>
      </c>
      <c r="F5" s="145">
        <v>3</v>
      </c>
      <c r="G5" s="145">
        <v>4</v>
      </c>
      <c r="H5" s="145">
        <v>5</v>
      </c>
      <c r="I5" s="145">
        <v>6</v>
      </c>
      <c r="J5" s="145">
        <v>7</v>
      </c>
      <c r="K5" s="145">
        <v>8</v>
      </c>
      <c r="L5" s="145">
        <v>9</v>
      </c>
      <c r="M5" s="145">
        <v>10</v>
      </c>
      <c r="N5" s="145">
        <v>11</v>
      </c>
      <c r="O5" s="145">
        <v>12</v>
      </c>
      <c r="P5" s="145">
        <v>13</v>
      </c>
      <c r="Q5" s="145">
        <v>14</v>
      </c>
      <c r="R5" s="145">
        <v>15</v>
      </c>
      <c r="S5" s="145">
        <v>16</v>
      </c>
      <c r="T5" s="145">
        <v>17</v>
      </c>
      <c r="U5" s="145">
        <v>18</v>
      </c>
      <c r="V5" s="145">
        <v>19</v>
      </c>
      <c r="W5" s="145">
        <v>20</v>
      </c>
      <c r="X5" s="145">
        <v>21</v>
      </c>
      <c r="Y5" s="145">
        <v>22</v>
      </c>
      <c r="Z5" s="145">
        <v>23</v>
      </c>
      <c r="AA5" s="145">
        <v>24</v>
      </c>
      <c r="AB5" s="145">
        <v>25</v>
      </c>
      <c r="AC5" s="145">
        <v>26</v>
      </c>
      <c r="AD5" s="145">
        <v>27</v>
      </c>
      <c r="AE5" s="145">
        <v>28</v>
      </c>
      <c r="AF5" s="145">
        <v>29</v>
      </c>
      <c r="AG5" s="146">
        <v>30</v>
      </c>
    </row>
    <row r="6" spans="2:33" ht="13.5" thickBot="1">
      <c r="D6" s="89" t="s">
        <v>6</v>
      </c>
      <c r="E6" s="90" t="s">
        <v>6</v>
      </c>
      <c r="F6" s="90" t="s">
        <v>6</v>
      </c>
      <c r="G6" s="90" t="s">
        <v>6</v>
      </c>
      <c r="H6" s="90" t="s">
        <v>4</v>
      </c>
      <c r="I6" s="90" t="s">
        <v>4</v>
      </c>
      <c r="J6" s="90" t="s">
        <v>4</v>
      </c>
      <c r="K6" s="90" t="s">
        <v>4</v>
      </c>
      <c r="L6" s="90" t="s">
        <v>4</v>
      </c>
      <c r="M6" s="90" t="s">
        <v>4</v>
      </c>
      <c r="N6" s="91" t="s">
        <v>4</v>
      </c>
      <c r="O6" s="90" t="s">
        <v>4</v>
      </c>
      <c r="P6" s="91" t="s">
        <v>4</v>
      </c>
      <c r="Q6" s="90" t="s">
        <v>4</v>
      </c>
      <c r="R6" s="91" t="s">
        <v>4</v>
      </c>
      <c r="S6" s="90" t="s">
        <v>7</v>
      </c>
      <c r="T6" s="90" t="s">
        <v>7</v>
      </c>
      <c r="U6" s="90" t="s">
        <v>7</v>
      </c>
      <c r="V6" s="90" t="s">
        <v>7</v>
      </c>
      <c r="W6" s="91" t="s">
        <v>8</v>
      </c>
      <c r="X6" s="90" t="s">
        <v>8</v>
      </c>
      <c r="Y6" s="91" t="s">
        <v>8</v>
      </c>
      <c r="Z6" s="90" t="s">
        <v>8</v>
      </c>
      <c r="AA6" s="91" t="s">
        <v>8</v>
      </c>
      <c r="AB6" s="90" t="s">
        <v>8</v>
      </c>
      <c r="AC6" s="91" t="s">
        <v>8</v>
      </c>
      <c r="AD6" s="90" t="s">
        <v>8</v>
      </c>
      <c r="AE6" s="91" t="s">
        <v>8</v>
      </c>
      <c r="AF6" s="90" t="s">
        <v>8</v>
      </c>
      <c r="AG6" s="92" t="s">
        <v>8</v>
      </c>
    </row>
    <row r="7" spans="2:33" ht="18.75" thickBot="1">
      <c r="C7" s="147" t="s">
        <v>18</v>
      </c>
      <c r="D7" s="93" t="s">
        <v>44</v>
      </c>
      <c r="E7" s="94" t="s">
        <v>46</v>
      </c>
      <c r="F7" s="94" t="s">
        <v>47</v>
      </c>
      <c r="G7" s="94" t="s">
        <v>48</v>
      </c>
      <c r="H7" s="94" t="s">
        <v>49</v>
      </c>
      <c r="I7" s="94" t="s">
        <v>51</v>
      </c>
      <c r="J7" s="94" t="s">
        <v>70</v>
      </c>
      <c r="K7" s="94" t="s">
        <v>54</v>
      </c>
      <c r="L7" s="94" t="s">
        <v>56</v>
      </c>
      <c r="M7" s="94" t="s">
        <v>58</v>
      </c>
      <c r="N7" s="94" t="s">
        <v>60</v>
      </c>
      <c r="O7" s="94" t="s">
        <v>62</v>
      </c>
      <c r="P7" s="94" t="s">
        <v>64</v>
      </c>
      <c r="Q7" s="94" t="s">
        <v>66</v>
      </c>
      <c r="R7" s="94" t="s">
        <v>68</v>
      </c>
      <c r="S7" s="94" t="s">
        <v>45</v>
      </c>
      <c r="T7" s="94" t="s">
        <v>185</v>
      </c>
      <c r="U7" s="94" t="s">
        <v>186</v>
      </c>
      <c r="V7" s="94" t="s">
        <v>187</v>
      </c>
      <c r="W7" s="94" t="s">
        <v>50</v>
      </c>
      <c r="X7" s="94" t="s">
        <v>52</v>
      </c>
      <c r="Y7" s="94" t="s">
        <v>53</v>
      </c>
      <c r="Z7" s="94" t="s">
        <v>55</v>
      </c>
      <c r="AA7" s="94" t="s">
        <v>57</v>
      </c>
      <c r="AB7" s="94" t="s">
        <v>59</v>
      </c>
      <c r="AC7" s="94" t="s">
        <v>61</v>
      </c>
      <c r="AD7" s="94" t="s">
        <v>63</v>
      </c>
      <c r="AE7" s="94" t="s">
        <v>65</v>
      </c>
      <c r="AF7" s="94" t="s">
        <v>67</v>
      </c>
      <c r="AG7" s="95" t="s">
        <v>69</v>
      </c>
    </row>
    <row r="8" spans="2:33" ht="18">
      <c r="B8">
        <v>1</v>
      </c>
      <c r="C8" s="148" t="s">
        <v>2</v>
      </c>
      <c r="D8" s="30">
        <v>100</v>
      </c>
      <c r="E8" s="31">
        <v>100</v>
      </c>
      <c r="F8" s="31">
        <v>100</v>
      </c>
      <c r="G8" s="31">
        <v>100</v>
      </c>
      <c r="H8" s="31">
        <v>100</v>
      </c>
      <c r="I8" s="31">
        <v>100</v>
      </c>
      <c r="J8" s="31">
        <v>100</v>
      </c>
      <c r="K8" s="31">
        <v>100</v>
      </c>
      <c r="L8" s="31">
        <v>100</v>
      </c>
      <c r="M8" s="31">
        <v>100</v>
      </c>
      <c r="N8" s="31">
        <v>100</v>
      </c>
      <c r="O8" s="31">
        <v>100</v>
      </c>
      <c r="P8" s="31">
        <v>100</v>
      </c>
      <c r="Q8" s="31">
        <v>100</v>
      </c>
      <c r="R8" s="31">
        <v>100</v>
      </c>
      <c r="S8" s="31">
        <v>100</v>
      </c>
      <c r="T8" s="31">
        <v>100</v>
      </c>
      <c r="U8" s="31">
        <v>100</v>
      </c>
      <c r="V8" s="31">
        <v>100</v>
      </c>
      <c r="W8" s="31">
        <v>100</v>
      </c>
      <c r="X8" s="31">
        <v>100</v>
      </c>
      <c r="Y8" s="31">
        <v>100</v>
      </c>
      <c r="Z8" s="31">
        <v>100</v>
      </c>
      <c r="AA8" s="31">
        <v>100</v>
      </c>
      <c r="AB8" s="31">
        <v>100</v>
      </c>
      <c r="AC8" s="31">
        <v>100</v>
      </c>
      <c r="AD8" s="31">
        <v>100</v>
      </c>
      <c r="AE8" s="31">
        <v>100</v>
      </c>
      <c r="AF8" s="31">
        <v>100</v>
      </c>
      <c r="AG8" s="31">
        <v>100</v>
      </c>
    </row>
    <row r="9" spans="2:33" ht="18">
      <c r="B9">
        <v>2</v>
      </c>
      <c r="C9" s="144" t="s">
        <v>3</v>
      </c>
      <c r="D9" s="26">
        <v>100</v>
      </c>
      <c r="E9" s="19">
        <v>100</v>
      </c>
      <c r="F9" s="19">
        <v>100</v>
      </c>
      <c r="G9" s="19">
        <v>100</v>
      </c>
      <c r="H9" s="19">
        <v>100</v>
      </c>
      <c r="I9" s="19">
        <v>80</v>
      </c>
      <c r="J9" s="19">
        <v>80</v>
      </c>
      <c r="K9" s="19">
        <v>80</v>
      </c>
      <c r="L9" s="19">
        <v>100</v>
      </c>
      <c r="M9" s="19">
        <v>100</v>
      </c>
      <c r="N9" s="19">
        <v>100</v>
      </c>
      <c r="O9" s="19">
        <v>100</v>
      </c>
      <c r="P9" s="19">
        <v>100</v>
      </c>
      <c r="Q9" s="19">
        <v>100</v>
      </c>
      <c r="R9" s="19">
        <v>100</v>
      </c>
      <c r="S9" s="19">
        <v>100</v>
      </c>
      <c r="T9" s="19">
        <v>100</v>
      </c>
      <c r="U9" s="19">
        <v>100</v>
      </c>
      <c r="V9" s="31">
        <v>100</v>
      </c>
      <c r="W9" s="31">
        <v>100</v>
      </c>
      <c r="X9" s="31">
        <v>80</v>
      </c>
      <c r="Y9" s="31">
        <v>80</v>
      </c>
      <c r="Z9" s="31">
        <v>80</v>
      </c>
      <c r="AA9" s="31">
        <v>80</v>
      </c>
      <c r="AB9" s="31">
        <v>80</v>
      </c>
      <c r="AC9" s="31">
        <v>100</v>
      </c>
      <c r="AD9" s="31">
        <v>100</v>
      </c>
      <c r="AE9" s="31">
        <v>100</v>
      </c>
      <c r="AF9" s="31">
        <v>100</v>
      </c>
      <c r="AG9" s="31">
        <v>100</v>
      </c>
    </row>
    <row r="10" spans="2:33" ht="18">
      <c r="B10">
        <v>3</v>
      </c>
      <c r="C10" s="144" t="s">
        <v>12</v>
      </c>
      <c r="D10" s="26">
        <v>100</v>
      </c>
      <c r="E10" s="19">
        <v>100</v>
      </c>
      <c r="F10" s="19">
        <v>100</v>
      </c>
      <c r="G10" s="19">
        <v>100</v>
      </c>
      <c r="H10" s="19">
        <v>80</v>
      </c>
      <c r="I10" s="19">
        <v>60</v>
      </c>
      <c r="J10" s="19">
        <v>60</v>
      </c>
      <c r="K10" s="19">
        <v>60</v>
      </c>
      <c r="L10" s="19">
        <v>80</v>
      </c>
      <c r="M10" s="19">
        <v>80</v>
      </c>
      <c r="N10" s="19">
        <v>80</v>
      </c>
      <c r="O10" s="19">
        <v>80</v>
      </c>
      <c r="P10" s="19">
        <v>80</v>
      </c>
      <c r="Q10" s="19">
        <v>100</v>
      </c>
      <c r="R10" s="19">
        <v>100</v>
      </c>
      <c r="S10" s="19">
        <v>100</v>
      </c>
      <c r="T10" s="19">
        <v>100</v>
      </c>
      <c r="U10" s="19">
        <v>100</v>
      </c>
      <c r="V10" s="19">
        <v>100</v>
      </c>
      <c r="W10" s="19">
        <v>80</v>
      </c>
      <c r="X10" s="19">
        <v>60</v>
      </c>
      <c r="Y10" s="19">
        <v>60</v>
      </c>
      <c r="Z10" s="19">
        <v>60</v>
      </c>
      <c r="AA10" s="19">
        <v>60</v>
      </c>
      <c r="AB10" s="19">
        <v>60</v>
      </c>
      <c r="AC10" s="19">
        <v>80</v>
      </c>
      <c r="AD10" s="19">
        <v>80</v>
      </c>
      <c r="AE10" s="19">
        <v>80</v>
      </c>
      <c r="AF10" s="19">
        <v>100</v>
      </c>
      <c r="AG10" s="19">
        <v>100</v>
      </c>
    </row>
    <row r="11" spans="2:33" ht="18">
      <c r="B11">
        <v>4</v>
      </c>
      <c r="C11" s="144" t="s">
        <v>4</v>
      </c>
      <c r="D11" s="26">
        <v>100</v>
      </c>
      <c r="E11" s="19">
        <v>100</v>
      </c>
      <c r="F11" s="19">
        <v>80</v>
      </c>
      <c r="G11" s="19">
        <v>80</v>
      </c>
      <c r="H11" s="19">
        <v>60</v>
      </c>
      <c r="I11" s="19">
        <v>40</v>
      </c>
      <c r="J11" s="19">
        <v>40</v>
      </c>
      <c r="K11" s="19">
        <v>40</v>
      </c>
      <c r="L11" s="19">
        <v>60</v>
      </c>
      <c r="M11" s="19">
        <v>60</v>
      </c>
      <c r="N11" s="19">
        <v>60</v>
      </c>
      <c r="O11" s="19">
        <v>60</v>
      </c>
      <c r="P11" s="19">
        <v>60</v>
      </c>
      <c r="Q11" s="19">
        <v>60</v>
      </c>
      <c r="R11" s="19">
        <v>80</v>
      </c>
      <c r="S11" s="19">
        <v>100</v>
      </c>
      <c r="T11" s="19">
        <v>100</v>
      </c>
      <c r="U11" s="19">
        <v>80</v>
      </c>
      <c r="V11" s="19">
        <v>80</v>
      </c>
      <c r="W11" s="19">
        <v>60</v>
      </c>
      <c r="X11" s="19">
        <v>40</v>
      </c>
      <c r="Y11" s="19">
        <v>40</v>
      </c>
      <c r="Z11" s="19">
        <v>40</v>
      </c>
      <c r="AA11" s="19">
        <v>40</v>
      </c>
      <c r="AB11" s="19">
        <v>40</v>
      </c>
      <c r="AC11" s="19">
        <v>60</v>
      </c>
      <c r="AD11" s="19">
        <v>60</v>
      </c>
      <c r="AE11" s="19">
        <v>60</v>
      </c>
      <c r="AF11" s="19">
        <v>80</v>
      </c>
      <c r="AG11" s="19">
        <v>80</v>
      </c>
    </row>
    <row r="12" spans="2:33" ht="18">
      <c r="B12">
        <v>5</v>
      </c>
      <c r="C12" s="144" t="s">
        <v>5</v>
      </c>
      <c r="D12" s="26"/>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20"/>
    </row>
    <row r="13" spans="2:33" ht="18">
      <c r="B13">
        <v>6</v>
      </c>
      <c r="C13" s="144" t="s">
        <v>6</v>
      </c>
      <c r="D13" s="26"/>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20"/>
    </row>
    <row r="14" spans="2:33" ht="18">
      <c r="B14">
        <v>7</v>
      </c>
      <c r="C14" s="144" t="s">
        <v>7</v>
      </c>
      <c r="D14" s="26"/>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20"/>
    </row>
    <row r="15" spans="2:33" ht="18">
      <c r="B15">
        <v>8</v>
      </c>
      <c r="C15" s="144" t="s">
        <v>8</v>
      </c>
      <c r="D15" s="26"/>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20"/>
    </row>
    <row r="16" spans="2:33" ht="18">
      <c r="B16">
        <v>9</v>
      </c>
      <c r="C16" s="144" t="s">
        <v>9</v>
      </c>
      <c r="D16" s="26"/>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20"/>
    </row>
    <row r="17" spans="2:33" ht="18">
      <c r="B17">
        <v>10</v>
      </c>
      <c r="C17" s="144" t="s">
        <v>10</v>
      </c>
      <c r="D17" s="26"/>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20"/>
    </row>
    <row r="18" spans="2:33" ht="18">
      <c r="B18">
        <v>11</v>
      </c>
      <c r="C18" s="144" t="s">
        <v>11</v>
      </c>
      <c r="D18" s="26"/>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20"/>
    </row>
    <row r="19" spans="2:33" ht="18.75" thickBot="1">
      <c r="B19">
        <v>12</v>
      </c>
      <c r="C19" s="149" t="s">
        <v>13</v>
      </c>
      <c r="D19" s="27"/>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2"/>
    </row>
    <row r="21" spans="2:33" ht="13.5" thickBot="1"/>
    <row r="22" spans="2:33" ht="16.5" thickBot="1">
      <c r="C22" s="177" t="s">
        <v>42</v>
      </c>
      <c r="D22" s="178"/>
      <c r="E22" s="178"/>
      <c r="F22" s="178"/>
      <c r="G22" s="179"/>
    </row>
    <row r="23" spans="2:33" ht="18.75" thickBot="1">
      <c r="C23" s="150" t="s">
        <v>17</v>
      </c>
      <c r="D23" s="151">
        <v>1</v>
      </c>
      <c r="E23" s="68" t="s">
        <v>19</v>
      </c>
      <c r="F23" s="69">
        <f>(1/24/60)*D24</f>
        <v>6.9444444444444436E-4</v>
      </c>
      <c r="G23" s="70"/>
    </row>
    <row r="24" spans="2:33">
      <c r="D24" s="54">
        <f>1/D23</f>
        <v>1</v>
      </c>
      <c r="F24" s="1"/>
    </row>
    <row r="25" spans="2:33" ht="13.5" thickBot="1">
      <c r="H25" s="2"/>
      <c r="I25" s="2"/>
      <c r="J25" s="2"/>
      <c r="K25" s="2"/>
      <c r="L25" s="2"/>
      <c r="M25" s="2"/>
      <c r="N25" s="2"/>
      <c r="O25" s="2"/>
    </row>
    <row r="26" spans="2:33" ht="16.5" thickBot="1">
      <c r="C26" s="177" t="s">
        <v>40</v>
      </c>
      <c r="D26" s="178"/>
      <c r="E26" s="178"/>
      <c r="F26" s="178"/>
      <c r="G26" s="179"/>
      <c r="H26" s="13"/>
      <c r="I26" s="13"/>
      <c r="J26" s="13"/>
      <c r="K26" s="13"/>
      <c r="L26" s="13"/>
      <c r="M26" s="13"/>
      <c r="N26" s="13"/>
      <c r="O26" s="13"/>
    </row>
    <row r="27" spans="2:33" ht="18">
      <c r="C27" s="152" t="s">
        <v>2</v>
      </c>
      <c r="D27" s="71" t="s">
        <v>6</v>
      </c>
      <c r="E27" s="72" t="s">
        <v>239</v>
      </c>
      <c r="F27" s="24"/>
      <c r="G27" s="52"/>
    </row>
    <row r="28" spans="2:33" ht="18">
      <c r="C28" s="153" t="s">
        <v>3</v>
      </c>
      <c r="D28" s="42" t="s">
        <v>4</v>
      </c>
      <c r="E28" s="73" t="s">
        <v>38</v>
      </c>
      <c r="F28" s="24"/>
      <c r="G28" s="52"/>
    </row>
    <row r="29" spans="2:33" ht="18">
      <c r="C29" s="154" t="s">
        <v>12</v>
      </c>
      <c r="D29" s="42" t="s">
        <v>8</v>
      </c>
      <c r="E29" s="73" t="s">
        <v>39</v>
      </c>
      <c r="F29" s="24"/>
      <c r="G29" s="52"/>
    </row>
    <row r="30" spans="2:33" ht="18">
      <c r="C30" s="153" t="s">
        <v>4</v>
      </c>
      <c r="D30" s="176" t="s">
        <v>7</v>
      </c>
      <c r="E30" s="73" t="s">
        <v>238</v>
      </c>
      <c r="F30" s="24"/>
      <c r="G30" s="52"/>
    </row>
    <row r="31" spans="2:33" ht="18">
      <c r="C31" s="153" t="s">
        <v>6</v>
      </c>
      <c r="D31" s="74" t="s">
        <v>41</v>
      </c>
      <c r="E31" s="73"/>
      <c r="F31" s="24"/>
      <c r="G31" s="52"/>
    </row>
    <row r="32" spans="2:33" ht="18.75" thickBot="1">
      <c r="C32" s="155" t="s">
        <v>7</v>
      </c>
      <c r="D32" s="75" t="s">
        <v>41</v>
      </c>
      <c r="E32" s="76"/>
      <c r="F32" s="82"/>
      <c r="G32" s="83"/>
    </row>
  </sheetData>
  <sheetProtection password="CFA8" sheet="1" objects="1" scenarios="1" selectLockedCells="1"/>
  <mergeCells count="4">
    <mergeCell ref="C26:G26"/>
    <mergeCell ref="C22:G22"/>
    <mergeCell ref="D4:AG4"/>
    <mergeCell ref="D2:AG2"/>
  </mergeCells>
  <phoneticPr fontId="0" type="noConversion"/>
  <pageMargins left="0.78740157499999996" right="0.78740157499999996" top="0.984251969" bottom="0.984251969" header="0.4921259845" footer="0.4921259845"/>
  <pageSetup paperSize="9" orientation="portrait" horizontalDpi="4294967293" verticalDpi="4294967293" r:id="rId1"/>
  <headerFooter alignWithMargins="0"/>
  <drawing r:id="rId2"/>
  <legacy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Feuil14" enableFormatConditionsCalculation="0"/>
  <dimension ref="A1:P304"/>
  <sheetViews>
    <sheetView workbookViewId="0">
      <pane ySplit="3" topLeftCell="A87" activePane="bottomLeft" state="frozen"/>
      <selection pane="bottomLeft" activeCell="O91" sqref="O91"/>
    </sheetView>
  </sheetViews>
  <sheetFormatPr baseColWidth="10" defaultRowHeight="12.75"/>
  <cols>
    <col min="1" max="1" width="8.42578125" hidden="1" customWidth="1"/>
    <col min="2" max="2" width="9" hidden="1" customWidth="1"/>
    <col min="3" max="3" width="10.28515625" customWidth="1"/>
    <col min="4" max="4" width="14.42578125" style="14" customWidth="1"/>
    <col min="5" max="5" width="14.7109375" style="14" customWidth="1"/>
    <col min="6" max="7" width="26.140625" customWidth="1"/>
    <col min="8" max="8" width="13" customWidth="1"/>
    <col min="9" max="9" width="22" customWidth="1"/>
    <col min="10" max="10" width="15.7109375" customWidth="1"/>
    <col min="11" max="11" width="7.85546875" hidden="1" customWidth="1"/>
    <col min="12" max="12" width="11.42578125" hidden="1" customWidth="1"/>
    <col min="13" max="13" width="12.42578125" hidden="1" customWidth="1"/>
    <col min="14" max="14" width="11.42578125" hidden="1" customWidth="1"/>
  </cols>
  <sheetData>
    <row r="1" spans="2:16" ht="48.95" customHeight="1" thickBot="1">
      <c r="B1" s="175"/>
      <c r="C1" s="187" t="s">
        <v>188</v>
      </c>
      <c r="D1" s="188"/>
      <c r="E1" s="188"/>
      <c r="F1" s="188"/>
      <c r="G1" s="188"/>
      <c r="H1" s="188"/>
      <c r="I1" s="188"/>
      <c r="J1" s="174">
        <v>2021</v>
      </c>
    </row>
    <row r="2" spans="2:16" ht="42" customHeight="1" thickBot="1">
      <c r="C2" s="138" t="s">
        <v>72</v>
      </c>
      <c r="D2" s="139" t="s">
        <v>1</v>
      </c>
      <c r="E2" s="166" t="s">
        <v>86</v>
      </c>
      <c r="F2" s="139" t="s">
        <v>14</v>
      </c>
      <c r="G2" s="139" t="s">
        <v>25</v>
      </c>
      <c r="H2" s="139" t="s">
        <v>88</v>
      </c>
      <c r="I2" s="166" t="s">
        <v>87</v>
      </c>
      <c r="J2" s="140" t="s">
        <v>16</v>
      </c>
    </row>
    <row r="3" spans="2:16" ht="48" customHeight="1" thickBot="1">
      <c r="C3" s="184" t="s">
        <v>75</v>
      </c>
      <c r="D3" s="185"/>
      <c r="E3" s="185"/>
      <c r="F3" s="185"/>
      <c r="G3" s="185"/>
      <c r="H3" s="185"/>
      <c r="I3" s="185"/>
      <c r="J3" s="186"/>
      <c r="P3" s="112"/>
    </row>
    <row r="4" spans="2:16" ht="15.75" hidden="1">
      <c r="C4" s="124"/>
      <c r="D4" s="122"/>
      <c r="E4" s="122"/>
      <c r="F4" s="123"/>
      <c r="G4" s="123"/>
      <c r="H4" s="123"/>
      <c r="I4" s="123"/>
      <c r="J4" s="123"/>
    </row>
    <row r="5" spans="2:16" ht="15.75">
      <c r="B5" s="14">
        <v>1</v>
      </c>
      <c r="C5" s="170">
        <f>LOOKUP(D5,$M$11:$M$40,$L$11:$L$40)</f>
        <v>24</v>
      </c>
      <c r="D5" s="84" t="str">
        <f xml:space="preserve"> CONCATENATE(H5,IF(E5 &gt;=70, 70, IF(E5 &gt;= 65,65,IF(E5 &gt;= 60,60,IF(E5 &gt;= 55,55,IF(E5 &gt;= 50,50,IF(E5&gt;= 45,45,IF(E5 &gt;= 40,40,IF(E5 &gt;= 35,35,IF(E5 &gt;= 21,21,IF(E5 &gt;= 20,20,IF(E5 &gt;= 17,18,IF(E5 &gt;= 15,16,IF(E5&gt;= 13,14,IF(E5 &gt;= 11,12,10)))))))))))))))</f>
        <v>H40</v>
      </c>
      <c r="E5" s="167">
        <f>$J$1 - (RIGHT(TEXT(I5," JJ/MM/AAAA"),4))</f>
        <v>41</v>
      </c>
      <c r="F5" s="52" t="s">
        <v>89</v>
      </c>
      <c r="G5" s="52" t="s">
        <v>90</v>
      </c>
      <c r="H5" s="52" t="s">
        <v>8</v>
      </c>
      <c r="I5" s="168">
        <v>29514</v>
      </c>
      <c r="J5" s="168">
        <v>35002</v>
      </c>
    </row>
    <row r="6" spans="2:16" ht="15.75">
      <c r="B6" s="14">
        <v>2</v>
      </c>
      <c r="C6" s="170">
        <f t="shared" ref="C6:C69" si="0">LOOKUP(D6,$M$11:$M$40,$L$11:$L$40)</f>
        <v>26</v>
      </c>
      <c r="D6" s="84" t="str">
        <f t="shared" ref="D6:D69" si="1" xml:space="preserve"> CONCATENATE(H6,IF(E6 &gt;=70, 70, IF(E6 &gt;= 65,65,IF(E6 &gt;= 60,60,IF(E6 &gt;= 55,55,IF(E6 &gt;= 50,50,IF(E6&gt;= 45,45,IF(E6 &gt;= 40,40,IF(E6 &gt;= 35,35,IF(E6 &gt;= 21,21,IF(E6 &gt;= 20,20,IF(E6 &gt;= 17,18,IF(E6 &gt;= 15,16,IF(E6&gt;= 13,14,IF(E6 &gt;= 11,12,10)))))))))))))))</f>
        <v>H50</v>
      </c>
      <c r="E6" s="167">
        <f t="shared" ref="E6:E69" si="2">$J$1 - (RIGHT(TEXT(I6," JJ/MM/AAAA"),4))</f>
        <v>51</v>
      </c>
      <c r="F6" s="52" t="s">
        <v>91</v>
      </c>
      <c r="G6" s="52" t="s">
        <v>92</v>
      </c>
      <c r="H6" s="52" t="s">
        <v>8</v>
      </c>
      <c r="I6" s="168">
        <v>25841</v>
      </c>
      <c r="J6" s="168">
        <v>1770314</v>
      </c>
    </row>
    <row r="7" spans="2:16" ht="15.75">
      <c r="B7" s="14">
        <v>3</v>
      </c>
      <c r="C7" s="170">
        <f t="shared" si="0"/>
        <v>25</v>
      </c>
      <c r="D7" s="84" t="str">
        <f t="shared" si="1"/>
        <v>H45</v>
      </c>
      <c r="E7" s="167">
        <f t="shared" si="2"/>
        <v>49</v>
      </c>
      <c r="F7" s="52" t="s">
        <v>93</v>
      </c>
      <c r="G7" s="52" t="s">
        <v>94</v>
      </c>
      <c r="H7" s="52" t="s">
        <v>8</v>
      </c>
      <c r="I7" s="168">
        <v>26653</v>
      </c>
      <c r="J7" s="168">
        <v>1770320</v>
      </c>
    </row>
    <row r="8" spans="2:16" ht="15.75">
      <c r="B8" s="14">
        <v>4</v>
      </c>
      <c r="C8" s="170">
        <f t="shared" si="0"/>
        <v>30</v>
      </c>
      <c r="D8" s="84" t="str">
        <f t="shared" si="1"/>
        <v>H70</v>
      </c>
      <c r="E8" s="167">
        <f t="shared" si="2"/>
        <v>72</v>
      </c>
      <c r="F8" s="52" t="s">
        <v>95</v>
      </c>
      <c r="G8" s="52" t="s">
        <v>96</v>
      </c>
      <c r="H8" s="52" t="s">
        <v>8</v>
      </c>
      <c r="I8" s="168">
        <v>17899</v>
      </c>
      <c r="J8" s="168">
        <v>9001020</v>
      </c>
    </row>
    <row r="9" spans="2:16" ht="16.5" thickBot="1">
      <c r="B9" s="14">
        <v>5</v>
      </c>
      <c r="C9" s="170">
        <f t="shared" si="0"/>
        <v>27</v>
      </c>
      <c r="D9" s="84" t="str">
        <f t="shared" si="1"/>
        <v>H55</v>
      </c>
      <c r="E9" s="167">
        <f t="shared" si="2"/>
        <v>57</v>
      </c>
      <c r="F9" s="52" t="s">
        <v>97</v>
      </c>
      <c r="G9" s="52" t="s">
        <v>98</v>
      </c>
      <c r="H9" s="52" t="s">
        <v>8</v>
      </c>
      <c r="I9" s="168">
        <v>23460</v>
      </c>
      <c r="J9" s="168">
        <v>1000717</v>
      </c>
    </row>
    <row r="10" spans="2:16" ht="16.5" thickBot="1">
      <c r="B10" s="14">
        <v>6</v>
      </c>
      <c r="C10" s="170">
        <f t="shared" si="0"/>
        <v>11</v>
      </c>
      <c r="D10" s="84" t="str">
        <f t="shared" si="1"/>
        <v>D50</v>
      </c>
      <c r="E10" s="167">
        <f t="shared" si="2"/>
        <v>53</v>
      </c>
      <c r="F10" s="52" t="s">
        <v>99</v>
      </c>
      <c r="G10" s="52" t="s">
        <v>100</v>
      </c>
      <c r="H10" s="52" t="s">
        <v>4</v>
      </c>
      <c r="I10" s="168">
        <v>24928</v>
      </c>
      <c r="J10" s="168">
        <v>8001980</v>
      </c>
      <c r="L10" s="32" t="s">
        <v>72</v>
      </c>
      <c r="M10" s="49" t="s">
        <v>1</v>
      </c>
    </row>
    <row r="11" spans="2:16" ht="15.75">
      <c r="B11" s="14">
        <v>7</v>
      </c>
      <c r="C11" s="170">
        <f t="shared" si="0"/>
        <v>13</v>
      </c>
      <c r="D11" s="84" t="str">
        <f t="shared" si="1"/>
        <v>D60</v>
      </c>
      <c r="E11" s="167">
        <f t="shared" si="2"/>
        <v>61</v>
      </c>
      <c r="F11" s="52" t="s">
        <v>101</v>
      </c>
      <c r="G11" s="52" t="s">
        <v>102</v>
      </c>
      <c r="H11" s="52" t="s">
        <v>4</v>
      </c>
      <c r="I11" s="168">
        <v>22178</v>
      </c>
      <c r="J11" s="168">
        <v>1000979</v>
      </c>
      <c r="L11" s="36">
        <v>1</v>
      </c>
      <c r="M11" s="35" t="str">
        <f>HLOOKUP(L11,'Règles et points'!$D$5:$AG$7,3)</f>
        <v>D10</v>
      </c>
    </row>
    <row r="12" spans="2:16" ht="15.75">
      <c r="B12" s="14">
        <v>8</v>
      </c>
      <c r="C12" s="170">
        <f t="shared" si="0"/>
        <v>7</v>
      </c>
      <c r="D12" s="84" t="str">
        <f t="shared" si="1"/>
        <v>D21</v>
      </c>
      <c r="E12" s="167">
        <f t="shared" si="2"/>
        <v>25</v>
      </c>
      <c r="F12" s="52" t="s">
        <v>101</v>
      </c>
      <c r="G12" s="52" t="s">
        <v>103</v>
      </c>
      <c r="H12" s="52" t="s">
        <v>4</v>
      </c>
      <c r="I12" s="168">
        <v>35339</v>
      </c>
      <c r="J12" s="168">
        <v>31320</v>
      </c>
      <c r="L12" s="36">
        <v>2</v>
      </c>
      <c r="M12" s="35" t="str">
        <f>HLOOKUP(L12,'Règles et points'!$D$5:$AG$7,3)</f>
        <v>D12</v>
      </c>
    </row>
    <row r="13" spans="2:16" ht="15.75">
      <c r="B13" s="14">
        <v>9</v>
      </c>
      <c r="C13" s="170">
        <f t="shared" si="0"/>
        <v>28</v>
      </c>
      <c r="D13" s="84" t="str">
        <f t="shared" si="1"/>
        <v>H60</v>
      </c>
      <c r="E13" s="167">
        <f t="shared" si="2"/>
        <v>61</v>
      </c>
      <c r="F13" s="52" t="s">
        <v>104</v>
      </c>
      <c r="G13" s="52" t="s">
        <v>105</v>
      </c>
      <c r="H13" s="52" t="s">
        <v>8</v>
      </c>
      <c r="I13" s="168">
        <v>22018</v>
      </c>
      <c r="J13" s="168">
        <v>8077060</v>
      </c>
      <c r="L13" s="36">
        <v>3</v>
      </c>
      <c r="M13" s="35" t="str">
        <f>HLOOKUP(L13,'Règles et points'!$D$5:$AG$7,3)</f>
        <v>D14</v>
      </c>
    </row>
    <row r="14" spans="2:16" ht="15.75">
      <c r="B14" s="14">
        <v>10</v>
      </c>
      <c r="C14" s="170">
        <f t="shared" si="0"/>
        <v>12</v>
      </c>
      <c r="D14" s="84" t="str">
        <f t="shared" si="1"/>
        <v>D55</v>
      </c>
      <c r="E14" s="167">
        <f t="shared" si="2"/>
        <v>58</v>
      </c>
      <c r="F14" s="52" t="s">
        <v>104</v>
      </c>
      <c r="G14" s="52" t="s">
        <v>106</v>
      </c>
      <c r="H14" s="52" t="s">
        <v>4</v>
      </c>
      <c r="I14" s="168">
        <v>23242</v>
      </c>
      <c r="J14" s="168">
        <v>9771900</v>
      </c>
      <c r="L14" s="36">
        <v>4</v>
      </c>
      <c r="M14" s="35" t="str">
        <f>HLOOKUP(L14,'Règles et points'!$D$5:$AG$7,3)</f>
        <v>D16</v>
      </c>
    </row>
    <row r="15" spans="2:16" ht="15.75">
      <c r="B15" s="14">
        <v>11</v>
      </c>
      <c r="C15" s="170">
        <f t="shared" si="0"/>
        <v>29</v>
      </c>
      <c r="D15" s="84" t="str">
        <f t="shared" si="1"/>
        <v>H65</v>
      </c>
      <c r="E15" s="167">
        <f t="shared" si="2"/>
        <v>66</v>
      </c>
      <c r="F15" s="52" t="s">
        <v>107</v>
      </c>
      <c r="G15" s="52" t="s">
        <v>108</v>
      </c>
      <c r="H15" s="52" t="s">
        <v>8</v>
      </c>
      <c r="I15" s="168">
        <v>20253</v>
      </c>
      <c r="J15" s="168">
        <v>355162</v>
      </c>
      <c r="L15" s="36">
        <v>5</v>
      </c>
      <c r="M15" s="35" t="str">
        <f>HLOOKUP(L15,'Règles et points'!$D$5:$AG$7,3)</f>
        <v>D18</v>
      </c>
    </row>
    <row r="16" spans="2:16" ht="15.75">
      <c r="B16" s="14">
        <v>12</v>
      </c>
      <c r="C16" s="170">
        <f t="shared" si="0"/>
        <v>30</v>
      </c>
      <c r="D16" s="84" t="str">
        <f t="shared" si="1"/>
        <v>H70</v>
      </c>
      <c r="E16" s="167">
        <f t="shared" si="2"/>
        <v>78</v>
      </c>
      <c r="F16" s="52" t="s">
        <v>109</v>
      </c>
      <c r="G16" s="52" t="s">
        <v>110</v>
      </c>
      <c r="H16" s="52" t="s">
        <v>8</v>
      </c>
      <c r="I16" s="168">
        <v>15775</v>
      </c>
      <c r="J16" s="168">
        <v>304383</v>
      </c>
      <c r="L16" s="36">
        <v>6</v>
      </c>
      <c r="M16" s="35" t="str">
        <f>HLOOKUP(L16,'Règles et points'!$D$5:$AG$7,3)</f>
        <v>D20</v>
      </c>
    </row>
    <row r="17" spans="2:13" ht="15.75">
      <c r="B17" s="14">
        <v>13</v>
      </c>
      <c r="C17" s="170">
        <f t="shared" si="0"/>
        <v>10</v>
      </c>
      <c r="D17" s="84" t="str">
        <f t="shared" si="1"/>
        <v>D45</v>
      </c>
      <c r="E17" s="167">
        <f t="shared" si="2"/>
        <v>46</v>
      </c>
      <c r="F17" s="52" t="s">
        <v>111</v>
      </c>
      <c r="G17" s="52" t="s">
        <v>112</v>
      </c>
      <c r="H17" s="52" t="s">
        <v>4</v>
      </c>
      <c r="I17" s="168">
        <v>27733</v>
      </c>
      <c r="J17" s="168">
        <v>9877777</v>
      </c>
      <c r="L17" s="36">
        <v>7</v>
      </c>
      <c r="M17" s="35" t="str">
        <f>HLOOKUP(L17,'Règles et points'!$D$5:$AG$7,3)</f>
        <v>D21</v>
      </c>
    </row>
    <row r="18" spans="2:13" ht="15.75">
      <c r="B18" s="14">
        <v>14</v>
      </c>
      <c r="C18" s="170">
        <f t="shared" si="0"/>
        <v>27</v>
      </c>
      <c r="D18" s="84" t="str">
        <f t="shared" si="1"/>
        <v>H55</v>
      </c>
      <c r="E18" s="167">
        <f t="shared" si="2"/>
        <v>58</v>
      </c>
      <c r="F18" s="52" t="s">
        <v>113</v>
      </c>
      <c r="G18" s="52" t="s">
        <v>114</v>
      </c>
      <c r="H18" s="52" t="s">
        <v>8</v>
      </c>
      <c r="I18" s="168">
        <v>23351</v>
      </c>
      <c r="J18" s="168">
        <v>229141</v>
      </c>
      <c r="L18" s="36">
        <v>8</v>
      </c>
      <c r="M18" s="35" t="str">
        <f>HLOOKUP(L18,'Règles et points'!$D$5:$AG$7,3)</f>
        <v>D35</v>
      </c>
    </row>
    <row r="19" spans="2:13" ht="15.75">
      <c r="B19" s="14">
        <v>15</v>
      </c>
      <c r="C19" s="170">
        <f t="shared" si="0"/>
        <v>28</v>
      </c>
      <c r="D19" s="84" t="str">
        <f t="shared" si="1"/>
        <v>H60</v>
      </c>
      <c r="E19" s="167">
        <f t="shared" si="2"/>
        <v>63</v>
      </c>
      <c r="F19" s="52" t="s">
        <v>115</v>
      </c>
      <c r="G19" s="52" t="s">
        <v>108</v>
      </c>
      <c r="H19" s="52" t="s">
        <v>8</v>
      </c>
      <c r="I19" s="168">
        <v>21259</v>
      </c>
      <c r="J19" s="168">
        <v>8091800</v>
      </c>
      <c r="L19" s="36">
        <v>9</v>
      </c>
      <c r="M19" s="35" t="str">
        <f>HLOOKUP(L19,'Règles et points'!$D$5:$AG$7,3)</f>
        <v>D40</v>
      </c>
    </row>
    <row r="20" spans="2:13" ht="15.75">
      <c r="B20" s="14">
        <v>16</v>
      </c>
      <c r="C20" s="170">
        <f t="shared" si="0"/>
        <v>28</v>
      </c>
      <c r="D20" s="84" t="str">
        <f t="shared" si="1"/>
        <v>H60</v>
      </c>
      <c r="E20" s="167">
        <f t="shared" si="2"/>
        <v>61</v>
      </c>
      <c r="F20" s="52" t="s">
        <v>116</v>
      </c>
      <c r="G20" s="52" t="s">
        <v>117</v>
      </c>
      <c r="H20" s="52" t="s">
        <v>8</v>
      </c>
      <c r="I20" s="168">
        <v>22204</v>
      </c>
      <c r="J20" s="168">
        <v>9601555</v>
      </c>
      <c r="L20" s="36">
        <v>10</v>
      </c>
      <c r="M20" s="35" t="str">
        <f>HLOOKUP(L20,'Règles et points'!$D$5:$AG$7,3)</f>
        <v>D45</v>
      </c>
    </row>
    <row r="21" spans="2:13" ht="15.75">
      <c r="B21" s="14">
        <v>17</v>
      </c>
      <c r="C21" s="170">
        <f t="shared" si="0"/>
        <v>13</v>
      </c>
      <c r="D21" s="84" t="str">
        <f t="shared" si="1"/>
        <v>D60</v>
      </c>
      <c r="E21" s="167">
        <f t="shared" si="2"/>
        <v>61</v>
      </c>
      <c r="F21" s="52" t="s">
        <v>116</v>
      </c>
      <c r="G21" s="52" t="s">
        <v>118</v>
      </c>
      <c r="H21" s="52" t="s">
        <v>4</v>
      </c>
      <c r="I21" s="168">
        <v>22041</v>
      </c>
      <c r="J21" s="168">
        <v>1000983</v>
      </c>
      <c r="L21" s="36">
        <v>11</v>
      </c>
      <c r="M21" s="35" t="str">
        <f>HLOOKUP(L21,'Règles et points'!$D$5:$AG$7,3)</f>
        <v>D50</v>
      </c>
    </row>
    <row r="22" spans="2:13" ht="15.75">
      <c r="B22" s="14">
        <v>18</v>
      </c>
      <c r="C22" s="170">
        <f t="shared" si="0"/>
        <v>8</v>
      </c>
      <c r="D22" s="84" t="str">
        <f t="shared" si="1"/>
        <v>D35</v>
      </c>
      <c r="E22" s="167">
        <f t="shared" si="2"/>
        <v>35</v>
      </c>
      <c r="F22" s="52" t="s">
        <v>119</v>
      </c>
      <c r="G22" s="52" t="s">
        <v>120</v>
      </c>
      <c r="H22" s="52" t="s">
        <v>4</v>
      </c>
      <c r="I22" s="168">
        <v>31535</v>
      </c>
      <c r="J22" s="168">
        <v>1986217</v>
      </c>
      <c r="L22" s="36">
        <v>12</v>
      </c>
      <c r="M22" s="35" t="str">
        <f>HLOOKUP(L22,'Règles et points'!$D$5:$AG$7,3)</f>
        <v>D55</v>
      </c>
    </row>
    <row r="23" spans="2:13" ht="15.75">
      <c r="B23" s="14">
        <v>19</v>
      </c>
      <c r="C23" s="170">
        <f t="shared" si="0"/>
        <v>22</v>
      </c>
      <c r="D23" s="84" t="str">
        <f t="shared" si="1"/>
        <v>H21</v>
      </c>
      <c r="E23" s="167">
        <f t="shared" si="2"/>
        <v>22</v>
      </c>
      <c r="F23" s="52" t="s">
        <v>91</v>
      </c>
      <c r="G23" s="52" t="s">
        <v>121</v>
      </c>
      <c r="H23" s="52" t="s">
        <v>8</v>
      </c>
      <c r="I23" s="168">
        <v>36416</v>
      </c>
      <c r="J23" s="168">
        <v>1770313</v>
      </c>
      <c r="L23" s="36">
        <v>13</v>
      </c>
      <c r="M23" s="35" t="str">
        <f>HLOOKUP(L23,'Règles et points'!$D$5:$AG$7,3)</f>
        <v>D60</v>
      </c>
    </row>
    <row r="24" spans="2:13" ht="15.75">
      <c r="B24" s="14">
        <v>20</v>
      </c>
      <c r="C24" s="170">
        <f t="shared" si="0"/>
        <v>6</v>
      </c>
      <c r="D24" s="84" t="str">
        <f t="shared" si="1"/>
        <v>D20</v>
      </c>
      <c r="E24" s="167">
        <f t="shared" si="2"/>
        <v>20</v>
      </c>
      <c r="F24" s="52" t="s">
        <v>91</v>
      </c>
      <c r="G24" s="52" t="s">
        <v>122</v>
      </c>
      <c r="H24" s="52" t="s">
        <v>4</v>
      </c>
      <c r="I24" s="168">
        <v>37063</v>
      </c>
      <c r="J24" s="168">
        <v>8002045</v>
      </c>
      <c r="L24" s="36">
        <v>14</v>
      </c>
      <c r="M24" s="35" t="str">
        <f>HLOOKUP(L24,'Règles et points'!$D$5:$AG$7,3)</f>
        <v>D65</v>
      </c>
    </row>
    <row r="25" spans="2:13" ht="15.75">
      <c r="B25" s="14">
        <v>21</v>
      </c>
      <c r="C25" s="170">
        <f t="shared" si="0"/>
        <v>20</v>
      </c>
      <c r="D25" s="84" t="str">
        <f t="shared" si="1"/>
        <v>H18</v>
      </c>
      <c r="E25" s="167">
        <f t="shared" si="2"/>
        <v>17</v>
      </c>
      <c r="F25" s="52" t="s">
        <v>97</v>
      </c>
      <c r="G25" s="52" t="s">
        <v>123</v>
      </c>
      <c r="H25" s="52" t="s">
        <v>8</v>
      </c>
      <c r="I25" s="168">
        <v>38078</v>
      </c>
      <c r="J25" s="168">
        <v>1000716</v>
      </c>
      <c r="L25" s="36">
        <v>15</v>
      </c>
      <c r="M25" s="35" t="str">
        <f>HLOOKUP(L25,'Règles et points'!$D$5:$AG$7,3)</f>
        <v>D70</v>
      </c>
    </row>
    <row r="26" spans="2:13" ht="15.75">
      <c r="B26" s="14">
        <v>22</v>
      </c>
      <c r="C26" s="170">
        <f t="shared" si="0"/>
        <v>11</v>
      </c>
      <c r="D26" s="84" t="str">
        <f t="shared" si="1"/>
        <v>D50</v>
      </c>
      <c r="E26" s="167">
        <f t="shared" si="2"/>
        <v>54</v>
      </c>
      <c r="F26" s="52" t="s">
        <v>124</v>
      </c>
      <c r="G26" s="52" t="s">
        <v>125</v>
      </c>
      <c r="H26" s="52" t="s">
        <v>4</v>
      </c>
      <c r="I26" s="168">
        <v>24707</v>
      </c>
      <c r="J26" s="168">
        <v>2037864</v>
      </c>
      <c r="L26" s="36">
        <v>16</v>
      </c>
      <c r="M26" s="35" t="str">
        <f>HLOOKUP(L26,'Règles et points'!$D$5:$AG$7,3)</f>
        <v>H10</v>
      </c>
    </row>
    <row r="27" spans="2:13" ht="15.75">
      <c r="B27" s="14">
        <v>23</v>
      </c>
      <c r="C27" s="170">
        <f t="shared" si="0"/>
        <v>22</v>
      </c>
      <c r="D27" s="84" t="str">
        <f t="shared" si="1"/>
        <v>H21</v>
      </c>
      <c r="E27" s="167">
        <f t="shared" si="2"/>
        <v>29</v>
      </c>
      <c r="F27" s="52" t="s">
        <v>189</v>
      </c>
      <c r="G27" s="52" t="s">
        <v>190</v>
      </c>
      <c r="H27" s="52" t="s">
        <v>8</v>
      </c>
      <c r="I27" s="168">
        <v>33642</v>
      </c>
      <c r="J27" s="168">
        <v>7005132</v>
      </c>
      <c r="L27" s="36">
        <v>17</v>
      </c>
      <c r="M27" s="35" t="str">
        <f>HLOOKUP(L27,'Règles et points'!$D$5:$AG$7,3)</f>
        <v>H12</v>
      </c>
    </row>
    <row r="28" spans="2:13" ht="15.75">
      <c r="B28" s="14">
        <v>24</v>
      </c>
      <c r="C28" s="170">
        <f t="shared" si="0"/>
        <v>12</v>
      </c>
      <c r="D28" s="84" t="str">
        <f t="shared" si="1"/>
        <v>D55</v>
      </c>
      <c r="E28" s="167">
        <f t="shared" si="2"/>
        <v>56</v>
      </c>
      <c r="F28" s="52" t="s">
        <v>127</v>
      </c>
      <c r="G28" s="52" t="s">
        <v>128</v>
      </c>
      <c r="H28" s="52" t="s">
        <v>4</v>
      </c>
      <c r="I28" s="168">
        <v>23842</v>
      </c>
      <c r="J28" s="168">
        <v>2026171</v>
      </c>
      <c r="L28" s="36">
        <v>18</v>
      </c>
      <c r="M28" s="35" t="str">
        <f>HLOOKUP(L28,'Règles et points'!$D$5:$AG$7,3)</f>
        <v>H14</v>
      </c>
    </row>
    <row r="29" spans="2:13" ht="15.75">
      <c r="B29" s="14">
        <v>25</v>
      </c>
      <c r="C29" s="170">
        <f t="shared" si="0"/>
        <v>24</v>
      </c>
      <c r="D29" s="84" t="str">
        <f t="shared" si="1"/>
        <v>H40</v>
      </c>
      <c r="E29" s="167">
        <f t="shared" si="2"/>
        <v>44</v>
      </c>
      <c r="F29" s="52" t="s">
        <v>130</v>
      </c>
      <c r="G29" s="52" t="s">
        <v>131</v>
      </c>
      <c r="H29" s="52" t="s">
        <v>8</v>
      </c>
      <c r="I29" s="168">
        <v>28149</v>
      </c>
      <c r="J29" s="168">
        <v>2037868</v>
      </c>
      <c r="L29" s="36">
        <v>19</v>
      </c>
      <c r="M29" s="35" t="str">
        <f>HLOOKUP(L29,'Règles et points'!$D$5:$AG$7,3)</f>
        <v>H16</v>
      </c>
    </row>
    <row r="30" spans="2:13" ht="15.75">
      <c r="B30" s="14">
        <v>26</v>
      </c>
      <c r="C30" s="170">
        <f t="shared" si="0"/>
        <v>24</v>
      </c>
      <c r="D30" s="84" t="str">
        <f t="shared" si="1"/>
        <v>H40</v>
      </c>
      <c r="E30" s="167">
        <f t="shared" si="2"/>
        <v>42</v>
      </c>
      <c r="F30" s="52" t="s">
        <v>132</v>
      </c>
      <c r="G30" s="52" t="s">
        <v>133</v>
      </c>
      <c r="H30" s="52" t="s">
        <v>8</v>
      </c>
      <c r="I30" s="168">
        <v>29161</v>
      </c>
      <c r="J30" s="168">
        <v>1967657</v>
      </c>
      <c r="L30" s="36">
        <v>20</v>
      </c>
      <c r="M30" s="35" t="str">
        <f>HLOOKUP(L30,'Règles et points'!$D$5:$AG$7,3)</f>
        <v>H18</v>
      </c>
    </row>
    <row r="31" spans="2:13" ht="15.75">
      <c r="B31" s="14">
        <v>27</v>
      </c>
      <c r="C31" s="170">
        <f t="shared" si="0"/>
        <v>18</v>
      </c>
      <c r="D31" s="84" t="str">
        <f t="shared" si="1"/>
        <v>H14</v>
      </c>
      <c r="E31" s="167">
        <f t="shared" si="2"/>
        <v>14</v>
      </c>
      <c r="F31" s="52" t="s">
        <v>134</v>
      </c>
      <c r="G31" s="52" t="s">
        <v>135</v>
      </c>
      <c r="H31" s="52" t="s">
        <v>8</v>
      </c>
      <c r="I31" s="168">
        <v>39389</v>
      </c>
      <c r="J31" s="168">
        <v>1018613</v>
      </c>
      <c r="L31" s="36">
        <v>21</v>
      </c>
      <c r="M31" s="35" t="str">
        <f>HLOOKUP(L31,'Règles et points'!$D$5:$AG$7,3)</f>
        <v>H20</v>
      </c>
    </row>
    <row r="32" spans="2:13" ht="15.75">
      <c r="B32" s="14">
        <v>28</v>
      </c>
      <c r="C32" s="170">
        <f t="shared" si="0"/>
        <v>4</v>
      </c>
      <c r="D32" s="84" t="str">
        <f t="shared" si="1"/>
        <v>D16</v>
      </c>
      <c r="E32" s="167">
        <f t="shared" si="2"/>
        <v>15</v>
      </c>
      <c r="F32" s="52" t="s">
        <v>134</v>
      </c>
      <c r="G32" s="52" t="s">
        <v>136</v>
      </c>
      <c r="H32" s="52" t="s">
        <v>4</v>
      </c>
      <c r="I32" s="168">
        <v>38750</v>
      </c>
      <c r="J32" s="168">
        <v>1508341</v>
      </c>
      <c r="L32" s="36">
        <v>22</v>
      </c>
      <c r="M32" s="35" t="str">
        <f>HLOOKUP(L32,'Règles et points'!$D$5:$AG$7,3)</f>
        <v>H21</v>
      </c>
    </row>
    <row r="33" spans="2:13" ht="15.75">
      <c r="B33" s="14">
        <v>29</v>
      </c>
      <c r="C33" s="170">
        <f t="shared" si="0"/>
        <v>9</v>
      </c>
      <c r="D33" s="84" t="str">
        <f t="shared" si="1"/>
        <v>D40</v>
      </c>
      <c r="E33" s="167">
        <f t="shared" si="2"/>
        <v>40</v>
      </c>
      <c r="F33" s="52" t="s">
        <v>137</v>
      </c>
      <c r="G33" s="52" t="s">
        <v>138</v>
      </c>
      <c r="H33" s="52" t="s">
        <v>4</v>
      </c>
      <c r="I33" s="168">
        <v>29949</v>
      </c>
      <c r="J33" s="168">
        <v>1017719</v>
      </c>
      <c r="L33" s="36">
        <v>23</v>
      </c>
      <c r="M33" s="35" t="str">
        <f>HLOOKUP(L33,'Règles et points'!$D$5:$AG$7,3)</f>
        <v>H35</v>
      </c>
    </row>
    <row r="34" spans="2:13" ht="15.75">
      <c r="B34" s="14">
        <v>30</v>
      </c>
      <c r="C34" s="170">
        <f t="shared" si="0"/>
        <v>19</v>
      </c>
      <c r="D34" s="84" t="str">
        <f t="shared" si="1"/>
        <v>H16</v>
      </c>
      <c r="E34" s="167">
        <f t="shared" si="2"/>
        <v>15</v>
      </c>
      <c r="F34" s="52" t="s">
        <v>191</v>
      </c>
      <c r="G34" s="52" t="s">
        <v>192</v>
      </c>
      <c r="H34" s="52" t="s">
        <v>8</v>
      </c>
      <c r="I34" s="168">
        <v>38974</v>
      </c>
      <c r="J34" s="168"/>
      <c r="L34" s="36">
        <v>24</v>
      </c>
      <c r="M34" s="35" t="str">
        <f>HLOOKUP(L34,'Règles et points'!$D$5:$AG$7,3)</f>
        <v>H40</v>
      </c>
    </row>
    <row r="35" spans="2:13" ht="15.75">
      <c r="B35" s="14">
        <v>31</v>
      </c>
      <c r="C35" s="170">
        <f t="shared" si="0"/>
        <v>27</v>
      </c>
      <c r="D35" s="84" t="str">
        <f t="shared" si="1"/>
        <v>H55</v>
      </c>
      <c r="E35" s="167">
        <f t="shared" si="2"/>
        <v>56</v>
      </c>
      <c r="F35" s="52" t="s">
        <v>193</v>
      </c>
      <c r="G35" s="52" t="s">
        <v>194</v>
      </c>
      <c r="H35" s="52" t="s">
        <v>8</v>
      </c>
      <c r="I35" s="168">
        <v>23904</v>
      </c>
      <c r="J35" s="168"/>
      <c r="L35" s="36">
        <v>25</v>
      </c>
      <c r="M35" s="35" t="str">
        <f>HLOOKUP(L35,'Règles et points'!$D$5:$AG$7,3)</f>
        <v>H45</v>
      </c>
    </row>
    <row r="36" spans="2:13" ht="15.75">
      <c r="B36" s="14">
        <v>32</v>
      </c>
      <c r="C36" s="170">
        <f t="shared" si="0"/>
        <v>7</v>
      </c>
      <c r="D36" s="84" t="str">
        <f t="shared" si="1"/>
        <v>D21</v>
      </c>
      <c r="E36" s="167">
        <f t="shared" si="2"/>
        <v>21</v>
      </c>
      <c r="F36" s="52" t="s">
        <v>139</v>
      </c>
      <c r="G36" s="52" t="s">
        <v>141</v>
      </c>
      <c r="H36" s="52" t="s">
        <v>4</v>
      </c>
      <c r="I36" s="168">
        <v>36870</v>
      </c>
      <c r="J36" s="168">
        <v>1001973</v>
      </c>
      <c r="L36" s="36">
        <v>26</v>
      </c>
      <c r="M36" s="35" t="str">
        <f>HLOOKUP(L36,'Règles et points'!$D$5:$AG$7,3)</f>
        <v>H50</v>
      </c>
    </row>
    <row r="37" spans="2:13" ht="15.75">
      <c r="B37" s="14">
        <v>33</v>
      </c>
      <c r="C37" s="170">
        <f t="shared" si="0"/>
        <v>25</v>
      </c>
      <c r="D37" s="84" t="str">
        <f t="shared" si="1"/>
        <v>H45</v>
      </c>
      <c r="E37" s="167">
        <f t="shared" si="2"/>
        <v>49</v>
      </c>
      <c r="F37" s="52" t="s">
        <v>142</v>
      </c>
      <c r="G37" s="52" t="s">
        <v>143</v>
      </c>
      <c r="H37" s="52" t="s">
        <v>8</v>
      </c>
      <c r="I37" s="168">
        <v>26426</v>
      </c>
      <c r="J37" s="168">
        <v>2800059</v>
      </c>
      <c r="L37" s="36">
        <v>27</v>
      </c>
      <c r="M37" s="35" t="str">
        <f>HLOOKUP(L37,'Règles et points'!$D$5:$AG$7,3)</f>
        <v>H55</v>
      </c>
    </row>
    <row r="38" spans="2:13" ht="15.75">
      <c r="B38" s="14">
        <v>34</v>
      </c>
      <c r="C38" s="170">
        <f t="shared" si="0"/>
        <v>18</v>
      </c>
      <c r="D38" s="84" t="str">
        <f t="shared" si="1"/>
        <v>H14</v>
      </c>
      <c r="E38" s="167">
        <f t="shared" si="2"/>
        <v>14</v>
      </c>
      <c r="F38" s="52" t="s">
        <v>144</v>
      </c>
      <c r="G38" s="52" t="s">
        <v>145</v>
      </c>
      <c r="H38" s="52" t="s">
        <v>8</v>
      </c>
      <c r="I38" s="168">
        <v>39306</v>
      </c>
      <c r="J38" s="168">
        <v>2109543</v>
      </c>
      <c r="L38" s="36">
        <v>28</v>
      </c>
      <c r="M38" s="35" t="str">
        <f>HLOOKUP(L38,'Règles et points'!$D$5:$AG$7,3)</f>
        <v>H60</v>
      </c>
    </row>
    <row r="39" spans="2:13" ht="15.75">
      <c r="B39" s="14">
        <v>35</v>
      </c>
      <c r="C39" s="170">
        <f t="shared" si="0"/>
        <v>19</v>
      </c>
      <c r="D39" s="84" t="str">
        <f t="shared" si="1"/>
        <v>H16</v>
      </c>
      <c r="E39" s="167">
        <f t="shared" si="2"/>
        <v>15</v>
      </c>
      <c r="F39" s="52" t="s">
        <v>146</v>
      </c>
      <c r="G39" s="52" t="s">
        <v>147</v>
      </c>
      <c r="H39" s="52" t="s">
        <v>8</v>
      </c>
      <c r="I39" s="168">
        <v>38849</v>
      </c>
      <c r="J39" s="168">
        <v>2109547</v>
      </c>
      <c r="L39" s="36">
        <v>29</v>
      </c>
      <c r="M39" s="35" t="str">
        <f>HLOOKUP(L39,'Règles et points'!$D$5:$AG$7,3)</f>
        <v>H65</v>
      </c>
    </row>
    <row r="40" spans="2:13" ht="16.5" thickBot="1">
      <c r="B40" s="14">
        <v>36</v>
      </c>
      <c r="C40" s="170">
        <f t="shared" si="0"/>
        <v>19</v>
      </c>
      <c r="D40" s="84" t="str">
        <f t="shared" si="1"/>
        <v>H16</v>
      </c>
      <c r="E40" s="167">
        <f t="shared" si="2"/>
        <v>15</v>
      </c>
      <c r="F40" s="52" t="s">
        <v>195</v>
      </c>
      <c r="G40" s="52" t="s">
        <v>196</v>
      </c>
      <c r="H40" s="52" t="s">
        <v>8</v>
      </c>
      <c r="I40" s="168">
        <v>38860</v>
      </c>
      <c r="J40" s="168">
        <v>9977252</v>
      </c>
      <c r="L40" s="37">
        <v>30</v>
      </c>
      <c r="M40" s="81" t="str">
        <f>HLOOKUP(L40,'Règles et points'!$D$5:$AG$7,3)</f>
        <v>H70</v>
      </c>
    </row>
    <row r="41" spans="2:13" ht="15.75">
      <c r="B41" s="14">
        <v>37</v>
      </c>
      <c r="C41" s="170">
        <f t="shared" si="0"/>
        <v>17</v>
      </c>
      <c r="D41" s="84" t="str">
        <f t="shared" si="1"/>
        <v>H12</v>
      </c>
      <c r="E41" s="167">
        <f t="shared" si="2"/>
        <v>12</v>
      </c>
      <c r="F41" s="52" t="s">
        <v>197</v>
      </c>
      <c r="G41" s="52" t="s">
        <v>140</v>
      </c>
      <c r="H41" s="52" t="s">
        <v>8</v>
      </c>
      <c r="I41" s="168">
        <v>39819</v>
      </c>
      <c r="J41" s="168"/>
    </row>
    <row r="42" spans="2:13" ht="15.75">
      <c r="B42" s="14">
        <v>38</v>
      </c>
      <c r="C42" s="170">
        <f t="shared" si="0"/>
        <v>3</v>
      </c>
      <c r="D42" s="84" t="str">
        <f t="shared" si="1"/>
        <v>D14</v>
      </c>
      <c r="E42" s="167">
        <f t="shared" si="2"/>
        <v>13</v>
      </c>
      <c r="F42" s="52" t="s">
        <v>132</v>
      </c>
      <c r="G42" s="52" t="s">
        <v>148</v>
      </c>
      <c r="H42" s="52" t="s">
        <v>4</v>
      </c>
      <c r="I42" s="168">
        <v>39655</v>
      </c>
      <c r="J42" s="168">
        <v>209386</v>
      </c>
    </row>
    <row r="43" spans="2:13" ht="15.75">
      <c r="B43" s="14">
        <v>39</v>
      </c>
      <c r="C43" s="170">
        <f t="shared" si="0"/>
        <v>10</v>
      </c>
      <c r="D43" s="84" t="str">
        <f t="shared" si="1"/>
        <v>D45</v>
      </c>
      <c r="E43" s="167">
        <f t="shared" si="2"/>
        <v>45</v>
      </c>
      <c r="F43" s="52" t="s">
        <v>149</v>
      </c>
      <c r="G43" s="52" t="s">
        <v>150</v>
      </c>
      <c r="H43" s="52" t="s">
        <v>4</v>
      </c>
      <c r="I43" s="168">
        <v>27871</v>
      </c>
      <c r="J43" s="168">
        <v>2109546</v>
      </c>
    </row>
    <row r="44" spans="2:13" ht="15.75">
      <c r="B44" s="14">
        <v>40</v>
      </c>
      <c r="C44" s="170">
        <f t="shared" si="0"/>
        <v>25</v>
      </c>
      <c r="D44" s="84" t="str">
        <f t="shared" si="1"/>
        <v>H45</v>
      </c>
      <c r="E44" s="167">
        <f t="shared" si="2"/>
        <v>46</v>
      </c>
      <c r="F44" s="52" t="s">
        <v>149</v>
      </c>
      <c r="G44" s="52" t="s">
        <v>151</v>
      </c>
      <c r="H44" s="52" t="s">
        <v>8</v>
      </c>
      <c r="I44" s="168">
        <v>27523</v>
      </c>
      <c r="J44" s="168">
        <v>2420999</v>
      </c>
    </row>
    <row r="45" spans="2:13" ht="15.75">
      <c r="B45" s="14">
        <v>41</v>
      </c>
      <c r="C45" s="170">
        <f t="shared" si="0"/>
        <v>3</v>
      </c>
      <c r="D45" s="84" t="str">
        <f t="shared" si="1"/>
        <v>D14</v>
      </c>
      <c r="E45" s="167">
        <f t="shared" si="2"/>
        <v>14</v>
      </c>
      <c r="F45" s="52" t="s">
        <v>149</v>
      </c>
      <c r="G45" s="52" t="s">
        <v>152</v>
      </c>
      <c r="H45" s="52" t="s">
        <v>4</v>
      </c>
      <c r="I45" s="168">
        <v>39400</v>
      </c>
      <c r="J45" s="168">
        <v>2144320</v>
      </c>
    </row>
    <row r="46" spans="2:13" ht="15.75">
      <c r="B46" s="14">
        <v>42</v>
      </c>
      <c r="C46" s="170">
        <f t="shared" si="0"/>
        <v>27</v>
      </c>
      <c r="D46" s="84" t="str">
        <f t="shared" si="1"/>
        <v>H55</v>
      </c>
      <c r="E46" s="167">
        <f t="shared" si="2"/>
        <v>56</v>
      </c>
      <c r="F46" s="52" t="s">
        <v>153</v>
      </c>
      <c r="G46" s="52" t="s">
        <v>154</v>
      </c>
      <c r="H46" s="52" t="s">
        <v>8</v>
      </c>
      <c r="I46" s="168">
        <v>23932</v>
      </c>
      <c r="J46" s="168">
        <v>2109542</v>
      </c>
    </row>
    <row r="47" spans="2:13" ht="15.75">
      <c r="B47" s="14">
        <v>43</v>
      </c>
      <c r="C47" s="170">
        <f t="shared" si="0"/>
        <v>2</v>
      </c>
      <c r="D47" s="84" t="str">
        <f t="shared" si="1"/>
        <v>D12</v>
      </c>
      <c r="E47" s="167">
        <f t="shared" si="2"/>
        <v>12</v>
      </c>
      <c r="F47" s="52" t="s">
        <v>155</v>
      </c>
      <c r="G47" s="52" t="s">
        <v>156</v>
      </c>
      <c r="H47" s="52" t="s">
        <v>4</v>
      </c>
      <c r="I47" s="168">
        <v>39912</v>
      </c>
      <c r="J47" s="168">
        <v>2144318</v>
      </c>
    </row>
    <row r="48" spans="2:13" ht="15.75">
      <c r="B48" s="14">
        <v>44</v>
      </c>
      <c r="C48" s="170">
        <f t="shared" si="0"/>
        <v>18</v>
      </c>
      <c r="D48" s="84" t="str">
        <f t="shared" si="1"/>
        <v>H14</v>
      </c>
      <c r="E48" s="167">
        <f t="shared" si="2"/>
        <v>14</v>
      </c>
      <c r="F48" s="52" t="s">
        <v>157</v>
      </c>
      <c r="G48" s="52" t="s">
        <v>158</v>
      </c>
      <c r="H48" s="52" t="s">
        <v>8</v>
      </c>
      <c r="I48" s="168">
        <v>39139</v>
      </c>
      <c r="J48" s="168">
        <v>2144314</v>
      </c>
    </row>
    <row r="49" spans="2:10" ht="15.75">
      <c r="B49" s="14">
        <v>45</v>
      </c>
      <c r="C49" s="170">
        <f t="shared" si="0"/>
        <v>17</v>
      </c>
      <c r="D49" s="84" t="str">
        <f t="shared" si="1"/>
        <v>H12</v>
      </c>
      <c r="E49" s="167">
        <f t="shared" si="2"/>
        <v>12</v>
      </c>
      <c r="F49" s="52" t="s">
        <v>160</v>
      </c>
      <c r="G49" s="52" t="s">
        <v>161</v>
      </c>
      <c r="H49" s="52" t="s">
        <v>8</v>
      </c>
      <c r="I49" s="168">
        <v>39944</v>
      </c>
      <c r="J49" s="168">
        <v>2311188</v>
      </c>
    </row>
    <row r="50" spans="2:10" ht="15.75">
      <c r="B50" s="14">
        <v>46</v>
      </c>
      <c r="C50" s="170">
        <f t="shared" si="0"/>
        <v>3</v>
      </c>
      <c r="D50" s="84" t="str">
        <f t="shared" si="1"/>
        <v>D14</v>
      </c>
      <c r="E50" s="167">
        <f t="shared" si="2"/>
        <v>13</v>
      </c>
      <c r="F50" s="52" t="s">
        <v>162</v>
      </c>
      <c r="G50" s="52" t="s">
        <v>163</v>
      </c>
      <c r="H50" s="52" t="s">
        <v>4</v>
      </c>
      <c r="I50" s="168">
        <v>39630</v>
      </c>
      <c r="J50" s="168">
        <v>1001028</v>
      </c>
    </row>
    <row r="51" spans="2:10" ht="15.75">
      <c r="B51" s="14">
        <v>47</v>
      </c>
      <c r="C51" s="170">
        <f t="shared" si="0"/>
        <v>25</v>
      </c>
      <c r="D51" s="84" t="str">
        <f t="shared" si="1"/>
        <v>H45</v>
      </c>
      <c r="E51" s="167">
        <f t="shared" si="2"/>
        <v>47</v>
      </c>
      <c r="F51" s="52" t="s">
        <v>164</v>
      </c>
      <c r="G51" s="52" t="s">
        <v>126</v>
      </c>
      <c r="H51" s="52" t="s">
        <v>8</v>
      </c>
      <c r="I51" s="168">
        <v>27301</v>
      </c>
      <c r="J51" s="168"/>
    </row>
    <row r="52" spans="2:10" ht="15.75">
      <c r="B52" s="14">
        <v>48</v>
      </c>
      <c r="C52" s="170">
        <f t="shared" si="0"/>
        <v>3</v>
      </c>
      <c r="D52" s="84" t="str">
        <f t="shared" si="1"/>
        <v>D14</v>
      </c>
      <c r="E52" s="167">
        <f t="shared" si="2"/>
        <v>13</v>
      </c>
      <c r="F52" s="52" t="s">
        <v>164</v>
      </c>
      <c r="G52" s="52" t="s">
        <v>129</v>
      </c>
      <c r="H52" s="52" t="s">
        <v>4</v>
      </c>
      <c r="I52" s="168">
        <v>39567</v>
      </c>
      <c r="J52" s="168">
        <v>2420985</v>
      </c>
    </row>
    <row r="53" spans="2:10" ht="15.75">
      <c r="B53" s="14">
        <v>49</v>
      </c>
      <c r="C53" s="170">
        <f t="shared" si="0"/>
        <v>17</v>
      </c>
      <c r="D53" s="84" t="str">
        <f t="shared" si="1"/>
        <v>H12</v>
      </c>
      <c r="E53" s="167">
        <f t="shared" si="2"/>
        <v>12</v>
      </c>
      <c r="F53" s="52" t="s">
        <v>164</v>
      </c>
      <c r="G53" s="52" t="s">
        <v>165</v>
      </c>
      <c r="H53" s="52" t="s">
        <v>8</v>
      </c>
      <c r="I53" s="168">
        <v>40127</v>
      </c>
      <c r="J53" s="168"/>
    </row>
    <row r="54" spans="2:10" ht="15.75">
      <c r="B54" s="14">
        <v>50</v>
      </c>
      <c r="C54" s="170">
        <f t="shared" si="0"/>
        <v>4</v>
      </c>
      <c r="D54" s="84" t="str">
        <f t="shared" si="1"/>
        <v>D16</v>
      </c>
      <c r="E54" s="167">
        <f t="shared" si="2"/>
        <v>15</v>
      </c>
      <c r="F54" s="52" t="s">
        <v>164</v>
      </c>
      <c r="G54" s="52" t="s">
        <v>166</v>
      </c>
      <c r="H54" s="52" t="s">
        <v>4</v>
      </c>
      <c r="I54" s="168">
        <v>38784</v>
      </c>
      <c r="J54" s="168"/>
    </row>
    <row r="55" spans="2:10" ht="15.75">
      <c r="B55" s="14">
        <v>51</v>
      </c>
      <c r="C55" s="170">
        <f t="shared" si="0"/>
        <v>9</v>
      </c>
      <c r="D55" s="84" t="str">
        <f t="shared" si="1"/>
        <v>D40</v>
      </c>
      <c r="E55" s="167">
        <f t="shared" si="2"/>
        <v>40</v>
      </c>
      <c r="F55" s="52" t="s">
        <v>167</v>
      </c>
      <c r="G55" s="52" t="s">
        <v>168</v>
      </c>
      <c r="H55" s="52" t="s">
        <v>4</v>
      </c>
      <c r="I55" s="168">
        <v>29648</v>
      </c>
      <c r="J55" s="168">
        <v>2720992</v>
      </c>
    </row>
    <row r="56" spans="2:10" ht="15.75">
      <c r="B56" s="14">
        <v>52</v>
      </c>
      <c r="C56" s="170">
        <f t="shared" si="0"/>
        <v>2</v>
      </c>
      <c r="D56" s="84" t="str">
        <f xml:space="preserve"> CONCATENATE(H56,IF(E56 &gt;=70, 70, IF(E56 &gt;= 65,65,IF(E56 &gt;= 60,60,IF(E56 &gt;= 55,55,IF(E56 &gt;= 50,50,IF(E56&gt;= 45,45,IF(E56 &gt;= 40,40,IF(E56 &gt;= 35,35,IF(E56 &gt;= 21,21,IF(E56 &gt;= 20,20,IF(E56 &gt;= 17,18,IF(E56 &gt;= 15,16,IF(E56&gt;= 13,14,IF(E56 &gt;= 11,12,10)))))))))))))))</f>
        <v>D12</v>
      </c>
      <c r="E56" s="167">
        <f t="shared" si="2"/>
        <v>12</v>
      </c>
      <c r="F56" s="52" t="s">
        <v>146</v>
      </c>
      <c r="G56" s="52" t="s">
        <v>169</v>
      </c>
      <c r="H56" s="52" t="s">
        <v>4</v>
      </c>
      <c r="I56" s="168">
        <v>40000</v>
      </c>
      <c r="J56" s="168">
        <v>2420998</v>
      </c>
    </row>
    <row r="57" spans="2:10" ht="15.75">
      <c r="B57" s="14">
        <v>53</v>
      </c>
      <c r="C57" s="170">
        <f t="shared" si="0"/>
        <v>10</v>
      </c>
      <c r="D57" s="84" t="str">
        <f t="shared" si="1"/>
        <v>D45</v>
      </c>
      <c r="E57" s="167">
        <f t="shared" si="2"/>
        <v>48</v>
      </c>
      <c r="F57" s="52" t="s">
        <v>146</v>
      </c>
      <c r="G57" s="52" t="s">
        <v>170</v>
      </c>
      <c r="H57" s="52" t="s">
        <v>4</v>
      </c>
      <c r="I57" s="168">
        <v>26735</v>
      </c>
      <c r="J57" s="168">
        <v>2109545</v>
      </c>
    </row>
    <row r="58" spans="2:10" ht="15.75">
      <c r="B58" s="14">
        <v>54</v>
      </c>
      <c r="C58" s="170">
        <f t="shared" si="0"/>
        <v>5</v>
      </c>
      <c r="D58" s="84" t="str">
        <f t="shared" si="1"/>
        <v>D18</v>
      </c>
      <c r="E58" s="167">
        <f t="shared" si="2"/>
        <v>17</v>
      </c>
      <c r="F58" s="52" t="s">
        <v>171</v>
      </c>
      <c r="G58" s="52" t="s">
        <v>159</v>
      </c>
      <c r="H58" s="52" t="s">
        <v>4</v>
      </c>
      <c r="I58" s="168">
        <v>38161</v>
      </c>
      <c r="J58" s="168">
        <v>2144319</v>
      </c>
    </row>
    <row r="59" spans="2:10" ht="15.75">
      <c r="B59" s="14">
        <v>55</v>
      </c>
      <c r="C59" s="170">
        <f t="shared" si="0"/>
        <v>3</v>
      </c>
      <c r="D59" s="84" t="str">
        <f t="shared" si="1"/>
        <v>D14</v>
      </c>
      <c r="E59" s="167">
        <f t="shared" si="2"/>
        <v>13</v>
      </c>
      <c r="F59" s="52" t="s">
        <v>173</v>
      </c>
      <c r="G59" s="52" t="s">
        <v>174</v>
      </c>
      <c r="H59" s="52" t="s">
        <v>4</v>
      </c>
      <c r="I59" s="168">
        <v>39581</v>
      </c>
      <c r="J59" s="168">
        <v>2113830</v>
      </c>
    </row>
    <row r="60" spans="2:10" ht="15.75">
      <c r="B60" s="14">
        <v>56</v>
      </c>
      <c r="C60" s="170">
        <f t="shared" si="0"/>
        <v>18</v>
      </c>
      <c r="D60" s="84" t="str">
        <f t="shared" si="1"/>
        <v>H14</v>
      </c>
      <c r="E60" s="167">
        <f t="shared" si="2"/>
        <v>14</v>
      </c>
      <c r="F60" s="52" t="s">
        <v>175</v>
      </c>
      <c r="G60" s="52" t="s">
        <v>176</v>
      </c>
      <c r="H60" s="52" t="s">
        <v>8</v>
      </c>
      <c r="I60" s="168">
        <v>39103</v>
      </c>
      <c r="J60" s="168">
        <v>2420989</v>
      </c>
    </row>
    <row r="61" spans="2:10" ht="15.75">
      <c r="B61" s="14">
        <v>57</v>
      </c>
      <c r="C61" s="170">
        <f t="shared" si="0"/>
        <v>18</v>
      </c>
      <c r="D61" s="84" t="str">
        <f t="shared" si="1"/>
        <v>H14</v>
      </c>
      <c r="E61" s="167">
        <f t="shared" si="2"/>
        <v>14</v>
      </c>
      <c r="F61" s="52" t="s">
        <v>177</v>
      </c>
      <c r="G61" s="52" t="s">
        <v>172</v>
      </c>
      <c r="H61" s="52" t="s">
        <v>8</v>
      </c>
      <c r="I61" s="168">
        <v>39215</v>
      </c>
      <c r="J61" s="168">
        <v>8002209</v>
      </c>
    </row>
    <row r="62" spans="2:10" ht="15.75">
      <c r="B62" s="14">
        <v>58</v>
      </c>
      <c r="C62" s="170">
        <f t="shared" si="0"/>
        <v>10</v>
      </c>
      <c r="D62" s="84" t="str">
        <f t="shared" si="1"/>
        <v>D45</v>
      </c>
      <c r="E62" s="167">
        <f t="shared" si="2"/>
        <v>48</v>
      </c>
      <c r="F62" s="52" t="s">
        <v>178</v>
      </c>
      <c r="G62" s="52" t="s">
        <v>179</v>
      </c>
      <c r="H62" s="52" t="s">
        <v>4</v>
      </c>
      <c r="I62" s="168">
        <v>26950</v>
      </c>
      <c r="J62" s="168">
        <v>2420993</v>
      </c>
    </row>
    <row r="63" spans="2:10" ht="15.75">
      <c r="B63" s="14">
        <v>59</v>
      </c>
      <c r="C63" s="170">
        <f t="shared" si="0"/>
        <v>4</v>
      </c>
      <c r="D63" s="84" t="str">
        <f t="shared" si="1"/>
        <v>D16</v>
      </c>
      <c r="E63" s="167">
        <f t="shared" si="2"/>
        <v>15</v>
      </c>
      <c r="F63" s="52" t="s">
        <v>180</v>
      </c>
      <c r="G63" s="52" t="s">
        <v>181</v>
      </c>
      <c r="H63" s="52" t="s">
        <v>4</v>
      </c>
      <c r="I63" s="168">
        <v>38790</v>
      </c>
      <c r="J63" s="168">
        <v>2113811</v>
      </c>
    </row>
    <row r="64" spans="2:10" ht="15.75">
      <c r="B64" s="14">
        <v>60</v>
      </c>
      <c r="C64" s="170">
        <f t="shared" si="0"/>
        <v>18</v>
      </c>
      <c r="D64" s="84" t="str">
        <f t="shared" si="1"/>
        <v>H14</v>
      </c>
      <c r="E64" s="167">
        <f t="shared" si="2"/>
        <v>13</v>
      </c>
      <c r="F64" s="52" t="s">
        <v>182</v>
      </c>
      <c r="G64" s="52" t="s">
        <v>183</v>
      </c>
      <c r="H64" s="52" t="s">
        <v>8</v>
      </c>
      <c r="I64" s="168">
        <v>39781</v>
      </c>
      <c r="J64" s="168">
        <v>2082468</v>
      </c>
    </row>
    <row r="65" spans="2:10" ht="15.75">
      <c r="B65" s="14">
        <v>61</v>
      </c>
      <c r="C65" s="170">
        <f t="shared" si="0"/>
        <v>1</v>
      </c>
      <c r="D65" s="84" t="str">
        <f t="shared" si="1"/>
        <v>D10</v>
      </c>
      <c r="E65" s="167">
        <f t="shared" si="2"/>
        <v>9</v>
      </c>
      <c r="F65" s="52" t="s">
        <v>149</v>
      </c>
      <c r="G65" s="52" t="s">
        <v>184</v>
      </c>
      <c r="H65" s="52" t="s">
        <v>4</v>
      </c>
      <c r="I65" s="168">
        <v>40973</v>
      </c>
      <c r="J65" s="168">
        <v>228368</v>
      </c>
    </row>
    <row r="66" spans="2:10" ht="15.75">
      <c r="B66" s="14">
        <v>62</v>
      </c>
      <c r="C66" s="170">
        <f t="shared" si="0"/>
        <v>17</v>
      </c>
      <c r="D66" s="84" t="str">
        <f t="shared" si="1"/>
        <v>H12</v>
      </c>
      <c r="E66" s="167">
        <f t="shared" si="2"/>
        <v>12</v>
      </c>
      <c r="F66" s="52" t="s">
        <v>198</v>
      </c>
      <c r="G66" s="52" t="s">
        <v>199</v>
      </c>
      <c r="H66" s="52" t="s">
        <v>8</v>
      </c>
      <c r="I66" s="168">
        <v>40017</v>
      </c>
      <c r="J66" s="168">
        <v>2311181</v>
      </c>
    </row>
    <row r="67" spans="2:10" ht="15.75">
      <c r="B67" s="14">
        <v>63</v>
      </c>
      <c r="C67" s="170">
        <f t="shared" si="0"/>
        <v>24</v>
      </c>
      <c r="D67" s="84" t="str">
        <f t="shared" si="1"/>
        <v>H40</v>
      </c>
      <c r="E67" s="167">
        <f t="shared" si="2"/>
        <v>44</v>
      </c>
      <c r="F67" s="52" t="s">
        <v>173</v>
      </c>
      <c r="G67" s="52" t="s">
        <v>200</v>
      </c>
      <c r="H67" s="52" t="s">
        <v>8</v>
      </c>
      <c r="I67" s="168">
        <v>28233</v>
      </c>
      <c r="J67" s="168"/>
    </row>
    <row r="68" spans="2:10" ht="15.75">
      <c r="B68" s="14">
        <v>64</v>
      </c>
      <c r="C68" s="170">
        <f t="shared" si="0"/>
        <v>9</v>
      </c>
      <c r="D68" s="84" t="str">
        <f t="shared" si="1"/>
        <v>D40</v>
      </c>
      <c r="E68" s="167">
        <f t="shared" si="2"/>
        <v>42</v>
      </c>
      <c r="F68" s="52" t="s">
        <v>173</v>
      </c>
      <c r="G68" s="52" t="s">
        <v>201</v>
      </c>
      <c r="H68" s="52" t="s">
        <v>4</v>
      </c>
      <c r="I68" s="168">
        <v>28858</v>
      </c>
      <c r="J68" s="168"/>
    </row>
    <row r="69" spans="2:10" ht="15.75">
      <c r="B69" s="14">
        <v>65</v>
      </c>
      <c r="C69" s="170">
        <f t="shared" si="0"/>
        <v>2</v>
      </c>
      <c r="D69" s="84" t="str">
        <f t="shared" si="1"/>
        <v>D12</v>
      </c>
      <c r="E69" s="167">
        <f t="shared" si="2"/>
        <v>11</v>
      </c>
      <c r="F69" s="52" t="s">
        <v>173</v>
      </c>
      <c r="G69" s="52" t="s">
        <v>202</v>
      </c>
      <c r="H69" s="52" t="s">
        <v>4</v>
      </c>
      <c r="I69" s="168">
        <v>40282</v>
      </c>
      <c r="J69" s="168">
        <v>2311187</v>
      </c>
    </row>
    <row r="70" spans="2:10" ht="15.75">
      <c r="B70" s="14">
        <v>66</v>
      </c>
      <c r="C70" s="170">
        <f t="shared" ref="C70:C121" si="3">LOOKUP(D70,$M$11:$M$40,$L$11:$L$40)</f>
        <v>17</v>
      </c>
      <c r="D70" s="84" t="str">
        <f t="shared" ref="D70:D133" si="4" xml:space="preserve"> CONCATENATE(H70,IF(E70 &gt;=70, 70, IF(E70 &gt;= 65,65,IF(E70 &gt;= 60,60,IF(E70 &gt;= 55,55,IF(E70 &gt;= 50,50,IF(E70&gt;= 45,45,IF(E70 &gt;= 40,40,IF(E70 &gt;= 35,35,IF(E70 &gt;= 21,21,IF(E70 &gt;= 20,20,IF(E70 &gt;= 17,18,IF(E70 &gt;= 15,16,IF(E70&gt;= 13,14,IF(E70 &gt;= 11,12,10)))))))))))))))</f>
        <v>H12</v>
      </c>
      <c r="E70" s="167">
        <f t="shared" ref="E70:E133" si="5">$J$1 - (RIGHT(TEXT(I70," JJ/MM/AAAA"),4))</f>
        <v>11</v>
      </c>
      <c r="F70" s="52" t="s">
        <v>203</v>
      </c>
      <c r="G70" s="52" t="s">
        <v>204</v>
      </c>
      <c r="H70" s="52" t="s">
        <v>8</v>
      </c>
      <c r="I70" s="168">
        <v>40456</v>
      </c>
      <c r="J70" s="168">
        <v>2311182</v>
      </c>
    </row>
    <row r="71" spans="2:10" ht="15.75">
      <c r="B71" s="14">
        <v>67</v>
      </c>
      <c r="C71" s="170">
        <f t="shared" si="3"/>
        <v>18</v>
      </c>
      <c r="D71" s="84" t="str">
        <f t="shared" si="4"/>
        <v>H14</v>
      </c>
      <c r="E71" s="167">
        <f t="shared" si="5"/>
        <v>13</v>
      </c>
      <c r="F71" s="52" t="s">
        <v>203</v>
      </c>
      <c r="G71" s="52" t="s">
        <v>205</v>
      </c>
      <c r="H71" s="52" t="s">
        <v>8</v>
      </c>
      <c r="I71" s="168">
        <v>39628</v>
      </c>
      <c r="J71" s="168">
        <v>2311184</v>
      </c>
    </row>
    <row r="72" spans="2:10" ht="15.75">
      <c r="B72" s="14">
        <v>68</v>
      </c>
      <c r="C72" s="170">
        <f t="shared" si="3"/>
        <v>2</v>
      </c>
      <c r="D72" s="84" t="str">
        <f t="shared" si="4"/>
        <v>D12</v>
      </c>
      <c r="E72" s="167">
        <f t="shared" si="5"/>
        <v>12</v>
      </c>
      <c r="F72" s="52" t="s">
        <v>206</v>
      </c>
      <c r="G72" s="52" t="s">
        <v>207</v>
      </c>
      <c r="H72" s="52" t="s">
        <v>4</v>
      </c>
      <c r="I72" s="168">
        <v>39865</v>
      </c>
      <c r="J72" s="168">
        <v>2311185</v>
      </c>
    </row>
    <row r="73" spans="2:10" ht="15.75">
      <c r="B73" s="14">
        <v>69</v>
      </c>
      <c r="C73" s="170">
        <f t="shared" si="3"/>
        <v>24</v>
      </c>
      <c r="D73" s="84" t="str">
        <f t="shared" si="4"/>
        <v>H40</v>
      </c>
      <c r="E73" s="167">
        <f t="shared" si="5"/>
        <v>44</v>
      </c>
      <c r="F73" s="52" t="s">
        <v>177</v>
      </c>
      <c r="G73" s="52" t="s">
        <v>126</v>
      </c>
      <c r="H73" s="52" t="s">
        <v>8</v>
      </c>
      <c r="I73" s="168">
        <v>28383</v>
      </c>
      <c r="J73" s="168">
        <v>8000186</v>
      </c>
    </row>
    <row r="74" spans="2:10" ht="15.75">
      <c r="B74" s="14">
        <v>70</v>
      </c>
      <c r="C74" s="170">
        <f t="shared" si="3"/>
        <v>4</v>
      </c>
      <c r="D74" s="84" t="str">
        <f t="shared" si="4"/>
        <v>D16</v>
      </c>
      <c r="E74" s="167">
        <f t="shared" si="5"/>
        <v>16</v>
      </c>
      <c r="F74" s="52" t="s">
        <v>208</v>
      </c>
      <c r="G74" s="52" t="s">
        <v>209</v>
      </c>
      <c r="H74" s="52" t="s">
        <v>4</v>
      </c>
      <c r="I74" s="168">
        <v>38609</v>
      </c>
      <c r="J74" s="168">
        <v>2311190</v>
      </c>
    </row>
    <row r="75" spans="2:10" ht="15.75">
      <c r="B75" s="14">
        <v>71</v>
      </c>
      <c r="C75" s="170">
        <f t="shared" si="3"/>
        <v>17</v>
      </c>
      <c r="D75" s="84" t="str">
        <f t="shared" si="4"/>
        <v>H12</v>
      </c>
      <c r="E75" s="167">
        <f t="shared" si="5"/>
        <v>12</v>
      </c>
      <c r="F75" s="52" t="s">
        <v>210</v>
      </c>
      <c r="G75" s="52" t="s">
        <v>211</v>
      </c>
      <c r="H75" s="52" t="s">
        <v>8</v>
      </c>
      <c r="I75" s="168">
        <v>39856</v>
      </c>
      <c r="J75" s="168">
        <v>2311183</v>
      </c>
    </row>
    <row r="76" spans="2:10" ht="15.75">
      <c r="B76" s="14">
        <v>72</v>
      </c>
      <c r="C76" s="170">
        <f t="shared" si="3"/>
        <v>18</v>
      </c>
      <c r="D76" s="84" t="str">
        <f t="shared" si="4"/>
        <v>H14</v>
      </c>
      <c r="E76" s="167">
        <f t="shared" si="5"/>
        <v>14</v>
      </c>
      <c r="F76" s="52" t="s">
        <v>212</v>
      </c>
      <c r="G76" s="52" t="s">
        <v>213</v>
      </c>
      <c r="H76" s="52" t="s">
        <v>8</v>
      </c>
      <c r="I76" s="168">
        <v>39317</v>
      </c>
      <c r="J76" s="168">
        <v>2420990</v>
      </c>
    </row>
    <row r="77" spans="2:10" ht="15.75">
      <c r="B77" s="14">
        <v>73</v>
      </c>
      <c r="C77" s="170">
        <f t="shared" si="3"/>
        <v>3</v>
      </c>
      <c r="D77" s="84" t="str">
        <f t="shared" si="4"/>
        <v>D14</v>
      </c>
      <c r="E77" s="167">
        <f t="shared" si="5"/>
        <v>13</v>
      </c>
      <c r="F77" s="52" t="s">
        <v>214</v>
      </c>
      <c r="G77" s="52" t="s">
        <v>215</v>
      </c>
      <c r="H77" s="52" t="s">
        <v>4</v>
      </c>
      <c r="I77" s="168">
        <v>39757</v>
      </c>
      <c r="J77" s="168">
        <v>2150413</v>
      </c>
    </row>
    <row r="78" spans="2:10" ht="15.75">
      <c r="B78" s="14">
        <v>74</v>
      </c>
      <c r="C78" s="170">
        <f t="shared" si="3"/>
        <v>27</v>
      </c>
      <c r="D78" s="84" t="str">
        <f t="shared" si="4"/>
        <v>H55</v>
      </c>
      <c r="E78" s="167">
        <f t="shared" si="5"/>
        <v>59</v>
      </c>
      <c r="F78" s="52" t="s">
        <v>216</v>
      </c>
      <c r="G78" s="52" t="s">
        <v>217</v>
      </c>
      <c r="H78" s="52" t="s">
        <v>8</v>
      </c>
      <c r="I78" s="168">
        <v>22932</v>
      </c>
      <c r="J78" s="168">
        <v>2420986</v>
      </c>
    </row>
    <row r="79" spans="2:10" ht="15.75">
      <c r="B79" s="14">
        <v>75</v>
      </c>
      <c r="C79" s="170">
        <f t="shared" si="3"/>
        <v>12</v>
      </c>
      <c r="D79" s="84" t="str">
        <f t="shared" si="4"/>
        <v>D55</v>
      </c>
      <c r="E79" s="167">
        <f t="shared" si="5"/>
        <v>57</v>
      </c>
      <c r="F79" s="52" t="s">
        <v>216</v>
      </c>
      <c r="G79" s="52" t="s">
        <v>218</v>
      </c>
      <c r="H79" s="52" t="s">
        <v>4</v>
      </c>
      <c r="I79" s="168">
        <v>23618</v>
      </c>
      <c r="J79" s="168">
        <v>2420987</v>
      </c>
    </row>
    <row r="80" spans="2:10" ht="15.75">
      <c r="B80" s="14">
        <v>76</v>
      </c>
      <c r="C80" s="170">
        <f t="shared" si="3"/>
        <v>17</v>
      </c>
      <c r="D80" s="84" t="str">
        <f t="shared" si="4"/>
        <v>H12</v>
      </c>
      <c r="E80" s="167">
        <f t="shared" si="5"/>
        <v>12</v>
      </c>
      <c r="F80" s="52" t="s">
        <v>216</v>
      </c>
      <c r="G80" s="52" t="s">
        <v>219</v>
      </c>
      <c r="H80" s="52" t="s">
        <v>8</v>
      </c>
      <c r="I80" s="168">
        <v>40157</v>
      </c>
      <c r="J80" s="168">
        <v>2311189</v>
      </c>
    </row>
    <row r="81" spans="2:10" ht="15.75">
      <c r="B81" s="14">
        <v>77</v>
      </c>
      <c r="C81" s="170">
        <f t="shared" si="3"/>
        <v>22</v>
      </c>
      <c r="D81" s="84" t="str">
        <f t="shared" si="4"/>
        <v>H21</v>
      </c>
      <c r="E81" s="167">
        <f t="shared" si="5"/>
        <v>30</v>
      </c>
      <c r="F81" s="52" t="s">
        <v>216</v>
      </c>
      <c r="G81" s="52" t="s">
        <v>220</v>
      </c>
      <c r="H81" s="52" t="s">
        <v>8</v>
      </c>
      <c r="I81" s="168">
        <v>33266</v>
      </c>
      <c r="J81" s="168">
        <v>2150411</v>
      </c>
    </row>
    <row r="82" spans="2:10" ht="15.75">
      <c r="B82" s="14">
        <v>78</v>
      </c>
      <c r="C82" s="170">
        <f t="shared" si="3"/>
        <v>22</v>
      </c>
      <c r="D82" s="84" t="str">
        <f t="shared" si="4"/>
        <v>H21</v>
      </c>
      <c r="E82" s="167">
        <f t="shared" si="5"/>
        <v>29</v>
      </c>
      <c r="F82" s="52" t="s">
        <v>216</v>
      </c>
      <c r="G82" s="52" t="s">
        <v>221</v>
      </c>
      <c r="H82" s="52" t="s">
        <v>8</v>
      </c>
      <c r="I82" s="168">
        <v>33807</v>
      </c>
      <c r="J82" s="168">
        <v>2150412</v>
      </c>
    </row>
    <row r="83" spans="2:10" ht="15.75">
      <c r="B83" s="14">
        <v>79</v>
      </c>
      <c r="C83" s="170">
        <f t="shared" si="3"/>
        <v>18</v>
      </c>
      <c r="D83" s="84" t="str">
        <f t="shared" si="4"/>
        <v>H14</v>
      </c>
      <c r="E83" s="167">
        <f t="shared" si="5"/>
        <v>13</v>
      </c>
      <c r="F83" s="52" t="s">
        <v>222</v>
      </c>
      <c r="G83" s="52" t="s">
        <v>223</v>
      </c>
      <c r="H83" s="52" t="s">
        <v>8</v>
      </c>
      <c r="I83" s="168">
        <v>39670</v>
      </c>
      <c r="J83" s="168">
        <v>2150416</v>
      </c>
    </row>
    <row r="84" spans="2:10" ht="15.75">
      <c r="B84" s="14">
        <v>80</v>
      </c>
      <c r="C84" s="170">
        <f t="shared" si="3"/>
        <v>2</v>
      </c>
      <c r="D84" s="84" t="str">
        <f t="shared" si="4"/>
        <v>D12</v>
      </c>
      <c r="E84" s="167">
        <f t="shared" si="5"/>
        <v>11</v>
      </c>
      <c r="F84" s="52" t="s">
        <v>224</v>
      </c>
      <c r="G84" s="52" t="s">
        <v>225</v>
      </c>
      <c r="H84" s="52" t="s">
        <v>4</v>
      </c>
      <c r="I84" s="168">
        <v>40415</v>
      </c>
      <c r="J84" s="168">
        <v>2150414</v>
      </c>
    </row>
    <row r="85" spans="2:10" ht="15.75">
      <c r="B85" s="14">
        <v>81</v>
      </c>
      <c r="C85" s="170">
        <f t="shared" si="3"/>
        <v>26</v>
      </c>
      <c r="D85" s="84" t="str">
        <f t="shared" si="4"/>
        <v>H50</v>
      </c>
      <c r="E85" s="167">
        <f t="shared" si="5"/>
        <v>51</v>
      </c>
      <c r="F85" s="52" t="s">
        <v>226</v>
      </c>
      <c r="G85" s="52" t="s">
        <v>227</v>
      </c>
      <c r="H85" s="52" t="s">
        <v>8</v>
      </c>
      <c r="I85" s="168">
        <v>25745</v>
      </c>
      <c r="J85" s="168"/>
    </row>
    <row r="86" spans="2:10" ht="15.75">
      <c r="B86" s="14">
        <v>82</v>
      </c>
      <c r="C86" s="170">
        <f t="shared" si="3"/>
        <v>16</v>
      </c>
      <c r="D86" s="84" t="str">
        <f t="shared" si="4"/>
        <v>H10</v>
      </c>
      <c r="E86" s="167">
        <f t="shared" si="5"/>
        <v>10</v>
      </c>
      <c r="F86" s="52" t="s">
        <v>226</v>
      </c>
      <c r="G86" s="52" t="s">
        <v>228</v>
      </c>
      <c r="H86" s="52" t="s">
        <v>8</v>
      </c>
      <c r="I86" s="168">
        <v>40561</v>
      </c>
      <c r="J86" s="168"/>
    </row>
    <row r="87" spans="2:10" ht="15.75">
      <c r="B87" s="14">
        <v>83</v>
      </c>
      <c r="C87" s="170">
        <f t="shared" si="3"/>
        <v>18</v>
      </c>
      <c r="D87" s="84" t="str">
        <f t="shared" si="4"/>
        <v>H14</v>
      </c>
      <c r="E87" s="167">
        <f t="shared" si="5"/>
        <v>14</v>
      </c>
      <c r="F87" s="52" t="s">
        <v>229</v>
      </c>
      <c r="G87" s="52" t="s">
        <v>230</v>
      </c>
      <c r="H87" s="52" t="s">
        <v>8</v>
      </c>
      <c r="I87" s="168">
        <v>39223</v>
      </c>
      <c r="J87" s="168">
        <v>2311186</v>
      </c>
    </row>
    <row r="88" spans="2:10" ht="15.75">
      <c r="B88" s="14">
        <v>84</v>
      </c>
      <c r="C88" s="170">
        <f t="shared" si="3"/>
        <v>9</v>
      </c>
      <c r="D88" s="84" t="str">
        <f t="shared" si="4"/>
        <v>D40</v>
      </c>
      <c r="E88" s="167">
        <f t="shared" si="5"/>
        <v>40</v>
      </c>
      <c r="F88" s="52" t="s">
        <v>231</v>
      </c>
      <c r="G88" s="52" t="s">
        <v>232</v>
      </c>
      <c r="H88" s="52" t="s">
        <v>4</v>
      </c>
      <c r="I88" s="168">
        <v>29664</v>
      </c>
      <c r="J88" s="168"/>
    </row>
    <row r="89" spans="2:10" ht="15.75">
      <c r="B89" s="14">
        <v>85</v>
      </c>
      <c r="C89" s="170">
        <f t="shared" si="3"/>
        <v>17</v>
      </c>
      <c r="D89" s="84" t="str">
        <f t="shared" si="4"/>
        <v>H12</v>
      </c>
      <c r="E89" s="167">
        <f t="shared" si="5"/>
        <v>11</v>
      </c>
      <c r="F89" s="52" t="s">
        <v>233</v>
      </c>
      <c r="G89" s="52" t="s">
        <v>234</v>
      </c>
      <c r="H89" s="52" t="s">
        <v>8</v>
      </c>
      <c r="I89" s="168">
        <v>40279</v>
      </c>
      <c r="J89" s="168">
        <v>2150417</v>
      </c>
    </row>
    <row r="90" spans="2:10" ht="15.75">
      <c r="B90" s="14">
        <v>86</v>
      </c>
      <c r="C90" s="170">
        <f t="shared" si="3"/>
        <v>19</v>
      </c>
      <c r="D90" s="84" t="str">
        <f t="shared" si="4"/>
        <v>H16</v>
      </c>
      <c r="E90" s="167">
        <f t="shared" si="5"/>
        <v>15</v>
      </c>
      <c r="F90" s="52" t="s">
        <v>235</v>
      </c>
      <c r="G90" s="52" t="s">
        <v>236</v>
      </c>
      <c r="H90" s="52" t="s">
        <v>8</v>
      </c>
      <c r="I90" s="168">
        <v>38993</v>
      </c>
      <c r="J90" s="168">
        <v>2144316</v>
      </c>
    </row>
    <row r="91" spans="2:10" ht="15.75">
      <c r="B91" s="14">
        <v>87</v>
      </c>
      <c r="C91" s="170">
        <f t="shared" si="3"/>
        <v>10</v>
      </c>
      <c r="D91" s="84" t="str">
        <f t="shared" si="4"/>
        <v>D45</v>
      </c>
      <c r="E91" s="167">
        <f t="shared" si="5"/>
        <v>47</v>
      </c>
      <c r="F91" s="52" t="s">
        <v>195</v>
      </c>
      <c r="G91" s="52" t="s">
        <v>237</v>
      </c>
      <c r="H91" s="52" t="s">
        <v>4</v>
      </c>
      <c r="I91" s="168">
        <v>27241</v>
      </c>
      <c r="J91" s="168"/>
    </row>
    <row r="92" spans="2:10" ht="15.75">
      <c r="B92" s="14">
        <v>88</v>
      </c>
      <c r="C92" s="170" t="e">
        <f t="shared" si="3"/>
        <v>#N/A</v>
      </c>
      <c r="D92" s="84" t="str">
        <f t="shared" si="4"/>
        <v>70</v>
      </c>
      <c r="E92" s="167">
        <f t="shared" si="5"/>
        <v>121</v>
      </c>
      <c r="F92" s="52"/>
      <c r="G92" s="52"/>
      <c r="H92" s="52"/>
      <c r="I92" s="168"/>
      <c r="J92" s="52"/>
    </row>
    <row r="93" spans="2:10" ht="15.75">
      <c r="B93" s="14">
        <v>89</v>
      </c>
      <c r="C93" s="170" t="e">
        <f t="shared" si="3"/>
        <v>#N/A</v>
      </c>
      <c r="D93" s="84" t="str">
        <f t="shared" si="4"/>
        <v>70</v>
      </c>
      <c r="E93" s="167">
        <f t="shared" si="5"/>
        <v>121</v>
      </c>
      <c r="F93" s="52"/>
      <c r="G93" s="52"/>
      <c r="H93" s="52"/>
      <c r="I93" s="168"/>
      <c r="J93" s="52"/>
    </row>
    <row r="94" spans="2:10" ht="15.75">
      <c r="B94" s="14">
        <v>90</v>
      </c>
      <c r="C94" s="170" t="e">
        <f t="shared" si="3"/>
        <v>#N/A</v>
      </c>
      <c r="D94" s="84" t="str">
        <f t="shared" si="4"/>
        <v>70</v>
      </c>
      <c r="E94" s="167">
        <f t="shared" si="5"/>
        <v>121</v>
      </c>
      <c r="F94" s="52"/>
      <c r="G94" s="52"/>
      <c r="H94" s="52"/>
      <c r="I94" s="168"/>
      <c r="J94" s="52"/>
    </row>
    <row r="95" spans="2:10" ht="15.75">
      <c r="B95" s="14">
        <v>91</v>
      </c>
      <c r="C95" s="170" t="e">
        <f t="shared" si="3"/>
        <v>#N/A</v>
      </c>
      <c r="D95" s="84" t="str">
        <f t="shared" si="4"/>
        <v>70</v>
      </c>
      <c r="E95" s="167">
        <f t="shared" si="5"/>
        <v>121</v>
      </c>
      <c r="F95" s="52"/>
      <c r="G95" s="52"/>
      <c r="H95" s="52"/>
      <c r="I95" s="168"/>
      <c r="J95" s="52"/>
    </row>
    <row r="96" spans="2:10" ht="15.75">
      <c r="B96" s="14">
        <v>92</v>
      </c>
      <c r="C96" s="170" t="e">
        <f t="shared" si="3"/>
        <v>#N/A</v>
      </c>
      <c r="D96" s="84" t="str">
        <f t="shared" si="4"/>
        <v>70</v>
      </c>
      <c r="E96" s="167">
        <f t="shared" si="5"/>
        <v>121</v>
      </c>
      <c r="F96" s="52"/>
      <c r="G96" s="52"/>
      <c r="H96" s="52"/>
      <c r="I96" s="168"/>
      <c r="J96" s="52"/>
    </row>
    <row r="97" spans="2:10" ht="15.75">
      <c r="B97" s="14">
        <v>93</v>
      </c>
      <c r="C97" s="170" t="e">
        <f t="shared" si="3"/>
        <v>#N/A</v>
      </c>
      <c r="D97" s="84" t="str">
        <f t="shared" si="4"/>
        <v>70</v>
      </c>
      <c r="E97" s="167">
        <f t="shared" si="5"/>
        <v>121</v>
      </c>
      <c r="F97" s="52"/>
      <c r="G97" s="52"/>
      <c r="H97" s="52"/>
      <c r="I97" s="168"/>
      <c r="J97" s="52"/>
    </row>
    <row r="98" spans="2:10" ht="15.75">
      <c r="B98" s="14">
        <v>94</v>
      </c>
      <c r="C98" s="170" t="e">
        <f t="shared" si="3"/>
        <v>#N/A</v>
      </c>
      <c r="D98" s="84" t="str">
        <f t="shared" si="4"/>
        <v>70</v>
      </c>
      <c r="E98" s="167">
        <f t="shared" si="5"/>
        <v>121</v>
      </c>
      <c r="F98" s="52"/>
      <c r="G98" s="52"/>
      <c r="H98" s="52"/>
      <c r="I98" s="168"/>
      <c r="J98" s="52"/>
    </row>
    <row r="99" spans="2:10" ht="15.75">
      <c r="B99" s="14">
        <v>95</v>
      </c>
      <c r="C99" s="170" t="e">
        <f t="shared" si="3"/>
        <v>#N/A</v>
      </c>
      <c r="D99" s="84" t="str">
        <f t="shared" si="4"/>
        <v>70</v>
      </c>
      <c r="E99" s="167">
        <f t="shared" si="5"/>
        <v>121</v>
      </c>
      <c r="F99" s="52"/>
      <c r="G99" s="52"/>
      <c r="H99" s="52"/>
      <c r="I99" s="168"/>
      <c r="J99" s="52"/>
    </row>
    <row r="100" spans="2:10" ht="15.75">
      <c r="B100" s="14">
        <v>96</v>
      </c>
      <c r="C100" s="170" t="e">
        <f t="shared" si="3"/>
        <v>#N/A</v>
      </c>
      <c r="D100" s="84" t="str">
        <f t="shared" si="4"/>
        <v>70</v>
      </c>
      <c r="E100" s="167">
        <f t="shared" si="5"/>
        <v>121</v>
      </c>
      <c r="F100" s="52"/>
      <c r="G100" s="52"/>
      <c r="H100" s="52"/>
      <c r="I100" s="168"/>
      <c r="J100" s="52"/>
    </row>
    <row r="101" spans="2:10" ht="15.75">
      <c r="B101" s="14">
        <v>97</v>
      </c>
      <c r="C101" s="170" t="e">
        <f t="shared" si="3"/>
        <v>#N/A</v>
      </c>
      <c r="D101" s="84" t="str">
        <f t="shared" si="4"/>
        <v>70</v>
      </c>
      <c r="E101" s="167">
        <f t="shared" si="5"/>
        <v>121</v>
      </c>
      <c r="F101" s="52"/>
      <c r="G101" s="52"/>
      <c r="H101" s="52"/>
      <c r="I101" s="168"/>
      <c r="J101" s="52"/>
    </row>
    <row r="102" spans="2:10" ht="15.75">
      <c r="B102" s="14">
        <v>98</v>
      </c>
      <c r="C102" s="170" t="e">
        <f t="shared" si="3"/>
        <v>#N/A</v>
      </c>
      <c r="D102" s="84" t="str">
        <f t="shared" si="4"/>
        <v>70</v>
      </c>
      <c r="E102" s="167">
        <f t="shared" si="5"/>
        <v>121</v>
      </c>
      <c r="F102" s="52"/>
      <c r="G102" s="52"/>
      <c r="H102" s="52"/>
      <c r="I102" s="168"/>
      <c r="J102" s="52"/>
    </row>
    <row r="103" spans="2:10" ht="15.75">
      <c r="B103" s="14">
        <v>99</v>
      </c>
      <c r="C103" s="170" t="e">
        <f t="shared" si="3"/>
        <v>#N/A</v>
      </c>
      <c r="D103" s="84" t="str">
        <f t="shared" si="4"/>
        <v>70</v>
      </c>
      <c r="E103" s="167">
        <f t="shared" si="5"/>
        <v>121</v>
      </c>
      <c r="F103" s="52"/>
      <c r="G103" s="52"/>
      <c r="H103" s="52"/>
      <c r="I103" s="168"/>
      <c r="J103" s="52"/>
    </row>
    <row r="104" spans="2:10" ht="15.75">
      <c r="B104" s="14">
        <v>100</v>
      </c>
      <c r="C104" s="170" t="e">
        <f t="shared" si="3"/>
        <v>#N/A</v>
      </c>
      <c r="D104" s="84" t="str">
        <f t="shared" si="4"/>
        <v>70</v>
      </c>
      <c r="E104" s="167">
        <f t="shared" si="5"/>
        <v>121</v>
      </c>
      <c r="F104" s="52"/>
      <c r="G104" s="52"/>
      <c r="H104" s="52"/>
      <c r="I104" s="168"/>
      <c r="J104" s="52"/>
    </row>
    <row r="105" spans="2:10" ht="15.75">
      <c r="B105" s="14">
        <v>101</v>
      </c>
      <c r="C105" s="170" t="e">
        <f t="shared" si="3"/>
        <v>#N/A</v>
      </c>
      <c r="D105" s="84" t="str">
        <f t="shared" si="4"/>
        <v>70</v>
      </c>
      <c r="E105" s="167">
        <f t="shared" si="5"/>
        <v>121</v>
      </c>
      <c r="F105" s="52"/>
      <c r="G105" s="52"/>
      <c r="H105" s="52"/>
      <c r="I105" s="168"/>
      <c r="J105" s="52"/>
    </row>
    <row r="106" spans="2:10" ht="15.75">
      <c r="B106" s="14">
        <v>102</v>
      </c>
      <c r="C106" s="170" t="e">
        <f t="shared" si="3"/>
        <v>#N/A</v>
      </c>
      <c r="D106" s="84" t="str">
        <f t="shared" si="4"/>
        <v>70</v>
      </c>
      <c r="E106" s="167">
        <f t="shared" si="5"/>
        <v>121</v>
      </c>
      <c r="F106" s="52"/>
      <c r="G106" s="52"/>
      <c r="H106" s="52"/>
      <c r="I106" s="168"/>
      <c r="J106" s="52"/>
    </row>
    <row r="107" spans="2:10" ht="15.75">
      <c r="B107" s="14">
        <v>103</v>
      </c>
      <c r="C107" s="170" t="e">
        <f t="shared" si="3"/>
        <v>#N/A</v>
      </c>
      <c r="D107" s="84" t="str">
        <f t="shared" si="4"/>
        <v>70</v>
      </c>
      <c r="E107" s="167">
        <f t="shared" si="5"/>
        <v>121</v>
      </c>
      <c r="F107" s="52"/>
      <c r="G107" s="52"/>
      <c r="H107" s="52"/>
      <c r="I107" s="168"/>
      <c r="J107" s="52"/>
    </row>
    <row r="108" spans="2:10" ht="15.75">
      <c r="B108" s="14">
        <v>104</v>
      </c>
      <c r="C108" s="170" t="e">
        <f t="shared" si="3"/>
        <v>#N/A</v>
      </c>
      <c r="D108" s="84" t="str">
        <f t="shared" si="4"/>
        <v>70</v>
      </c>
      <c r="E108" s="167">
        <f t="shared" si="5"/>
        <v>121</v>
      </c>
      <c r="F108" s="52"/>
      <c r="G108" s="52"/>
      <c r="H108" s="52"/>
      <c r="I108" s="168"/>
      <c r="J108" s="52"/>
    </row>
    <row r="109" spans="2:10" ht="15.75">
      <c r="B109" s="14">
        <v>105</v>
      </c>
      <c r="C109" s="170" t="e">
        <f t="shared" si="3"/>
        <v>#N/A</v>
      </c>
      <c r="D109" s="84" t="str">
        <f t="shared" si="4"/>
        <v>70</v>
      </c>
      <c r="E109" s="167">
        <f t="shared" si="5"/>
        <v>121</v>
      </c>
      <c r="F109" s="52"/>
      <c r="G109" s="52"/>
      <c r="H109" s="52"/>
      <c r="I109" s="168"/>
      <c r="J109" s="52"/>
    </row>
    <row r="110" spans="2:10" ht="15.75">
      <c r="B110" s="14">
        <v>106</v>
      </c>
      <c r="C110" s="170" t="e">
        <f t="shared" si="3"/>
        <v>#N/A</v>
      </c>
      <c r="D110" s="84" t="str">
        <f t="shared" si="4"/>
        <v>70</v>
      </c>
      <c r="E110" s="167">
        <f t="shared" si="5"/>
        <v>121</v>
      </c>
      <c r="F110" s="52"/>
      <c r="G110" s="52"/>
      <c r="H110" s="52"/>
      <c r="I110" s="168"/>
      <c r="J110" s="52"/>
    </row>
    <row r="111" spans="2:10" ht="15.75">
      <c r="B111" s="14">
        <v>107</v>
      </c>
      <c r="C111" s="170" t="e">
        <f t="shared" si="3"/>
        <v>#N/A</v>
      </c>
      <c r="D111" s="84" t="str">
        <f t="shared" si="4"/>
        <v>70</v>
      </c>
      <c r="E111" s="167">
        <f t="shared" si="5"/>
        <v>121</v>
      </c>
      <c r="F111" s="52"/>
      <c r="G111" s="52"/>
      <c r="H111" s="52"/>
      <c r="I111" s="168"/>
      <c r="J111" s="52"/>
    </row>
    <row r="112" spans="2:10" ht="15.75">
      <c r="B112" s="14">
        <v>108</v>
      </c>
      <c r="C112" s="170" t="e">
        <f t="shared" si="3"/>
        <v>#N/A</v>
      </c>
      <c r="D112" s="84" t="str">
        <f t="shared" si="4"/>
        <v>70</v>
      </c>
      <c r="E112" s="167">
        <f t="shared" si="5"/>
        <v>121</v>
      </c>
      <c r="F112" s="52"/>
      <c r="G112" s="52"/>
      <c r="H112" s="52"/>
      <c r="I112" s="168"/>
      <c r="J112" s="52"/>
    </row>
    <row r="113" spans="2:10" ht="15.75">
      <c r="B113" s="14">
        <v>109</v>
      </c>
      <c r="C113" s="170" t="e">
        <f t="shared" si="3"/>
        <v>#N/A</v>
      </c>
      <c r="D113" s="84" t="str">
        <f t="shared" si="4"/>
        <v>70</v>
      </c>
      <c r="E113" s="167">
        <f t="shared" si="5"/>
        <v>121</v>
      </c>
      <c r="F113" s="52"/>
      <c r="G113" s="52"/>
      <c r="H113" s="52"/>
      <c r="I113" s="168"/>
      <c r="J113" s="52"/>
    </row>
    <row r="114" spans="2:10" ht="15.75">
      <c r="B114" s="14">
        <v>110</v>
      </c>
      <c r="C114" s="170" t="e">
        <f t="shared" si="3"/>
        <v>#N/A</v>
      </c>
      <c r="D114" s="84" t="str">
        <f t="shared" si="4"/>
        <v>70</v>
      </c>
      <c r="E114" s="167">
        <f t="shared" si="5"/>
        <v>121</v>
      </c>
      <c r="F114" s="52"/>
      <c r="G114" s="52"/>
      <c r="H114" s="52"/>
      <c r="I114" s="168"/>
      <c r="J114" s="52"/>
    </row>
    <row r="115" spans="2:10" ht="15.75">
      <c r="B115" s="14">
        <v>111</v>
      </c>
      <c r="C115" s="170" t="e">
        <f t="shared" si="3"/>
        <v>#N/A</v>
      </c>
      <c r="D115" s="84" t="str">
        <f t="shared" si="4"/>
        <v>70</v>
      </c>
      <c r="E115" s="167">
        <f t="shared" si="5"/>
        <v>121</v>
      </c>
      <c r="F115" s="52"/>
      <c r="G115" s="52"/>
      <c r="H115" s="52"/>
      <c r="I115" s="168"/>
      <c r="J115" s="52"/>
    </row>
    <row r="116" spans="2:10" ht="15.75">
      <c r="B116" s="14">
        <v>112</v>
      </c>
      <c r="C116" s="170" t="e">
        <f t="shared" si="3"/>
        <v>#N/A</v>
      </c>
      <c r="D116" s="84" t="str">
        <f t="shared" si="4"/>
        <v>70</v>
      </c>
      <c r="E116" s="167">
        <f t="shared" si="5"/>
        <v>121</v>
      </c>
      <c r="F116" s="52"/>
      <c r="G116" s="52"/>
      <c r="H116" s="52"/>
      <c r="I116" s="168"/>
      <c r="J116" s="52"/>
    </row>
    <row r="117" spans="2:10" ht="15.75">
      <c r="B117" s="14">
        <v>113</v>
      </c>
      <c r="C117" s="170" t="e">
        <f t="shared" si="3"/>
        <v>#N/A</v>
      </c>
      <c r="D117" s="84" t="str">
        <f t="shared" si="4"/>
        <v>70</v>
      </c>
      <c r="E117" s="167">
        <f t="shared" si="5"/>
        <v>121</v>
      </c>
      <c r="F117" s="52"/>
      <c r="G117" s="52"/>
      <c r="H117" s="52"/>
      <c r="I117" s="168"/>
      <c r="J117" s="52"/>
    </row>
    <row r="118" spans="2:10" ht="15.75">
      <c r="B118" s="14">
        <v>114</v>
      </c>
      <c r="C118" s="170" t="e">
        <f t="shared" si="3"/>
        <v>#N/A</v>
      </c>
      <c r="D118" s="84" t="str">
        <f t="shared" si="4"/>
        <v>70</v>
      </c>
      <c r="E118" s="167">
        <f t="shared" si="5"/>
        <v>121</v>
      </c>
      <c r="F118" s="52"/>
      <c r="G118" s="52"/>
      <c r="H118" s="52"/>
      <c r="I118" s="168"/>
      <c r="J118" s="52"/>
    </row>
    <row r="119" spans="2:10" ht="15.75">
      <c r="B119" s="14">
        <v>115</v>
      </c>
      <c r="C119" s="170" t="e">
        <f t="shared" si="3"/>
        <v>#N/A</v>
      </c>
      <c r="D119" s="84" t="str">
        <f t="shared" si="4"/>
        <v>70</v>
      </c>
      <c r="E119" s="167">
        <f t="shared" si="5"/>
        <v>121</v>
      </c>
      <c r="F119" s="52"/>
      <c r="G119" s="52"/>
      <c r="H119" s="52"/>
      <c r="I119" s="168"/>
      <c r="J119" s="52"/>
    </row>
    <row r="120" spans="2:10" ht="15.75">
      <c r="B120" s="14">
        <v>116</v>
      </c>
      <c r="C120" s="170" t="e">
        <f t="shared" si="3"/>
        <v>#N/A</v>
      </c>
      <c r="D120" s="84" t="str">
        <f t="shared" si="4"/>
        <v>70</v>
      </c>
      <c r="E120" s="167">
        <f t="shared" si="5"/>
        <v>121</v>
      </c>
      <c r="F120" s="52"/>
      <c r="G120" s="52"/>
      <c r="H120" s="52"/>
      <c r="I120" s="168"/>
      <c r="J120" s="52"/>
    </row>
    <row r="121" spans="2:10" ht="15.75">
      <c r="B121" s="14">
        <v>117</v>
      </c>
      <c r="C121" s="170" t="e">
        <f t="shared" si="3"/>
        <v>#N/A</v>
      </c>
      <c r="D121" s="84" t="str">
        <f t="shared" si="4"/>
        <v>70</v>
      </c>
      <c r="E121" s="167">
        <f t="shared" si="5"/>
        <v>121</v>
      </c>
      <c r="F121" s="52"/>
      <c r="G121" s="52"/>
      <c r="H121" s="52"/>
      <c r="I121" s="168"/>
      <c r="J121" s="52"/>
    </row>
    <row r="122" spans="2:10" ht="15.75">
      <c r="B122" s="14">
        <v>118</v>
      </c>
      <c r="C122" s="171"/>
      <c r="D122" s="84" t="str">
        <f t="shared" si="4"/>
        <v>70</v>
      </c>
      <c r="E122" s="167">
        <f t="shared" si="5"/>
        <v>121</v>
      </c>
      <c r="F122" s="52"/>
      <c r="G122" s="52"/>
      <c r="H122" s="52"/>
      <c r="I122" s="168"/>
      <c r="J122" s="52"/>
    </row>
    <row r="123" spans="2:10" ht="15.75">
      <c r="B123" s="14">
        <v>119</v>
      </c>
      <c r="C123" s="171"/>
      <c r="D123" s="84" t="str">
        <f t="shared" si="4"/>
        <v>70</v>
      </c>
      <c r="E123" s="167">
        <f t="shared" si="5"/>
        <v>121</v>
      </c>
      <c r="F123" s="52"/>
      <c r="G123" s="52"/>
      <c r="H123" s="52"/>
      <c r="I123" s="168"/>
      <c r="J123" s="52"/>
    </row>
    <row r="124" spans="2:10" ht="15.75">
      <c r="B124" s="14">
        <v>120</v>
      </c>
      <c r="C124" s="171"/>
      <c r="D124" s="84" t="str">
        <f t="shared" si="4"/>
        <v>70</v>
      </c>
      <c r="E124" s="167">
        <f t="shared" si="5"/>
        <v>121</v>
      </c>
      <c r="F124" s="52"/>
      <c r="G124" s="52"/>
      <c r="H124" s="52"/>
      <c r="I124" s="168"/>
      <c r="J124" s="52"/>
    </row>
    <row r="125" spans="2:10" ht="15.75">
      <c r="B125" s="14">
        <v>121</v>
      </c>
      <c r="C125" s="171"/>
      <c r="D125" s="84" t="str">
        <f t="shared" si="4"/>
        <v>70</v>
      </c>
      <c r="E125" s="167">
        <f t="shared" si="5"/>
        <v>121</v>
      </c>
      <c r="F125" s="52"/>
      <c r="G125" s="52"/>
      <c r="H125" s="52"/>
      <c r="I125" s="168"/>
      <c r="J125" s="52"/>
    </row>
    <row r="126" spans="2:10" ht="15.75">
      <c r="B126" s="14">
        <v>122</v>
      </c>
      <c r="C126" s="171"/>
      <c r="D126" s="84" t="str">
        <f t="shared" si="4"/>
        <v>70</v>
      </c>
      <c r="E126" s="167">
        <f t="shared" si="5"/>
        <v>121</v>
      </c>
      <c r="F126" s="52"/>
      <c r="G126" s="52"/>
      <c r="H126" s="52"/>
      <c r="I126" s="168"/>
      <c r="J126" s="52"/>
    </row>
    <row r="127" spans="2:10" ht="15.75">
      <c r="B127" s="14">
        <v>123</v>
      </c>
      <c r="C127" s="171"/>
      <c r="D127" s="84" t="str">
        <f t="shared" si="4"/>
        <v>70</v>
      </c>
      <c r="E127" s="167">
        <f t="shared" si="5"/>
        <v>121</v>
      </c>
      <c r="F127" s="52"/>
      <c r="G127" s="52"/>
      <c r="H127" s="52"/>
      <c r="I127" s="168"/>
      <c r="J127" s="52"/>
    </row>
    <row r="128" spans="2:10" ht="15.75">
      <c r="B128" s="14">
        <v>124</v>
      </c>
      <c r="C128" s="171"/>
      <c r="D128" s="84" t="str">
        <f t="shared" si="4"/>
        <v>70</v>
      </c>
      <c r="E128" s="167">
        <f t="shared" si="5"/>
        <v>121</v>
      </c>
      <c r="F128" s="85"/>
      <c r="G128" s="86"/>
      <c r="H128" s="24"/>
      <c r="I128" s="169"/>
      <c r="J128" s="52"/>
    </row>
    <row r="129" spans="2:10" ht="15.75">
      <c r="B129" s="14">
        <v>125</v>
      </c>
      <c r="C129" s="171"/>
      <c r="D129" s="84" t="str">
        <f t="shared" si="4"/>
        <v>70</v>
      </c>
      <c r="E129" s="167">
        <f t="shared" si="5"/>
        <v>121</v>
      </c>
      <c r="F129" s="85"/>
      <c r="G129" s="86"/>
      <c r="H129" s="24"/>
      <c r="I129" s="169"/>
      <c r="J129" s="52"/>
    </row>
    <row r="130" spans="2:10" ht="15.75">
      <c r="B130" s="14">
        <v>126</v>
      </c>
      <c r="C130" s="171"/>
      <c r="D130" s="84" t="str">
        <f t="shared" si="4"/>
        <v>70</v>
      </c>
      <c r="E130" s="167">
        <f t="shared" si="5"/>
        <v>121</v>
      </c>
      <c r="F130" s="85"/>
      <c r="G130" s="86"/>
      <c r="H130" s="24"/>
      <c r="I130" s="169"/>
      <c r="J130" s="52"/>
    </row>
    <row r="131" spans="2:10" ht="15.75">
      <c r="B131" s="14">
        <v>127</v>
      </c>
      <c r="C131" s="171"/>
      <c r="D131" s="84" t="str">
        <f t="shared" si="4"/>
        <v>70</v>
      </c>
      <c r="E131" s="167">
        <f t="shared" si="5"/>
        <v>121</v>
      </c>
      <c r="F131" s="85"/>
      <c r="G131" s="86"/>
      <c r="H131" s="24"/>
      <c r="I131" s="169"/>
      <c r="J131" s="52"/>
    </row>
    <row r="132" spans="2:10" ht="15.75">
      <c r="B132" s="14">
        <v>128</v>
      </c>
      <c r="C132" s="171"/>
      <c r="D132" s="84" t="str">
        <f t="shared" si="4"/>
        <v>70</v>
      </c>
      <c r="E132" s="167">
        <f t="shared" si="5"/>
        <v>121</v>
      </c>
      <c r="F132" s="85"/>
      <c r="G132" s="86"/>
      <c r="H132" s="24"/>
      <c r="I132" s="169"/>
      <c r="J132" s="52"/>
    </row>
    <row r="133" spans="2:10" ht="15.75">
      <c r="B133" s="14">
        <v>129</v>
      </c>
      <c r="C133" s="171"/>
      <c r="D133" s="84" t="str">
        <f t="shared" si="4"/>
        <v>70</v>
      </c>
      <c r="E133" s="167">
        <f t="shared" si="5"/>
        <v>121</v>
      </c>
      <c r="F133" s="85"/>
      <c r="G133" s="86"/>
      <c r="H133" s="24"/>
      <c r="I133" s="169"/>
      <c r="J133" s="52"/>
    </row>
    <row r="134" spans="2:10" ht="15.75">
      <c r="B134" s="14">
        <v>130</v>
      </c>
      <c r="C134" s="171"/>
      <c r="D134" s="84" t="str">
        <f t="shared" ref="D134:D197" si="6" xml:space="preserve"> CONCATENATE(H134,IF(E134 &gt;=70, 70, IF(E134 &gt;= 65,65,IF(E134 &gt;= 60,60,IF(E134 &gt;= 55,55,IF(E134 &gt;= 50,50,IF(E134&gt;= 45,45,IF(E134 &gt;= 40,40,IF(E134 &gt;= 35,35,IF(E134 &gt;= 21,21,IF(E134 &gt;= 20,20,IF(E134 &gt;= 17,18,IF(E134 &gt;= 15,16,IF(E134&gt;= 13,14,IF(E134 &gt;= 11,12,10)))))))))))))))</f>
        <v>70</v>
      </c>
      <c r="E134" s="167">
        <f t="shared" ref="E134:E197" si="7">$J$1 - (RIGHT(TEXT(I134," JJ/MM/AAAA"),4))</f>
        <v>121</v>
      </c>
      <c r="F134" s="85"/>
      <c r="G134" s="86"/>
      <c r="H134" s="24"/>
      <c r="I134" s="169"/>
      <c r="J134" s="52"/>
    </row>
    <row r="135" spans="2:10" ht="15.75">
      <c r="B135" s="14">
        <v>131</v>
      </c>
      <c r="C135" s="171"/>
      <c r="D135" s="84" t="str">
        <f t="shared" si="6"/>
        <v>70</v>
      </c>
      <c r="E135" s="167">
        <f t="shared" si="7"/>
        <v>121</v>
      </c>
      <c r="F135" s="85"/>
      <c r="G135" s="86"/>
      <c r="H135" s="24"/>
      <c r="I135" s="169"/>
      <c r="J135" s="52"/>
    </row>
    <row r="136" spans="2:10" ht="15.75">
      <c r="B136" s="14">
        <v>132</v>
      </c>
      <c r="C136" s="171"/>
      <c r="D136" s="84" t="str">
        <f t="shared" si="6"/>
        <v>70</v>
      </c>
      <c r="E136" s="167">
        <f t="shared" si="7"/>
        <v>121</v>
      </c>
      <c r="F136" s="85"/>
      <c r="G136" s="86"/>
      <c r="H136" s="24"/>
      <c r="I136" s="169"/>
      <c r="J136" s="52"/>
    </row>
    <row r="137" spans="2:10" ht="15.75">
      <c r="B137" s="14">
        <v>133</v>
      </c>
      <c r="C137" s="171"/>
      <c r="D137" s="84" t="str">
        <f t="shared" si="6"/>
        <v>70</v>
      </c>
      <c r="E137" s="167">
        <f t="shared" si="7"/>
        <v>121</v>
      </c>
      <c r="F137" s="85"/>
      <c r="G137" s="86"/>
      <c r="H137" s="24"/>
      <c r="I137" s="169"/>
      <c r="J137" s="52"/>
    </row>
    <row r="138" spans="2:10" ht="15.75">
      <c r="B138" s="14">
        <v>134</v>
      </c>
      <c r="C138" s="171"/>
      <c r="D138" s="84" t="str">
        <f t="shared" si="6"/>
        <v>70</v>
      </c>
      <c r="E138" s="167">
        <f t="shared" si="7"/>
        <v>121</v>
      </c>
      <c r="F138" s="85"/>
      <c r="G138" s="86"/>
      <c r="H138" s="24"/>
      <c r="I138" s="169"/>
      <c r="J138" s="52"/>
    </row>
    <row r="139" spans="2:10" ht="15.75">
      <c r="B139" s="14">
        <v>135</v>
      </c>
      <c r="C139" s="171"/>
      <c r="D139" s="84" t="str">
        <f t="shared" si="6"/>
        <v>70</v>
      </c>
      <c r="E139" s="167">
        <f t="shared" si="7"/>
        <v>121</v>
      </c>
      <c r="F139" s="85"/>
      <c r="G139" s="86"/>
      <c r="H139" s="24"/>
      <c r="I139" s="169"/>
      <c r="J139" s="52"/>
    </row>
    <row r="140" spans="2:10" ht="15.75">
      <c r="B140" s="14">
        <v>136</v>
      </c>
      <c r="C140" s="171"/>
      <c r="D140" s="84" t="str">
        <f t="shared" si="6"/>
        <v>70</v>
      </c>
      <c r="E140" s="167">
        <f t="shared" si="7"/>
        <v>121</v>
      </c>
      <c r="F140" s="85"/>
      <c r="G140" s="86"/>
      <c r="H140" s="24"/>
      <c r="I140" s="169"/>
      <c r="J140" s="52"/>
    </row>
    <row r="141" spans="2:10" ht="15.75">
      <c r="B141" s="14">
        <v>137</v>
      </c>
      <c r="C141" s="171"/>
      <c r="D141" s="84" t="str">
        <f t="shared" si="6"/>
        <v>70</v>
      </c>
      <c r="E141" s="167">
        <f t="shared" si="7"/>
        <v>121</v>
      </c>
      <c r="F141" s="85"/>
      <c r="G141" s="86"/>
      <c r="H141" s="24"/>
      <c r="I141" s="169"/>
      <c r="J141" s="52"/>
    </row>
    <row r="142" spans="2:10" ht="15.75">
      <c r="B142" s="14">
        <v>138</v>
      </c>
      <c r="C142" s="171"/>
      <c r="D142" s="84" t="str">
        <f t="shared" si="6"/>
        <v>70</v>
      </c>
      <c r="E142" s="167">
        <f t="shared" si="7"/>
        <v>121</v>
      </c>
      <c r="F142" s="85"/>
      <c r="G142" s="86"/>
      <c r="H142" s="24"/>
      <c r="I142" s="169"/>
      <c r="J142" s="52"/>
    </row>
    <row r="143" spans="2:10" ht="15.75">
      <c r="B143" s="14">
        <v>139</v>
      </c>
      <c r="C143" s="171"/>
      <c r="D143" s="84" t="str">
        <f t="shared" si="6"/>
        <v>70</v>
      </c>
      <c r="E143" s="167">
        <f t="shared" si="7"/>
        <v>121</v>
      </c>
      <c r="F143" s="85"/>
      <c r="G143" s="86"/>
      <c r="H143" s="24"/>
      <c r="I143" s="169"/>
      <c r="J143" s="52"/>
    </row>
    <row r="144" spans="2:10" ht="15.75">
      <c r="B144" s="14">
        <v>140</v>
      </c>
      <c r="C144" s="171"/>
      <c r="D144" s="84" t="str">
        <f t="shared" si="6"/>
        <v>70</v>
      </c>
      <c r="E144" s="167">
        <f t="shared" si="7"/>
        <v>121</v>
      </c>
      <c r="F144" s="85"/>
      <c r="G144" s="86"/>
      <c r="H144" s="24"/>
      <c r="I144" s="169"/>
      <c r="J144" s="52"/>
    </row>
    <row r="145" spans="2:10" ht="15.75">
      <c r="B145" s="14">
        <v>141</v>
      </c>
      <c r="C145" s="171"/>
      <c r="D145" s="84" t="str">
        <f t="shared" si="6"/>
        <v>70</v>
      </c>
      <c r="E145" s="167">
        <f t="shared" si="7"/>
        <v>121</v>
      </c>
      <c r="F145" s="85"/>
      <c r="G145" s="86"/>
      <c r="H145" s="24"/>
      <c r="I145" s="169"/>
      <c r="J145" s="52"/>
    </row>
    <row r="146" spans="2:10" ht="15.75">
      <c r="B146" s="14">
        <v>142</v>
      </c>
      <c r="C146" s="171"/>
      <c r="D146" s="84" t="str">
        <f t="shared" si="6"/>
        <v>70</v>
      </c>
      <c r="E146" s="167">
        <f t="shared" si="7"/>
        <v>121</v>
      </c>
      <c r="F146" s="85"/>
      <c r="G146" s="86"/>
      <c r="H146" s="24"/>
      <c r="I146" s="169"/>
      <c r="J146" s="52"/>
    </row>
    <row r="147" spans="2:10" ht="15.75">
      <c r="B147" s="14">
        <v>143</v>
      </c>
      <c r="C147" s="171"/>
      <c r="D147" s="84" t="str">
        <f t="shared" si="6"/>
        <v>70</v>
      </c>
      <c r="E147" s="167">
        <f t="shared" si="7"/>
        <v>121</v>
      </c>
      <c r="F147" s="85"/>
      <c r="G147" s="86"/>
      <c r="H147" s="24"/>
      <c r="I147" s="169"/>
      <c r="J147" s="52"/>
    </row>
    <row r="148" spans="2:10" ht="15.75">
      <c r="B148" s="14">
        <v>144</v>
      </c>
      <c r="C148" s="171"/>
      <c r="D148" s="84" t="str">
        <f t="shared" si="6"/>
        <v>70</v>
      </c>
      <c r="E148" s="167">
        <f t="shared" si="7"/>
        <v>121</v>
      </c>
      <c r="F148" s="85"/>
      <c r="G148" s="86"/>
      <c r="H148" s="24"/>
      <c r="I148" s="169"/>
      <c r="J148" s="52"/>
    </row>
    <row r="149" spans="2:10" ht="15.75">
      <c r="B149" s="14">
        <v>145</v>
      </c>
      <c r="C149" s="171"/>
      <c r="D149" s="84" t="str">
        <f t="shared" si="6"/>
        <v>70</v>
      </c>
      <c r="E149" s="167">
        <f t="shared" si="7"/>
        <v>121</v>
      </c>
      <c r="F149" s="85"/>
      <c r="G149" s="86"/>
      <c r="H149" s="24"/>
      <c r="I149" s="169"/>
      <c r="J149" s="52"/>
    </row>
    <row r="150" spans="2:10" ht="15.75">
      <c r="B150" s="14">
        <v>146</v>
      </c>
      <c r="C150" s="171"/>
      <c r="D150" s="84" t="str">
        <f t="shared" si="6"/>
        <v>70</v>
      </c>
      <c r="E150" s="167">
        <f t="shared" si="7"/>
        <v>121</v>
      </c>
      <c r="F150" s="85"/>
      <c r="G150" s="86"/>
      <c r="H150" s="24"/>
      <c r="I150" s="169"/>
      <c r="J150" s="52"/>
    </row>
    <row r="151" spans="2:10" ht="15.75">
      <c r="B151" s="14">
        <v>147</v>
      </c>
      <c r="C151" s="171"/>
      <c r="D151" s="84" t="str">
        <f t="shared" si="6"/>
        <v>70</v>
      </c>
      <c r="E151" s="167">
        <f t="shared" si="7"/>
        <v>121</v>
      </c>
      <c r="F151" s="85"/>
      <c r="G151" s="86"/>
      <c r="H151" s="24"/>
      <c r="I151" s="169"/>
      <c r="J151" s="52"/>
    </row>
    <row r="152" spans="2:10" ht="15.75">
      <c r="B152" s="14">
        <v>148</v>
      </c>
      <c r="C152" s="171"/>
      <c r="D152" s="84" t="str">
        <f t="shared" si="6"/>
        <v>70</v>
      </c>
      <c r="E152" s="167">
        <f t="shared" si="7"/>
        <v>121</v>
      </c>
      <c r="F152" s="85"/>
      <c r="G152" s="86"/>
      <c r="H152" s="24"/>
      <c r="I152" s="169"/>
      <c r="J152" s="52"/>
    </row>
    <row r="153" spans="2:10" ht="15.75">
      <c r="B153" s="14">
        <v>149</v>
      </c>
      <c r="C153" s="171"/>
      <c r="D153" s="84" t="str">
        <f t="shared" si="6"/>
        <v>70</v>
      </c>
      <c r="E153" s="167">
        <f t="shared" si="7"/>
        <v>121</v>
      </c>
      <c r="F153" s="85"/>
      <c r="G153" s="86"/>
      <c r="H153" s="24"/>
      <c r="I153" s="169"/>
      <c r="J153" s="52"/>
    </row>
    <row r="154" spans="2:10" ht="15.75">
      <c r="B154" s="14">
        <v>150</v>
      </c>
      <c r="C154" s="171"/>
      <c r="D154" s="84" t="str">
        <f t="shared" si="6"/>
        <v>70</v>
      </c>
      <c r="E154" s="167">
        <f t="shared" si="7"/>
        <v>121</v>
      </c>
      <c r="F154" s="85"/>
      <c r="G154" s="86"/>
      <c r="H154" s="24"/>
      <c r="I154" s="169"/>
      <c r="J154" s="52"/>
    </row>
    <row r="155" spans="2:10" ht="15.75">
      <c r="B155" s="14">
        <v>151</v>
      </c>
      <c r="C155" s="171"/>
      <c r="D155" s="84" t="str">
        <f t="shared" si="6"/>
        <v>70</v>
      </c>
      <c r="E155" s="167">
        <f t="shared" si="7"/>
        <v>121</v>
      </c>
      <c r="F155" s="85"/>
      <c r="G155" s="86"/>
      <c r="H155" s="24"/>
      <c r="I155" s="169"/>
      <c r="J155" s="52"/>
    </row>
    <row r="156" spans="2:10" ht="15.75">
      <c r="B156" s="14">
        <v>152</v>
      </c>
      <c r="C156" s="171"/>
      <c r="D156" s="84" t="str">
        <f t="shared" si="6"/>
        <v>70</v>
      </c>
      <c r="E156" s="167">
        <f t="shared" si="7"/>
        <v>121</v>
      </c>
      <c r="F156" s="85"/>
      <c r="G156" s="86"/>
      <c r="H156" s="24"/>
      <c r="I156" s="169"/>
      <c r="J156" s="52"/>
    </row>
    <row r="157" spans="2:10" ht="15.75">
      <c r="B157" s="14">
        <v>153</v>
      </c>
      <c r="C157" s="171"/>
      <c r="D157" s="84" t="str">
        <f t="shared" si="6"/>
        <v>70</v>
      </c>
      <c r="E157" s="167">
        <f t="shared" si="7"/>
        <v>121</v>
      </c>
      <c r="F157" s="85"/>
      <c r="G157" s="86"/>
      <c r="H157" s="24"/>
      <c r="I157" s="169"/>
      <c r="J157" s="52"/>
    </row>
    <row r="158" spans="2:10" ht="15.75">
      <c r="B158" s="14">
        <v>154</v>
      </c>
      <c r="C158" s="171"/>
      <c r="D158" s="84" t="str">
        <f t="shared" si="6"/>
        <v>70</v>
      </c>
      <c r="E158" s="167">
        <f t="shared" si="7"/>
        <v>121</v>
      </c>
      <c r="F158" s="85"/>
      <c r="G158" s="86"/>
      <c r="H158" s="24"/>
      <c r="I158" s="169"/>
      <c r="J158" s="52"/>
    </row>
    <row r="159" spans="2:10" ht="15.75">
      <c r="B159" s="14">
        <v>155</v>
      </c>
      <c r="C159" s="171"/>
      <c r="D159" s="84" t="str">
        <f t="shared" si="6"/>
        <v>70</v>
      </c>
      <c r="E159" s="167">
        <f t="shared" si="7"/>
        <v>121</v>
      </c>
      <c r="F159" s="85"/>
      <c r="G159" s="86"/>
      <c r="H159" s="24"/>
      <c r="I159" s="169"/>
      <c r="J159" s="52"/>
    </row>
    <row r="160" spans="2:10" ht="15.75">
      <c r="B160" s="14">
        <v>156</v>
      </c>
      <c r="C160" s="171"/>
      <c r="D160" s="84" t="str">
        <f t="shared" si="6"/>
        <v>70</v>
      </c>
      <c r="E160" s="167">
        <f t="shared" si="7"/>
        <v>121</v>
      </c>
      <c r="F160" s="85"/>
      <c r="G160" s="86"/>
      <c r="H160" s="24"/>
      <c r="I160" s="169"/>
      <c r="J160" s="52"/>
    </row>
    <row r="161" spans="2:10" ht="15.75">
      <c r="B161" s="14">
        <v>157</v>
      </c>
      <c r="C161" s="171"/>
      <c r="D161" s="84" t="str">
        <f t="shared" si="6"/>
        <v>70</v>
      </c>
      <c r="E161" s="167">
        <f t="shared" si="7"/>
        <v>121</v>
      </c>
      <c r="F161" s="85"/>
      <c r="G161" s="86"/>
      <c r="H161" s="24"/>
      <c r="I161" s="169"/>
      <c r="J161" s="52"/>
    </row>
    <row r="162" spans="2:10" ht="15.75">
      <c r="B162" s="14">
        <v>158</v>
      </c>
      <c r="C162" s="171"/>
      <c r="D162" s="84" t="str">
        <f t="shared" si="6"/>
        <v>70</v>
      </c>
      <c r="E162" s="167">
        <f t="shared" si="7"/>
        <v>121</v>
      </c>
      <c r="F162" s="85"/>
      <c r="G162" s="86"/>
      <c r="H162" s="24"/>
      <c r="I162" s="169"/>
      <c r="J162" s="52"/>
    </row>
    <row r="163" spans="2:10" ht="15.75">
      <c r="B163" s="14">
        <v>159</v>
      </c>
      <c r="C163" s="171"/>
      <c r="D163" s="84" t="str">
        <f t="shared" si="6"/>
        <v>70</v>
      </c>
      <c r="E163" s="167">
        <f t="shared" si="7"/>
        <v>121</v>
      </c>
      <c r="F163" s="85"/>
      <c r="G163" s="86"/>
      <c r="H163" s="24"/>
      <c r="I163" s="169"/>
      <c r="J163" s="52"/>
    </row>
    <row r="164" spans="2:10" ht="15.75">
      <c r="B164" s="14">
        <v>160</v>
      </c>
      <c r="C164" s="171"/>
      <c r="D164" s="84" t="str">
        <f t="shared" si="6"/>
        <v>70</v>
      </c>
      <c r="E164" s="167">
        <f t="shared" si="7"/>
        <v>121</v>
      </c>
      <c r="F164" s="85"/>
      <c r="G164" s="86"/>
      <c r="H164" s="24"/>
      <c r="I164" s="169"/>
      <c r="J164" s="52"/>
    </row>
    <row r="165" spans="2:10" ht="15.75">
      <c r="B165" s="14">
        <v>161</v>
      </c>
      <c r="C165" s="171"/>
      <c r="D165" s="84" t="str">
        <f t="shared" si="6"/>
        <v>70</v>
      </c>
      <c r="E165" s="167">
        <f t="shared" si="7"/>
        <v>121</v>
      </c>
      <c r="F165" s="85"/>
      <c r="G165" s="86"/>
      <c r="H165" s="24"/>
      <c r="I165" s="169"/>
      <c r="J165" s="52"/>
    </row>
    <row r="166" spans="2:10" ht="15.75">
      <c r="B166" s="14">
        <v>162</v>
      </c>
      <c r="C166" s="171"/>
      <c r="D166" s="84" t="str">
        <f t="shared" si="6"/>
        <v>70</v>
      </c>
      <c r="E166" s="167">
        <f t="shared" si="7"/>
        <v>121</v>
      </c>
      <c r="F166" s="85"/>
      <c r="G166" s="86"/>
      <c r="H166" s="24"/>
      <c r="I166" s="169"/>
      <c r="J166" s="52"/>
    </row>
    <row r="167" spans="2:10" ht="15.75">
      <c r="B167" s="14">
        <v>163</v>
      </c>
      <c r="C167" s="171"/>
      <c r="D167" s="84" t="str">
        <f t="shared" si="6"/>
        <v>70</v>
      </c>
      <c r="E167" s="167">
        <f t="shared" si="7"/>
        <v>121</v>
      </c>
      <c r="F167" s="85"/>
      <c r="G167" s="86"/>
      <c r="H167" s="24"/>
      <c r="I167" s="169"/>
      <c r="J167" s="52"/>
    </row>
    <row r="168" spans="2:10" ht="15.75">
      <c r="B168" s="14">
        <v>164</v>
      </c>
      <c r="C168" s="171"/>
      <c r="D168" s="84" t="str">
        <f t="shared" si="6"/>
        <v>70</v>
      </c>
      <c r="E168" s="167">
        <f t="shared" si="7"/>
        <v>121</v>
      </c>
      <c r="F168" s="85"/>
      <c r="G168" s="86"/>
      <c r="H168" s="24"/>
      <c r="I168" s="169"/>
      <c r="J168" s="52"/>
    </row>
    <row r="169" spans="2:10" ht="15.75">
      <c r="B169" s="14">
        <v>165</v>
      </c>
      <c r="C169" s="171"/>
      <c r="D169" s="84" t="str">
        <f t="shared" si="6"/>
        <v>70</v>
      </c>
      <c r="E169" s="167">
        <f t="shared" si="7"/>
        <v>121</v>
      </c>
      <c r="F169" s="85"/>
      <c r="G169" s="86"/>
      <c r="H169" s="24"/>
      <c r="I169" s="169"/>
      <c r="J169" s="52"/>
    </row>
    <row r="170" spans="2:10" ht="15.75">
      <c r="B170" s="14">
        <v>166</v>
      </c>
      <c r="C170" s="171"/>
      <c r="D170" s="84" t="str">
        <f t="shared" si="6"/>
        <v>70</v>
      </c>
      <c r="E170" s="167">
        <f t="shared" si="7"/>
        <v>121</v>
      </c>
      <c r="F170" s="85"/>
      <c r="G170" s="86"/>
      <c r="H170" s="24"/>
      <c r="I170" s="169"/>
      <c r="J170" s="52"/>
    </row>
    <row r="171" spans="2:10" ht="15.75">
      <c r="B171" s="14">
        <v>167</v>
      </c>
      <c r="C171" s="171"/>
      <c r="D171" s="84" t="str">
        <f t="shared" si="6"/>
        <v>70</v>
      </c>
      <c r="E171" s="167">
        <f t="shared" si="7"/>
        <v>121</v>
      </c>
      <c r="F171" s="85"/>
      <c r="G171" s="86"/>
      <c r="H171" s="24"/>
      <c r="I171" s="169"/>
      <c r="J171" s="52"/>
    </row>
    <row r="172" spans="2:10" ht="15.75">
      <c r="B172" s="14">
        <v>168</v>
      </c>
      <c r="C172" s="171"/>
      <c r="D172" s="84" t="str">
        <f t="shared" si="6"/>
        <v>70</v>
      </c>
      <c r="E172" s="167">
        <f t="shared" si="7"/>
        <v>121</v>
      </c>
      <c r="F172" s="85"/>
      <c r="G172" s="86"/>
      <c r="H172" s="24"/>
      <c r="I172" s="169"/>
      <c r="J172" s="52"/>
    </row>
    <row r="173" spans="2:10" ht="15.75">
      <c r="B173" s="14">
        <v>169</v>
      </c>
      <c r="C173" s="171"/>
      <c r="D173" s="84" t="str">
        <f t="shared" si="6"/>
        <v>70</v>
      </c>
      <c r="E173" s="167">
        <f t="shared" si="7"/>
        <v>121</v>
      </c>
      <c r="F173" s="85"/>
      <c r="G173" s="86"/>
      <c r="H173" s="24"/>
      <c r="I173" s="169"/>
      <c r="J173" s="52"/>
    </row>
    <row r="174" spans="2:10" ht="15.75">
      <c r="B174" s="14">
        <v>170</v>
      </c>
      <c r="C174" s="171"/>
      <c r="D174" s="84" t="str">
        <f t="shared" si="6"/>
        <v>70</v>
      </c>
      <c r="E174" s="167">
        <f t="shared" si="7"/>
        <v>121</v>
      </c>
      <c r="F174" s="85"/>
      <c r="G174" s="86"/>
      <c r="H174" s="24"/>
      <c r="I174" s="169"/>
      <c r="J174" s="52"/>
    </row>
    <row r="175" spans="2:10" ht="15.75">
      <c r="B175" s="14">
        <v>171</v>
      </c>
      <c r="C175" s="171"/>
      <c r="D175" s="84" t="str">
        <f t="shared" si="6"/>
        <v>70</v>
      </c>
      <c r="E175" s="167">
        <f t="shared" si="7"/>
        <v>121</v>
      </c>
      <c r="F175" s="85"/>
      <c r="G175" s="86"/>
      <c r="H175" s="24"/>
      <c r="I175" s="169"/>
      <c r="J175" s="52"/>
    </row>
    <row r="176" spans="2:10" ht="15.75">
      <c r="B176" s="14">
        <v>172</v>
      </c>
      <c r="C176" s="171"/>
      <c r="D176" s="84" t="str">
        <f t="shared" si="6"/>
        <v>70</v>
      </c>
      <c r="E176" s="167">
        <f t="shared" si="7"/>
        <v>121</v>
      </c>
      <c r="F176" s="85"/>
      <c r="G176" s="86"/>
      <c r="H176" s="24"/>
      <c r="I176" s="169"/>
      <c r="J176" s="52"/>
    </row>
    <row r="177" spans="2:10" ht="15.75">
      <c r="B177" s="14">
        <v>173</v>
      </c>
      <c r="C177" s="171"/>
      <c r="D177" s="84" t="str">
        <f t="shared" si="6"/>
        <v>70</v>
      </c>
      <c r="E177" s="167">
        <f t="shared" si="7"/>
        <v>121</v>
      </c>
      <c r="F177" s="85"/>
      <c r="G177" s="86"/>
      <c r="H177" s="24"/>
      <c r="I177" s="169"/>
      <c r="J177" s="52"/>
    </row>
    <row r="178" spans="2:10" ht="15.75">
      <c r="B178" s="14">
        <v>174</v>
      </c>
      <c r="C178" s="171"/>
      <c r="D178" s="84" t="str">
        <f t="shared" si="6"/>
        <v>70</v>
      </c>
      <c r="E178" s="167">
        <f t="shared" si="7"/>
        <v>121</v>
      </c>
      <c r="F178" s="85"/>
      <c r="G178" s="86"/>
      <c r="H178" s="24"/>
      <c r="I178" s="169"/>
      <c r="J178" s="52"/>
    </row>
    <row r="179" spans="2:10" ht="15.75">
      <c r="B179" s="14">
        <v>175</v>
      </c>
      <c r="C179" s="171"/>
      <c r="D179" s="84" t="str">
        <f t="shared" si="6"/>
        <v>70</v>
      </c>
      <c r="E179" s="167">
        <f t="shared" si="7"/>
        <v>121</v>
      </c>
      <c r="F179" s="85"/>
      <c r="G179" s="86"/>
      <c r="H179" s="24"/>
      <c r="I179" s="169"/>
      <c r="J179" s="52"/>
    </row>
    <row r="180" spans="2:10" ht="15.75">
      <c r="B180" s="14">
        <v>176</v>
      </c>
      <c r="C180" s="171"/>
      <c r="D180" s="84" t="str">
        <f t="shared" si="6"/>
        <v>70</v>
      </c>
      <c r="E180" s="167">
        <f t="shared" si="7"/>
        <v>121</v>
      </c>
      <c r="F180" s="85"/>
      <c r="G180" s="86"/>
      <c r="H180" s="24"/>
      <c r="I180" s="169"/>
      <c r="J180" s="52"/>
    </row>
    <row r="181" spans="2:10" ht="15.75">
      <c r="B181" s="14">
        <v>177</v>
      </c>
      <c r="C181" s="171"/>
      <c r="D181" s="84" t="str">
        <f t="shared" si="6"/>
        <v>70</v>
      </c>
      <c r="E181" s="167">
        <f t="shared" si="7"/>
        <v>121</v>
      </c>
      <c r="F181" s="85"/>
      <c r="G181" s="86"/>
      <c r="H181" s="24"/>
      <c r="I181" s="169"/>
      <c r="J181" s="52"/>
    </row>
    <row r="182" spans="2:10" ht="15.75">
      <c r="B182" s="14">
        <v>178</v>
      </c>
      <c r="C182" s="171"/>
      <c r="D182" s="84" t="str">
        <f t="shared" si="6"/>
        <v>70</v>
      </c>
      <c r="E182" s="167">
        <f t="shared" si="7"/>
        <v>121</v>
      </c>
      <c r="F182" s="85"/>
      <c r="G182" s="86"/>
      <c r="H182" s="24"/>
      <c r="I182" s="169"/>
      <c r="J182" s="52"/>
    </row>
    <row r="183" spans="2:10" ht="15.75">
      <c r="B183" s="14">
        <v>179</v>
      </c>
      <c r="C183" s="171"/>
      <c r="D183" s="84" t="str">
        <f t="shared" si="6"/>
        <v>70</v>
      </c>
      <c r="E183" s="167">
        <f t="shared" si="7"/>
        <v>121</v>
      </c>
      <c r="F183" s="85"/>
      <c r="G183" s="86"/>
      <c r="H183" s="24"/>
      <c r="I183" s="169"/>
      <c r="J183" s="52"/>
    </row>
    <row r="184" spans="2:10" ht="15.75">
      <c r="B184" s="14">
        <v>180</v>
      </c>
      <c r="C184" s="171"/>
      <c r="D184" s="84" t="str">
        <f t="shared" si="6"/>
        <v>70</v>
      </c>
      <c r="E184" s="167">
        <f t="shared" si="7"/>
        <v>121</v>
      </c>
      <c r="F184" s="85"/>
      <c r="G184" s="86"/>
      <c r="H184" s="24"/>
      <c r="I184" s="169"/>
      <c r="J184" s="52"/>
    </row>
    <row r="185" spans="2:10" ht="15.75">
      <c r="B185" s="14">
        <v>181</v>
      </c>
      <c r="C185" s="171"/>
      <c r="D185" s="84" t="str">
        <f t="shared" si="6"/>
        <v>70</v>
      </c>
      <c r="E185" s="167">
        <f t="shared" si="7"/>
        <v>121</v>
      </c>
      <c r="F185" s="85"/>
      <c r="G185" s="86"/>
      <c r="H185" s="24"/>
      <c r="I185" s="169"/>
      <c r="J185" s="52"/>
    </row>
    <row r="186" spans="2:10" ht="15.75">
      <c r="B186" s="14">
        <v>182</v>
      </c>
      <c r="C186" s="171"/>
      <c r="D186" s="84" t="str">
        <f t="shared" si="6"/>
        <v>70</v>
      </c>
      <c r="E186" s="167">
        <f t="shared" si="7"/>
        <v>121</v>
      </c>
      <c r="F186" s="85"/>
      <c r="G186" s="86"/>
      <c r="H186" s="24"/>
      <c r="I186" s="169"/>
      <c r="J186" s="52"/>
    </row>
    <row r="187" spans="2:10" ht="15.75">
      <c r="B187" s="14">
        <v>183</v>
      </c>
      <c r="C187" s="171"/>
      <c r="D187" s="84" t="str">
        <f t="shared" si="6"/>
        <v>70</v>
      </c>
      <c r="E187" s="167">
        <f t="shared" si="7"/>
        <v>121</v>
      </c>
      <c r="F187" s="85"/>
      <c r="G187" s="86"/>
      <c r="H187" s="24"/>
      <c r="I187" s="169"/>
      <c r="J187" s="52"/>
    </row>
    <row r="188" spans="2:10" ht="15.75">
      <c r="B188" s="14">
        <v>184</v>
      </c>
      <c r="C188" s="171"/>
      <c r="D188" s="84" t="str">
        <f t="shared" si="6"/>
        <v>70</v>
      </c>
      <c r="E188" s="167">
        <f t="shared" si="7"/>
        <v>121</v>
      </c>
      <c r="F188" s="85"/>
      <c r="G188" s="86"/>
      <c r="H188" s="24"/>
      <c r="I188" s="169"/>
      <c r="J188" s="52"/>
    </row>
    <row r="189" spans="2:10" ht="15.75">
      <c r="B189" s="14">
        <v>185</v>
      </c>
      <c r="C189" s="171"/>
      <c r="D189" s="84" t="str">
        <f t="shared" si="6"/>
        <v>70</v>
      </c>
      <c r="E189" s="167">
        <f t="shared" si="7"/>
        <v>121</v>
      </c>
      <c r="F189" s="85"/>
      <c r="G189" s="86"/>
      <c r="H189" s="24"/>
      <c r="I189" s="169"/>
      <c r="J189" s="52"/>
    </row>
    <row r="190" spans="2:10" ht="15.75">
      <c r="B190" s="14">
        <v>186</v>
      </c>
      <c r="C190" s="171"/>
      <c r="D190" s="84" t="str">
        <f t="shared" si="6"/>
        <v>70</v>
      </c>
      <c r="E190" s="167">
        <f t="shared" si="7"/>
        <v>121</v>
      </c>
      <c r="F190" s="85"/>
      <c r="G190" s="86"/>
      <c r="H190" s="24"/>
      <c r="I190" s="169"/>
      <c r="J190" s="52"/>
    </row>
    <row r="191" spans="2:10" ht="15.75">
      <c r="B191" s="14">
        <v>187</v>
      </c>
      <c r="C191" s="171"/>
      <c r="D191" s="84" t="str">
        <f t="shared" si="6"/>
        <v>70</v>
      </c>
      <c r="E191" s="167">
        <f t="shared" si="7"/>
        <v>121</v>
      </c>
      <c r="F191" s="85"/>
      <c r="G191" s="86"/>
      <c r="H191" s="24"/>
      <c r="I191" s="169"/>
      <c r="J191" s="52"/>
    </row>
    <row r="192" spans="2:10" ht="15.75">
      <c r="B192" s="14">
        <v>188</v>
      </c>
      <c r="C192" s="171"/>
      <c r="D192" s="84" t="str">
        <f t="shared" si="6"/>
        <v>70</v>
      </c>
      <c r="E192" s="167">
        <f t="shared" si="7"/>
        <v>121</v>
      </c>
      <c r="F192" s="85"/>
      <c r="G192" s="86"/>
      <c r="H192" s="24"/>
      <c r="I192" s="169"/>
      <c r="J192" s="52"/>
    </row>
    <row r="193" spans="2:10" ht="15.75">
      <c r="B193" s="14">
        <v>189</v>
      </c>
      <c r="C193" s="171"/>
      <c r="D193" s="84" t="str">
        <f t="shared" si="6"/>
        <v>70</v>
      </c>
      <c r="E193" s="167">
        <f t="shared" si="7"/>
        <v>121</v>
      </c>
      <c r="F193" s="85"/>
      <c r="G193" s="86"/>
      <c r="H193" s="24"/>
      <c r="I193" s="169"/>
      <c r="J193" s="52"/>
    </row>
    <row r="194" spans="2:10" ht="15.75">
      <c r="B194" s="14">
        <v>190</v>
      </c>
      <c r="C194" s="171"/>
      <c r="D194" s="84" t="str">
        <f t="shared" si="6"/>
        <v>70</v>
      </c>
      <c r="E194" s="167">
        <f t="shared" si="7"/>
        <v>121</v>
      </c>
      <c r="F194" s="85"/>
      <c r="G194" s="86"/>
      <c r="H194" s="24"/>
      <c r="I194" s="169"/>
      <c r="J194" s="52"/>
    </row>
    <row r="195" spans="2:10" ht="15.75">
      <c r="B195" s="14">
        <v>191</v>
      </c>
      <c r="C195" s="171"/>
      <c r="D195" s="84" t="str">
        <f t="shared" si="6"/>
        <v>70</v>
      </c>
      <c r="E195" s="167">
        <f t="shared" si="7"/>
        <v>121</v>
      </c>
      <c r="F195" s="85"/>
      <c r="G195" s="86"/>
      <c r="H195" s="24"/>
      <c r="I195" s="169"/>
      <c r="J195" s="52"/>
    </row>
    <row r="196" spans="2:10" ht="15.75">
      <c r="B196" s="14">
        <v>192</v>
      </c>
      <c r="C196" s="171"/>
      <c r="D196" s="84" t="str">
        <f t="shared" si="6"/>
        <v>70</v>
      </c>
      <c r="E196" s="167">
        <f t="shared" si="7"/>
        <v>121</v>
      </c>
      <c r="F196" s="85"/>
      <c r="G196" s="86"/>
      <c r="H196" s="24"/>
      <c r="I196" s="169"/>
      <c r="J196" s="52"/>
    </row>
    <row r="197" spans="2:10" ht="15.75">
      <c r="B197" s="14">
        <v>193</v>
      </c>
      <c r="C197" s="171"/>
      <c r="D197" s="84" t="str">
        <f t="shared" si="6"/>
        <v>70</v>
      </c>
      <c r="E197" s="167">
        <f t="shared" si="7"/>
        <v>121</v>
      </c>
      <c r="F197" s="85"/>
      <c r="G197" s="86"/>
      <c r="H197" s="24"/>
      <c r="I197" s="169"/>
      <c r="J197" s="52"/>
    </row>
    <row r="198" spans="2:10" ht="15.75">
      <c r="B198" s="14">
        <v>194</v>
      </c>
      <c r="C198" s="171"/>
      <c r="D198" s="84" t="str">
        <f t="shared" ref="D198:D261" si="8" xml:space="preserve"> CONCATENATE(H198,IF(E198 &gt;=70, 70, IF(E198 &gt;= 65,65,IF(E198 &gt;= 60,60,IF(E198 &gt;= 55,55,IF(E198 &gt;= 50,50,IF(E198&gt;= 45,45,IF(E198 &gt;= 40,40,IF(E198 &gt;= 35,35,IF(E198 &gt;= 21,21,IF(E198 &gt;= 20,20,IF(E198 &gt;= 17,18,IF(E198 &gt;= 15,16,IF(E198&gt;= 13,14,IF(E198 &gt;= 11,12,10)))))))))))))))</f>
        <v>70</v>
      </c>
      <c r="E198" s="167">
        <f t="shared" ref="E198:E261" si="9">$J$1 - (RIGHT(TEXT(I198," JJ/MM/AAAA"),4))</f>
        <v>121</v>
      </c>
      <c r="F198" s="85"/>
      <c r="G198" s="86"/>
      <c r="H198" s="24"/>
      <c r="I198" s="169"/>
      <c r="J198" s="52"/>
    </row>
    <row r="199" spans="2:10" ht="15.75">
      <c r="B199" s="14">
        <v>195</v>
      </c>
      <c r="C199" s="171"/>
      <c r="D199" s="84" t="str">
        <f t="shared" si="8"/>
        <v>70</v>
      </c>
      <c r="E199" s="167">
        <f t="shared" si="9"/>
        <v>121</v>
      </c>
      <c r="F199" s="85"/>
      <c r="G199" s="86"/>
      <c r="H199" s="24"/>
      <c r="I199" s="169"/>
      <c r="J199" s="52"/>
    </row>
    <row r="200" spans="2:10" ht="15.75">
      <c r="B200" s="14">
        <v>196</v>
      </c>
      <c r="C200" s="171"/>
      <c r="D200" s="84" t="str">
        <f t="shared" si="8"/>
        <v>70</v>
      </c>
      <c r="E200" s="167">
        <f t="shared" si="9"/>
        <v>121</v>
      </c>
      <c r="F200" s="85"/>
      <c r="G200" s="86"/>
      <c r="H200" s="24"/>
      <c r="I200" s="169"/>
      <c r="J200" s="52"/>
    </row>
    <row r="201" spans="2:10" ht="15.75">
      <c r="B201" s="14">
        <v>197</v>
      </c>
      <c r="C201" s="171"/>
      <c r="D201" s="84" t="str">
        <f t="shared" si="8"/>
        <v>70</v>
      </c>
      <c r="E201" s="167">
        <f t="shared" si="9"/>
        <v>121</v>
      </c>
      <c r="F201" s="85"/>
      <c r="G201" s="86"/>
      <c r="H201" s="24"/>
      <c r="I201" s="169"/>
      <c r="J201" s="52"/>
    </row>
    <row r="202" spans="2:10" ht="15.75">
      <c r="B202" s="14">
        <v>198</v>
      </c>
      <c r="C202" s="171"/>
      <c r="D202" s="84" t="str">
        <f t="shared" si="8"/>
        <v>70</v>
      </c>
      <c r="E202" s="167">
        <f t="shared" si="9"/>
        <v>121</v>
      </c>
      <c r="F202" s="85"/>
      <c r="G202" s="86"/>
      <c r="H202" s="24"/>
      <c r="I202" s="169"/>
      <c r="J202" s="52"/>
    </row>
    <row r="203" spans="2:10" ht="15.75">
      <c r="B203" s="14">
        <v>199</v>
      </c>
      <c r="C203" s="171"/>
      <c r="D203" s="84" t="str">
        <f t="shared" si="8"/>
        <v>70</v>
      </c>
      <c r="E203" s="167">
        <f t="shared" si="9"/>
        <v>121</v>
      </c>
      <c r="F203" s="85"/>
      <c r="G203" s="86"/>
      <c r="H203" s="24"/>
      <c r="I203" s="169"/>
      <c r="J203" s="52"/>
    </row>
    <row r="204" spans="2:10" ht="15.75">
      <c r="B204" s="14">
        <v>200</v>
      </c>
      <c r="C204" s="171"/>
      <c r="D204" s="84" t="str">
        <f t="shared" si="8"/>
        <v>70</v>
      </c>
      <c r="E204" s="167">
        <f t="shared" si="9"/>
        <v>121</v>
      </c>
      <c r="F204" s="85"/>
      <c r="G204" s="86"/>
      <c r="H204" s="24"/>
      <c r="I204" s="169"/>
      <c r="J204" s="52"/>
    </row>
    <row r="205" spans="2:10" ht="15.75">
      <c r="B205" s="14">
        <v>201</v>
      </c>
      <c r="C205" s="171"/>
      <c r="D205" s="84" t="str">
        <f t="shared" si="8"/>
        <v>70</v>
      </c>
      <c r="E205" s="167">
        <f t="shared" si="9"/>
        <v>121</v>
      </c>
      <c r="F205" s="85"/>
      <c r="G205" s="86"/>
      <c r="H205" s="24"/>
      <c r="I205" s="169"/>
      <c r="J205" s="52"/>
    </row>
    <row r="206" spans="2:10" ht="15.75">
      <c r="B206" s="14">
        <v>202</v>
      </c>
      <c r="C206" s="171"/>
      <c r="D206" s="84" t="str">
        <f t="shared" si="8"/>
        <v>70</v>
      </c>
      <c r="E206" s="167">
        <f t="shared" si="9"/>
        <v>121</v>
      </c>
      <c r="F206" s="85"/>
      <c r="G206" s="86"/>
      <c r="H206" s="24"/>
      <c r="I206" s="169"/>
      <c r="J206" s="52"/>
    </row>
    <row r="207" spans="2:10" ht="15.75">
      <c r="B207" s="14">
        <v>203</v>
      </c>
      <c r="C207" s="171"/>
      <c r="D207" s="84" t="str">
        <f t="shared" si="8"/>
        <v>70</v>
      </c>
      <c r="E207" s="167">
        <f t="shared" si="9"/>
        <v>121</v>
      </c>
      <c r="F207" s="85"/>
      <c r="G207" s="86"/>
      <c r="H207" s="24"/>
      <c r="I207" s="169"/>
      <c r="J207" s="52"/>
    </row>
    <row r="208" spans="2:10" ht="15.75">
      <c r="B208" s="14">
        <v>204</v>
      </c>
      <c r="C208" s="171"/>
      <c r="D208" s="84" t="str">
        <f t="shared" si="8"/>
        <v>70</v>
      </c>
      <c r="E208" s="167">
        <f t="shared" si="9"/>
        <v>121</v>
      </c>
      <c r="F208" s="85"/>
      <c r="G208" s="86"/>
      <c r="H208" s="24"/>
      <c r="I208" s="169"/>
      <c r="J208" s="52"/>
    </row>
    <row r="209" spans="2:10" ht="15.75">
      <c r="B209" s="14">
        <v>205</v>
      </c>
      <c r="C209" s="171"/>
      <c r="D209" s="84" t="str">
        <f t="shared" si="8"/>
        <v>70</v>
      </c>
      <c r="E209" s="167">
        <f t="shared" si="9"/>
        <v>121</v>
      </c>
      <c r="F209" s="85"/>
      <c r="G209" s="86"/>
      <c r="H209" s="24"/>
      <c r="I209" s="169"/>
      <c r="J209" s="52"/>
    </row>
    <row r="210" spans="2:10" ht="15.75">
      <c r="B210" s="14">
        <v>206</v>
      </c>
      <c r="C210" s="171"/>
      <c r="D210" s="84" t="str">
        <f t="shared" si="8"/>
        <v>70</v>
      </c>
      <c r="E210" s="167">
        <f t="shared" si="9"/>
        <v>121</v>
      </c>
      <c r="F210" s="85"/>
      <c r="G210" s="86"/>
      <c r="H210" s="24"/>
      <c r="I210" s="169"/>
      <c r="J210" s="52"/>
    </row>
    <row r="211" spans="2:10" ht="15.75">
      <c r="B211" s="14">
        <v>207</v>
      </c>
      <c r="C211" s="171"/>
      <c r="D211" s="84" t="str">
        <f t="shared" si="8"/>
        <v>70</v>
      </c>
      <c r="E211" s="167">
        <f t="shared" si="9"/>
        <v>121</v>
      </c>
      <c r="F211" s="85"/>
      <c r="G211" s="86"/>
      <c r="H211" s="24"/>
      <c r="I211" s="169"/>
      <c r="J211" s="52"/>
    </row>
    <row r="212" spans="2:10" ht="15.75">
      <c r="B212" s="14">
        <v>208</v>
      </c>
      <c r="C212" s="171"/>
      <c r="D212" s="84" t="str">
        <f t="shared" si="8"/>
        <v>70</v>
      </c>
      <c r="E212" s="167">
        <f t="shared" si="9"/>
        <v>121</v>
      </c>
      <c r="F212" s="85"/>
      <c r="G212" s="86"/>
      <c r="H212" s="24"/>
      <c r="I212" s="169"/>
      <c r="J212" s="52"/>
    </row>
    <row r="213" spans="2:10" ht="15.75">
      <c r="B213" s="14">
        <v>209</v>
      </c>
      <c r="C213" s="171"/>
      <c r="D213" s="84" t="str">
        <f t="shared" si="8"/>
        <v>70</v>
      </c>
      <c r="E213" s="167">
        <f t="shared" si="9"/>
        <v>121</v>
      </c>
      <c r="F213" s="85"/>
      <c r="G213" s="86"/>
      <c r="H213" s="24"/>
      <c r="I213" s="169"/>
      <c r="J213" s="52"/>
    </row>
    <row r="214" spans="2:10" ht="15.75">
      <c r="B214" s="14">
        <v>210</v>
      </c>
      <c r="C214" s="171"/>
      <c r="D214" s="84" t="str">
        <f t="shared" si="8"/>
        <v>70</v>
      </c>
      <c r="E214" s="167">
        <f t="shared" si="9"/>
        <v>121</v>
      </c>
      <c r="F214" s="85"/>
      <c r="G214" s="86"/>
      <c r="H214" s="24"/>
      <c r="I214" s="169"/>
      <c r="J214" s="52"/>
    </row>
    <row r="215" spans="2:10" ht="15.75">
      <c r="B215" s="14">
        <v>211</v>
      </c>
      <c r="C215" s="171"/>
      <c r="D215" s="84" t="str">
        <f t="shared" si="8"/>
        <v>70</v>
      </c>
      <c r="E215" s="167">
        <f t="shared" si="9"/>
        <v>121</v>
      </c>
      <c r="F215" s="85"/>
      <c r="G215" s="86"/>
      <c r="H215" s="24"/>
      <c r="I215" s="169"/>
      <c r="J215" s="52"/>
    </row>
    <row r="216" spans="2:10" ht="15.75">
      <c r="B216" s="14">
        <v>212</v>
      </c>
      <c r="C216" s="171"/>
      <c r="D216" s="84" t="str">
        <f t="shared" si="8"/>
        <v>70</v>
      </c>
      <c r="E216" s="167">
        <f t="shared" si="9"/>
        <v>121</v>
      </c>
      <c r="F216" s="85"/>
      <c r="G216" s="86"/>
      <c r="H216" s="24"/>
      <c r="I216" s="169"/>
      <c r="J216" s="52"/>
    </row>
    <row r="217" spans="2:10" ht="15.75">
      <c r="B217" s="14">
        <v>213</v>
      </c>
      <c r="C217" s="171"/>
      <c r="D217" s="84" t="str">
        <f t="shared" si="8"/>
        <v>70</v>
      </c>
      <c r="E217" s="167">
        <f t="shared" si="9"/>
        <v>121</v>
      </c>
      <c r="F217" s="85"/>
      <c r="G217" s="86"/>
      <c r="H217" s="24"/>
      <c r="I217" s="169"/>
      <c r="J217" s="52"/>
    </row>
    <row r="218" spans="2:10" ht="15.75">
      <c r="B218" s="14">
        <v>214</v>
      </c>
      <c r="C218" s="171"/>
      <c r="D218" s="84" t="str">
        <f t="shared" si="8"/>
        <v>70</v>
      </c>
      <c r="E218" s="167">
        <f t="shared" si="9"/>
        <v>121</v>
      </c>
      <c r="F218" s="85"/>
      <c r="G218" s="86"/>
      <c r="H218" s="24"/>
      <c r="I218" s="169"/>
      <c r="J218" s="52"/>
    </row>
    <row r="219" spans="2:10" ht="15.75">
      <c r="B219" s="14">
        <v>215</v>
      </c>
      <c r="C219" s="171"/>
      <c r="D219" s="84" t="str">
        <f t="shared" si="8"/>
        <v>70</v>
      </c>
      <c r="E219" s="167">
        <f t="shared" si="9"/>
        <v>121</v>
      </c>
      <c r="F219" s="85"/>
      <c r="G219" s="86"/>
      <c r="H219" s="24"/>
      <c r="I219" s="169"/>
      <c r="J219" s="52"/>
    </row>
    <row r="220" spans="2:10" ht="15.75">
      <c r="B220" s="14">
        <v>216</v>
      </c>
      <c r="C220" s="171"/>
      <c r="D220" s="84" t="str">
        <f t="shared" si="8"/>
        <v>70</v>
      </c>
      <c r="E220" s="167">
        <f t="shared" si="9"/>
        <v>121</v>
      </c>
      <c r="F220" s="85"/>
      <c r="G220" s="86"/>
      <c r="H220" s="24"/>
      <c r="I220" s="169"/>
      <c r="J220" s="52"/>
    </row>
    <row r="221" spans="2:10" ht="15.75">
      <c r="B221" s="14">
        <v>217</v>
      </c>
      <c r="C221" s="171"/>
      <c r="D221" s="84" t="str">
        <f t="shared" si="8"/>
        <v>70</v>
      </c>
      <c r="E221" s="167">
        <f t="shared" si="9"/>
        <v>121</v>
      </c>
      <c r="F221" s="85"/>
      <c r="G221" s="86"/>
      <c r="H221" s="24"/>
      <c r="I221" s="169"/>
      <c r="J221" s="52"/>
    </row>
    <row r="222" spans="2:10" ht="15.75">
      <c r="B222" s="14">
        <v>218</v>
      </c>
      <c r="C222" s="171"/>
      <c r="D222" s="84" t="str">
        <f t="shared" si="8"/>
        <v>70</v>
      </c>
      <c r="E222" s="167">
        <f t="shared" si="9"/>
        <v>121</v>
      </c>
      <c r="F222" s="85"/>
      <c r="G222" s="86"/>
      <c r="H222" s="24"/>
      <c r="I222" s="169"/>
      <c r="J222" s="52"/>
    </row>
    <row r="223" spans="2:10" ht="15.75">
      <c r="B223" s="14">
        <v>219</v>
      </c>
      <c r="C223" s="171"/>
      <c r="D223" s="84" t="str">
        <f t="shared" si="8"/>
        <v>70</v>
      </c>
      <c r="E223" s="167">
        <f t="shared" si="9"/>
        <v>121</v>
      </c>
      <c r="F223" s="85"/>
      <c r="G223" s="86"/>
      <c r="H223" s="24"/>
      <c r="I223" s="169"/>
      <c r="J223" s="52"/>
    </row>
    <row r="224" spans="2:10" ht="15.75">
      <c r="B224" s="14">
        <v>220</v>
      </c>
      <c r="C224" s="171"/>
      <c r="D224" s="84" t="str">
        <f t="shared" si="8"/>
        <v>70</v>
      </c>
      <c r="E224" s="167">
        <f t="shared" si="9"/>
        <v>121</v>
      </c>
      <c r="F224" s="85"/>
      <c r="G224" s="86"/>
      <c r="H224" s="24"/>
      <c r="I224" s="169"/>
      <c r="J224" s="52"/>
    </row>
    <row r="225" spans="2:10" ht="15.75">
      <c r="B225" s="14">
        <v>221</v>
      </c>
      <c r="C225" s="171"/>
      <c r="D225" s="84" t="str">
        <f t="shared" si="8"/>
        <v>70</v>
      </c>
      <c r="E225" s="167">
        <f t="shared" si="9"/>
        <v>121</v>
      </c>
      <c r="F225" s="85"/>
      <c r="G225" s="86"/>
      <c r="H225" s="24"/>
      <c r="I225" s="169"/>
      <c r="J225" s="52"/>
    </row>
    <row r="226" spans="2:10" ht="15.75">
      <c r="B226" s="14">
        <v>222</v>
      </c>
      <c r="C226" s="171"/>
      <c r="D226" s="84" t="str">
        <f t="shared" si="8"/>
        <v>70</v>
      </c>
      <c r="E226" s="167">
        <f t="shared" si="9"/>
        <v>121</v>
      </c>
      <c r="F226" s="85"/>
      <c r="G226" s="86"/>
      <c r="H226" s="24"/>
      <c r="I226" s="169"/>
      <c r="J226" s="52"/>
    </row>
    <row r="227" spans="2:10" ht="15.75">
      <c r="B227" s="14">
        <v>223</v>
      </c>
      <c r="C227" s="171"/>
      <c r="D227" s="84" t="str">
        <f t="shared" si="8"/>
        <v>70</v>
      </c>
      <c r="E227" s="167">
        <f t="shared" si="9"/>
        <v>121</v>
      </c>
      <c r="F227" s="85"/>
      <c r="G227" s="86"/>
      <c r="H227" s="24"/>
      <c r="I227" s="169"/>
      <c r="J227" s="52"/>
    </row>
    <row r="228" spans="2:10" ht="15.75">
      <c r="B228" s="14">
        <v>224</v>
      </c>
      <c r="C228" s="171"/>
      <c r="D228" s="84" t="str">
        <f t="shared" si="8"/>
        <v>70</v>
      </c>
      <c r="E228" s="167">
        <f t="shared" si="9"/>
        <v>121</v>
      </c>
      <c r="F228" s="85"/>
      <c r="G228" s="86"/>
      <c r="H228" s="24"/>
      <c r="I228" s="169"/>
      <c r="J228" s="52"/>
    </row>
    <row r="229" spans="2:10" ht="15.75">
      <c r="B229" s="14">
        <v>225</v>
      </c>
      <c r="C229" s="171"/>
      <c r="D229" s="84" t="str">
        <f t="shared" si="8"/>
        <v>70</v>
      </c>
      <c r="E229" s="167">
        <f t="shared" si="9"/>
        <v>121</v>
      </c>
      <c r="F229" s="85"/>
      <c r="G229" s="86"/>
      <c r="H229" s="24"/>
      <c r="I229" s="169"/>
      <c r="J229" s="52"/>
    </row>
    <row r="230" spans="2:10" ht="15.75">
      <c r="B230" s="14">
        <v>226</v>
      </c>
      <c r="C230" s="171"/>
      <c r="D230" s="84" t="str">
        <f t="shared" si="8"/>
        <v>70</v>
      </c>
      <c r="E230" s="167">
        <f t="shared" si="9"/>
        <v>121</v>
      </c>
      <c r="F230" s="85"/>
      <c r="G230" s="86"/>
      <c r="H230" s="24"/>
      <c r="I230" s="169"/>
      <c r="J230" s="52"/>
    </row>
    <row r="231" spans="2:10" ht="15.75">
      <c r="B231" s="14">
        <v>227</v>
      </c>
      <c r="C231" s="171"/>
      <c r="D231" s="84" t="str">
        <f t="shared" si="8"/>
        <v>70</v>
      </c>
      <c r="E231" s="167">
        <f t="shared" si="9"/>
        <v>121</v>
      </c>
      <c r="F231" s="85"/>
      <c r="G231" s="86"/>
      <c r="H231" s="24"/>
      <c r="I231" s="169"/>
      <c r="J231" s="52"/>
    </row>
    <row r="232" spans="2:10" ht="15.75">
      <c r="B232" s="14">
        <v>228</v>
      </c>
      <c r="C232" s="171"/>
      <c r="D232" s="84" t="str">
        <f t="shared" si="8"/>
        <v>70</v>
      </c>
      <c r="E232" s="167">
        <f t="shared" si="9"/>
        <v>121</v>
      </c>
      <c r="F232" s="85"/>
      <c r="G232" s="86"/>
      <c r="H232" s="24"/>
      <c r="I232" s="169"/>
      <c r="J232" s="52"/>
    </row>
    <row r="233" spans="2:10" ht="15.75">
      <c r="B233" s="14">
        <v>229</v>
      </c>
      <c r="C233" s="171"/>
      <c r="D233" s="84" t="str">
        <f t="shared" si="8"/>
        <v>70</v>
      </c>
      <c r="E233" s="167">
        <f t="shared" si="9"/>
        <v>121</v>
      </c>
      <c r="F233" s="85"/>
      <c r="G233" s="86"/>
      <c r="H233" s="24"/>
      <c r="I233" s="169"/>
      <c r="J233" s="52"/>
    </row>
    <row r="234" spans="2:10" ht="15.75">
      <c r="B234" s="14">
        <v>230</v>
      </c>
      <c r="C234" s="171"/>
      <c r="D234" s="84" t="str">
        <f t="shared" si="8"/>
        <v>70</v>
      </c>
      <c r="E234" s="167">
        <f t="shared" si="9"/>
        <v>121</v>
      </c>
      <c r="F234" s="85"/>
      <c r="G234" s="86"/>
      <c r="H234" s="24"/>
      <c r="I234" s="169"/>
      <c r="J234" s="52"/>
    </row>
    <row r="235" spans="2:10" ht="15.75">
      <c r="B235" s="14">
        <v>231</v>
      </c>
      <c r="C235" s="171"/>
      <c r="D235" s="84" t="str">
        <f t="shared" si="8"/>
        <v>70</v>
      </c>
      <c r="E235" s="167">
        <f t="shared" si="9"/>
        <v>121</v>
      </c>
      <c r="F235" s="85"/>
      <c r="G235" s="86"/>
      <c r="H235" s="24"/>
      <c r="I235" s="169"/>
      <c r="J235" s="52"/>
    </row>
    <row r="236" spans="2:10" ht="15.75">
      <c r="B236" s="14">
        <v>232</v>
      </c>
      <c r="C236" s="171"/>
      <c r="D236" s="84" t="str">
        <f t="shared" si="8"/>
        <v>70</v>
      </c>
      <c r="E236" s="167">
        <f t="shared" si="9"/>
        <v>121</v>
      </c>
      <c r="F236" s="85"/>
      <c r="G236" s="86"/>
      <c r="H236" s="24"/>
      <c r="I236" s="169"/>
      <c r="J236" s="52"/>
    </row>
    <row r="237" spans="2:10" ht="15.75">
      <c r="B237" s="14">
        <v>233</v>
      </c>
      <c r="C237" s="171"/>
      <c r="D237" s="84" t="str">
        <f t="shared" si="8"/>
        <v>70</v>
      </c>
      <c r="E237" s="167">
        <f t="shared" si="9"/>
        <v>121</v>
      </c>
      <c r="F237" s="85"/>
      <c r="G237" s="86"/>
      <c r="H237" s="24"/>
      <c r="I237" s="169"/>
      <c r="J237" s="52"/>
    </row>
    <row r="238" spans="2:10" ht="15.75">
      <c r="B238" s="14">
        <v>234</v>
      </c>
      <c r="C238" s="171"/>
      <c r="D238" s="84" t="str">
        <f t="shared" si="8"/>
        <v>70</v>
      </c>
      <c r="E238" s="167">
        <f t="shared" si="9"/>
        <v>121</v>
      </c>
      <c r="F238" s="85"/>
      <c r="G238" s="86"/>
      <c r="H238" s="24"/>
      <c r="I238" s="169"/>
      <c r="J238" s="52"/>
    </row>
    <row r="239" spans="2:10" ht="15.75">
      <c r="B239" s="14">
        <v>235</v>
      </c>
      <c r="C239" s="171"/>
      <c r="D239" s="84" t="str">
        <f t="shared" si="8"/>
        <v>70</v>
      </c>
      <c r="E239" s="167">
        <f t="shared" si="9"/>
        <v>121</v>
      </c>
      <c r="F239" s="85"/>
      <c r="G239" s="86"/>
      <c r="H239" s="24"/>
      <c r="I239" s="169"/>
      <c r="J239" s="52"/>
    </row>
    <row r="240" spans="2:10" ht="15.75">
      <c r="B240" s="14">
        <v>236</v>
      </c>
      <c r="C240" s="171"/>
      <c r="D240" s="84" t="str">
        <f t="shared" si="8"/>
        <v>70</v>
      </c>
      <c r="E240" s="167">
        <f t="shared" si="9"/>
        <v>121</v>
      </c>
      <c r="F240" s="85"/>
      <c r="G240" s="86"/>
      <c r="H240" s="24"/>
      <c r="I240" s="169"/>
      <c r="J240" s="52"/>
    </row>
    <row r="241" spans="2:10" ht="15.75">
      <c r="B241" s="14">
        <v>237</v>
      </c>
      <c r="C241" s="171"/>
      <c r="D241" s="84" t="str">
        <f t="shared" si="8"/>
        <v>70</v>
      </c>
      <c r="E241" s="167">
        <f t="shared" si="9"/>
        <v>121</v>
      </c>
      <c r="F241" s="85"/>
      <c r="G241" s="86"/>
      <c r="H241" s="24"/>
      <c r="I241" s="169"/>
      <c r="J241" s="52"/>
    </row>
    <row r="242" spans="2:10" ht="15.75">
      <c r="B242" s="14">
        <v>238</v>
      </c>
      <c r="C242" s="171"/>
      <c r="D242" s="84" t="str">
        <f t="shared" si="8"/>
        <v>70</v>
      </c>
      <c r="E242" s="167">
        <f t="shared" si="9"/>
        <v>121</v>
      </c>
      <c r="F242" s="85"/>
      <c r="G242" s="86"/>
      <c r="H242" s="24"/>
      <c r="I242" s="169"/>
      <c r="J242" s="52"/>
    </row>
    <row r="243" spans="2:10" ht="15.75">
      <c r="B243" s="14">
        <v>239</v>
      </c>
      <c r="C243" s="171"/>
      <c r="D243" s="84" t="str">
        <f t="shared" si="8"/>
        <v>70</v>
      </c>
      <c r="E243" s="167">
        <f t="shared" si="9"/>
        <v>121</v>
      </c>
      <c r="F243" s="85"/>
      <c r="G243" s="86"/>
      <c r="H243" s="24"/>
      <c r="I243" s="169"/>
      <c r="J243" s="52"/>
    </row>
    <row r="244" spans="2:10" ht="15.75">
      <c r="B244" s="14">
        <v>240</v>
      </c>
      <c r="C244" s="171"/>
      <c r="D244" s="84" t="str">
        <f t="shared" si="8"/>
        <v>70</v>
      </c>
      <c r="E244" s="167">
        <f t="shared" si="9"/>
        <v>121</v>
      </c>
      <c r="F244" s="85"/>
      <c r="G244" s="86"/>
      <c r="H244" s="24"/>
      <c r="I244" s="169"/>
      <c r="J244" s="52"/>
    </row>
    <row r="245" spans="2:10" ht="15.75">
      <c r="B245" s="14">
        <v>241</v>
      </c>
      <c r="C245" s="171"/>
      <c r="D245" s="84" t="str">
        <f t="shared" si="8"/>
        <v>70</v>
      </c>
      <c r="E245" s="167">
        <f t="shared" si="9"/>
        <v>121</v>
      </c>
      <c r="F245" s="85"/>
      <c r="G245" s="86"/>
      <c r="H245" s="24"/>
      <c r="I245" s="169"/>
      <c r="J245" s="52"/>
    </row>
    <row r="246" spans="2:10" ht="15.75">
      <c r="B246" s="14">
        <v>242</v>
      </c>
      <c r="C246" s="171"/>
      <c r="D246" s="84" t="str">
        <f t="shared" si="8"/>
        <v>70</v>
      </c>
      <c r="E246" s="167">
        <f t="shared" si="9"/>
        <v>121</v>
      </c>
      <c r="F246" s="85"/>
      <c r="G246" s="86"/>
      <c r="H246" s="24"/>
      <c r="I246" s="169"/>
      <c r="J246" s="52"/>
    </row>
    <row r="247" spans="2:10" ht="15.75">
      <c r="B247" s="14">
        <v>243</v>
      </c>
      <c r="C247" s="171"/>
      <c r="D247" s="84" t="str">
        <f t="shared" si="8"/>
        <v>70</v>
      </c>
      <c r="E247" s="167">
        <f t="shared" si="9"/>
        <v>121</v>
      </c>
      <c r="F247" s="85"/>
      <c r="G247" s="86"/>
      <c r="H247" s="24"/>
      <c r="I247" s="169"/>
      <c r="J247" s="52"/>
    </row>
    <row r="248" spans="2:10" ht="15.75">
      <c r="B248" s="14">
        <v>244</v>
      </c>
      <c r="C248" s="171"/>
      <c r="D248" s="84" t="str">
        <f t="shared" si="8"/>
        <v>70</v>
      </c>
      <c r="E248" s="167">
        <f t="shared" si="9"/>
        <v>121</v>
      </c>
      <c r="F248" s="85"/>
      <c r="G248" s="86"/>
      <c r="H248" s="24"/>
      <c r="I248" s="169"/>
      <c r="J248" s="52"/>
    </row>
    <row r="249" spans="2:10" ht="15.75">
      <c r="B249" s="14">
        <v>245</v>
      </c>
      <c r="C249" s="171"/>
      <c r="D249" s="84" t="str">
        <f t="shared" si="8"/>
        <v>70</v>
      </c>
      <c r="E249" s="167">
        <f t="shared" si="9"/>
        <v>121</v>
      </c>
      <c r="F249" s="85"/>
      <c r="G249" s="86"/>
      <c r="H249" s="24"/>
      <c r="I249" s="169"/>
      <c r="J249" s="52"/>
    </row>
    <row r="250" spans="2:10" ht="15.75">
      <c r="B250" s="14">
        <v>246</v>
      </c>
      <c r="C250" s="171"/>
      <c r="D250" s="84" t="str">
        <f t="shared" si="8"/>
        <v>70</v>
      </c>
      <c r="E250" s="167">
        <f t="shared" si="9"/>
        <v>121</v>
      </c>
      <c r="F250" s="85"/>
      <c r="G250" s="86"/>
      <c r="H250" s="24"/>
      <c r="I250" s="169"/>
      <c r="J250" s="52"/>
    </row>
    <row r="251" spans="2:10" ht="15.75">
      <c r="B251" s="14">
        <v>247</v>
      </c>
      <c r="C251" s="171"/>
      <c r="D251" s="84" t="str">
        <f t="shared" si="8"/>
        <v>70</v>
      </c>
      <c r="E251" s="167">
        <f t="shared" si="9"/>
        <v>121</v>
      </c>
      <c r="F251" s="85"/>
      <c r="G251" s="86"/>
      <c r="H251" s="24"/>
      <c r="I251" s="169"/>
      <c r="J251" s="52"/>
    </row>
    <row r="252" spans="2:10" ht="15.75">
      <c r="B252" s="14">
        <v>248</v>
      </c>
      <c r="C252" s="171"/>
      <c r="D252" s="84" t="str">
        <f t="shared" si="8"/>
        <v>70</v>
      </c>
      <c r="E252" s="167">
        <f t="shared" si="9"/>
        <v>121</v>
      </c>
      <c r="F252" s="85"/>
      <c r="G252" s="86"/>
      <c r="H252" s="24"/>
      <c r="I252" s="169"/>
      <c r="J252" s="52"/>
    </row>
    <row r="253" spans="2:10" ht="15.75">
      <c r="B253" s="14">
        <v>249</v>
      </c>
      <c r="C253" s="171"/>
      <c r="D253" s="84" t="str">
        <f t="shared" si="8"/>
        <v>70</v>
      </c>
      <c r="E253" s="167">
        <f t="shared" si="9"/>
        <v>121</v>
      </c>
      <c r="F253" s="85"/>
      <c r="G253" s="86"/>
      <c r="H253" s="24"/>
      <c r="I253" s="169"/>
      <c r="J253" s="52"/>
    </row>
    <row r="254" spans="2:10" ht="15.75">
      <c r="B254" s="14">
        <v>250</v>
      </c>
      <c r="C254" s="171"/>
      <c r="D254" s="84" t="str">
        <f t="shared" si="8"/>
        <v>70</v>
      </c>
      <c r="E254" s="167">
        <f t="shared" si="9"/>
        <v>121</v>
      </c>
      <c r="F254" s="85"/>
      <c r="G254" s="86"/>
      <c r="H254" s="24"/>
      <c r="I254" s="169"/>
      <c r="J254" s="52"/>
    </row>
    <row r="255" spans="2:10" ht="15.75">
      <c r="B255" s="14">
        <v>251</v>
      </c>
      <c r="C255" s="171"/>
      <c r="D255" s="84" t="str">
        <f t="shared" si="8"/>
        <v>70</v>
      </c>
      <c r="E255" s="167">
        <f t="shared" si="9"/>
        <v>121</v>
      </c>
      <c r="F255" s="85"/>
      <c r="G255" s="86"/>
      <c r="H255" s="24"/>
      <c r="I255" s="169"/>
      <c r="J255" s="52"/>
    </row>
    <row r="256" spans="2:10" ht="15.75">
      <c r="B256" s="14">
        <v>252</v>
      </c>
      <c r="C256" s="171"/>
      <c r="D256" s="84" t="str">
        <f t="shared" si="8"/>
        <v>70</v>
      </c>
      <c r="E256" s="167">
        <f t="shared" si="9"/>
        <v>121</v>
      </c>
      <c r="F256" s="85"/>
      <c r="G256" s="86"/>
      <c r="H256" s="24"/>
      <c r="I256" s="169"/>
      <c r="J256" s="52"/>
    </row>
    <row r="257" spans="2:10" ht="15.75">
      <c r="B257" s="14">
        <v>253</v>
      </c>
      <c r="C257" s="171"/>
      <c r="D257" s="84" t="str">
        <f t="shared" si="8"/>
        <v>70</v>
      </c>
      <c r="E257" s="167">
        <f t="shared" si="9"/>
        <v>121</v>
      </c>
      <c r="F257" s="85"/>
      <c r="G257" s="86"/>
      <c r="H257" s="24"/>
      <c r="I257" s="169"/>
      <c r="J257" s="52"/>
    </row>
    <row r="258" spans="2:10" ht="15.75">
      <c r="B258" s="14">
        <v>254</v>
      </c>
      <c r="C258" s="171"/>
      <c r="D258" s="84" t="str">
        <f t="shared" si="8"/>
        <v>70</v>
      </c>
      <c r="E258" s="167">
        <f t="shared" si="9"/>
        <v>121</v>
      </c>
      <c r="F258" s="85"/>
      <c r="G258" s="86"/>
      <c r="H258" s="24"/>
      <c r="I258" s="169"/>
      <c r="J258" s="52"/>
    </row>
    <row r="259" spans="2:10" ht="15.75">
      <c r="B259" s="14">
        <v>255</v>
      </c>
      <c r="C259" s="171"/>
      <c r="D259" s="84" t="str">
        <f t="shared" si="8"/>
        <v>70</v>
      </c>
      <c r="E259" s="167">
        <f t="shared" si="9"/>
        <v>121</v>
      </c>
      <c r="F259" s="85"/>
      <c r="G259" s="86"/>
      <c r="H259" s="24"/>
      <c r="I259" s="169"/>
      <c r="J259" s="52"/>
    </row>
    <row r="260" spans="2:10" ht="15.75">
      <c r="B260" s="14">
        <v>256</v>
      </c>
      <c r="C260" s="171"/>
      <c r="D260" s="84" t="str">
        <f t="shared" si="8"/>
        <v>70</v>
      </c>
      <c r="E260" s="167">
        <f t="shared" si="9"/>
        <v>121</v>
      </c>
      <c r="F260" s="85"/>
      <c r="G260" s="86"/>
      <c r="H260" s="24"/>
      <c r="I260" s="169"/>
      <c r="J260" s="52"/>
    </row>
    <row r="261" spans="2:10" ht="15.75">
      <c r="B261" s="14">
        <v>257</v>
      </c>
      <c r="C261" s="171"/>
      <c r="D261" s="84" t="str">
        <f t="shared" si="8"/>
        <v>70</v>
      </c>
      <c r="E261" s="167">
        <f t="shared" si="9"/>
        <v>121</v>
      </c>
      <c r="F261" s="85"/>
      <c r="G261" s="86"/>
      <c r="H261" s="24"/>
      <c r="I261" s="169"/>
      <c r="J261" s="52"/>
    </row>
    <row r="262" spans="2:10" ht="15.75">
      <c r="B262" s="14">
        <v>258</v>
      </c>
      <c r="C262" s="171"/>
      <c r="D262" s="84" t="str">
        <f t="shared" ref="D262:D304" si="10" xml:space="preserve"> CONCATENATE(H262,IF(E262 &gt;=70, 70, IF(E262 &gt;= 65,65,IF(E262 &gt;= 60,60,IF(E262 &gt;= 55,55,IF(E262 &gt;= 50,50,IF(E262&gt;= 45,45,IF(E262 &gt;= 40,40,IF(E262 &gt;= 35,35,IF(E262 &gt;= 21,21,IF(E262 &gt;= 20,20,IF(E262 &gt;= 17,18,IF(E262 &gt;= 15,16,IF(E262&gt;= 13,14,IF(E262 &gt;= 11,12,10)))))))))))))))</f>
        <v>70</v>
      </c>
      <c r="E262" s="167">
        <f t="shared" ref="E262:E304" si="11">$J$1 - (RIGHT(TEXT(I262," JJ/MM/AAAA"),4))</f>
        <v>121</v>
      </c>
      <c r="F262" s="85"/>
      <c r="G262" s="86"/>
      <c r="H262" s="24"/>
      <c r="I262" s="169"/>
      <c r="J262" s="52"/>
    </row>
    <row r="263" spans="2:10" ht="15.75">
      <c r="B263" s="14">
        <v>259</v>
      </c>
      <c r="C263" s="171"/>
      <c r="D263" s="84" t="str">
        <f t="shared" si="10"/>
        <v>70</v>
      </c>
      <c r="E263" s="167">
        <f t="shared" si="11"/>
        <v>121</v>
      </c>
      <c r="F263" s="85"/>
      <c r="G263" s="86"/>
      <c r="H263" s="24"/>
      <c r="I263" s="169"/>
      <c r="J263" s="52"/>
    </row>
    <row r="264" spans="2:10" ht="15.75">
      <c r="B264" s="14">
        <v>260</v>
      </c>
      <c r="C264" s="171"/>
      <c r="D264" s="84" t="str">
        <f t="shared" si="10"/>
        <v>70</v>
      </c>
      <c r="E264" s="167">
        <f t="shared" si="11"/>
        <v>121</v>
      </c>
      <c r="F264" s="85"/>
      <c r="G264" s="86"/>
      <c r="H264" s="24"/>
      <c r="I264" s="169"/>
      <c r="J264" s="52"/>
    </row>
    <row r="265" spans="2:10" ht="15.75">
      <c r="B265" s="14">
        <v>261</v>
      </c>
      <c r="C265" s="171"/>
      <c r="D265" s="84" t="str">
        <f t="shared" si="10"/>
        <v>70</v>
      </c>
      <c r="E265" s="167">
        <f t="shared" si="11"/>
        <v>121</v>
      </c>
      <c r="F265" s="85"/>
      <c r="G265" s="86"/>
      <c r="H265" s="24"/>
      <c r="I265" s="169"/>
      <c r="J265" s="52"/>
    </row>
    <row r="266" spans="2:10" ht="15.75">
      <c r="B266" s="14">
        <v>262</v>
      </c>
      <c r="C266" s="171"/>
      <c r="D266" s="84" t="str">
        <f t="shared" si="10"/>
        <v>70</v>
      </c>
      <c r="E266" s="167">
        <f t="shared" si="11"/>
        <v>121</v>
      </c>
      <c r="F266" s="85"/>
      <c r="G266" s="86"/>
      <c r="H266" s="24"/>
      <c r="I266" s="169"/>
      <c r="J266" s="52"/>
    </row>
    <row r="267" spans="2:10" ht="15.75">
      <c r="B267" s="14">
        <v>263</v>
      </c>
      <c r="C267" s="171"/>
      <c r="D267" s="84" t="str">
        <f t="shared" si="10"/>
        <v>70</v>
      </c>
      <c r="E267" s="167">
        <f t="shared" si="11"/>
        <v>121</v>
      </c>
      <c r="F267" s="85"/>
      <c r="G267" s="86"/>
      <c r="H267" s="24"/>
      <c r="I267" s="169"/>
      <c r="J267" s="52"/>
    </row>
    <row r="268" spans="2:10" ht="15.75">
      <c r="B268" s="14">
        <v>264</v>
      </c>
      <c r="C268" s="171"/>
      <c r="D268" s="84" t="str">
        <f t="shared" si="10"/>
        <v>70</v>
      </c>
      <c r="E268" s="167">
        <f t="shared" si="11"/>
        <v>121</v>
      </c>
      <c r="F268" s="85"/>
      <c r="G268" s="86"/>
      <c r="H268" s="24"/>
      <c r="I268" s="169"/>
      <c r="J268" s="52"/>
    </row>
    <row r="269" spans="2:10" ht="15.75">
      <c r="B269" s="14">
        <v>265</v>
      </c>
      <c r="C269" s="171"/>
      <c r="D269" s="84" t="str">
        <f t="shared" si="10"/>
        <v>70</v>
      </c>
      <c r="E269" s="167">
        <f t="shared" si="11"/>
        <v>121</v>
      </c>
      <c r="F269" s="85"/>
      <c r="G269" s="86"/>
      <c r="H269" s="24"/>
      <c r="I269" s="169"/>
      <c r="J269" s="52"/>
    </row>
    <row r="270" spans="2:10" ht="15.75">
      <c r="B270" s="14">
        <v>266</v>
      </c>
      <c r="C270" s="171"/>
      <c r="D270" s="84" t="str">
        <f t="shared" si="10"/>
        <v>70</v>
      </c>
      <c r="E270" s="167">
        <f t="shared" si="11"/>
        <v>121</v>
      </c>
      <c r="F270" s="85"/>
      <c r="G270" s="86"/>
      <c r="H270" s="24"/>
      <c r="I270" s="169"/>
      <c r="J270" s="52"/>
    </row>
    <row r="271" spans="2:10" ht="15.75">
      <c r="B271" s="14">
        <v>267</v>
      </c>
      <c r="C271" s="171"/>
      <c r="D271" s="84" t="str">
        <f t="shared" si="10"/>
        <v>70</v>
      </c>
      <c r="E271" s="167">
        <f t="shared" si="11"/>
        <v>121</v>
      </c>
      <c r="F271" s="85"/>
      <c r="G271" s="86"/>
      <c r="H271" s="24"/>
      <c r="I271" s="169"/>
      <c r="J271" s="52"/>
    </row>
    <row r="272" spans="2:10" ht="15.75">
      <c r="B272" s="14">
        <v>268</v>
      </c>
      <c r="C272" s="171"/>
      <c r="D272" s="84" t="str">
        <f t="shared" si="10"/>
        <v>70</v>
      </c>
      <c r="E272" s="167">
        <f t="shared" si="11"/>
        <v>121</v>
      </c>
      <c r="F272" s="85"/>
      <c r="G272" s="86"/>
      <c r="H272" s="24"/>
      <c r="I272" s="169"/>
      <c r="J272" s="52"/>
    </row>
    <row r="273" spans="2:10" ht="15.75">
      <c r="B273" s="14">
        <v>269</v>
      </c>
      <c r="C273" s="171"/>
      <c r="D273" s="84" t="str">
        <f t="shared" si="10"/>
        <v>70</v>
      </c>
      <c r="E273" s="167">
        <f t="shared" si="11"/>
        <v>121</v>
      </c>
      <c r="F273" s="85"/>
      <c r="G273" s="86"/>
      <c r="H273" s="24"/>
      <c r="I273" s="169"/>
      <c r="J273" s="52"/>
    </row>
    <row r="274" spans="2:10" ht="15.75">
      <c r="B274" s="14">
        <v>270</v>
      </c>
      <c r="C274" s="171"/>
      <c r="D274" s="84" t="str">
        <f t="shared" si="10"/>
        <v>70</v>
      </c>
      <c r="E274" s="167">
        <f t="shared" si="11"/>
        <v>121</v>
      </c>
      <c r="F274" s="85"/>
      <c r="G274" s="86"/>
      <c r="H274" s="24"/>
      <c r="I274" s="169"/>
      <c r="J274" s="52"/>
    </row>
    <row r="275" spans="2:10" ht="15.75">
      <c r="B275" s="14">
        <v>271</v>
      </c>
      <c r="C275" s="171"/>
      <c r="D275" s="84" t="str">
        <f t="shared" si="10"/>
        <v>70</v>
      </c>
      <c r="E275" s="167">
        <f t="shared" si="11"/>
        <v>121</v>
      </c>
      <c r="F275" s="85"/>
      <c r="G275" s="86"/>
      <c r="H275" s="24"/>
      <c r="I275" s="169"/>
      <c r="J275" s="52"/>
    </row>
    <row r="276" spans="2:10" ht="15.75">
      <c r="B276" s="14">
        <v>272</v>
      </c>
      <c r="C276" s="171"/>
      <c r="D276" s="84" t="str">
        <f t="shared" si="10"/>
        <v>70</v>
      </c>
      <c r="E276" s="167">
        <f t="shared" si="11"/>
        <v>121</v>
      </c>
      <c r="F276" s="85"/>
      <c r="G276" s="86"/>
      <c r="H276" s="24"/>
      <c r="I276" s="169"/>
      <c r="J276" s="52"/>
    </row>
    <row r="277" spans="2:10" ht="15.75">
      <c r="B277" s="14">
        <v>273</v>
      </c>
      <c r="C277" s="171"/>
      <c r="D277" s="84" t="str">
        <f t="shared" si="10"/>
        <v>70</v>
      </c>
      <c r="E277" s="167">
        <f t="shared" si="11"/>
        <v>121</v>
      </c>
      <c r="F277" s="85"/>
      <c r="G277" s="86"/>
      <c r="H277" s="24"/>
      <c r="I277" s="169"/>
      <c r="J277" s="52"/>
    </row>
    <row r="278" spans="2:10" ht="15.75">
      <c r="B278" s="14">
        <v>274</v>
      </c>
      <c r="C278" s="171"/>
      <c r="D278" s="84" t="str">
        <f t="shared" si="10"/>
        <v>70</v>
      </c>
      <c r="E278" s="167">
        <f t="shared" si="11"/>
        <v>121</v>
      </c>
      <c r="F278" s="85"/>
      <c r="G278" s="86"/>
      <c r="H278" s="24"/>
      <c r="I278" s="169"/>
      <c r="J278" s="52"/>
    </row>
    <row r="279" spans="2:10" ht="15.75">
      <c r="B279" s="14">
        <v>275</v>
      </c>
      <c r="C279" s="171"/>
      <c r="D279" s="84" t="str">
        <f t="shared" si="10"/>
        <v>70</v>
      </c>
      <c r="E279" s="167">
        <f t="shared" si="11"/>
        <v>121</v>
      </c>
      <c r="F279" s="85"/>
      <c r="G279" s="86"/>
      <c r="H279" s="24"/>
      <c r="I279" s="169"/>
      <c r="J279" s="52"/>
    </row>
    <row r="280" spans="2:10" ht="15.75">
      <c r="B280" s="14">
        <v>276</v>
      </c>
      <c r="C280" s="171"/>
      <c r="D280" s="84" t="str">
        <f t="shared" si="10"/>
        <v>70</v>
      </c>
      <c r="E280" s="167">
        <f t="shared" si="11"/>
        <v>121</v>
      </c>
      <c r="F280" s="85"/>
      <c r="G280" s="86"/>
      <c r="H280" s="24"/>
      <c r="I280" s="169"/>
      <c r="J280" s="52"/>
    </row>
    <row r="281" spans="2:10" ht="15.75">
      <c r="B281" s="14">
        <v>277</v>
      </c>
      <c r="C281" s="171"/>
      <c r="D281" s="84" t="str">
        <f t="shared" si="10"/>
        <v>70</v>
      </c>
      <c r="E281" s="167">
        <f t="shared" si="11"/>
        <v>121</v>
      </c>
      <c r="F281" s="85"/>
      <c r="G281" s="86"/>
      <c r="H281" s="24"/>
      <c r="I281" s="169"/>
      <c r="J281" s="52"/>
    </row>
    <row r="282" spans="2:10" ht="15.75">
      <c r="B282" s="14">
        <v>278</v>
      </c>
      <c r="C282" s="171"/>
      <c r="D282" s="84" t="str">
        <f t="shared" si="10"/>
        <v>70</v>
      </c>
      <c r="E282" s="167">
        <f t="shared" si="11"/>
        <v>121</v>
      </c>
      <c r="F282" s="85"/>
      <c r="G282" s="86"/>
      <c r="H282" s="24"/>
      <c r="I282" s="169"/>
      <c r="J282" s="52"/>
    </row>
    <row r="283" spans="2:10" ht="15.75">
      <c r="B283" s="14">
        <v>279</v>
      </c>
      <c r="C283" s="171"/>
      <c r="D283" s="84" t="str">
        <f t="shared" si="10"/>
        <v>70</v>
      </c>
      <c r="E283" s="167">
        <f t="shared" si="11"/>
        <v>121</v>
      </c>
      <c r="F283" s="85"/>
      <c r="G283" s="86"/>
      <c r="H283" s="24"/>
      <c r="I283" s="169"/>
      <c r="J283" s="52"/>
    </row>
    <row r="284" spans="2:10" ht="15.75">
      <c r="B284" s="14">
        <v>280</v>
      </c>
      <c r="C284" s="171"/>
      <c r="D284" s="84" t="str">
        <f t="shared" si="10"/>
        <v>70</v>
      </c>
      <c r="E284" s="167">
        <f t="shared" si="11"/>
        <v>121</v>
      </c>
      <c r="F284" s="85"/>
      <c r="G284" s="86"/>
      <c r="H284" s="24"/>
      <c r="I284" s="169"/>
      <c r="J284" s="52"/>
    </row>
    <row r="285" spans="2:10" ht="15.75">
      <c r="B285" s="14">
        <v>281</v>
      </c>
      <c r="C285" s="171"/>
      <c r="D285" s="84" t="str">
        <f t="shared" si="10"/>
        <v>70</v>
      </c>
      <c r="E285" s="167">
        <f t="shared" si="11"/>
        <v>121</v>
      </c>
      <c r="F285" s="85"/>
      <c r="G285" s="86"/>
      <c r="H285" s="24"/>
      <c r="I285" s="169"/>
      <c r="J285" s="52"/>
    </row>
    <row r="286" spans="2:10" ht="15.75">
      <c r="B286" s="14">
        <v>282</v>
      </c>
      <c r="C286" s="171"/>
      <c r="D286" s="84" t="str">
        <f t="shared" si="10"/>
        <v>70</v>
      </c>
      <c r="E286" s="167">
        <f t="shared" si="11"/>
        <v>121</v>
      </c>
      <c r="F286" s="85"/>
      <c r="G286" s="86"/>
      <c r="H286" s="24"/>
      <c r="I286" s="169"/>
      <c r="J286" s="52"/>
    </row>
    <row r="287" spans="2:10" ht="15.75">
      <c r="B287" s="14">
        <v>283</v>
      </c>
      <c r="C287" s="171"/>
      <c r="D287" s="84" t="str">
        <f t="shared" si="10"/>
        <v>70</v>
      </c>
      <c r="E287" s="167">
        <f t="shared" si="11"/>
        <v>121</v>
      </c>
      <c r="F287" s="85"/>
      <c r="G287" s="86"/>
      <c r="H287" s="24"/>
      <c r="I287" s="169"/>
      <c r="J287" s="52"/>
    </row>
    <row r="288" spans="2:10" ht="15.75">
      <c r="B288" s="14">
        <v>284</v>
      </c>
      <c r="C288" s="171"/>
      <c r="D288" s="84" t="str">
        <f t="shared" si="10"/>
        <v>70</v>
      </c>
      <c r="E288" s="167">
        <f t="shared" si="11"/>
        <v>121</v>
      </c>
      <c r="F288" s="85"/>
      <c r="G288" s="86"/>
      <c r="H288" s="24"/>
      <c r="I288" s="169"/>
      <c r="J288" s="52"/>
    </row>
    <row r="289" spans="2:10" ht="15.75">
      <c r="B289" s="14">
        <v>285</v>
      </c>
      <c r="C289" s="171"/>
      <c r="D289" s="84" t="str">
        <f t="shared" si="10"/>
        <v>70</v>
      </c>
      <c r="E289" s="167">
        <f t="shared" si="11"/>
        <v>121</v>
      </c>
      <c r="F289" s="85"/>
      <c r="G289" s="86"/>
      <c r="H289" s="24"/>
      <c r="I289" s="169"/>
      <c r="J289" s="52"/>
    </row>
    <row r="290" spans="2:10" ht="15.75">
      <c r="B290" s="14">
        <v>286</v>
      </c>
      <c r="C290" s="171"/>
      <c r="D290" s="84" t="str">
        <f t="shared" si="10"/>
        <v>70</v>
      </c>
      <c r="E290" s="167">
        <f t="shared" si="11"/>
        <v>121</v>
      </c>
      <c r="F290" s="85"/>
      <c r="G290" s="86"/>
      <c r="H290" s="24"/>
      <c r="I290" s="169"/>
      <c r="J290" s="52"/>
    </row>
    <row r="291" spans="2:10" ht="15.75">
      <c r="B291" s="14">
        <v>287</v>
      </c>
      <c r="C291" s="171"/>
      <c r="D291" s="84" t="str">
        <f t="shared" si="10"/>
        <v>70</v>
      </c>
      <c r="E291" s="167">
        <f t="shared" si="11"/>
        <v>121</v>
      </c>
      <c r="F291" s="85"/>
      <c r="G291" s="86"/>
      <c r="H291" s="24"/>
      <c r="I291" s="169"/>
      <c r="J291" s="52"/>
    </row>
    <row r="292" spans="2:10" ht="15.75">
      <c r="B292" s="14">
        <v>288</v>
      </c>
      <c r="C292" s="171"/>
      <c r="D292" s="84" t="str">
        <f t="shared" si="10"/>
        <v>70</v>
      </c>
      <c r="E292" s="167">
        <f t="shared" si="11"/>
        <v>121</v>
      </c>
      <c r="F292" s="85"/>
      <c r="G292" s="86"/>
      <c r="H292" s="24"/>
      <c r="I292" s="169"/>
      <c r="J292" s="52"/>
    </row>
    <row r="293" spans="2:10" ht="15.75">
      <c r="B293" s="14">
        <v>289</v>
      </c>
      <c r="C293" s="171"/>
      <c r="D293" s="84" t="str">
        <f t="shared" si="10"/>
        <v>70</v>
      </c>
      <c r="E293" s="167">
        <f t="shared" si="11"/>
        <v>121</v>
      </c>
      <c r="F293" s="85"/>
      <c r="G293" s="86"/>
      <c r="H293" s="24"/>
      <c r="I293" s="169"/>
      <c r="J293" s="52"/>
    </row>
    <row r="294" spans="2:10" ht="15.75">
      <c r="B294" s="14">
        <v>290</v>
      </c>
      <c r="C294" s="171"/>
      <c r="D294" s="84" t="str">
        <f t="shared" si="10"/>
        <v>70</v>
      </c>
      <c r="E294" s="167">
        <f t="shared" si="11"/>
        <v>121</v>
      </c>
      <c r="F294" s="85"/>
      <c r="G294" s="86"/>
      <c r="H294" s="24"/>
      <c r="I294" s="169"/>
      <c r="J294" s="52"/>
    </row>
    <row r="295" spans="2:10" ht="15.75">
      <c r="B295" s="14">
        <v>291</v>
      </c>
      <c r="C295" s="171"/>
      <c r="D295" s="84" t="str">
        <f t="shared" si="10"/>
        <v>70</v>
      </c>
      <c r="E295" s="167">
        <f t="shared" si="11"/>
        <v>121</v>
      </c>
      <c r="F295" s="85"/>
      <c r="G295" s="86"/>
      <c r="H295" s="24"/>
      <c r="I295" s="169"/>
      <c r="J295" s="52"/>
    </row>
    <row r="296" spans="2:10" ht="15.75">
      <c r="B296" s="14">
        <v>292</v>
      </c>
      <c r="C296" s="171"/>
      <c r="D296" s="84" t="str">
        <f t="shared" si="10"/>
        <v>70</v>
      </c>
      <c r="E296" s="167">
        <f t="shared" si="11"/>
        <v>121</v>
      </c>
      <c r="F296" s="85"/>
      <c r="G296" s="86"/>
      <c r="H296" s="24"/>
      <c r="I296" s="169"/>
      <c r="J296" s="52"/>
    </row>
    <row r="297" spans="2:10" ht="15.75">
      <c r="B297" s="14">
        <v>293</v>
      </c>
      <c r="C297" s="171"/>
      <c r="D297" s="84" t="str">
        <f t="shared" si="10"/>
        <v>70</v>
      </c>
      <c r="E297" s="167">
        <f t="shared" si="11"/>
        <v>121</v>
      </c>
      <c r="F297" s="85"/>
      <c r="G297" s="86"/>
      <c r="H297" s="24"/>
      <c r="I297" s="169"/>
      <c r="J297" s="52"/>
    </row>
    <row r="298" spans="2:10" ht="15.75">
      <c r="B298" s="14">
        <v>294</v>
      </c>
      <c r="C298" s="171"/>
      <c r="D298" s="84" t="str">
        <f t="shared" si="10"/>
        <v>70</v>
      </c>
      <c r="E298" s="167">
        <f t="shared" si="11"/>
        <v>121</v>
      </c>
      <c r="F298" s="85"/>
      <c r="G298" s="86"/>
      <c r="H298" s="24"/>
      <c r="I298" s="169"/>
      <c r="J298" s="52"/>
    </row>
    <row r="299" spans="2:10" ht="15.75">
      <c r="B299" s="14">
        <v>295</v>
      </c>
      <c r="C299" s="171"/>
      <c r="D299" s="84" t="str">
        <f t="shared" si="10"/>
        <v>70</v>
      </c>
      <c r="E299" s="167">
        <f t="shared" si="11"/>
        <v>121</v>
      </c>
      <c r="F299" s="85"/>
      <c r="G299" s="86"/>
      <c r="H299" s="24"/>
      <c r="I299" s="169"/>
      <c r="J299" s="52"/>
    </row>
    <row r="300" spans="2:10" ht="15.75">
      <c r="B300" s="14">
        <v>296</v>
      </c>
      <c r="C300" s="171"/>
      <c r="D300" s="84" t="str">
        <f t="shared" si="10"/>
        <v>70</v>
      </c>
      <c r="E300" s="167">
        <f t="shared" si="11"/>
        <v>121</v>
      </c>
      <c r="F300" s="85"/>
      <c r="G300" s="86"/>
      <c r="H300" s="24"/>
      <c r="I300" s="169"/>
      <c r="J300" s="52"/>
    </row>
    <row r="301" spans="2:10" ht="15.75">
      <c r="B301" s="14">
        <v>297</v>
      </c>
      <c r="C301" s="171"/>
      <c r="D301" s="84" t="str">
        <f t="shared" si="10"/>
        <v>70</v>
      </c>
      <c r="E301" s="167">
        <f t="shared" si="11"/>
        <v>121</v>
      </c>
      <c r="F301" s="85"/>
      <c r="G301" s="86"/>
      <c r="H301" s="24"/>
      <c r="I301" s="169"/>
      <c r="J301" s="52"/>
    </row>
    <row r="302" spans="2:10" ht="15.75">
      <c r="B302" s="14">
        <v>298</v>
      </c>
      <c r="C302" s="171"/>
      <c r="D302" s="84" t="str">
        <f t="shared" si="10"/>
        <v>70</v>
      </c>
      <c r="E302" s="167">
        <f t="shared" si="11"/>
        <v>121</v>
      </c>
      <c r="F302" s="85"/>
      <c r="G302" s="86"/>
      <c r="H302" s="24"/>
      <c r="I302" s="169"/>
      <c r="J302" s="52"/>
    </row>
    <row r="303" spans="2:10" ht="15.75">
      <c r="B303" s="14">
        <v>299</v>
      </c>
      <c r="C303" s="171"/>
      <c r="D303" s="84" t="str">
        <f t="shared" si="10"/>
        <v>70</v>
      </c>
      <c r="E303" s="167">
        <f t="shared" si="11"/>
        <v>121</v>
      </c>
      <c r="F303" s="85"/>
      <c r="G303" s="86"/>
      <c r="H303" s="24"/>
      <c r="I303" s="169"/>
      <c r="J303" s="52"/>
    </row>
    <row r="304" spans="2:10" ht="15.75">
      <c r="B304" s="14">
        <v>300</v>
      </c>
      <c r="C304" s="171"/>
      <c r="D304" s="84" t="str">
        <f t="shared" si="10"/>
        <v>70</v>
      </c>
      <c r="E304" s="167">
        <f t="shared" si="11"/>
        <v>121</v>
      </c>
      <c r="F304" s="85"/>
      <c r="G304" s="86"/>
      <c r="H304" s="24"/>
      <c r="I304" s="169"/>
      <c r="J304" s="52"/>
    </row>
  </sheetData>
  <sheetProtection password="CFA8" sheet="1" objects="1" scenarios="1"/>
  <sortState ref="AD5:AF303">
    <sortCondition ref="AF4"/>
  </sortState>
  <mergeCells count="2">
    <mergeCell ref="C3:J3"/>
    <mergeCell ref="C1:I1"/>
  </mergeCells>
  <phoneticPr fontId="0" type="noConversion"/>
  <pageMargins left="0.78740157499999996" right="0.78740157499999996" top="0.984251969" bottom="0.984251969" header="0.4921259845" footer="0.4921259845"/>
  <pageSetup paperSize="9" orientation="portrait" horizontalDpi="4294967293" verticalDpi="4294967293" r:id="rId1"/>
  <headerFooter alignWithMargins="0"/>
  <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Feuil3" enableFormatConditionsCalculation="0"/>
  <dimension ref="B1:S304"/>
  <sheetViews>
    <sheetView workbookViewId="0">
      <pane ySplit="3" topLeftCell="A40" activePane="bottomLeft" state="frozen"/>
      <selection activeCell="C1" sqref="C1"/>
      <selection pane="bottomLeft" activeCell="N57" sqref="N57"/>
    </sheetView>
  </sheetViews>
  <sheetFormatPr baseColWidth="10" defaultRowHeight="15.75"/>
  <cols>
    <col min="1" max="1" width="9.42578125" customWidth="1"/>
    <col min="2" max="2" width="9" hidden="1" customWidth="1"/>
    <col min="3" max="3" width="12.28515625" style="33" hidden="1" customWidth="1"/>
    <col min="4" max="4" width="12.28515625" style="29" customWidth="1"/>
    <col min="5" max="5" width="15.140625" customWidth="1"/>
    <col min="6" max="6" width="11.85546875" customWidth="1"/>
    <col min="7" max="7" width="8" style="14" customWidth="1"/>
    <col min="8" max="8" width="9.42578125" style="14" customWidth="1"/>
    <col min="9" max="9" width="12.28515625" style="38" customWidth="1"/>
    <col min="10" max="13" width="12.28515625" customWidth="1"/>
    <col min="14" max="14" width="9.42578125" customWidth="1"/>
    <col min="15" max="15" width="9.42578125" style="2" customWidth="1"/>
    <col min="16" max="16" width="21.42578125" customWidth="1"/>
    <col min="17" max="17" width="4.140625" customWidth="1"/>
    <col min="19" max="20" width="10.85546875" customWidth="1"/>
  </cols>
  <sheetData>
    <row r="1" spans="2:19" ht="45" customHeight="1" thickBot="1">
      <c r="D1" s="189" t="s">
        <v>76</v>
      </c>
      <c r="E1" s="189"/>
      <c r="F1" s="189"/>
      <c r="G1" s="189"/>
      <c r="H1" s="189"/>
      <c r="I1" s="189"/>
      <c r="J1" s="189"/>
      <c r="K1" s="189"/>
      <c r="L1" s="189"/>
      <c r="M1" s="189"/>
      <c r="N1" s="189"/>
      <c r="O1" s="189"/>
      <c r="P1" s="189"/>
    </row>
    <row r="2" spans="2:19" ht="51" customHeight="1" thickBot="1">
      <c r="C2" s="128" t="s">
        <v>78</v>
      </c>
      <c r="D2" s="138" t="s">
        <v>79</v>
      </c>
      <c r="E2" s="139" t="s">
        <v>14</v>
      </c>
      <c r="F2" s="139" t="s">
        <v>25</v>
      </c>
      <c r="G2" s="139" t="s">
        <v>16</v>
      </c>
      <c r="H2" s="139" t="s">
        <v>0</v>
      </c>
      <c r="I2" s="135" t="s">
        <v>29</v>
      </c>
      <c r="J2" s="136" t="s">
        <v>84</v>
      </c>
      <c r="K2" s="136" t="s">
        <v>85</v>
      </c>
      <c r="L2" s="135" t="s">
        <v>24</v>
      </c>
      <c r="M2" s="139" t="s">
        <v>15</v>
      </c>
      <c r="N2" s="134" t="s">
        <v>43</v>
      </c>
      <c r="O2" s="137" t="s">
        <v>36</v>
      </c>
      <c r="P2" s="140" t="s">
        <v>37</v>
      </c>
    </row>
    <row r="3" spans="2:19" ht="41.1" customHeight="1" thickBot="1">
      <c r="C3" s="28" t="e">
        <f>IF(Coureurs!#REF!="","",Coureurs!#REF!)</f>
        <v>#REF!</v>
      </c>
      <c r="D3" s="125"/>
      <c r="E3" s="126"/>
      <c r="F3" s="156" t="s">
        <v>75</v>
      </c>
      <c r="G3" s="127"/>
      <c r="H3" s="126"/>
      <c r="I3" s="127"/>
      <c r="J3" s="157"/>
      <c r="K3" s="158"/>
      <c r="L3" s="159"/>
      <c r="M3" s="158"/>
      <c r="N3" s="158"/>
      <c r="O3" s="157"/>
      <c r="P3" s="160"/>
      <c r="S3" s="112"/>
    </row>
    <row r="4" spans="2:19" ht="23.25" hidden="1">
      <c r="C4" s="28" t="str">
        <f>IF(Coureurs!C4="","",Coureurs!C4)</f>
        <v/>
      </c>
      <c r="D4" s="130" t="str">
        <f>IF(Coureurs!D4="","",Coureurs!D4)</f>
        <v/>
      </c>
      <c r="E4" s="97" t="str">
        <f>IF(Coureurs!F4="","",Coureurs!F4)</f>
        <v/>
      </c>
      <c r="F4" s="97" t="str">
        <f>IF(Coureurs!G4="","",Coureurs!G4)</f>
        <v/>
      </c>
      <c r="G4" s="96" t="str">
        <f>IF(Coureurs!J4="","",Coureurs!J4)</f>
        <v/>
      </c>
      <c r="H4" s="120"/>
      <c r="I4" s="121"/>
      <c r="J4" s="98" t="str">
        <f>IF(I4="PM","",IF(H4=0," ",I4-HLOOKUP('Course 1'!H4,'tab1'!$C$3:$N$4,2)))</f>
        <v xml:space="preserve"> </v>
      </c>
      <c r="K4" s="99" t="str">
        <f>IF(I4="PM","",IF(H4=0," ",J4/'Règles et points'!$F$23))</f>
        <v xml:space="preserve"> </v>
      </c>
      <c r="L4" s="100" t="str">
        <f>IF(H4=0,"",VLOOKUP(H4,'Règles et points'!$C$5:$AG$19,(HLOOKUP('Course 1'!C4,'Règles et points'!$C$5:$AG$5,1)+1)))</f>
        <v/>
      </c>
      <c r="M4" s="99">
        <f t="shared" ref="M4" si="0">IF(I4="PM",0,IF(H4=0,0,L4-K4))+N4</f>
        <v>0</v>
      </c>
      <c r="N4" s="101"/>
      <c r="O4" s="102"/>
      <c r="P4" s="103"/>
      <c r="S4" s="112"/>
    </row>
    <row r="5" spans="2:19" ht="12.75">
      <c r="B5" s="14">
        <v>1</v>
      </c>
      <c r="C5" s="28">
        <f>IF(Coureurs!C5="","",Coureurs!C5)</f>
        <v>24</v>
      </c>
      <c r="D5" s="131" t="str">
        <f>IF(Coureurs!D5="","",Coureurs!D5)</f>
        <v>H40</v>
      </c>
      <c r="E5" s="87" t="str">
        <f>IF(Coureurs!F5="","",Coureurs!F5)</f>
        <v>GARDEUR</v>
      </c>
      <c r="F5" s="87" t="str">
        <f>IF(Coureurs!G5="","",Coureurs!G5)</f>
        <v>Julien</v>
      </c>
      <c r="G5" s="50">
        <f>IF(Coureurs!J5="","",Coureurs!J5)</f>
        <v>35002</v>
      </c>
      <c r="H5" s="110"/>
      <c r="I5" s="40"/>
      <c r="J5" s="8" t="str">
        <f>IF(I5="PM","",IF(H5=0," ",I5-HLOOKUP('Course 1'!H5,'tab1'!$C$3:$N$4,2)))</f>
        <v xml:space="preserve"> </v>
      </c>
      <c r="K5" s="23" t="str">
        <f>IF(I5="PM","",IF(H5=0," ",J5/'Règles et points'!$F$23))</f>
        <v xml:space="preserve"> </v>
      </c>
      <c r="L5" s="3" t="str">
        <f>IF(H5=0,"",IF(I5="PM",30,VLOOKUP(H5,'Règles et points'!$C$5:$AG$19,(HLOOKUP('Course 1'!C5,'Règles et points'!$C$5:$AG$5,1)+1))))</f>
        <v/>
      </c>
      <c r="M5" s="23">
        <f>IF(I5="PM",30,IF(H5=0,0,L5-K5))+N5</f>
        <v>0</v>
      </c>
      <c r="N5" s="80"/>
      <c r="O5" s="51"/>
      <c r="P5" s="52"/>
    </row>
    <row r="6" spans="2:19" ht="12.75">
      <c r="B6" s="14">
        <v>2</v>
      </c>
      <c r="C6" s="28">
        <f>IF(Coureurs!C6="","",Coureurs!C6)</f>
        <v>26</v>
      </c>
      <c r="D6" s="131" t="str">
        <f>IF(Coureurs!D6="","",Coureurs!D6)</f>
        <v>H50</v>
      </c>
      <c r="E6" s="87" t="str">
        <f>IF(Coureurs!F6="","",Coureurs!F6)</f>
        <v>TOUSSAINT</v>
      </c>
      <c r="F6" s="87" t="str">
        <f>IF(Coureurs!G6="","",Coureurs!G6)</f>
        <v>Stéphane</v>
      </c>
      <c r="G6" s="50">
        <f>IF(Coureurs!J6="","",Coureurs!J6)</f>
        <v>1770314</v>
      </c>
      <c r="H6" s="106"/>
      <c r="I6" s="40"/>
      <c r="J6" s="8" t="str">
        <f>IF(I6="PM","",IF(H6=0," ",I6-HLOOKUP('Course 1'!H6,'tab1'!$C$3:$N$4,2)))</f>
        <v xml:space="preserve"> </v>
      </c>
      <c r="K6" s="23" t="str">
        <f>IF(I6="PM","",IF(H6=0," ",J6/'Règles et points'!$F$23))</f>
        <v xml:space="preserve"> </v>
      </c>
      <c r="L6" s="3" t="str">
        <f>IF(H6=0,"",IF(I6="PM",30,VLOOKUP(H6,'Règles et points'!$C$5:$AG$19,(HLOOKUP('Course 1'!C6,'Règles et points'!$C$5:$AG$5,1)+1))))</f>
        <v/>
      </c>
      <c r="M6" s="23">
        <f t="shared" ref="M6:M69" si="1">IF(I6="PM",30,IF(H6=0,0,L6-K6))+N6</f>
        <v>0</v>
      </c>
      <c r="N6" s="80"/>
      <c r="O6" s="51"/>
      <c r="P6" s="52"/>
    </row>
    <row r="7" spans="2:19" ht="12.75">
      <c r="B7" s="14">
        <v>3</v>
      </c>
      <c r="C7" s="28">
        <f>IF(Coureurs!C7="","",Coureurs!C7)</f>
        <v>25</v>
      </c>
      <c r="D7" s="131" t="str">
        <f>IF(Coureurs!D7="","",Coureurs!D7)</f>
        <v>H45</v>
      </c>
      <c r="E7" s="87" t="str">
        <f>IF(Coureurs!F7="","",Coureurs!F7)</f>
        <v>VANNIER</v>
      </c>
      <c r="F7" s="87" t="str">
        <f>IF(Coureurs!G7="","",Coureurs!G7)</f>
        <v>Fabrice</v>
      </c>
      <c r="G7" s="50">
        <f>IF(Coureurs!J7="","",Coureurs!J7)</f>
        <v>1770320</v>
      </c>
      <c r="H7" s="106" t="s">
        <v>2</v>
      </c>
      <c r="I7" s="107">
        <v>3.5972222222222218E-2</v>
      </c>
      <c r="J7" s="8">
        <f>IF(I7="PM","",IF(H7=0," ",I7-HLOOKUP('Course 1'!H7,'tab1'!$C$3:$N$4,2)))</f>
        <v>0</v>
      </c>
      <c r="K7" s="23">
        <f>IF(I7="PM","",IF(H7=0," ",J7/'Règles et points'!$F$23))</f>
        <v>0</v>
      </c>
      <c r="L7" s="3">
        <f>IF(H7=0,"",IF(I7="PM",30,VLOOKUP(H7,'Règles et points'!$C$5:$AG$19,(HLOOKUP('Course 1'!C7,'Règles et points'!$C$5:$AG$5,1)+1))))</f>
        <v>100</v>
      </c>
      <c r="M7" s="23">
        <f t="shared" si="1"/>
        <v>100</v>
      </c>
      <c r="N7" s="80"/>
      <c r="O7" s="51"/>
      <c r="P7" s="52"/>
    </row>
    <row r="8" spans="2:19" ht="12.75">
      <c r="B8" s="14">
        <v>4</v>
      </c>
      <c r="C8" s="28">
        <f>IF(Coureurs!C8="","",Coureurs!C8)</f>
        <v>30</v>
      </c>
      <c r="D8" s="131" t="str">
        <f>IF(Coureurs!D8="","",Coureurs!D8)</f>
        <v>H70</v>
      </c>
      <c r="E8" s="87" t="str">
        <f>IF(Coureurs!F8="","",Coureurs!F8)</f>
        <v>HAMON</v>
      </c>
      <c r="F8" s="87" t="str">
        <f>IF(Coureurs!G8="","",Coureurs!G8)</f>
        <v>Patrick</v>
      </c>
      <c r="G8" s="50">
        <f>IF(Coureurs!J8="","",Coureurs!J8)</f>
        <v>9001020</v>
      </c>
      <c r="H8" s="25" t="s">
        <v>12</v>
      </c>
      <c r="I8" s="40">
        <v>2.7986111111111111E-2</v>
      </c>
      <c r="J8" s="8">
        <f>IF(I8="PM","",IF(H8=0," ",I8-HLOOKUP('Course 1'!H8,'tab1'!$C$3:$N$4,2)))</f>
        <v>5.787037037037035E-3</v>
      </c>
      <c r="K8" s="23">
        <f>IF(I8="PM","",IF(H8=0," ",J8/'Règles et points'!$F$23))</f>
        <v>8.3333333333333321</v>
      </c>
      <c r="L8" s="3">
        <f>IF(H8=0,"",IF(I8="PM",30,VLOOKUP(H8,'Règles et points'!$C$5:$AG$19,(HLOOKUP('Course 1'!C8,'Règles et points'!$C$5:$AG$5,1)+1))))</f>
        <v>100</v>
      </c>
      <c r="M8" s="23">
        <f t="shared" si="1"/>
        <v>91.666666666666671</v>
      </c>
      <c r="N8" s="80"/>
      <c r="O8" s="40"/>
      <c r="P8" s="52"/>
    </row>
    <row r="9" spans="2:19" ht="12.75">
      <c r="B9" s="14">
        <v>5</v>
      </c>
      <c r="C9" s="28">
        <f>IF(Coureurs!C9="","",Coureurs!C9)</f>
        <v>27</v>
      </c>
      <c r="D9" s="131" t="str">
        <f>IF(Coureurs!D9="","",Coureurs!D9)</f>
        <v>H55</v>
      </c>
      <c r="E9" s="87" t="str">
        <f>IF(Coureurs!F9="","",Coureurs!F9)</f>
        <v>GILLARD</v>
      </c>
      <c r="F9" s="87" t="str">
        <f>IF(Coureurs!G9="","",Coureurs!G9)</f>
        <v>Hugues</v>
      </c>
      <c r="G9" s="50">
        <f>IF(Coureurs!J9="","",Coureurs!J9)</f>
        <v>1000717</v>
      </c>
      <c r="H9" s="106"/>
      <c r="I9" s="40"/>
      <c r="J9" s="8" t="str">
        <f>IF(I9="PM","",IF(H9=0," ",I9-HLOOKUP('Course 1'!H9,'tab1'!$C$3:$N$4,2)))</f>
        <v xml:space="preserve"> </v>
      </c>
      <c r="K9" s="23" t="str">
        <f>IF(I9="PM","",IF(H9=0," ",J9/'Règles et points'!$F$23))</f>
        <v xml:space="preserve"> </v>
      </c>
      <c r="L9" s="3" t="str">
        <f>IF(H9=0,"",IF(I9="PM",30,VLOOKUP(H9,'Règles et points'!$C$5:$AG$19,(HLOOKUP('Course 1'!C9,'Règles et points'!$C$5:$AG$5,1)+1))))</f>
        <v/>
      </c>
      <c r="M9" s="23">
        <f t="shared" si="1"/>
        <v>0</v>
      </c>
      <c r="N9" s="80"/>
      <c r="O9" s="40"/>
      <c r="P9" s="52"/>
      <c r="S9" s="34"/>
    </row>
    <row r="10" spans="2:19" ht="12.75">
      <c r="B10" s="14">
        <v>6</v>
      </c>
      <c r="C10" s="28">
        <f>IF(Coureurs!C10="","",Coureurs!C10)</f>
        <v>11</v>
      </c>
      <c r="D10" s="131" t="str">
        <f>IF(Coureurs!D10="","",Coureurs!D10)</f>
        <v>D50</v>
      </c>
      <c r="E10" s="87" t="str">
        <f>IF(Coureurs!F10="","",Coureurs!F10)</f>
        <v>OLIVIER</v>
      </c>
      <c r="F10" s="87" t="str">
        <f>IF(Coureurs!G10="","",Coureurs!G10)</f>
        <v>Sandra</v>
      </c>
      <c r="G10" s="50">
        <f>IF(Coureurs!J10="","",Coureurs!J10)</f>
        <v>8001980</v>
      </c>
      <c r="H10" s="106"/>
      <c r="I10" s="40"/>
      <c r="J10" s="8" t="str">
        <f>IF(I10="PM","",IF(H10=0," ",I10-HLOOKUP('Course 1'!H10,'tab1'!$C$3:$N$4,2)))</f>
        <v xml:space="preserve"> </v>
      </c>
      <c r="K10" s="23" t="str">
        <f>IF(I10="PM","",IF(H10=0," ",J10/'Règles et points'!$F$23))</f>
        <v xml:space="preserve"> </v>
      </c>
      <c r="L10" s="3" t="str">
        <f>IF(H10=0,"",IF(I10="PM",30,VLOOKUP(H10,'Règles et points'!$C$5:$AG$19,(HLOOKUP('Course 1'!C10,'Règles et points'!$C$5:$AG$5,1)+1))))</f>
        <v/>
      </c>
      <c r="M10" s="23">
        <f t="shared" si="1"/>
        <v>0</v>
      </c>
      <c r="N10" s="80"/>
      <c r="O10" s="51"/>
      <c r="P10" s="52"/>
      <c r="S10" s="34"/>
    </row>
    <row r="11" spans="2:19" ht="12.75">
      <c r="B11" s="14">
        <v>7</v>
      </c>
      <c r="C11" s="28">
        <f>IF(Coureurs!C11="","",Coureurs!C11)</f>
        <v>13</v>
      </c>
      <c r="D11" s="131" t="str">
        <f>IF(Coureurs!D11="","",Coureurs!D11)</f>
        <v>D60</v>
      </c>
      <c r="E11" s="87" t="str">
        <f>IF(Coureurs!F11="","",Coureurs!F11)</f>
        <v>MOLINIER</v>
      </c>
      <c r="F11" s="87" t="str">
        <f>IF(Coureurs!G11="","",Coureurs!G11)</f>
        <v>Frederique</v>
      </c>
      <c r="G11" s="50">
        <f>IF(Coureurs!J11="","",Coureurs!J11)</f>
        <v>1000979</v>
      </c>
      <c r="H11" s="25" t="s">
        <v>3</v>
      </c>
      <c r="I11" s="40" t="s">
        <v>241</v>
      </c>
      <c r="J11" s="8" t="str">
        <f>IF(I11="PM","",IF(H11=0," ",I11-HLOOKUP('Course 1'!H11,'tab1'!$C$3:$N$4,2)))</f>
        <v/>
      </c>
      <c r="K11" s="23" t="str">
        <f>IF(I11="PM","",IF(H11=0," ",J11/'Règles et points'!$F$23))</f>
        <v/>
      </c>
      <c r="L11" s="3">
        <f>IF(H11=0,"",IF(I11="PM",30,VLOOKUP(H11,'Règles et points'!$C$5:$AG$19,(HLOOKUP('Course 1'!C11,'Règles et points'!$C$5:$AG$5,1)+1))))</f>
        <v>30</v>
      </c>
      <c r="M11" s="23">
        <f t="shared" si="1"/>
        <v>30</v>
      </c>
      <c r="N11" s="80"/>
      <c r="O11" s="51"/>
      <c r="P11" s="52"/>
    </row>
    <row r="12" spans="2:19" ht="12.75">
      <c r="B12" s="14">
        <v>8</v>
      </c>
      <c r="C12" s="28">
        <f>IF(Coureurs!C12="","",Coureurs!C12)</f>
        <v>7</v>
      </c>
      <c r="D12" s="131" t="str">
        <f>IF(Coureurs!D12="","",Coureurs!D12)</f>
        <v>D21</v>
      </c>
      <c r="E12" s="87" t="str">
        <f>IF(Coureurs!F12="","",Coureurs!F12)</f>
        <v>MOLINIER</v>
      </c>
      <c r="F12" s="87" t="str">
        <f>IF(Coureurs!G12="","",Coureurs!G12)</f>
        <v>Caroline</v>
      </c>
      <c r="G12" s="50">
        <f>IF(Coureurs!J12="","",Coureurs!J12)</f>
        <v>31320</v>
      </c>
      <c r="H12" s="25" t="s">
        <v>2</v>
      </c>
      <c r="I12" s="40">
        <v>7.2129629629629641E-2</v>
      </c>
      <c r="J12" s="8">
        <f>IF(I12="PM","",IF(H12=0," ",I12-HLOOKUP('Course 1'!H12,'tab1'!$C$3:$N$4,2)))</f>
        <v>3.6157407407407423E-2</v>
      </c>
      <c r="K12" s="23">
        <f>IF(I12="PM","",IF(H12=0," ",J12/'Règles et points'!$F$23))</f>
        <v>52.066666666666698</v>
      </c>
      <c r="L12" s="3">
        <f>IF(H12=0,"",IF(I12="PM",30,VLOOKUP(H12,'Règles et points'!$C$5:$AG$19,(HLOOKUP('Course 1'!C12,'Règles et points'!$C$5:$AG$5,1)+1))))</f>
        <v>100</v>
      </c>
      <c r="M12" s="23">
        <f t="shared" si="1"/>
        <v>47.933333333333302</v>
      </c>
      <c r="N12" s="80"/>
      <c r="O12" s="51"/>
      <c r="P12" s="52"/>
    </row>
    <row r="13" spans="2:19" ht="12.75">
      <c r="B13" s="14">
        <v>9</v>
      </c>
      <c r="C13" s="28">
        <f>IF(Coureurs!C13="","",Coureurs!C13)</f>
        <v>28</v>
      </c>
      <c r="D13" s="131" t="str">
        <f>IF(Coureurs!D13="","",Coureurs!D13)</f>
        <v>H60</v>
      </c>
      <c r="E13" s="87" t="str">
        <f>IF(Coureurs!F13="","",Coureurs!F13)</f>
        <v>RORA</v>
      </c>
      <c r="F13" s="87" t="str">
        <f>IF(Coureurs!G13="","",Coureurs!G13)</f>
        <v>Jose</v>
      </c>
      <c r="G13" s="50">
        <f>IF(Coureurs!J13="","",Coureurs!J13)</f>
        <v>8077060</v>
      </c>
      <c r="H13" s="106" t="s">
        <v>3</v>
      </c>
      <c r="I13" s="40">
        <v>3.6851851851851851E-2</v>
      </c>
      <c r="J13" s="8">
        <f>IF(I13="PM","",IF(H13=0," ",I13-HLOOKUP('Course 1'!H13,'tab1'!$C$3:$N$4,2)))</f>
        <v>0</v>
      </c>
      <c r="K13" s="23">
        <f>IF(I13="PM","",IF(H13=0," ",J13/'Règles et points'!$F$23))</f>
        <v>0</v>
      </c>
      <c r="L13" s="3">
        <f>IF(H13=0,"",IF(I13="PM",30,VLOOKUP(H13,'Règles et points'!$C$5:$AG$19,(HLOOKUP('Course 1'!C13,'Règles et points'!$C$5:$AG$5,1)+1))))</f>
        <v>100</v>
      </c>
      <c r="M13" s="23">
        <f t="shared" si="1"/>
        <v>100</v>
      </c>
      <c r="N13" s="80"/>
      <c r="O13" s="51"/>
      <c r="P13" s="52"/>
    </row>
    <row r="14" spans="2:19" ht="12.75">
      <c r="B14" s="14">
        <v>10</v>
      </c>
      <c r="C14" s="28">
        <f>IF(Coureurs!C14="","",Coureurs!C14)</f>
        <v>12</v>
      </c>
      <c r="D14" s="131" t="str">
        <f>IF(Coureurs!D14="","",Coureurs!D14)</f>
        <v>D55</v>
      </c>
      <c r="E14" s="87" t="str">
        <f>IF(Coureurs!F14="","",Coureurs!F14)</f>
        <v>RORA</v>
      </c>
      <c r="F14" s="87" t="str">
        <f>IF(Coureurs!G14="","",Coureurs!G14)</f>
        <v>Isabelle</v>
      </c>
      <c r="G14" s="50">
        <f>IF(Coureurs!J14="","",Coureurs!J14)</f>
        <v>9771900</v>
      </c>
      <c r="H14" s="25" t="s">
        <v>3</v>
      </c>
      <c r="I14" s="40" t="s">
        <v>241</v>
      </c>
      <c r="J14" s="8" t="str">
        <f>IF(I14="PM","",IF(H14=0," ",I14-HLOOKUP('Course 1'!H14,'tab1'!$C$3:$N$4,2)))</f>
        <v/>
      </c>
      <c r="K14" s="23" t="str">
        <f>IF(I14="PM","",IF(H14=0," ",J14/'Règles et points'!$F$23))</f>
        <v/>
      </c>
      <c r="L14" s="3">
        <f>IF(H14=0,"",IF(I14="PM",30,VLOOKUP(H14,'Règles et points'!$C$5:$AG$19,(HLOOKUP('Course 1'!C14,'Règles et points'!$C$5:$AG$5,1)+1))))</f>
        <v>30</v>
      </c>
      <c r="M14" s="23">
        <f t="shared" si="1"/>
        <v>30</v>
      </c>
      <c r="N14" s="80"/>
      <c r="O14" s="51"/>
      <c r="P14" s="52"/>
    </row>
    <row r="15" spans="2:19" ht="12.75">
      <c r="B15" s="14">
        <v>11</v>
      </c>
      <c r="C15" s="28">
        <f>IF(Coureurs!C15="","",Coureurs!C15)</f>
        <v>29</v>
      </c>
      <c r="D15" s="131" t="str">
        <f>IF(Coureurs!D15="","",Coureurs!D15)</f>
        <v>H65</v>
      </c>
      <c r="E15" s="87" t="str">
        <f>IF(Coureurs!F15="","",Coureurs!F15)</f>
        <v>PERSE</v>
      </c>
      <c r="F15" s="87" t="str">
        <f>IF(Coureurs!G15="","",Coureurs!G15)</f>
        <v>Philippe</v>
      </c>
      <c r="G15" s="50">
        <f>IF(Coureurs!J15="","",Coureurs!J15)</f>
        <v>355162</v>
      </c>
      <c r="H15" s="106"/>
      <c r="I15" s="40"/>
      <c r="J15" s="8" t="str">
        <f>IF(I15="PM","",IF(H15=0," ",I15-HLOOKUP('Course 1'!H15,'tab1'!$C$3:$N$4,2)))</f>
        <v xml:space="preserve"> </v>
      </c>
      <c r="K15" s="23" t="str">
        <f>IF(I15="PM","",IF(H15=0," ",J15/'Règles et points'!$F$23))</f>
        <v xml:space="preserve"> </v>
      </c>
      <c r="L15" s="3" t="str">
        <f>IF(H15=0,"",IF(I15="PM",30,VLOOKUP(H15,'Règles et points'!$C$5:$AG$19,(HLOOKUP('Course 1'!C15,'Règles et points'!$C$5:$AG$5,1)+1))))</f>
        <v/>
      </c>
      <c r="M15" s="23">
        <f t="shared" si="1"/>
        <v>0</v>
      </c>
      <c r="N15" s="80"/>
      <c r="O15" s="51"/>
      <c r="P15" s="52"/>
    </row>
    <row r="16" spans="2:19" ht="12.75">
      <c r="B16" s="14">
        <v>12</v>
      </c>
      <c r="C16" s="28">
        <f>IF(Coureurs!C16="","",Coureurs!C16)</f>
        <v>30</v>
      </c>
      <c r="D16" s="131" t="str">
        <f>IF(Coureurs!D16="","",Coureurs!D16)</f>
        <v>H70</v>
      </c>
      <c r="E16" s="87" t="str">
        <f>IF(Coureurs!F16="","",Coureurs!F16)</f>
        <v>DENIAU</v>
      </c>
      <c r="F16" s="87" t="str">
        <f>IF(Coureurs!G16="","",Coureurs!G16)</f>
        <v>Alain</v>
      </c>
      <c r="G16" s="50">
        <f>IF(Coureurs!J16="","",Coureurs!J16)</f>
        <v>304383</v>
      </c>
      <c r="H16" s="106"/>
      <c r="I16" s="40"/>
      <c r="J16" s="8" t="str">
        <f>IF(I16="PM","",IF(H16=0," ",I16-HLOOKUP('Course 1'!H16,'tab1'!$C$3:$N$4,2)))</f>
        <v xml:space="preserve"> </v>
      </c>
      <c r="K16" s="23" t="str">
        <f>IF(I16="PM","",IF(H16=0," ",J16/'Règles et points'!$F$23))</f>
        <v xml:space="preserve"> </v>
      </c>
      <c r="L16" s="3" t="str">
        <f>IF(H16=0,"",IF(I16="PM",30,VLOOKUP(H16,'Règles et points'!$C$5:$AG$19,(HLOOKUP('Course 1'!C16,'Règles et points'!$C$5:$AG$5,1)+1))))</f>
        <v/>
      </c>
      <c r="M16" s="23">
        <f t="shared" si="1"/>
        <v>0</v>
      </c>
      <c r="N16" s="80"/>
      <c r="O16" s="51"/>
      <c r="P16" s="52"/>
    </row>
    <row r="17" spans="2:16" ht="12.75">
      <c r="B17" s="14">
        <v>13</v>
      </c>
      <c r="C17" s="28">
        <f>IF(Coureurs!C17="","",Coureurs!C17)</f>
        <v>10</v>
      </c>
      <c r="D17" s="131" t="str">
        <f>IF(Coureurs!D17="","",Coureurs!D17)</f>
        <v>D45</v>
      </c>
      <c r="E17" s="87" t="str">
        <f>IF(Coureurs!F17="","",Coureurs!F17)</f>
        <v>LAGRANGE</v>
      </c>
      <c r="F17" s="87" t="str">
        <f>IF(Coureurs!G17="","",Coureurs!G17)</f>
        <v>Florence</v>
      </c>
      <c r="G17" s="50">
        <f>IF(Coureurs!J17="","",Coureurs!J17)</f>
        <v>9877777</v>
      </c>
      <c r="H17" s="106" t="s">
        <v>3</v>
      </c>
      <c r="I17" s="40">
        <v>6.7719907407407409E-2</v>
      </c>
      <c r="J17" s="8">
        <f>IF(I17="PM","",IF(H17=0," ",I17-HLOOKUP('Course 1'!H17,'tab1'!$C$3:$N$4,2)))</f>
        <v>3.0868055555555558E-2</v>
      </c>
      <c r="K17" s="23">
        <f>IF(I17="PM","",IF(H17=0," ",J17/'Règles et points'!$F$23))</f>
        <v>44.45000000000001</v>
      </c>
      <c r="L17" s="3">
        <f>IF(H17=0,"",IF(I17="PM",30,VLOOKUP(H17,'Règles et points'!$C$5:$AG$19,(HLOOKUP('Course 1'!C17,'Règles et points'!$C$5:$AG$5,1)+1))))</f>
        <v>100</v>
      </c>
      <c r="M17" s="23">
        <f t="shared" si="1"/>
        <v>55.54999999999999</v>
      </c>
      <c r="N17" s="80"/>
      <c r="O17" s="51"/>
      <c r="P17" s="52"/>
    </row>
    <row r="18" spans="2:16" ht="12.75">
      <c r="B18" s="14">
        <v>14</v>
      </c>
      <c r="C18" s="28">
        <f>IF(Coureurs!C18="","",Coureurs!C18)</f>
        <v>27</v>
      </c>
      <c r="D18" s="131" t="str">
        <f>IF(Coureurs!D18="","",Coureurs!D18)</f>
        <v>H55</v>
      </c>
      <c r="E18" s="87" t="str">
        <f>IF(Coureurs!F18="","",Coureurs!F18)</f>
        <v>FINAUD-GUYOT</v>
      </c>
      <c r="F18" s="87" t="str">
        <f>IF(Coureurs!G18="","",Coureurs!G18)</f>
        <v>Lionel</v>
      </c>
      <c r="G18" s="50">
        <f>IF(Coureurs!J18="","",Coureurs!J18)</f>
        <v>229141</v>
      </c>
      <c r="H18" s="25"/>
      <c r="I18" s="40"/>
      <c r="J18" s="8" t="str">
        <f>IF(I18="PM","",IF(H18=0," ",I18-HLOOKUP('Course 1'!H18,'tab1'!$C$3:$N$4,2)))</f>
        <v xml:space="preserve"> </v>
      </c>
      <c r="K18" s="23" t="str">
        <f>IF(I18="PM","",IF(H18=0," ",J18/'Règles et points'!$F$23))</f>
        <v xml:space="preserve"> </v>
      </c>
      <c r="L18" s="3" t="str">
        <f>IF(H18=0,"",IF(I18="PM",30,VLOOKUP(H18,'Règles et points'!$C$5:$AG$19,(HLOOKUP('Course 1'!C18,'Règles et points'!$C$5:$AG$5,1)+1))))</f>
        <v/>
      </c>
      <c r="M18" s="23">
        <f t="shared" si="1"/>
        <v>0</v>
      </c>
      <c r="N18" s="80"/>
      <c r="O18" s="51"/>
      <c r="P18" s="52"/>
    </row>
    <row r="19" spans="2:16" ht="12.75">
      <c r="B19" s="14">
        <v>15</v>
      </c>
      <c r="C19" s="28">
        <f>IF(Coureurs!C19="","",Coureurs!C19)</f>
        <v>28</v>
      </c>
      <c r="D19" s="131" t="str">
        <f>IF(Coureurs!D19="","",Coureurs!D19)</f>
        <v>H60</v>
      </c>
      <c r="E19" s="87" t="str">
        <f>IF(Coureurs!F19="","",Coureurs!F19)</f>
        <v>ADOLPHE</v>
      </c>
      <c r="F19" s="87" t="str">
        <f>IF(Coureurs!G19="","",Coureurs!G19)</f>
        <v>Philippe</v>
      </c>
      <c r="G19" s="50">
        <f>IF(Coureurs!J19="","",Coureurs!J19)</f>
        <v>8091800</v>
      </c>
      <c r="H19" s="106" t="s">
        <v>3</v>
      </c>
      <c r="I19" s="40">
        <v>7.1759259259259259E-2</v>
      </c>
      <c r="J19" s="8">
        <f>IF(I19="PM","",IF(H19=0," ",I19-HLOOKUP('Course 1'!H19,'tab1'!$C$3:$N$4,2)))</f>
        <v>3.4907407407407408E-2</v>
      </c>
      <c r="K19" s="23">
        <f>IF(I19="PM","",IF(H19=0," ",J19/'Règles et points'!$F$23))</f>
        <v>50.266666666666673</v>
      </c>
      <c r="L19" s="3">
        <f>IF(H19=0,"",IF(I19="PM",30,VLOOKUP(H19,'Règles et points'!$C$5:$AG$19,(HLOOKUP('Course 1'!C19,'Règles et points'!$C$5:$AG$5,1)+1))))</f>
        <v>100</v>
      </c>
      <c r="M19" s="23">
        <f t="shared" si="1"/>
        <v>49.733333333333327</v>
      </c>
      <c r="N19" s="80"/>
      <c r="O19" s="40"/>
      <c r="P19" s="52"/>
    </row>
    <row r="20" spans="2:16" ht="12.75">
      <c r="B20" s="14">
        <v>16</v>
      </c>
      <c r="C20" s="28">
        <f>IF(Coureurs!C20="","",Coureurs!C20)</f>
        <v>28</v>
      </c>
      <c r="D20" s="131" t="str">
        <f>IF(Coureurs!D20="","",Coureurs!D20)</f>
        <v>H60</v>
      </c>
      <c r="E20" s="87" t="str">
        <f>IF(Coureurs!F20="","",Coureurs!F20)</f>
        <v>LECONTE</v>
      </c>
      <c r="F20" s="87" t="str">
        <f>IF(Coureurs!G20="","",Coureurs!G20)</f>
        <v>Gilbert</v>
      </c>
      <c r="G20" s="50">
        <f>IF(Coureurs!J20="","",Coureurs!J20)</f>
        <v>9601555</v>
      </c>
      <c r="H20" s="110"/>
      <c r="I20" s="40"/>
      <c r="J20" s="8" t="str">
        <f>IF(I20="PM","",IF(H20=0," ",I20-HLOOKUP('Course 1'!H20,'tab1'!$C$3:$N$4,2)))</f>
        <v xml:space="preserve"> </v>
      </c>
      <c r="K20" s="23" t="str">
        <f>IF(I20="PM","",IF(H20=0," ",J20/'Règles et points'!$F$23))</f>
        <v xml:space="preserve"> </v>
      </c>
      <c r="L20" s="3" t="str">
        <f>IF(H20=0,"",IF(I20="PM",30,VLOOKUP(H20,'Règles et points'!$C$5:$AG$19,(HLOOKUP('Course 1'!C20,'Règles et points'!$C$5:$AG$5,1)+1))))</f>
        <v/>
      </c>
      <c r="M20" s="23">
        <f t="shared" si="1"/>
        <v>0</v>
      </c>
      <c r="N20" s="80"/>
      <c r="O20" s="51"/>
      <c r="P20" s="52"/>
    </row>
    <row r="21" spans="2:16" ht="12.75">
      <c r="B21" s="14">
        <v>17</v>
      </c>
      <c r="C21" s="28">
        <f>IF(Coureurs!C21="","",Coureurs!C21)</f>
        <v>13</v>
      </c>
      <c r="D21" s="131" t="str">
        <f>IF(Coureurs!D21="","",Coureurs!D21)</f>
        <v>D60</v>
      </c>
      <c r="E21" s="87" t="str">
        <f>IF(Coureurs!F21="","",Coureurs!F21)</f>
        <v>LECONTE</v>
      </c>
      <c r="F21" s="87" t="str">
        <f>IF(Coureurs!G21="","",Coureurs!G21)</f>
        <v>Sylvie</v>
      </c>
      <c r="G21" s="50">
        <f>IF(Coureurs!J21="","",Coureurs!J21)</f>
        <v>1000983</v>
      </c>
      <c r="H21" s="106"/>
      <c r="I21" s="40"/>
      <c r="J21" s="8" t="str">
        <f>IF(I21="PM","",IF(H21=0," ",I21-HLOOKUP('Course 1'!H21,'tab1'!$C$3:$N$4,2)))</f>
        <v xml:space="preserve"> </v>
      </c>
      <c r="K21" s="23" t="str">
        <f>IF(I21="PM","",IF(H21=0," ",J21/'Règles et points'!$F$23))</f>
        <v xml:space="preserve"> </v>
      </c>
      <c r="L21" s="3" t="str">
        <f>IF(H21=0,"",IF(I21="PM",30,VLOOKUP(H21,'Règles et points'!$C$5:$AG$19,(HLOOKUP('Course 1'!C21,'Règles et points'!$C$5:$AG$5,1)+1))))</f>
        <v/>
      </c>
      <c r="M21" s="23">
        <f t="shared" si="1"/>
        <v>0</v>
      </c>
      <c r="N21" s="80"/>
      <c r="O21" s="51"/>
      <c r="P21" s="52"/>
    </row>
    <row r="22" spans="2:16" ht="12.75">
      <c r="B22" s="14">
        <v>18</v>
      </c>
      <c r="C22" s="28">
        <f>IF(Coureurs!C22="","",Coureurs!C22)</f>
        <v>8</v>
      </c>
      <c r="D22" s="131" t="str">
        <f>IF(Coureurs!D22="","",Coureurs!D22)</f>
        <v>D35</v>
      </c>
      <c r="E22" s="87" t="str">
        <f>IF(Coureurs!F22="","",Coureurs!F22)</f>
        <v>MEY</v>
      </c>
      <c r="F22" s="87" t="str">
        <f>IF(Coureurs!G22="","",Coureurs!G22)</f>
        <v>Milena</v>
      </c>
      <c r="G22" s="50">
        <f>IF(Coureurs!J22="","",Coureurs!J22)</f>
        <v>1986217</v>
      </c>
      <c r="H22" s="25"/>
      <c r="I22" s="40"/>
      <c r="J22" s="8" t="str">
        <f>IF(I22="PM","",IF(H22=0," ",I22-HLOOKUP('Course 1'!H22,'tab1'!$C$3:$N$4,2)))</f>
        <v xml:space="preserve"> </v>
      </c>
      <c r="K22" s="23" t="str">
        <f>IF(I22="PM","",IF(H22=0," ",J22/'Règles et points'!$F$23))</f>
        <v xml:space="preserve"> </v>
      </c>
      <c r="L22" s="3" t="str">
        <f>IF(H22=0,"",IF(I22="PM",30,VLOOKUP(H22,'Règles et points'!$C$5:$AG$19,(HLOOKUP('Course 1'!C22,'Règles et points'!$C$5:$AG$5,1)+1))))</f>
        <v/>
      </c>
      <c r="M22" s="23">
        <f t="shared" si="1"/>
        <v>0</v>
      </c>
      <c r="N22" s="80"/>
      <c r="O22" s="51"/>
      <c r="P22" s="52"/>
    </row>
    <row r="23" spans="2:16" ht="12.75">
      <c r="B23" s="14">
        <v>19</v>
      </c>
      <c r="C23" s="28">
        <f>IF(Coureurs!C23="","",Coureurs!C23)</f>
        <v>22</v>
      </c>
      <c r="D23" s="131" t="str">
        <f>IF(Coureurs!D23="","",Coureurs!D23)</f>
        <v>H21</v>
      </c>
      <c r="E23" s="87" t="str">
        <f>IF(Coureurs!F23="","",Coureurs!F23)</f>
        <v>TOUSSAINT</v>
      </c>
      <c r="F23" s="87" t="str">
        <f>IF(Coureurs!G23="","",Coureurs!G23)</f>
        <v>Tom</v>
      </c>
      <c r="G23" s="50">
        <f>IF(Coureurs!J23="","",Coureurs!J23)</f>
        <v>1770313</v>
      </c>
      <c r="H23" s="106"/>
      <c r="I23" s="40"/>
      <c r="J23" s="8" t="str">
        <f>IF(I23="PM","",IF(H23=0," ",I23-HLOOKUP('Course 1'!H23,'tab1'!$C$3:$N$4,2)))</f>
        <v xml:space="preserve"> </v>
      </c>
      <c r="K23" s="23" t="str">
        <f>IF(I23="PM","",IF(H23=0," ",J23/'Règles et points'!$F$23))</f>
        <v xml:space="preserve"> </v>
      </c>
      <c r="L23" s="3" t="str">
        <f>IF(H23=0,"",IF(I23="PM",30,VLOOKUP(H23,'Règles et points'!$C$5:$AG$19,(HLOOKUP('Course 1'!C23,'Règles et points'!$C$5:$AG$5,1)+1))))</f>
        <v/>
      </c>
      <c r="M23" s="23">
        <f t="shared" si="1"/>
        <v>0</v>
      </c>
      <c r="N23" s="80"/>
      <c r="O23" s="51"/>
      <c r="P23" s="52"/>
    </row>
    <row r="24" spans="2:16" ht="12.75">
      <c r="B24" s="14">
        <v>20</v>
      </c>
      <c r="C24" s="28">
        <f>IF(Coureurs!C24="","",Coureurs!C24)</f>
        <v>6</v>
      </c>
      <c r="D24" s="131" t="str">
        <f>IF(Coureurs!D24="","",Coureurs!D24)</f>
        <v>D20</v>
      </c>
      <c r="E24" s="87" t="str">
        <f>IF(Coureurs!F24="","",Coureurs!F24)</f>
        <v>TOUSSAINT</v>
      </c>
      <c r="F24" s="87" t="str">
        <f>IF(Coureurs!G24="","",Coureurs!G24)</f>
        <v>Perrine</v>
      </c>
      <c r="G24" s="50">
        <f>IF(Coureurs!J24="","",Coureurs!J24)</f>
        <v>8002045</v>
      </c>
      <c r="H24" s="106"/>
      <c r="I24" s="40"/>
      <c r="J24" s="8" t="str">
        <f>IF(I24="PM","",IF(H24=0," ",I24-HLOOKUP('Course 1'!H24,'tab1'!$C$3:$N$4,2)))</f>
        <v xml:space="preserve"> </v>
      </c>
      <c r="K24" s="23" t="str">
        <f>IF(I24="PM","",IF(H24=0," ",J24/'Règles et points'!$F$23))</f>
        <v xml:space="preserve"> </v>
      </c>
      <c r="L24" s="3" t="str">
        <f>IF(H24=0,"",IF(I24="PM",30,VLOOKUP(H24,'Règles et points'!$C$5:$AG$19,(HLOOKUP('Course 1'!C24,'Règles et points'!$C$5:$AG$5,1)+1))))</f>
        <v/>
      </c>
      <c r="M24" s="23">
        <f t="shared" si="1"/>
        <v>0</v>
      </c>
      <c r="N24" s="80"/>
      <c r="O24" s="51"/>
      <c r="P24" s="52"/>
    </row>
    <row r="25" spans="2:16" ht="12.75">
      <c r="B25" s="14">
        <v>21</v>
      </c>
      <c r="C25" s="28">
        <f>IF(Coureurs!C25="","",Coureurs!C25)</f>
        <v>20</v>
      </c>
      <c r="D25" s="131" t="str">
        <f>IF(Coureurs!D25="","",Coureurs!D25)</f>
        <v>H18</v>
      </c>
      <c r="E25" s="87" t="str">
        <f>IF(Coureurs!F25="","",Coureurs!F25)</f>
        <v>GILLARD</v>
      </c>
      <c r="F25" s="87" t="str">
        <f>IF(Coureurs!G25="","",Coureurs!G25)</f>
        <v>Lucas</v>
      </c>
      <c r="G25" s="50">
        <f>IF(Coureurs!J25="","",Coureurs!J25)</f>
        <v>1000716</v>
      </c>
      <c r="H25" s="106" t="s">
        <v>3</v>
      </c>
      <c r="I25" s="107">
        <v>4.2789351851851849E-2</v>
      </c>
      <c r="J25" s="8">
        <f>IF(I25="PM","",IF(H25=0," ",I25-HLOOKUP('Course 1'!H25,'tab1'!$C$3:$N$4,2)))</f>
        <v>5.9374999999999983E-3</v>
      </c>
      <c r="K25" s="23">
        <f>IF(I25="PM","",IF(H25=0," ",J25/'Règles et points'!$F$23))</f>
        <v>8.5499999999999989</v>
      </c>
      <c r="L25" s="3">
        <f>IF(H25=0,"",IF(I25="PM",30,VLOOKUP(H25,'Règles et points'!$C$5:$AG$19,(HLOOKUP('Course 1'!C25,'Règles et points'!$C$5:$AG$5,1)+1))))</f>
        <v>100</v>
      </c>
      <c r="M25" s="23">
        <f t="shared" si="1"/>
        <v>91.45</v>
      </c>
      <c r="N25" s="80"/>
      <c r="O25" s="51"/>
      <c r="P25" s="52"/>
    </row>
    <row r="26" spans="2:16" ht="12.75">
      <c r="B26" s="14">
        <v>22</v>
      </c>
      <c r="C26" s="28">
        <f>IF(Coureurs!C26="","",Coureurs!C26)</f>
        <v>11</v>
      </c>
      <c r="D26" s="131" t="str">
        <f>IF(Coureurs!D26="","",Coureurs!D26)</f>
        <v>D50</v>
      </c>
      <c r="E26" s="87" t="str">
        <f>IF(Coureurs!F26="","",Coureurs!F26)</f>
        <v>LEBLOIS</v>
      </c>
      <c r="F26" s="87" t="str">
        <f>IF(Coureurs!G26="","",Coureurs!G26)</f>
        <v>Delphine</v>
      </c>
      <c r="G26" s="50">
        <f>IF(Coureurs!J26="","",Coureurs!J26)</f>
        <v>2037864</v>
      </c>
      <c r="H26" s="106" t="s">
        <v>3</v>
      </c>
      <c r="I26" s="40">
        <v>8.7500000000000008E-2</v>
      </c>
      <c r="J26" s="8">
        <f>IF(I26="PM","",IF(H26=0," ",I26-HLOOKUP('Course 1'!H26,'tab1'!$C$3:$N$4,2)))</f>
        <v>5.0648148148148157E-2</v>
      </c>
      <c r="K26" s="23">
        <f>IF(I26="PM","",IF(H26=0," ",J26/'Règles et points'!$F$23))</f>
        <v>72.933333333333351</v>
      </c>
      <c r="L26" s="3">
        <f>IF(H26=0,"",IF(I26="PM",30,VLOOKUP(H26,'Règles et points'!$C$5:$AG$19,(HLOOKUP('Course 1'!C26,'Règles et points'!$C$5:$AG$5,1)+1))))</f>
        <v>100</v>
      </c>
      <c r="M26" s="23">
        <f t="shared" si="1"/>
        <v>30.996666666666648</v>
      </c>
      <c r="N26" s="80">
        <v>3.93</v>
      </c>
      <c r="O26" s="51"/>
      <c r="P26" s="52"/>
    </row>
    <row r="27" spans="2:16" ht="12.75">
      <c r="B27" s="14">
        <v>23</v>
      </c>
      <c r="C27" s="28">
        <f>IF(Coureurs!C27="","",Coureurs!C27)</f>
        <v>22</v>
      </c>
      <c r="D27" s="131" t="str">
        <f>IF(Coureurs!D27="","",Coureurs!D27)</f>
        <v>H21</v>
      </c>
      <c r="E27" s="87" t="str">
        <f>IF(Coureurs!F27="","",Coureurs!F27)</f>
        <v>FONTAINE</v>
      </c>
      <c r="F27" s="87" t="str">
        <f>IF(Coureurs!G27="","",Coureurs!G27)</f>
        <v>Valentin</v>
      </c>
      <c r="G27" s="50">
        <f>IF(Coureurs!J27="","",Coureurs!J27)</f>
        <v>7005132</v>
      </c>
      <c r="H27" s="106" t="s">
        <v>3</v>
      </c>
      <c r="I27" s="40">
        <v>6.0127314814814814E-2</v>
      </c>
      <c r="J27" s="8">
        <f>IF(I27="PM","",IF(H27=0," ",I27-HLOOKUP('Course 1'!H27,'tab1'!$C$3:$N$4,2)))</f>
        <v>2.3275462962962963E-2</v>
      </c>
      <c r="K27" s="23">
        <f>IF(I27="PM","",IF(H27=0," ",J27/'Règles et points'!$F$23))</f>
        <v>33.516666666666673</v>
      </c>
      <c r="L27" s="3">
        <f>IF(H27=0,"",IF(I27="PM",30,VLOOKUP(H27,'Règles et points'!$C$5:$AG$19,(HLOOKUP('Course 1'!C27,'Règles et points'!$C$5:$AG$5,1)+1))))</f>
        <v>80</v>
      </c>
      <c r="M27" s="23">
        <f t="shared" si="1"/>
        <v>46.483333333333327</v>
      </c>
      <c r="N27" s="80"/>
      <c r="O27" s="51"/>
      <c r="P27" s="52"/>
    </row>
    <row r="28" spans="2:16" ht="12.75">
      <c r="B28" s="14">
        <v>24</v>
      </c>
      <c r="C28" s="28">
        <f>IF(Coureurs!C28="","",Coureurs!C28)</f>
        <v>12</v>
      </c>
      <c r="D28" s="131" t="str">
        <f>IF(Coureurs!D28="","",Coureurs!D28)</f>
        <v>D55</v>
      </c>
      <c r="E28" s="87" t="str">
        <f>IF(Coureurs!F28="","",Coureurs!F28)</f>
        <v>FOUCHER</v>
      </c>
      <c r="F28" s="87" t="str">
        <f>IF(Coureurs!G28="","",Coureurs!G28)</f>
        <v>Marie</v>
      </c>
      <c r="G28" s="50">
        <f>IF(Coureurs!J28="","",Coureurs!J28)</f>
        <v>2026171</v>
      </c>
      <c r="H28" s="106" t="s">
        <v>3</v>
      </c>
      <c r="I28" s="107">
        <v>6.4791666666666664E-2</v>
      </c>
      <c r="J28" s="8">
        <f>IF(I28="PM","",IF(H28=0," ",I28-HLOOKUP('Course 1'!H28,'tab1'!$C$3:$N$4,2)))</f>
        <v>2.7939814814814813E-2</v>
      </c>
      <c r="K28" s="23">
        <f>IF(I28="PM","",IF(H28=0," ",J28/'Règles et points'!$F$23))</f>
        <v>40.233333333333334</v>
      </c>
      <c r="L28" s="3">
        <f>IF(H28=0,"",IF(I28="PM",30,VLOOKUP(H28,'Règles et points'!$C$5:$AG$19,(HLOOKUP('Course 1'!C28,'Règles et points'!$C$5:$AG$5,1)+1))))</f>
        <v>100</v>
      </c>
      <c r="M28" s="23">
        <f t="shared" si="1"/>
        <v>59.766666666666666</v>
      </c>
      <c r="N28" s="80"/>
      <c r="O28" s="51"/>
      <c r="P28" s="52"/>
    </row>
    <row r="29" spans="2:16" ht="12.75">
      <c r="B29" s="14">
        <v>25</v>
      </c>
      <c r="C29" s="28">
        <f>IF(Coureurs!C29="","",Coureurs!C29)</f>
        <v>24</v>
      </c>
      <c r="D29" s="131" t="str">
        <f>IF(Coureurs!D29="","",Coureurs!D29)</f>
        <v>H40</v>
      </c>
      <c r="E29" s="87" t="str">
        <f>IF(Coureurs!F29="","",Coureurs!F29)</f>
        <v>GUERIN</v>
      </c>
      <c r="F29" s="87" t="str">
        <f>IF(Coureurs!G29="","",Coureurs!G29)</f>
        <v>Fabien</v>
      </c>
      <c r="G29" s="50">
        <f>IF(Coureurs!J29="","",Coureurs!J29)</f>
        <v>2037868</v>
      </c>
      <c r="H29" s="25"/>
      <c r="I29" s="40"/>
      <c r="J29" s="8" t="str">
        <f>IF(I29="PM","",IF(H29=0," ",I29-HLOOKUP('Course 1'!H29,'tab1'!$C$3:$N$4,2)))</f>
        <v xml:space="preserve"> </v>
      </c>
      <c r="K29" s="23" t="str">
        <f>IF(I29="PM","",IF(H29=0," ",J29/'Règles et points'!$F$23))</f>
        <v xml:space="preserve"> </v>
      </c>
      <c r="L29" s="3" t="str">
        <f>IF(H29=0,"",IF(I29="PM",30,VLOOKUP(H29,'Règles et points'!$C$5:$AG$19,(HLOOKUP('Course 1'!C29,'Règles et points'!$C$5:$AG$5,1)+1))))</f>
        <v/>
      </c>
      <c r="M29" s="23">
        <f t="shared" si="1"/>
        <v>0</v>
      </c>
      <c r="N29" s="80"/>
      <c r="O29" s="51"/>
      <c r="P29" s="52"/>
    </row>
    <row r="30" spans="2:16" ht="12.75">
      <c r="B30" s="14">
        <v>26</v>
      </c>
      <c r="C30" s="28">
        <f>IF(Coureurs!C30="","",Coureurs!C30)</f>
        <v>24</v>
      </c>
      <c r="D30" s="131" t="str">
        <f>IF(Coureurs!D30="","",Coureurs!D30)</f>
        <v>H40</v>
      </c>
      <c r="E30" s="87" t="str">
        <f>IF(Coureurs!F30="","",Coureurs!F30)</f>
        <v>BIARD</v>
      </c>
      <c r="F30" s="87" t="str">
        <f>IF(Coureurs!G30="","",Coureurs!G30)</f>
        <v>Michael</v>
      </c>
      <c r="G30" s="50">
        <f>IF(Coureurs!J30="","",Coureurs!J30)</f>
        <v>1967657</v>
      </c>
      <c r="H30" s="106" t="s">
        <v>2</v>
      </c>
      <c r="I30" s="40">
        <v>5.2627314814814814E-2</v>
      </c>
      <c r="J30" s="8">
        <f>IF(I30="PM","",IF(H30=0," ",I30-HLOOKUP('Course 1'!H30,'tab1'!$C$3:$N$4,2)))</f>
        <v>1.6655092592592596E-2</v>
      </c>
      <c r="K30" s="23">
        <f>IF(I30="PM","",IF(H30=0," ",J30/'Règles et points'!$F$23))</f>
        <v>23.983333333333341</v>
      </c>
      <c r="L30" s="3">
        <f>IF(H30=0,"",IF(I30="PM",30,VLOOKUP(H30,'Règles et points'!$C$5:$AG$19,(HLOOKUP('Course 1'!C30,'Règles et points'!$C$5:$AG$5,1)+1))))</f>
        <v>100</v>
      </c>
      <c r="M30" s="23">
        <f t="shared" si="1"/>
        <v>76.016666666666652</v>
      </c>
      <c r="N30" s="80"/>
      <c r="O30" s="51"/>
      <c r="P30" s="52"/>
    </row>
    <row r="31" spans="2:16" ht="12.75">
      <c r="B31" s="14">
        <v>27</v>
      </c>
      <c r="C31" s="28">
        <f>IF(Coureurs!C31="","",Coureurs!C31)</f>
        <v>18</v>
      </c>
      <c r="D31" s="131" t="str">
        <f>IF(Coureurs!D31="","",Coureurs!D31)</f>
        <v>H14</v>
      </c>
      <c r="E31" s="87" t="str">
        <f>IF(Coureurs!F31="","",Coureurs!F31)</f>
        <v>GUERINI</v>
      </c>
      <c r="F31" s="87" t="str">
        <f>IF(Coureurs!G31="","",Coureurs!G31)</f>
        <v>Robin</v>
      </c>
      <c r="G31" s="50">
        <f>IF(Coureurs!J31="","",Coureurs!J31)</f>
        <v>1018613</v>
      </c>
      <c r="H31" s="25" t="s">
        <v>12</v>
      </c>
      <c r="I31" s="40">
        <v>3.1273148148148147E-2</v>
      </c>
      <c r="J31" s="8">
        <f>IF(I31="PM","",IF(H31=0," ",I31-HLOOKUP('Course 1'!H31,'tab1'!$C$3:$N$4,2)))</f>
        <v>9.0740740740740712E-3</v>
      </c>
      <c r="K31" s="23">
        <f>IF(I31="PM","",IF(H31=0," ",J31/'Règles et points'!$F$23))</f>
        <v>13.066666666666665</v>
      </c>
      <c r="L31" s="3">
        <f>IF(H31=0,"",IF(I31="PM",30,VLOOKUP(H31,'Règles et points'!$C$5:$AG$19,(HLOOKUP('Course 1'!C31,'Règles et points'!$C$5:$AG$5,1)+1))))</f>
        <v>100</v>
      </c>
      <c r="M31" s="23">
        <f t="shared" si="1"/>
        <v>86.933333333333337</v>
      </c>
      <c r="N31" s="80"/>
      <c r="O31" s="51"/>
      <c r="P31" s="52"/>
    </row>
    <row r="32" spans="2:16" ht="12.75">
      <c r="B32" s="14">
        <v>28</v>
      </c>
      <c r="C32" s="28">
        <f>IF(Coureurs!C32="","",Coureurs!C32)</f>
        <v>4</v>
      </c>
      <c r="D32" s="131" t="str">
        <f>IF(Coureurs!D32="","",Coureurs!D32)</f>
        <v>D16</v>
      </c>
      <c r="E32" s="87" t="str">
        <f>IF(Coureurs!F32="","",Coureurs!F32)</f>
        <v>GUERINI</v>
      </c>
      <c r="F32" s="87" t="str">
        <f>IF(Coureurs!G32="","",Coureurs!G32)</f>
        <v>Alice</v>
      </c>
      <c r="G32" s="50">
        <f>IF(Coureurs!J32="","",Coureurs!J32)</f>
        <v>1508341</v>
      </c>
      <c r="H32" s="106" t="s">
        <v>12</v>
      </c>
      <c r="I32" s="40">
        <v>4.6261574074074073E-2</v>
      </c>
      <c r="J32" s="8">
        <f>IF(I32="PM","",IF(H32=0," ",I32-HLOOKUP('Course 1'!H32,'tab1'!$C$3:$N$4,2)))</f>
        <v>2.4062499999999997E-2</v>
      </c>
      <c r="K32" s="23">
        <f>IF(I32="PM","",IF(H32=0," ",J32/'Règles et points'!$F$23))</f>
        <v>34.65</v>
      </c>
      <c r="L32" s="3">
        <f>IF(H32=0,"",IF(I32="PM",30,VLOOKUP(H32,'Règles et points'!$C$5:$AG$19,(HLOOKUP('Course 1'!C32,'Règles et points'!$C$5:$AG$5,1)+1))))</f>
        <v>100</v>
      </c>
      <c r="M32" s="23">
        <f t="shared" si="1"/>
        <v>65.349999999999994</v>
      </c>
      <c r="N32" s="80"/>
      <c r="O32" s="51"/>
      <c r="P32" s="52"/>
    </row>
    <row r="33" spans="2:18" ht="12.75">
      <c r="B33" s="14">
        <v>29</v>
      </c>
      <c r="C33" s="28">
        <f>IF(Coureurs!C33="","",Coureurs!C33)</f>
        <v>9</v>
      </c>
      <c r="D33" s="131" t="str">
        <f>IF(Coureurs!D33="","",Coureurs!D33)</f>
        <v>D40</v>
      </c>
      <c r="E33" s="87" t="str">
        <f>IF(Coureurs!F33="","",Coureurs!F33)</f>
        <v>RINTJEMA</v>
      </c>
      <c r="F33" s="87" t="str">
        <f>IF(Coureurs!G33="","",Coureurs!G33)</f>
        <v>Carole</v>
      </c>
      <c r="G33" s="50">
        <f>IF(Coureurs!J33="","",Coureurs!J33)</f>
        <v>1017719</v>
      </c>
      <c r="H33" s="106" t="s">
        <v>2</v>
      </c>
      <c r="I33" s="107">
        <v>6.4386574074074068E-2</v>
      </c>
      <c r="J33" s="8">
        <f>IF(I33="PM","",IF(H33=0," ",I33-HLOOKUP('Course 1'!H33,'tab1'!$C$3:$N$4,2)))</f>
        <v>2.841435185185185E-2</v>
      </c>
      <c r="K33" s="23">
        <f>IF(I33="PM","",IF(H33=0," ",J33/'Règles et points'!$F$23))</f>
        <v>40.916666666666671</v>
      </c>
      <c r="L33" s="3">
        <f>IF(H33=0,"",IF(I33="PM",30,VLOOKUP(H33,'Règles et points'!$C$5:$AG$19,(HLOOKUP('Course 1'!C33,'Règles et points'!$C$5:$AG$5,1)+1))))</f>
        <v>100</v>
      </c>
      <c r="M33" s="23">
        <f t="shared" si="1"/>
        <v>59.083333333333329</v>
      </c>
      <c r="N33" s="80"/>
      <c r="O33" s="51"/>
      <c r="P33" s="52"/>
    </row>
    <row r="34" spans="2:18" ht="12.75">
      <c r="B34" s="14">
        <v>30</v>
      </c>
      <c r="C34" s="28">
        <f>IF(Coureurs!C34="","",Coureurs!C34)</f>
        <v>19</v>
      </c>
      <c r="D34" s="131" t="str">
        <f>IF(Coureurs!D34="","",Coureurs!D34)</f>
        <v>H16</v>
      </c>
      <c r="E34" s="87" t="str">
        <f>IF(Coureurs!F34="","",Coureurs!F34)</f>
        <v>GARDETTE-POIRIER</v>
      </c>
      <c r="F34" s="87" t="str">
        <f>IF(Coureurs!G34="","",Coureurs!G34)</f>
        <v>Théodore</v>
      </c>
      <c r="G34" s="50" t="str">
        <f>IF(Coureurs!J34="","",Coureurs!J34)</f>
        <v/>
      </c>
      <c r="H34" s="25" t="s">
        <v>12</v>
      </c>
      <c r="I34" s="40" t="s">
        <v>241</v>
      </c>
      <c r="J34" s="8" t="str">
        <f>IF(I34="PM","",IF(H34=0," ",I34-HLOOKUP('Course 1'!H34,'tab1'!$C$3:$N$4,2)))</f>
        <v/>
      </c>
      <c r="K34" s="23" t="str">
        <f>IF(I34="PM","",IF(H34=0," ",J34/'Règles et points'!$F$23))</f>
        <v/>
      </c>
      <c r="L34" s="3">
        <f>IF(H34=0,"",IF(I34="PM",30,VLOOKUP(H34,'Règles et points'!$C$5:$AG$19,(HLOOKUP('Course 1'!C34,'Règles et points'!$C$5:$AG$5,1)+1))))</f>
        <v>30</v>
      </c>
      <c r="M34" s="23">
        <f t="shared" si="1"/>
        <v>30</v>
      </c>
      <c r="N34" s="80"/>
      <c r="O34" s="51"/>
      <c r="P34" s="52"/>
    </row>
    <row r="35" spans="2:18" ht="12.75">
      <c r="B35" s="14">
        <v>31</v>
      </c>
      <c r="C35" s="28">
        <f>IF(Coureurs!C35="","",Coureurs!C35)</f>
        <v>27</v>
      </c>
      <c r="D35" s="131" t="str">
        <f>IF(Coureurs!D35="","",Coureurs!D35)</f>
        <v>H55</v>
      </c>
      <c r="E35" s="87" t="str">
        <f>IF(Coureurs!F35="","",Coureurs!F35)</f>
        <v>ALBERT</v>
      </c>
      <c r="F35" s="87" t="str">
        <f>IF(Coureurs!G35="","",Coureurs!G35)</f>
        <v>Arnault</v>
      </c>
      <c r="G35" s="50" t="str">
        <f>IF(Coureurs!J35="","",Coureurs!J35)</f>
        <v/>
      </c>
      <c r="H35" s="106" t="s">
        <v>3</v>
      </c>
      <c r="I35" s="107">
        <v>5.8263888888888893E-2</v>
      </c>
      <c r="J35" s="8">
        <f>IF(I35="PM","",IF(H35=0," ",I35-HLOOKUP('Course 1'!H35,'tab1'!$C$3:$N$4,2)))</f>
        <v>2.1412037037037042E-2</v>
      </c>
      <c r="K35" s="23">
        <f>IF(I35="PM","",IF(H35=0," ",J35/'Règles et points'!$F$23))</f>
        <v>30.833333333333343</v>
      </c>
      <c r="L35" s="3">
        <f>IF(H35=0,"",IF(I35="PM",30,VLOOKUP(H35,'Règles et points'!$C$5:$AG$19,(HLOOKUP('Course 1'!C35,'Règles et points'!$C$5:$AG$5,1)+1))))</f>
        <v>100</v>
      </c>
      <c r="M35" s="23">
        <f t="shared" si="1"/>
        <v>69.166666666666657</v>
      </c>
      <c r="N35" s="80"/>
      <c r="O35" s="51"/>
      <c r="P35" s="52"/>
    </row>
    <row r="36" spans="2:18" ht="12.75">
      <c r="B36" s="14">
        <v>32</v>
      </c>
      <c r="C36" s="28">
        <f>IF(Coureurs!C36="","",Coureurs!C36)</f>
        <v>7</v>
      </c>
      <c r="D36" s="131" t="str">
        <f>IF(Coureurs!D36="","",Coureurs!D36)</f>
        <v>D21</v>
      </c>
      <c r="E36" s="87" t="str">
        <f>IF(Coureurs!F36="","",Coureurs!F36)</f>
        <v>AUDEFROY</v>
      </c>
      <c r="F36" s="87" t="str">
        <f>IF(Coureurs!G36="","",Coureurs!G36)</f>
        <v>Elsa</v>
      </c>
      <c r="G36" s="50">
        <f>IF(Coureurs!J36="","",Coureurs!J36)</f>
        <v>1001973</v>
      </c>
      <c r="H36" s="25"/>
      <c r="I36" s="40"/>
      <c r="J36" s="8" t="str">
        <f>IF(I36="PM","",IF(H36=0," ",I36-HLOOKUP('Course 1'!H36,'tab1'!$C$3:$N$4,2)))</f>
        <v xml:space="preserve"> </v>
      </c>
      <c r="K36" s="23" t="str">
        <f>IF(I36="PM","",IF(H36=0," ",J36/'Règles et points'!$F$23))</f>
        <v xml:space="preserve"> </v>
      </c>
      <c r="L36" s="3" t="str">
        <f>IF(H36=0,"",IF(I36="PM",30,VLOOKUP(H36,'Règles et points'!$C$5:$AG$19,(HLOOKUP('Course 1'!C36,'Règles et points'!$C$5:$AG$5,1)+1))))</f>
        <v/>
      </c>
      <c r="M36" s="23">
        <f t="shared" si="1"/>
        <v>0</v>
      </c>
      <c r="N36" s="80"/>
      <c r="O36" s="51"/>
      <c r="P36" s="52"/>
    </row>
    <row r="37" spans="2:18" ht="12.75">
      <c r="B37" s="14">
        <v>33</v>
      </c>
      <c r="C37" s="28">
        <f>IF(Coureurs!C37="","",Coureurs!C37)</f>
        <v>25</v>
      </c>
      <c r="D37" s="131" t="str">
        <f>IF(Coureurs!D37="","",Coureurs!D37)</f>
        <v>H45</v>
      </c>
      <c r="E37" s="87" t="str">
        <f>IF(Coureurs!F37="","",Coureurs!F37)</f>
        <v>COIFFIER</v>
      </c>
      <c r="F37" s="87" t="str">
        <f>IF(Coureurs!G37="","",Coureurs!G37)</f>
        <v>Laurent</v>
      </c>
      <c r="G37" s="50">
        <f>IF(Coureurs!J37="","",Coureurs!J37)</f>
        <v>2800059</v>
      </c>
      <c r="H37" s="106" t="s">
        <v>3</v>
      </c>
      <c r="I37" s="40">
        <v>6.6458333333333341E-2</v>
      </c>
      <c r="J37" s="8">
        <f>IF(I37="PM","",IF(H37=0," ",I37-HLOOKUP('Course 1'!H37,'tab1'!$C$3:$N$4,2)))</f>
        <v>2.9606481481481491E-2</v>
      </c>
      <c r="K37" s="23">
        <f>IF(I37="PM","",IF(H37=0," ",J37/'Règles et points'!$F$23))</f>
        <v>42.633333333333354</v>
      </c>
      <c r="L37" s="3">
        <f>IF(H37=0,"",IF(I37="PM",30,VLOOKUP(H37,'Règles et points'!$C$5:$AG$19,(HLOOKUP('Course 1'!C37,'Règles et points'!$C$5:$AG$5,1)+1))))</f>
        <v>80</v>
      </c>
      <c r="M37" s="23">
        <f t="shared" si="1"/>
        <v>37.366666666666646</v>
      </c>
      <c r="N37" s="80"/>
      <c r="O37" s="51"/>
      <c r="P37" s="52"/>
    </row>
    <row r="38" spans="2:18" ht="12.75">
      <c r="B38" s="14">
        <v>34</v>
      </c>
      <c r="C38" s="28">
        <f>IF(Coureurs!C38="","",Coureurs!C38)</f>
        <v>18</v>
      </c>
      <c r="D38" s="131" t="str">
        <f>IF(Coureurs!D38="","",Coureurs!D38)</f>
        <v>H14</v>
      </c>
      <c r="E38" s="87" t="str">
        <f>IF(Coureurs!F38="","",Coureurs!F38)</f>
        <v>ANDRIEU-PHELEP</v>
      </c>
      <c r="F38" s="87" t="str">
        <f>IF(Coureurs!G38="","",Coureurs!G38)</f>
        <v>Titouan</v>
      </c>
      <c r="G38" s="50">
        <f>IF(Coureurs!J38="","",Coureurs!J38)</f>
        <v>2109543</v>
      </c>
      <c r="H38" s="25" t="s">
        <v>12</v>
      </c>
      <c r="I38" s="40">
        <v>4.4861111111111109E-2</v>
      </c>
      <c r="J38" s="8">
        <f>IF(I38="PM","",IF(H38=0," ",I38-HLOOKUP('Course 1'!H38,'tab1'!$C$3:$N$4,2)))</f>
        <v>2.2662037037037033E-2</v>
      </c>
      <c r="K38" s="23">
        <f>IF(I38="PM","",IF(H38=0," ",J38/'Règles et points'!$F$23))</f>
        <v>32.633333333333333</v>
      </c>
      <c r="L38" s="3">
        <f>IF(H38=0,"",IF(I38="PM",30,VLOOKUP(H38,'Règles et points'!$C$5:$AG$19,(HLOOKUP('Course 1'!C38,'Règles et points'!$C$5:$AG$5,1)+1))))</f>
        <v>100</v>
      </c>
      <c r="M38" s="23">
        <f t="shared" si="1"/>
        <v>67.366666666666674</v>
      </c>
      <c r="N38" s="80"/>
      <c r="O38" s="51"/>
      <c r="P38" s="52"/>
    </row>
    <row r="39" spans="2:18" ht="12.75">
      <c r="B39" s="14">
        <v>35</v>
      </c>
      <c r="C39" s="28">
        <f>IF(Coureurs!C39="","",Coureurs!C39)</f>
        <v>19</v>
      </c>
      <c r="D39" s="131" t="str">
        <f>IF(Coureurs!D39="","",Coureurs!D39)</f>
        <v>H16</v>
      </c>
      <c r="E39" s="87" t="str">
        <f>IF(Coureurs!F39="","",Coureurs!F39)</f>
        <v>TONDU</v>
      </c>
      <c r="F39" s="87" t="str">
        <f>IF(Coureurs!G39="","",Coureurs!G39)</f>
        <v>maxime</v>
      </c>
      <c r="G39" s="50">
        <f>IF(Coureurs!J39="","",Coureurs!J39)</f>
        <v>2109547</v>
      </c>
      <c r="H39" s="25" t="s">
        <v>3</v>
      </c>
      <c r="I39" s="40">
        <v>4.5543981481481477E-2</v>
      </c>
      <c r="J39" s="8">
        <f>IF(I39="PM","",IF(H39=0," ",I39-HLOOKUP('Course 1'!H39,'tab1'!$C$3:$N$4,2)))</f>
        <v>8.692129629629626E-3</v>
      </c>
      <c r="K39" s="23">
        <f>IF(I39="PM","",IF(H39=0," ",J39/'Règles et points'!$F$23))</f>
        <v>12.516666666666662</v>
      </c>
      <c r="L39" s="3">
        <f>IF(H39=0,"",IF(I39="PM",30,VLOOKUP(H39,'Règles et points'!$C$5:$AG$19,(HLOOKUP('Course 1'!C39,'Règles et points'!$C$5:$AG$5,1)+1))))</f>
        <v>100</v>
      </c>
      <c r="M39" s="23">
        <f t="shared" si="1"/>
        <v>87.483333333333334</v>
      </c>
      <c r="N39" s="80"/>
      <c r="O39" s="51"/>
      <c r="P39" s="52"/>
    </row>
    <row r="40" spans="2:18" ht="12.75">
      <c r="B40" s="14">
        <v>36</v>
      </c>
      <c r="C40" s="28">
        <f>IF(Coureurs!C40="","",Coureurs!C40)</f>
        <v>19</v>
      </c>
      <c r="D40" s="131" t="str">
        <f>IF(Coureurs!D40="","",Coureurs!D40)</f>
        <v>H16</v>
      </c>
      <c r="E40" s="87" t="str">
        <f>IF(Coureurs!F40="","",Coureurs!F40)</f>
        <v>SNELLMAN</v>
      </c>
      <c r="F40" s="87" t="str">
        <f>IF(Coureurs!G40="","",Coureurs!G40)</f>
        <v>Max</v>
      </c>
      <c r="G40" s="50">
        <f>IF(Coureurs!J40="","",Coureurs!J40)</f>
        <v>9977252</v>
      </c>
      <c r="H40" s="106" t="s">
        <v>12</v>
      </c>
      <c r="I40" s="40">
        <v>2.3159722222222224E-2</v>
      </c>
      <c r="J40" s="8">
        <f>IF(I40="PM","",IF(H40=0," ",I40-HLOOKUP('Course 1'!H40,'tab1'!$C$3:$N$4,2)))</f>
        <v>9.6064814814814797E-4</v>
      </c>
      <c r="K40" s="23">
        <f>IF(I40="PM","",IF(H40=0," ",J40/'Règles et points'!$F$23))</f>
        <v>1.3833333333333333</v>
      </c>
      <c r="L40" s="3">
        <f>IF(H40=0,"",IF(I40="PM",30,VLOOKUP(H40,'Règles et points'!$C$5:$AG$19,(HLOOKUP('Course 1'!C40,'Règles et points'!$C$5:$AG$5,1)+1))))</f>
        <v>100</v>
      </c>
      <c r="M40" s="23">
        <f t="shared" si="1"/>
        <v>98.61666666666666</v>
      </c>
      <c r="N40" s="80"/>
      <c r="O40" s="51"/>
      <c r="P40" s="52"/>
    </row>
    <row r="41" spans="2:18" ht="12.75">
      <c r="B41" s="14">
        <v>37</v>
      </c>
      <c r="C41" s="28">
        <f>IF(Coureurs!C41="","",Coureurs!C41)</f>
        <v>17</v>
      </c>
      <c r="D41" s="131" t="str">
        <f>IF(Coureurs!D41="","",Coureurs!D41)</f>
        <v>H12</v>
      </c>
      <c r="E41" s="87" t="str">
        <f>IF(Coureurs!F41="","",Coureurs!F41)</f>
        <v>GARDETTE -POIRIER</v>
      </c>
      <c r="F41" s="87" t="str">
        <f>IF(Coureurs!G41="","",Coureurs!G41)</f>
        <v>Arthur</v>
      </c>
      <c r="G41" s="50" t="str">
        <f>IF(Coureurs!J41="","",Coureurs!J41)</f>
        <v/>
      </c>
      <c r="H41" s="25" t="s">
        <v>4</v>
      </c>
      <c r="I41" s="40" t="s">
        <v>241</v>
      </c>
      <c r="J41" s="8" t="str">
        <f>IF(I41="PM","",IF(H41=0," ",I41-HLOOKUP('Course 1'!H41,'tab1'!$C$3:$N$4,2)))</f>
        <v/>
      </c>
      <c r="K41" s="23" t="str">
        <f>IF(I41="PM","",IF(H41=0," ",J41/'Règles et points'!$F$23))</f>
        <v/>
      </c>
      <c r="L41" s="3">
        <f>IF(H41=0,"",IF(I41="PM",30,VLOOKUP(H41,'Règles et points'!$C$5:$AG$19,(HLOOKUP('Course 1'!C41,'Règles et points'!$C$5:$AG$5,1)+1))))</f>
        <v>30</v>
      </c>
      <c r="M41" s="23">
        <f t="shared" si="1"/>
        <v>30</v>
      </c>
      <c r="N41" s="80"/>
      <c r="O41" s="51"/>
      <c r="P41" s="52"/>
    </row>
    <row r="42" spans="2:18" ht="12.75">
      <c r="B42" s="14">
        <v>38</v>
      </c>
      <c r="C42" s="28">
        <f>IF(Coureurs!C42="","",Coureurs!C42)</f>
        <v>3</v>
      </c>
      <c r="D42" s="131" t="str">
        <f>IF(Coureurs!D42="","",Coureurs!D42)</f>
        <v>D14</v>
      </c>
      <c r="E42" s="87" t="str">
        <f>IF(Coureurs!F42="","",Coureurs!F42)</f>
        <v>BIARD</v>
      </c>
      <c r="F42" s="87" t="str">
        <f>IF(Coureurs!G42="","",Coureurs!G42)</f>
        <v>Loïza</v>
      </c>
      <c r="G42" s="50">
        <f>IF(Coureurs!J42="","",Coureurs!J42)</f>
        <v>209386</v>
      </c>
      <c r="H42" s="106" t="s">
        <v>4</v>
      </c>
      <c r="I42" s="40">
        <v>2.0914351851851851E-2</v>
      </c>
      <c r="J42" s="8">
        <f>IF(I42="PM","",IF(H42=0," ",I42-HLOOKUP('Course 1'!H42,'tab1'!$C$3:$N$4,2)))</f>
        <v>5.0231481481481481E-3</v>
      </c>
      <c r="K42" s="23">
        <f>IF(I42="PM","",IF(H42=0," ",J42/'Règles et points'!$F$23))</f>
        <v>7.2333333333333343</v>
      </c>
      <c r="L42" s="3">
        <f>IF(H42=0,"",IF(I42="PM",30,VLOOKUP(H42,'Règles et points'!$C$5:$AG$19,(HLOOKUP('Course 1'!C42,'Règles et points'!$C$5:$AG$5,1)+1))))</f>
        <v>80</v>
      </c>
      <c r="M42" s="23">
        <f t="shared" si="1"/>
        <v>72.766666666666666</v>
      </c>
      <c r="N42" s="80"/>
      <c r="O42" s="51"/>
      <c r="P42" s="52"/>
    </row>
    <row r="43" spans="2:18" ht="12.75">
      <c r="B43" s="14">
        <v>39</v>
      </c>
      <c r="C43" s="28">
        <f>IF(Coureurs!C43="","",Coureurs!C43)</f>
        <v>10</v>
      </c>
      <c r="D43" s="131" t="str">
        <f>IF(Coureurs!D43="","",Coureurs!D43)</f>
        <v>D45</v>
      </c>
      <c r="E43" s="87" t="str">
        <f>IF(Coureurs!F43="","",Coureurs!F43)</f>
        <v>DERLOT</v>
      </c>
      <c r="F43" s="87" t="str">
        <f>IF(Coureurs!G43="","",Coureurs!G43)</f>
        <v>Stéphanie</v>
      </c>
      <c r="G43" s="50">
        <f>IF(Coureurs!J43="","",Coureurs!J43)</f>
        <v>2109546</v>
      </c>
      <c r="H43" s="25" t="s">
        <v>2</v>
      </c>
      <c r="I43" s="40">
        <v>6.6018518518518518E-2</v>
      </c>
      <c r="J43" s="8">
        <f>IF(I43="PM","",IF(H43=0," ",I43-HLOOKUP('Course 1'!H43,'tab1'!$C$3:$N$4,2)))</f>
        <v>3.00462962962963E-2</v>
      </c>
      <c r="K43" s="23">
        <f>IF(I43="PM","",IF(H43=0," ",J43/'Règles et points'!$F$23))</f>
        <v>43.26666666666668</v>
      </c>
      <c r="L43" s="3">
        <f>IF(H43=0,"",IF(I43="PM",30,VLOOKUP(H43,'Règles et points'!$C$5:$AG$19,(HLOOKUP('Course 1'!C43,'Règles et points'!$C$5:$AG$5,1)+1))))</f>
        <v>100</v>
      </c>
      <c r="M43" s="23">
        <f t="shared" si="1"/>
        <v>56.73333333333332</v>
      </c>
      <c r="N43" s="80"/>
      <c r="O43" s="51"/>
      <c r="P43" s="52"/>
    </row>
    <row r="44" spans="2:18" ht="12.75">
      <c r="B44" s="14">
        <v>40</v>
      </c>
      <c r="C44" s="28">
        <f>IF(Coureurs!C44="","",Coureurs!C44)</f>
        <v>25</v>
      </c>
      <c r="D44" s="131" t="str">
        <f>IF(Coureurs!D44="","",Coureurs!D44)</f>
        <v>H45</v>
      </c>
      <c r="E44" s="87" t="str">
        <f>IF(Coureurs!F44="","",Coureurs!F44)</f>
        <v>DERLOT</v>
      </c>
      <c r="F44" s="87" t="str">
        <f>IF(Coureurs!G44="","",Coureurs!G44)</f>
        <v>Damien</v>
      </c>
      <c r="G44" s="50">
        <f>IF(Coureurs!J44="","",Coureurs!J44)</f>
        <v>2420999</v>
      </c>
      <c r="H44" s="25" t="s">
        <v>2</v>
      </c>
      <c r="I44" s="40">
        <v>7.1331018518518516E-2</v>
      </c>
      <c r="J44" s="8">
        <f>IF(I44="PM","",IF(H44=0," ",I44-HLOOKUP('Course 1'!H44,'tab1'!$C$3:$N$4,2)))</f>
        <v>3.5358796296296298E-2</v>
      </c>
      <c r="K44" s="23">
        <f>IF(I44="PM","",IF(H44=0," ",J44/'Règles et points'!$F$23))</f>
        <v>50.916666666666679</v>
      </c>
      <c r="L44" s="3">
        <f>IF(H44=0,"",IF(I44="PM",30,VLOOKUP(H44,'Règles et points'!$C$5:$AG$19,(HLOOKUP('Course 1'!C44,'Règles et points'!$C$5:$AG$5,1)+1))))</f>
        <v>100</v>
      </c>
      <c r="M44" s="23">
        <f t="shared" si="1"/>
        <v>49.083333333333321</v>
      </c>
      <c r="N44" s="80"/>
      <c r="O44" s="51"/>
      <c r="P44" s="52"/>
    </row>
    <row r="45" spans="2:18" ht="12.75">
      <c r="B45" s="14">
        <v>41</v>
      </c>
      <c r="C45" s="28">
        <f>IF(Coureurs!C45="","",Coureurs!C45)</f>
        <v>3</v>
      </c>
      <c r="D45" s="131" t="str">
        <f>IF(Coureurs!D45="","",Coureurs!D45)</f>
        <v>D14</v>
      </c>
      <c r="E45" s="87" t="str">
        <f>IF(Coureurs!F45="","",Coureurs!F45)</f>
        <v>DERLOT</v>
      </c>
      <c r="F45" s="87" t="str">
        <f>IF(Coureurs!G45="","",Coureurs!G45)</f>
        <v>Lise</v>
      </c>
      <c r="G45" s="50">
        <f>IF(Coureurs!J45="","",Coureurs!J45)</f>
        <v>2144320</v>
      </c>
      <c r="H45" s="25" t="s">
        <v>12</v>
      </c>
      <c r="I45" s="40">
        <v>2.6331018518518517E-2</v>
      </c>
      <c r="J45" s="8">
        <f>IF(I45="PM","",IF(H45=0," ",I45-HLOOKUP('Course 1'!H45,'tab1'!$C$3:$N$4,2)))</f>
        <v>4.1319444444444416E-3</v>
      </c>
      <c r="K45" s="23">
        <f>IF(I45="PM","",IF(H45=0," ",J45/'Règles et points'!$F$23))</f>
        <v>5.9499999999999966</v>
      </c>
      <c r="L45" s="3">
        <f>IF(H45=0,"",IF(I45="PM",30,VLOOKUP(H45,'Règles et points'!$C$5:$AG$19,(HLOOKUP('Course 1'!C45,'Règles et points'!$C$5:$AG$5,1)+1))))</f>
        <v>100</v>
      </c>
      <c r="M45" s="23">
        <f t="shared" si="1"/>
        <v>94.05</v>
      </c>
      <c r="N45" s="80"/>
      <c r="O45" s="51"/>
      <c r="P45" s="52"/>
    </row>
    <row r="46" spans="2:18" ht="12.75">
      <c r="B46" s="14">
        <v>42</v>
      </c>
      <c r="C46" s="28">
        <f>IF(Coureurs!C46="","",Coureurs!C46)</f>
        <v>27</v>
      </c>
      <c r="D46" s="131" t="str">
        <f>IF(Coureurs!D46="","",Coureurs!D46)</f>
        <v>H55</v>
      </c>
      <c r="E46" s="87" t="str">
        <f>IF(Coureurs!F46="","",Coureurs!F46)</f>
        <v>DE LAMINNE</v>
      </c>
      <c r="F46" s="87" t="str">
        <f>IF(Coureurs!G46="","",Coureurs!G46)</f>
        <v>Gilles</v>
      </c>
      <c r="G46" s="50">
        <f>IF(Coureurs!J46="","",Coureurs!J46)</f>
        <v>2109542</v>
      </c>
      <c r="H46" s="106" t="s">
        <v>3</v>
      </c>
      <c r="I46" s="40">
        <v>6.9641203703703705E-2</v>
      </c>
      <c r="J46" s="8">
        <f>IF(I46="PM","",IF(H46=0," ",I46-HLOOKUP('Course 1'!H46,'tab1'!$C$3:$N$4,2)))</f>
        <v>3.2789351851851854E-2</v>
      </c>
      <c r="K46" s="23">
        <f>IF(I46="PM","",IF(H46=0," ",J46/'Règles et points'!$F$23))</f>
        <v>47.216666666666676</v>
      </c>
      <c r="L46" s="3">
        <f>IF(H46=0,"",IF(I46="PM",30,VLOOKUP(H46,'Règles et points'!$C$5:$AG$19,(HLOOKUP('Course 1'!C46,'Règles et points'!$C$5:$AG$5,1)+1))))</f>
        <v>100</v>
      </c>
      <c r="M46" s="23">
        <f t="shared" si="1"/>
        <v>52.783333333333324</v>
      </c>
      <c r="N46" s="80"/>
      <c r="O46" s="51"/>
      <c r="P46" s="52"/>
    </row>
    <row r="47" spans="2:18" ht="12.75">
      <c r="B47" s="14">
        <v>43</v>
      </c>
      <c r="C47" s="28">
        <f>IF(Coureurs!C47="","",Coureurs!C47)</f>
        <v>2</v>
      </c>
      <c r="D47" s="131" t="str">
        <f>IF(Coureurs!D47="","",Coureurs!D47)</f>
        <v>D12</v>
      </c>
      <c r="E47" s="87" t="str">
        <f>IF(Coureurs!F47="","",Coureurs!F47)</f>
        <v>LUCAS-VIOU</v>
      </c>
      <c r="F47" s="87" t="str">
        <f>IF(Coureurs!G47="","",Coureurs!G47)</f>
        <v>Charlotte</v>
      </c>
      <c r="G47" s="50">
        <f>IF(Coureurs!J47="","",Coureurs!J47)</f>
        <v>2144318</v>
      </c>
      <c r="H47" s="106" t="s">
        <v>4</v>
      </c>
      <c r="I47" s="40" t="s">
        <v>241</v>
      </c>
      <c r="J47" s="8" t="str">
        <f>IF(I47="PM","",IF(H47=0," ",I47-HLOOKUP('Course 1'!H47,'tab1'!$C$3:$N$4,2)))</f>
        <v/>
      </c>
      <c r="K47" s="23" t="str">
        <f>IF(I47="PM","",IF(H47=0," ",J47/'Règles et points'!$F$23))</f>
        <v/>
      </c>
      <c r="L47" s="3">
        <f>IF(H47=0,"",IF(I47="PM",30,VLOOKUP(H47,'Règles et points'!$C$5:$AG$19,(HLOOKUP('Course 1'!C47,'Règles et points'!$C$5:$AG$5,1)+1))))</f>
        <v>30</v>
      </c>
      <c r="M47" s="23">
        <f t="shared" si="1"/>
        <v>30</v>
      </c>
      <c r="N47" s="80"/>
      <c r="O47" s="51"/>
      <c r="P47" s="52"/>
    </row>
    <row r="48" spans="2:18" ht="12.75">
      <c r="B48" s="14">
        <v>44</v>
      </c>
      <c r="C48" s="28">
        <f>IF(Coureurs!C48="","",Coureurs!C48)</f>
        <v>18</v>
      </c>
      <c r="D48" s="131" t="str">
        <f>IF(Coureurs!D48="","",Coureurs!D48)</f>
        <v>H14</v>
      </c>
      <c r="E48" s="87" t="str">
        <f>IF(Coureurs!F48="","",Coureurs!F48)</f>
        <v>CHAFI</v>
      </c>
      <c r="F48" s="87" t="str">
        <f>IF(Coureurs!G48="","",Coureurs!G48)</f>
        <v>Yanis</v>
      </c>
      <c r="G48" s="50">
        <f>IF(Coureurs!J48="","",Coureurs!J48)</f>
        <v>2144314</v>
      </c>
      <c r="H48" s="106" t="s">
        <v>12</v>
      </c>
      <c r="I48" s="40">
        <v>3.2847222222222222E-2</v>
      </c>
      <c r="J48" s="8">
        <f>IF(I48="PM","",IF(H48=0," ",I48-HLOOKUP('Course 1'!H48,'tab1'!$C$3:$N$4,2)))</f>
        <v>1.0648148148148146E-2</v>
      </c>
      <c r="K48" s="23">
        <f>IF(I48="PM","",IF(H48=0," ",J48/'Règles et points'!$F$23))</f>
        <v>15.333333333333332</v>
      </c>
      <c r="L48" s="3">
        <f>IF(H48=0,"",IF(I48="PM",30,VLOOKUP(H48,'Règles et points'!$C$5:$AG$19,(HLOOKUP('Course 1'!C48,'Règles et points'!$C$5:$AG$5,1)+1))))</f>
        <v>100</v>
      </c>
      <c r="M48" s="23">
        <f t="shared" si="1"/>
        <v>84.666666666666671</v>
      </c>
      <c r="N48" s="80"/>
      <c r="O48" s="51"/>
      <c r="P48" s="52"/>
      <c r="R48" s="34"/>
    </row>
    <row r="49" spans="2:18" ht="12.75">
      <c r="B49" s="14">
        <v>45</v>
      </c>
      <c r="C49" s="28">
        <f>IF(Coureurs!C49="","",Coureurs!C49)</f>
        <v>17</v>
      </c>
      <c r="D49" s="131" t="str">
        <f>IF(Coureurs!D49="","",Coureurs!D49)</f>
        <v>H12</v>
      </c>
      <c r="E49" s="87" t="str">
        <f>IF(Coureurs!F49="","",Coureurs!F49)</f>
        <v>NONDEDEO</v>
      </c>
      <c r="F49" s="87" t="str">
        <f>IF(Coureurs!G49="","",Coureurs!G49)</f>
        <v>Baptiste</v>
      </c>
      <c r="G49" s="50">
        <f>IF(Coureurs!J49="","",Coureurs!J49)</f>
        <v>2311188</v>
      </c>
      <c r="H49" s="25" t="s">
        <v>4</v>
      </c>
      <c r="I49" s="40">
        <v>1.5891203703703703E-2</v>
      </c>
      <c r="J49" s="8">
        <f>IF(I49="PM","",IF(H49=0," ",I49-HLOOKUP('Course 1'!H49,'tab1'!$C$3:$N$4,2)))</f>
        <v>0</v>
      </c>
      <c r="K49" s="23">
        <f>IF(I49="PM","",IF(H49=0," ",J49/'Règles et points'!$F$23))</f>
        <v>0</v>
      </c>
      <c r="L49" s="3">
        <f>IF(H49=0,"",IF(I49="PM",30,VLOOKUP(H49,'Règles et points'!$C$5:$AG$19,(HLOOKUP('Course 1'!C49,'Règles et points'!$C$5:$AG$5,1)+1))))</f>
        <v>100</v>
      </c>
      <c r="M49" s="23">
        <f t="shared" si="1"/>
        <v>100</v>
      </c>
      <c r="N49" s="80"/>
      <c r="O49" s="51"/>
      <c r="P49" s="52"/>
      <c r="R49" s="34"/>
    </row>
    <row r="50" spans="2:18" ht="12.75">
      <c r="B50" s="14">
        <v>46</v>
      </c>
      <c r="C50" s="28">
        <f>IF(Coureurs!C50="","",Coureurs!C50)</f>
        <v>3</v>
      </c>
      <c r="D50" s="131" t="str">
        <f>IF(Coureurs!D50="","",Coureurs!D50)</f>
        <v>D14</v>
      </c>
      <c r="E50" s="87" t="str">
        <f>IF(Coureurs!F50="","",Coureurs!F50)</f>
        <v>LANFRANCHI</v>
      </c>
      <c r="F50" s="87" t="str">
        <f>IF(Coureurs!G50="","",Coureurs!G50)</f>
        <v>lucine</v>
      </c>
      <c r="G50" s="50">
        <f>IF(Coureurs!J50="","",Coureurs!J50)</f>
        <v>1001028</v>
      </c>
      <c r="H50" s="106"/>
      <c r="I50" s="40"/>
      <c r="J50" s="8" t="str">
        <f>IF(I50="PM","",IF(H50=0," ",I50-HLOOKUP('Course 1'!H50,'tab1'!$C$3:$N$4,2)))</f>
        <v xml:space="preserve"> </v>
      </c>
      <c r="K50" s="23" t="str">
        <f>IF(I50="PM","",IF(H50=0," ",J50/'Règles et points'!$F$23))</f>
        <v xml:space="preserve"> </v>
      </c>
      <c r="L50" s="3" t="str">
        <f>IF(H50=0,"",IF(I50="PM",30,VLOOKUP(H50,'Règles et points'!$C$5:$AG$19,(HLOOKUP('Course 1'!C50,'Règles et points'!$C$5:$AG$5,1)+1))))</f>
        <v/>
      </c>
      <c r="M50" s="23">
        <f t="shared" si="1"/>
        <v>0</v>
      </c>
      <c r="N50" s="80"/>
      <c r="O50" s="51"/>
      <c r="P50" s="52"/>
      <c r="R50" s="34"/>
    </row>
    <row r="51" spans="2:18" ht="12.75">
      <c r="B51" s="14">
        <v>47</v>
      </c>
      <c r="C51" s="28">
        <f>IF(Coureurs!C51="","",Coureurs!C51)</f>
        <v>25</v>
      </c>
      <c r="D51" s="131" t="str">
        <f>IF(Coureurs!D51="","",Coureurs!D51)</f>
        <v>H45</v>
      </c>
      <c r="E51" s="87" t="str">
        <f>IF(Coureurs!F51="","",Coureurs!F51)</f>
        <v>PACHER</v>
      </c>
      <c r="F51" s="87" t="str">
        <f>IF(Coureurs!G51="","",Coureurs!G51)</f>
        <v>Vincent</v>
      </c>
      <c r="G51" s="50" t="str">
        <f>IF(Coureurs!J51="","",Coureurs!J51)</f>
        <v/>
      </c>
      <c r="H51" s="25"/>
      <c r="I51" s="40"/>
      <c r="J51" s="8" t="str">
        <f>IF(I51="PM","",IF(H51=0," ",I51-HLOOKUP('Course 1'!H51,'tab1'!$C$3:$N$4,2)))</f>
        <v xml:space="preserve"> </v>
      </c>
      <c r="K51" s="23" t="str">
        <f>IF(I51="PM","",IF(H51=0," ",J51/'Règles et points'!$F$23))</f>
        <v xml:space="preserve"> </v>
      </c>
      <c r="L51" s="3" t="str">
        <f>IF(H51=0,"",IF(I51="PM",30,VLOOKUP(H51,'Règles et points'!$C$5:$AG$19,(HLOOKUP('Course 1'!C51,'Règles et points'!$C$5:$AG$5,1)+1))))</f>
        <v/>
      </c>
      <c r="M51" s="23">
        <f t="shared" si="1"/>
        <v>0</v>
      </c>
      <c r="N51" s="80"/>
      <c r="O51" s="51"/>
      <c r="P51" s="52"/>
    </row>
    <row r="52" spans="2:18" ht="12.75">
      <c r="B52" s="14">
        <v>48</v>
      </c>
      <c r="C52" s="28">
        <f>IF(Coureurs!C52="","",Coureurs!C52)</f>
        <v>3</v>
      </c>
      <c r="D52" s="131" t="str">
        <f>IF(Coureurs!D52="","",Coureurs!D52)</f>
        <v>D14</v>
      </c>
      <c r="E52" s="87" t="str">
        <f>IF(Coureurs!F52="","",Coureurs!F52)</f>
        <v>PACHER</v>
      </c>
      <c r="F52" s="87" t="str">
        <f>IF(Coureurs!G52="","",Coureurs!G52)</f>
        <v>Laetitia</v>
      </c>
      <c r="G52" s="50">
        <f>IF(Coureurs!J52="","",Coureurs!J52)</f>
        <v>2420985</v>
      </c>
      <c r="H52" s="106"/>
      <c r="I52" s="40"/>
      <c r="J52" s="8" t="str">
        <f>IF(I52="PM","",IF(H52=0," ",I52-HLOOKUP('Course 1'!H52,'tab1'!$C$3:$N$4,2)))</f>
        <v xml:space="preserve"> </v>
      </c>
      <c r="K52" s="23" t="str">
        <f>IF(I52="PM","",IF(H52=0," ",J52/'Règles et points'!$F$23))</f>
        <v xml:space="preserve"> </v>
      </c>
      <c r="L52" s="3" t="str">
        <f>IF(H52=0,"",IF(I52="PM",30,VLOOKUP(H52,'Règles et points'!$C$5:$AG$19,(HLOOKUP('Course 1'!C52,'Règles et points'!$C$5:$AG$5,1)+1))))</f>
        <v/>
      </c>
      <c r="M52" s="23">
        <f t="shared" si="1"/>
        <v>0</v>
      </c>
      <c r="N52" s="80"/>
      <c r="O52" s="51"/>
      <c r="P52" s="52"/>
    </row>
    <row r="53" spans="2:18" ht="12.75">
      <c r="B53" s="14">
        <v>49</v>
      </c>
      <c r="C53" s="28">
        <f>IF(Coureurs!C53="","",Coureurs!C53)</f>
        <v>17</v>
      </c>
      <c r="D53" s="131" t="str">
        <f>IF(Coureurs!D53="","",Coureurs!D53)</f>
        <v>H12</v>
      </c>
      <c r="E53" s="87" t="str">
        <f>IF(Coureurs!F53="","",Coureurs!F53)</f>
        <v>PACHER</v>
      </c>
      <c r="F53" s="87" t="str">
        <f>IF(Coureurs!G53="","",Coureurs!G53)</f>
        <v>Alexandre</v>
      </c>
      <c r="G53" s="50" t="str">
        <f>IF(Coureurs!J53="","",Coureurs!J53)</f>
        <v/>
      </c>
      <c r="H53" s="106"/>
      <c r="I53" s="40"/>
      <c r="J53" s="8" t="str">
        <f>IF(I53="PM","",IF(H53=0," ",I53-HLOOKUP('Course 1'!H53,'tab1'!$C$3:$N$4,2)))</f>
        <v xml:space="preserve"> </v>
      </c>
      <c r="K53" s="23" t="str">
        <f>IF(I53="PM","",IF(H53=0," ",J53/'Règles et points'!$F$23))</f>
        <v xml:space="preserve"> </v>
      </c>
      <c r="L53" s="3" t="str">
        <f>IF(H53=0,"",IF(I53="PM",30,VLOOKUP(H53,'Règles et points'!$C$5:$AG$19,(HLOOKUP('Course 1'!C53,'Règles et points'!$C$5:$AG$5,1)+1))))</f>
        <v/>
      </c>
      <c r="M53" s="23">
        <f t="shared" si="1"/>
        <v>0</v>
      </c>
      <c r="N53" s="80"/>
      <c r="O53" s="51"/>
      <c r="P53" s="52"/>
    </row>
    <row r="54" spans="2:18" ht="12.75">
      <c r="B54" s="14">
        <v>50</v>
      </c>
      <c r="C54" s="28">
        <f>IF(Coureurs!C54="","",Coureurs!C54)</f>
        <v>4</v>
      </c>
      <c r="D54" s="131" t="str">
        <f>IF(Coureurs!D54="","",Coureurs!D54)</f>
        <v>D16</v>
      </c>
      <c r="E54" s="87" t="str">
        <f>IF(Coureurs!F54="","",Coureurs!F54)</f>
        <v>PACHER</v>
      </c>
      <c r="F54" s="87" t="str">
        <f>IF(Coureurs!G54="","",Coureurs!G54)</f>
        <v>Maeva</v>
      </c>
      <c r="G54" s="50" t="str">
        <f>IF(Coureurs!J54="","",Coureurs!J54)</f>
        <v/>
      </c>
      <c r="H54" s="25"/>
      <c r="I54" s="41"/>
      <c r="J54" s="8" t="str">
        <f>IF(I54="PM","",IF(H54=0," ",I54-HLOOKUP('Course 1'!H54,'tab1'!$C$3:$N$4,2)))</f>
        <v xml:space="preserve"> </v>
      </c>
      <c r="K54" s="23" t="str">
        <f>IF(I54="PM","",IF(H54=0," ",J54/'Règles et points'!$F$23))</f>
        <v xml:space="preserve"> </v>
      </c>
      <c r="L54" s="3" t="str">
        <f>IF(H54=0,"",IF(I54="PM",30,VLOOKUP(H54,'Règles et points'!$C$5:$AG$19,(HLOOKUP('Course 1'!C54,'Règles et points'!$C$5:$AG$5,1)+1))))</f>
        <v/>
      </c>
      <c r="M54" s="23">
        <f t="shared" si="1"/>
        <v>0</v>
      </c>
      <c r="N54" s="80"/>
      <c r="O54" s="51"/>
      <c r="P54" s="52"/>
    </row>
    <row r="55" spans="2:18" ht="12.75">
      <c r="B55" s="14">
        <v>51</v>
      </c>
      <c r="C55" s="28">
        <f>IF(Coureurs!C55="","",Coureurs!C55)</f>
        <v>9</v>
      </c>
      <c r="D55" s="131" t="str">
        <f>IF(Coureurs!D55="","",Coureurs!D55)</f>
        <v>D40</v>
      </c>
      <c r="E55" s="87" t="str">
        <f>IF(Coureurs!F55="","",Coureurs!F55)</f>
        <v>MONTANDON VARODA</v>
      </c>
      <c r="F55" s="87" t="str">
        <f>IF(Coureurs!G55="","",Coureurs!G55)</f>
        <v>Christine</v>
      </c>
      <c r="G55" s="50">
        <f>IF(Coureurs!J55="","",Coureurs!J55)</f>
        <v>2720992</v>
      </c>
      <c r="H55" s="106"/>
      <c r="I55" s="40"/>
      <c r="J55" s="8" t="str">
        <f>IF(I55="PM","",IF(H55=0," ",I55-HLOOKUP('Course 1'!H55,'tab1'!$C$3:$N$4,2)))</f>
        <v xml:space="preserve"> </v>
      </c>
      <c r="K55" s="23" t="str">
        <f>IF(I55="PM","",IF(H55=0," ",J55/'Règles et points'!$F$23))</f>
        <v xml:space="preserve"> </v>
      </c>
      <c r="L55" s="3" t="str">
        <f>IF(H55=0,"",IF(I55="PM",30,VLOOKUP(H55,'Règles et points'!$C$5:$AG$19,(HLOOKUP('Course 1'!C55,'Règles et points'!$C$5:$AG$5,1)+1))))</f>
        <v/>
      </c>
      <c r="M55" s="23">
        <f t="shared" si="1"/>
        <v>0</v>
      </c>
      <c r="N55" s="80"/>
      <c r="O55" s="51"/>
      <c r="P55" s="52"/>
    </row>
    <row r="56" spans="2:18" ht="12.75">
      <c r="B56" s="14">
        <v>52</v>
      </c>
      <c r="C56" s="28">
        <f>IF(Coureurs!C56="","",Coureurs!C56)</f>
        <v>2</v>
      </c>
      <c r="D56" s="131" t="str">
        <f>IF(Coureurs!D56="","",Coureurs!D56)</f>
        <v>D12</v>
      </c>
      <c r="E56" s="87" t="str">
        <f>IF(Coureurs!F56="","",Coureurs!F56)</f>
        <v>TONDU</v>
      </c>
      <c r="F56" s="87" t="str">
        <f>IF(Coureurs!G56="","",Coureurs!G56)</f>
        <v>Jeanne</v>
      </c>
      <c r="G56" s="50">
        <f>IF(Coureurs!J56="","",Coureurs!J56)</f>
        <v>2420998</v>
      </c>
      <c r="H56" s="25" t="s">
        <v>4</v>
      </c>
      <c r="I56" s="40">
        <v>2.2268518518518521E-2</v>
      </c>
      <c r="J56" s="8">
        <f>IF(I56="PM","",IF(H56=0," ",I56-HLOOKUP('Course 1'!H56,'tab1'!$C$3:$N$4,2)))</f>
        <v>6.3773148148148183E-3</v>
      </c>
      <c r="K56" s="23">
        <f>IF(I56="PM","",IF(H56=0," ",J56/'Règles et points'!$F$23))</f>
        <v>9.1833333333333389</v>
      </c>
      <c r="L56" s="3">
        <f>IF(H56=0,"",IF(I56="PM",30,VLOOKUP(H56,'Règles et points'!$C$5:$AG$19,(HLOOKUP('Course 1'!C56,'Règles et points'!$C$5:$AG$5,1)+1))))</f>
        <v>100</v>
      </c>
      <c r="M56" s="23">
        <f t="shared" si="1"/>
        <v>90.816666666666663</v>
      </c>
      <c r="N56" s="80"/>
      <c r="O56" s="51"/>
      <c r="P56" s="52"/>
    </row>
    <row r="57" spans="2:18" ht="12.75">
      <c r="B57" s="14">
        <v>53</v>
      </c>
      <c r="C57" s="28">
        <f>IF(Coureurs!C57="","",Coureurs!C57)</f>
        <v>10</v>
      </c>
      <c r="D57" s="131" t="str">
        <f>IF(Coureurs!D57="","",Coureurs!D57)</f>
        <v>D45</v>
      </c>
      <c r="E57" s="87" t="str">
        <f>IF(Coureurs!F57="","",Coureurs!F57)</f>
        <v>TONDU</v>
      </c>
      <c r="F57" s="87" t="str">
        <f>IF(Coureurs!G57="","",Coureurs!G57)</f>
        <v>Alexandra</v>
      </c>
      <c r="G57" s="50">
        <f>IF(Coureurs!J57="","",Coureurs!J57)</f>
        <v>2109545</v>
      </c>
      <c r="H57" s="106"/>
      <c r="I57" s="41"/>
      <c r="J57" s="8" t="str">
        <f>IF(I57="PM","",IF(H57=0," ",I57-HLOOKUP('Course 1'!H57,'tab1'!$C$3:$N$4,2)))</f>
        <v xml:space="preserve"> </v>
      </c>
      <c r="K57" s="23" t="str">
        <f>IF(I57="PM","",IF(H57=0," ",J57/'Règles et points'!$F$23))</f>
        <v xml:space="preserve"> </v>
      </c>
      <c r="L57" s="3" t="str">
        <f>IF(H57=0,"",IF(I57="PM",30,VLOOKUP(H57,'Règles et points'!$C$5:$AG$19,(HLOOKUP('Course 1'!C57,'Règles et points'!$C$5:$AG$5,1)+1))))</f>
        <v/>
      </c>
      <c r="M57" s="23">
        <f t="shared" si="1"/>
        <v>30</v>
      </c>
      <c r="N57" s="80">
        <v>30</v>
      </c>
      <c r="O57" s="40"/>
      <c r="P57" s="52"/>
    </row>
    <row r="58" spans="2:18" ht="12.75">
      <c r="B58" s="14">
        <v>54</v>
      </c>
      <c r="C58" s="28">
        <f>IF(Coureurs!C58="","",Coureurs!C58)</f>
        <v>5</v>
      </c>
      <c r="D58" s="131" t="str">
        <f>IF(Coureurs!D58="","",Coureurs!D58)</f>
        <v>D18</v>
      </c>
      <c r="E58" s="87" t="str">
        <f>IF(Coureurs!F58="","",Coureurs!F58)</f>
        <v>CHATAIGNIER</v>
      </c>
      <c r="F58" s="87" t="str">
        <f>IF(Coureurs!G58="","",Coureurs!G58)</f>
        <v>Louise</v>
      </c>
      <c r="G58" s="50">
        <f>IF(Coureurs!J58="","",Coureurs!J58)</f>
        <v>2144319</v>
      </c>
      <c r="H58" s="106" t="s">
        <v>3</v>
      </c>
      <c r="I58" s="40">
        <v>6.4432870370370363E-2</v>
      </c>
      <c r="J58" s="8">
        <f>IF(I58="PM","",IF(H58=0," ",I58-HLOOKUP('Course 1'!H58,'tab1'!$C$3:$N$4,2)))</f>
        <v>2.7581018518518512E-2</v>
      </c>
      <c r="K58" s="23">
        <f>IF(I58="PM","",IF(H58=0," ",J58/'Règles et points'!$F$23))</f>
        <v>39.716666666666661</v>
      </c>
      <c r="L58" s="3">
        <f>IF(H58=0,"",IF(I58="PM",30,VLOOKUP(H58,'Règles et points'!$C$5:$AG$19,(HLOOKUP('Course 1'!C58,'Règles et points'!$C$5:$AG$5,1)+1))))</f>
        <v>100</v>
      </c>
      <c r="M58" s="23">
        <f t="shared" si="1"/>
        <v>60.283333333333339</v>
      </c>
      <c r="N58" s="80"/>
      <c r="O58" s="51"/>
      <c r="P58" s="52"/>
    </row>
    <row r="59" spans="2:18" ht="12.75">
      <c r="B59" s="14">
        <v>55</v>
      </c>
      <c r="C59" s="28">
        <f>IF(Coureurs!C59="","",Coureurs!C59)</f>
        <v>3</v>
      </c>
      <c r="D59" s="131" t="str">
        <f>IF(Coureurs!D59="","",Coureurs!D59)</f>
        <v>D14</v>
      </c>
      <c r="E59" s="87" t="str">
        <f>IF(Coureurs!F59="","",Coureurs!F59)</f>
        <v>KOEPP</v>
      </c>
      <c r="F59" s="87" t="str">
        <f>IF(Coureurs!G59="","",Coureurs!G59)</f>
        <v>Sonora</v>
      </c>
      <c r="G59" s="50">
        <f>IF(Coureurs!J59="","",Coureurs!J59)</f>
        <v>2113830</v>
      </c>
      <c r="H59" s="25"/>
      <c r="I59" s="41"/>
      <c r="J59" s="8" t="str">
        <f>IF(I59="PM","",IF(H59=0," ",I59-HLOOKUP('Course 1'!H59,'tab1'!$C$3:$N$4,2)))</f>
        <v xml:space="preserve"> </v>
      </c>
      <c r="K59" s="23" t="str">
        <f>IF(I59="PM","",IF(H59=0," ",J59/'Règles et points'!$F$23))</f>
        <v xml:space="preserve"> </v>
      </c>
      <c r="L59" s="3" t="str">
        <f>IF(H59=0,"",IF(I59="PM",30,VLOOKUP(H59,'Règles et points'!$C$5:$AG$19,(HLOOKUP('Course 1'!C59,'Règles et points'!$C$5:$AG$5,1)+1))))</f>
        <v/>
      </c>
      <c r="M59" s="23">
        <f t="shared" si="1"/>
        <v>0</v>
      </c>
      <c r="N59" s="80"/>
      <c r="O59" s="51"/>
      <c r="P59" s="52"/>
    </row>
    <row r="60" spans="2:18" ht="12.75">
      <c r="B60" s="14">
        <v>56</v>
      </c>
      <c r="C60" s="28">
        <f>IF(Coureurs!C60="","",Coureurs!C60)</f>
        <v>18</v>
      </c>
      <c r="D60" s="131" t="str">
        <f>IF(Coureurs!D60="","",Coureurs!D60)</f>
        <v>H14</v>
      </c>
      <c r="E60" s="87" t="str">
        <f>IF(Coureurs!F60="","",Coureurs!F60)</f>
        <v>FRENOY</v>
      </c>
      <c r="F60" s="87" t="str">
        <f>IF(Coureurs!G60="","",Coureurs!G60)</f>
        <v>Anatole</v>
      </c>
      <c r="G60" s="50">
        <f>IF(Coureurs!J60="","",Coureurs!J60)</f>
        <v>2420989</v>
      </c>
      <c r="H60" s="25" t="s">
        <v>12</v>
      </c>
      <c r="I60" s="40">
        <v>2.7581018518518519E-2</v>
      </c>
      <c r="J60" s="8">
        <f>IF(I60="PM","",IF(H60=0," ",I60-HLOOKUP('Course 1'!H60,'tab1'!$C$3:$N$4,2)))</f>
        <v>5.3819444444444427E-3</v>
      </c>
      <c r="K60" s="23">
        <f>IF(I60="PM","",IF(H60=0," ",J60/'Règles et points'!$F$23))</f>
        <v>7.7499999999999982</v>
      </c>
      <c r="L60" s="3">
        <f>IF(H60=0,"",IF(I60="PM",30,VLOOKUP(H60,'Règles et points'!$C$5:$AG$19,(HLOOKUP('Course 1'!C60,'Règles et points'!$C$5:$AG$5,1)+1))))</f>
        <v>100</v>
      </c>
      <c r="M60" s="23">
        <f t="shared" si="1"/>
        <v>92.25</v>
      </c>
      <c r="N60" s="80"/>
      <c r="O60" s="51"/>
      <c r="P60" s="52"/>
    </row>
    <row r="61" spans="2:18" ht="12.75">
      <c r="B61" s="14">
        <v>57</v>
      </c>
      <c r="C61" s="28">
        <f>IF(Coureurs!C61="","",Coureurs!C61)</f>
        <v>18</v>
      </c>
      <c r="D61" s="131" t="str">
        <f>IF(Coureurs!D61="","",Coureurs!D61)</f>
        <v>H14</v>
      </c>
      <c r="E61" s="87" t="str">
        <f>IF(Coureurs!F61="","",Coureurs!F61)</f>
        <v>BROCHOT</v>
      </c>
      <c r="F61" s="87" t="str">
        <f>IF(Coureurs!G61="","",Coureurs!G61)</f>
        <v>Remi</v>
      </c>
      <c r="G61" s="50">
        <f>IF(Coureurs!J61="","",Coureurs!J61)</f>
        <v>8002209</v>
      </c>
      <c r="H61" s="106" t="s">
        <v>12</v>
      </c>
      <c r="I61" s="40">
        <v>2.2199074074074076E-2</v>
      </c>
      <c r="J61" s="8">
        <f>IF(I61="PM","",IF(H61=0," ",I61-HLOOKUP('Course 1'!H61,'tab1'!$C$3:$N$4,2)))</f>
        <v>0</v>
      </c>
      <c r="K61" s="23">
        <f>IF(I61="PM","",IF(H61=0," ",J61/'Règles et points'!$F$23))</f>
        <v>0</v>
      </c>
      <c r="L61" s="3">
        <f>IF(H61=0,"",IF(I61="PM",30,VLOOKUP(H61,'Règles et points'!$C$5:$AG$19,(HLOOKUP('Course 1'!C61,'Règles et points'!$C$5:$AG$5,1)+1))))</f>
        <v>100</v>
      </c>
      <c r="M61" s="23">
        <f t="shared" si="1"/>
        <v>100</v>
      </c>
      <c r="N61" s="80"/>
      <c r="O61" s="51"/>
      <c r="P61" s="52"/>
    </row>
    <row r="62" spans="2:18" ht="12.75">
      <c r="B62" s="14">
        <v>58</v>
      </c>
      <c r="C62" s="28">
        <f>IF(Coureurs!C62="","",Coureurs!C62)</f>
        <v>10</v>
      </c>
      <c r="D62" s="131" t="str">
        <f>IF(Coureurs!D62="","",Coureurs!D62)</f>
        <v>D45</v>
      </c>
      <c r="E62" s="87" t="str">
        <f>IF(Coureurs!F62="","",Coureurs!F62)</f>
        <v>KORZEC</v>
      </c>
      <c r="F62" s="87" t="str">
        <f>IF(Coureurs!G62="","",Coureurs!G62)</f>
        <v>Patricia</v>
      </c>
      <c r="G62" s="50">
        <f>IF(Coureurs!J62="","",Coureurs!J62)</f>
        <v>2420993</v>
      </c>
      <c r="H62" s="25" t="s">
        <v>3</v>
      </c>
      <c r="I62" s="40">
        <v>6.8460648148148159E-2</v>
      </c>
      <c r="J62" s="8">
        <f>IF(I62="PM","",IF(H62=0," ",I62-HLOOKUP('Course 1'!H62,'tab1'!$C$3:$N$4,2)))</f>
        <v>3.1608796296296308E-2</v>
      </c>
      <c r="K62" s="23">
        <f>IF(I62="PM","",IF(H62=0," ",J62/'Règles et points'!$F$23))</f>
        <v>45.516666666666687</v>
      </c>
      <c r="L62" s="3">
        <f>IF(H62=0,"",IF(I62="PM",30,VLOOKUP(H62,'Règles et points'!$C$5:$AG$19,(HLOOKUP('Course 1'!C62,'Règles et points'!$C$5:$AG$5,1)+1))))</f>
        <v>100</v>
      </c>
      <c r="M62" s="23">
        <f t="shared" si="1"/>
        <v>54.483333333333313</v>
      </c>
      <c r="N62" s="80"/>
      <c r="O62" s="51"/>
      <c r="P62" s="52"/>
    </row>
    <row r="63" spans="2:18" ht="12.75">
      <c r="B63" s="14">
        <v>59</v>
      </c>
      <c r="C63" s="28">
        <f>IF(Coureurs!C63="","",Coureurs!C63)</f>
        <v>4</v>
      </c>
      <c r="D63" s="132" t="s">
        <v>45</v>
      </c>
      <c r="E63" s="87" t="str">
        <f>IF(Coureurs!F63="","",Coureurs!F63)</f>
        <v>BOUSQUET</v>
      </c>
      <c r="F63" s="87" t="str">
        <f>IF(Coureurs!G63="","",Coureurs!G63)</f>
        <v>Claire</v>
      </c>
      <c r="G63" s="50">
        <f>IF(Coureurs!J63="","",Coureurs!J63)</f>
        <v>2113811</v>
      </c>
      <c r="H63" s="106"/>
      <c r="I63" s="40"/>
      <c r="J63" s="8" t="str">
        <f>IF(I63="PM","",IF(H63=0," ",I63-HLOOKUP('Course 1'!H63,'tab1'!$C$3:$N$4,2)))</f>
        <v xml:space="preserve"> </v>
      </c>
      <c r="K63" s="23" t="str">
        <f>IF(I63="PM","",IF(H63=0," ",J63/'Règles et points'!$F$23))</f>
        <v xml:space="preserve"> </v>
      </c>
      <c r="L63" s="3" t="str">
        <f>IF(H63=0,"",IF(I63="PM",30,VLOOKUP(H63,'Règles et points'!$C$5:$AG$19,(HLOOKUP('Course 1'!C63,'Règles et points'!$C$5:$AG$5,1)+1))))</f>
        <v/>
      </c>
      <c r="M63" s="23">
        <f t="shared" si="1"/>
        <v>0</v>
      </c>
      <c r="N63" s="80"/>
      <c r="O63" s="40"/>
      <c r="P63" s="52"/>
    </row>
    <row r="64" spans="2:18" ht="12.75">
      <c r="B64" s="14">
        <v>60</v>
      </c>
      <c r="C64" s="28">
        <f>IF(Coureurs!C64="","",Coureurs!C64)</f>
        <v>18</v>
      </c>
      <c r="D64" s="131" t="str">
        <f>IF(Coureurs!D64="","",Coureurs!D64)</f>
        <v>H14</v>
      </c>
      <c r="E64" s="87" t="str">
        <f>IF(Coureurs!F64="","",Coureurs!F64)</f>
        <v>ROGUIEZ</v>
      </c>
      <c r="F64" s="87" t="str">
        <f>IF(Coureurs!G64="","",Coureurs!G64)</f>
        <v>Timéo</v>
      </c>
      <c r="G64" s="50">
        <f>IF(Coureurs!J64="","",Coureurs!J64)</f>
        <v>2082468</v>
      </c>
      <c r="H64" s="25" t="s">
        <v>12</v>
      </c>
      <c r="I64" s="40">
        <v>2.7708333333333331E-2</v>
      </c>
      <c r="J64" s="8">
        <f>IF(I64="PM","",IF(H64=0," ",I64-HLOOKUP('Course 1'!H64,'tab1'!$C$3:$N$4,2)))</f>
        <v>5.5092592592592554E-3</v>
      </c>
      <c r="K64" s="23">
        <f>IF(I64="PM","",IF(H64=0," ",J64/'Règles et points'!$F$23))</f>
        <v>7.9333333333333291</v>
      </c>
      <c r="L64" s="3">
        <f>IF(H64=0,"",IF(I64="PM",30,VLOOKUP(H64,'Règles et points'!$C$5:$AG$19,(HLOOKUP('Course 1'!C64,'Règles et points'!$C$5:$AG$5,1)+1))))</f>
        <v>100</v>
      </c>
      <c r="M64" s="23">
        <f t="shared" si="1"/>
        <v>92.066666666666677</v>
      </c>
      <c r="N64" s="80"/>
      <c r="O64" s="51"/>
      <c r="P64" s="52"/>
    </row>
    <row r="65" spans="2:16" ht="12.75">
      <c r="B65" s="14">
        <v>61</v>
      </c>
      <c r="C65" s="28">
        <f>IF(Coureurs!C65="","",Coureurs!C65)</f>
        <v>1</v>
      </c>
      <c r="D65" s="131" t="str">
        <f>IF(Coureurs!D65="","",Coureurs!D65)</f>
        <v>D10</v>
      </c>
      <c r="E65" s="87" t="str">
        <f>IF(Coureurs!F65="","",Coureurs!F65)</f>
        <v>DERLOT</v>
      </c>
      <c r="F65" s="87" t="str">
        <f>IF(Coureurs!G65="","",Coureurs!G65)</f>
        <v>Alix</v>
      </c>
      <c r="G65" s="50">
        <f>IF(Coureurs!J65="","",Coureurs!J65)</f>
        <v>228368</v>
      </c>
      <c r="H65" s="106" t="s">
        <v>4</v>
      </c>
      <c r="I65" s="40">
        <v>2.3969907407407409E-2</v>
      </c>
      <c r="J65" s="8">
        <f>IF(I65="PM","",IF(H65=0," ",I65-HLOOKUP('Course 1'!H65,'tab1'!$C$3:$N$4,2)))</f>
        <v>8.078703703703706E-3</v>
      </c>
      <c r="K65" s="23">
        <f>IF(I65="PM","",IF(H65=0," ",J65/'Règles et points'!$F$23))</f>
        <v>11.633333333333338</v>
      </c>
      <c r="L65" s="3">
        <f>IF(H65=0,"",IF(I65="PM",30,VLOOKUP(H65,'Règles et points'!$C$5:$AG$19,(HLOOKUP('Course 1'!C65,'Règles et points'!$C$5:$AG$5,1)+1))))</f>
        <v>100</v>
      </c>
      <c r="M65" s="23">
        <f t="shared" si="1"/>
        <v>88.36666666666666</v>
      </c>
      <c r="N65" s="80"/>
      <c r="O65" s="51"/>
      <c r="P65" s="52"/>
    </row>
    <row r="66" spans="2:16" ht="12.75">
      <c r="B66" s="14">
        <v>62</v>
      </c>
      <c r="C66" s="28">
        <f>IF(Coureurs!C66="","",Coureurs!C66)</f>
        <v>17</v>
      </c>
      <c r="D66" s="131" t="str">
        <f>IF(Coureurs!D66="","",Coureurs!D66)</f>
        <v>H12</v>
      </c>
      <c r="E66" s="87" t="str">
        <f>IF(Coureurs!F66="","",Coureurs!F66)</f>
        <v>BELLECOURT</v>
      </c>
      <c r="F66" s="87" t="str">
        <f>IF(Coureurs!G66="","",Coureurs!G66)</f>
        <v>Loic</v>
      </c>
      <c r="G66" s="50">
        <f>IF(Coureurs!J66="","",Coureurs!J66)</f>
        <v>2311181</v>
      </c>
      <c r="H66" s="106" t="s">
        <v>4</v>
      </c>
      <c r="I66" s="40">
        <v>2.3703703703703703E-2</v>
      </c>
      <c r="J66" s="8">
        <f>IF(I66="PM","",IF(H66=0," ",I66-HLOOKUP('Course 1'!H66,'tab1'!$C$3:$N$4,2)))</f>
        <v>7.8125E-3</v>
      </c>
      <c r="K66" s="23">
        <f>IF(I66="PM","",IF(H66=0," ",J66/'Règles et points'!$F$23))</f>
        <v>11.250000000000002</v>
      </c>
      <c r="L66" s="3">
        <f>IF(H66=0,"",IF(I66="PM",30,VLOOKUP(H66,'Règles et points'!$C$5:$AG$19,(HLOOKUP('Course 1'!C66,'Règles et points'!$C$5:$AG$5,1)+1))))</f>
        <v>100</v>
      </c>
      <c r="M66" s="23">
        <f t="shared" si="1"/>
        <v>88.75</v>
      </c>
      <c r="N66" s="80"/>
      <c r="O66" s="51"/>
      <c r="P66" s="52"/>
    </row>
    <row r="67" spans="2:16" ht="12.75">
      <c r="B67" s="14">
        <v>63</v>
      </c>
      <c r="C67" s="28">
        <f>IF(Coureurs!C67="","",Coureurs!C67)</f>
        <v>24</v>
      </c>
      <c r="D67" s="131" t="str">
        <f>IF(Coureurs!D67="","",Coureurs!D67)</f>
        <v>H40</v>
      </c>
      <c r="E67" s="87" t="str">
        <f>IF(Coureurs!F67="","",Coureurs!F67)</f>
        <v>KOEPP</v>
      </c>
      <c r="F67" s="87" t="str">
        <f>IF(Coureurs!G67="","",Coureurs!G67)</f>
        <v>Aaron</v>
      </c>
      <c r="G67" s="50" t="str">
        <f>IF(Coureurs!J67="","",Coureurs!J67)</f>
        <v/>
      </c>
      <c r="H67" s="106"/>
      <c r="I67" s="40"/>
      <c r="J67" s="8" t="str">
        <f>IF(I67="PM","",IF(H67=0," ",I67-HLOOKUP('Course 1'!H67,'tab1'!$C$3:$N$4,2)))</f>
        <v xml:space="preserve"> </v>
      </c>
      <c r="K67" s="23" t="str">
        <f>IF(I67="PM","",IF(H67=0," ",J67/'Règles et points'!$F$23))</f>
        <v xml:space="preserve"> </v>
      </c>
      <c r="L67" s="3" t="str">
        <f>IF(H67=0,"",IF(I67="PM",30,VLOOKUP(H67,'Règles et points'!$C$5:$AG$19,(HLOOKUP('Course 1'!C67,'Règles et points'!$C$5:$AG$5,1)+1))))</f>
        <v/>
      </c>
      <c r="M67" s="23">
        <f t="shared" si="1"/>
        <v>0</v>
      </c>
      <c r="N67" s="80"/>
      <c r="O67" s="51"/>
      <c r="P67" s="52"/>
    </row>
    <row r="68" spans="2:16" ht="12.75">
      <c r="B68" s="14">
        <v>64</v>
      </c>
      <c r="C68" s="28">
        <f>IF(Coureurs!C68="","",Coureurs!C68)</f>
        <v>9</v>
      </c>
      <c r="D68" s="131" t="str">
        <f>IF(Coureurs!D68="","",Coureurs!D68)</f>
        <v>D40</v>
      </c>
      <c r="E68" s="87" t="str">
        <f>IF(Coureurs!F68="","",Coureurs!F68)</f>
        <v>KOEPP</v>
      </c>
      <c r="F68" s="87" t="str">
        <f>IF(Coureurs!G68="","",Coureurs!G68)</f>
        <v>Nanette</v>
      </c>
      <c r="G68" s="50" t="str">
        <f>IF(Coureurs!J68="","",Coureurs!J68)</f>
        <v/>
      </c>
      <c r="H68" s="106"/>
      <c r="I68" s="40"/>
      <c r="J68" s="8"/>
      <c r="K68" s="23"/>
      <c r="L68" s="3" t="str">
        <f>IF(H68=0,"",IF(I68="PM",30,VLOOKUP(H68,'Règles et points'!$C$5:$AG$19,(HLOOKUP('Course 1'!C68,'Règles et points'!$C$5:$AG$5,1)+1))))</f>
        <v/>
      </c>
      <c r="M68" s="23">
        <f t="shared" si="1"/>
        <v>0</v>
      </c>
      <c r="N68" s="80"/>
      <c r="O68" s="51"/>
      <c r="P68" s="52"/>
    </row>
    <row r="69" spans="2:16" ht="12.75">
      <c r="B69" s="14">
        <v>65</v>
      </c>
      <c r="C69" s="28">
        <f>IF(Coureurs!C69="","",Coureurs!C69)</f>
        <v>2</v>
      </c>
      <c r="D69" s="131" t="str">
        <f>IF(Coureurs!D69="","",Coureurs!D69)</f>
        <v>D12</v>
      </c>
      <c r="E69" s="87" t="str">
        <f>IF(Coureurs!F69="","",Coureurs!F69)</f>
        <v>KOEPP</v>
      </c>
      <c r="F69" s="87" t="str">
        <f>IF(Coureurs!G69="","",Coureurs!G69)</f>
        <v>Sahara</v>
      </c>
      <c r="G69" s="50">
        <f>IF(Coureurs!J69="","",Coureurs!J69)</f>
        <v>2311187</v>
      </c>
      <c r="H69" s="106"/>
      <c r="I69" s="40"/>
      <c r="J69" s="8" t="str">
        <f>IF(I69="PM","",IF(H69=0," ",I69-HLOOKUP('Course 1'!H69,'tab1'!$C$3:$N$4,2)))</f>
        <v xml:space="preserve"> </v>
      </c>
      <c r="K69" s="23" t="str">
        <f>IF(I69="PM","",IF(H69=0," ",J69/'Règles et points'!$F$23))</f>
        <v xml:space="preserve"> </v>
      </c>
      <c r="L69" s="3" t="str">
        <f>IF(H69=0,"",IF(I69="PM",30,VLOOKUP(H69,'Règles et points'!$C$5:$AG$19,(HLOOKUP('Course 1'!C69,'Règles et points'!$C$5:$AG$5,1)+1))))</f>
        <v/>
      </c>
      <c r="M69" s="23">
        <f t="shared" si="1"/>
        <v>0</v>
      </c>
      <c r="N69" s="80"/>
      <c r="O69" s="51"/>
      <c r="P69" s="52"/>
    </row>
    <row r="70" spans="2:16" ht="12.75">
      <c r="B70" s="14">
        <v>66</v>
      </c>
      <c r="C70" s="28">
        <f>IF(Coureurs!C70="","",Coureurs!C70)</f>
        <v>17</v>
      </c>
      <c r="D70" s="131" t="str">
        <f>IF(Coureurs!D70="","",Coureurs!D70)</f>
        <v>H12</v>
      </c>
      <c r="E70" s="87" t="str">
        <f>IF(Coureurs!F70="","",Coureurs!F70)</f>
        <v>DE LA ROCHE</v>
      </c>
      <c r="F70" s="87" t="str">
        <f>IF(Coureurs!G70="","",Coureurs!G70)</f>
        <v>Paul</v>
      </c>
      <c r="G70" s="50">
        <f>IF(Coureurs!J70="","",Coureurs!J70)</f>
        <v>2311182</v>
      </c>
      <c r="H70" s="25"/>
      <c r="I70" s="40"/>
      <c r="J70" s="8" t="str">
        <f>IF(I70="PM","",IF(H70=0," ",I70-HLOOKUP('Course 1'!H70,'tab1'!$C$3:$N$4,2)))</f>
        <v xml:space="preserve"> </v>
      </c>
      <c r="K70" s="23" t="str">
        <f>IF(I70="PM","",IF(H70=0," ",J70/'Règles et points'!$F$23))</f>
        <v xml:space="preserve"> </v>
      </c>
      <c r="L70" s="3" t="str">
        <f>IF(H70=0,"",IF(I70="PM",30,VLOOKUP(H70,'Règles et points'!$C$5:$AG$19,(HLOOKUP('Course 1'!C70,'Règles et points'!$C$5:$AG$5,1)+1))))</f>
        <v/>
      </c>
      <c r="M70" s="23">
        <f t="shared" ref="M70:M133" si="2">IF(I70="PM",30,IF(H70=0,0,L70-K70))+N70</f>
        <v>0</v>
      </c>
      <c r="N70" s="80"/>
      <c r="O70" s="51"/>
      <c r="P70" s="52"/>
    </row>
    <row r="71" spans="2:16" ht="12.75">
      <c r="B71" s="14">
        <v>67</v>
      </c>
      <c r="C71" s="28">
        <f>IF(Coureurs!C71="","",Coureurs!C71)</f>
        <v>18</v>
      </c>
      <c r="D71" s="131" t="str">
        <f>IF(Coureurs!D71="","",Coureurs!D71)</f>
        <v>H14</v>
      </c>
      <c r="E71" s="87" t="str">
        <f>IF(Coureurs!F71="","",Coureurs!F71)</f>
        <v>DE LA ROCHE</v>
      </c>
      <c r="F71" s="87" t="str">
        <f>IF(Coureurs!G71="","",Coureurs!G71)</f>
        <v>Raphael</v>
      </c>
      <c r="G71" s="50">
        <f>IF(Coureurs!J71="","",Coureurs!J71)</f>
        <v>2311184</v>
      </c>
      <c r="H71" s="106"/>
      <c r="I71" s="40"/>
      <c r="J71" s="8" t="str">
        <f>IF(I71="PM","",IF(H71=0," ",I71-HLOOKUP('Course 1'!H71,'tab1'!$C$3:$N$4,2)))</f>
        <v xml:space="preserve"> </v>
      </c>
      <c r="K71" s="23" t="str">
        <f>IF(I71="PM","",IF(H71=0," ",J71/'Règles et points'!$F$23))</f>
        <v xml:space="preserve"> </v>
      </c>
      <c r="L71" s="3" t="str">
        <f>IF(H71=0,"",IF(I71="PM",30,VLOOKUP(H71,'Règles et points'!$C$5:$AG$19,(HLOOKUP('Course 1'!C71,'Règles et points'!$C$5:$AG$5,1)+1))))</f>
        <v/>
      </c>
      <c r="M71" s="23">
        <f t="shared" si="2"/>
        <v>0</v>
      </c>
      <c r="N71" s="80"/>
      <c r="O71" s="51"/>
      <c r="P71" s="52"/>
    </row>
    <row r="72" spans="2:16" ht="12.75">
      <c r="B72" s="14">
        <v>68</v>
      </c>
      <c r="C72" s="28">
        <f>IF(Coureurs!C72="","",Coureurs!C72)</f>
        <v>2</v>
      </c>
      <c r="D72" s="131" t="str">
        <f>IF(Coureurs!D72="","",Coureurs!D72)</f>
        <v>D12</v>
      </c>
      <c r="E72" s="87" t="str">
        <f>IF(Coureurs!F72="","",Coureurs!F72)</f>
        <v>LAGARDE</v>
      </c>
      <c r="F72" s="87" t="str">
        <f>IF(Coureurs!G72="","",Coureurs!G72)</f>
        <v>Lilia</v>
      </c>
      <c r="G72" s="50">
        <f>IF(Coureurs!J72="","",Coureurs!J72)</f>
        <v>2311185</v>
      </c>
      <c r="H72" s="106"/>
      <c r="I72" s="40"/>
      <c r="J72" s="8" t="str">
        <f>IF(I72="PM","",IF(H72=0," ",I72-HLOOKUP('Course 1'!H72,'tab1'!$C$3:$N$4,2)))</f>
        <v xml:space="preserve"> </v>
      </c>
      <c r="K72" s="23" t="str">
        <f>IF(I72="PM","",IF(H72=0," ",J72/'Règles et points'!$F$23))</f>
        <v xml:space="preserve"> </v>
      </c>
      <c r="L72" s="3" t="str">
        <f>IF(H72=0,"",IF(I72="PM",30,VLOOKUP(H72,'Règles et points'!$C$5:$AG$19,(HLOOKUP('Course 1'!C72,'Règles et points'!$C$5:$AG$5,1)+1))))</f>
        <v/>
      </c>
      <c r="M72" s="23">
        <f t="shared" si="2"/>
        <v>0</v>
      </c>
      <c r="N72" s="80"/>
      <c r="O72" s="51"/>
      <c r="P72" s="52"/>
    </row>
    <row r="73" spans="2:16" ht="12.75">
      <c r="B73" s="14">
        <v>69</v>
      </c>
      <c r="C73" s="28">
        <f>IF(Coureurs!C73="","",Coureurs!C73)</f>
        <v>24</v>
      </c>
      <c r="D73" s="131" t="str">
        <f>IF(Coureurs!D73="","",Coureurs!D73)</f>
        <v>H40</v>
      </c>
      <c r="E73" s="87" t="str">
        <f>IF(Coureurs!F73="","",Coureurs!F73)</f>
        <v>BROCHOT</v>
      </c>
      <c r="F73" s="87" t="str">
        <f>IF(Coureurs!G73="","",Coureurs!G73)</f>
        <v>Vincent</v>
      </c>
      <c r="G73" s="50">
        <f>IF(Coureurs!J73="","",Coureurs!J73)</f>
        <v>8000186</v>
      </c>
      <c r="H73" s="106" t="s">
        <v>2</v>
      </c>
      <c r="I73" s="40">
        <v>5.9259259259259262E-2</v>
      </c>
      <c r="J73" s="8">
        <f>IF(I73="PM","",IF(H73=0," ",I73-HLOOKUP('Course 1'!H73,'tab1'!$C$3:$N$4,2)))</f>
        <v>2.3287037037037044E-2</v>
      </c>
      <c r="K73" s="23">
        <f>IF(I73="PM","",IF(H73=0," ",J73/'Règles et points'!$F$23))</f>
        <v>33.533333333333346</v>
      </c>
      <c r="L73" s="3">
        <f>IF(H73=0,"",IF(I73="PM",30,VLOOKUP(H73,'Règles et points'!$C$5:$AG$19,(HLOOKUP('Course 1'!C73,'Règles et points'!$C$5:$AG$5,1)+1))))</f>
        <v>100</v>
      </c>
      <c r="M73" s="23">
        <f t="shared" si="2"/>
        <v>66.466666666666654</v>
      </c>
      <c r="N73" s="80"/>
      <c r="O73" s="51"/>
      <c r="P73" s="52"/>
    </row>
    <row r="74" spans="2:16" ht="12.75">
      <c r="B74" s="14">
        <v>70</v>
      </c>
      <c r="C74" s="28">
        <f>IF(Coureurs!C74="","",Coureurs!C74)</f>
        <v>4</v>
      </c>
      <c r="D74" s="131" t="str">
        <f>IF(Coureurs!D74="","",Coureurs!D74)</f>
        <v>D16</v>
      </c>
      <c r="E74" s="87" t="str">
        <f>IF(Coureurs!F74="","",Coureurs!F74)</f>
        <v>PASQUALINI</v>
      </c>
      <c r="F74" s="87" t="str">
        <f>IF(Coureurs!G74="","",Coureurs!G74)</f>
        <v>Hanna</v>
      </c>
      <c r="G74" s="50">
        <f>IF(Coureurs!J74="","",Coureurs!J74)</f>
        <v>2311190</v>
      </c>
      <c r="H74" s="106" t="s">
        <v>12</v>
      </c>
      <c r="I74" s="40">
        <v>3.0486111111111113E-2</v>
      </c>
      <c r="J74" s="8">
        <f>IF(I74="PM","",IF(H74=0," ",I74-HLOOKUP('Course 1'!H74,'tab1'!$C$3:$N$4,2)))</f>
        <v>8.2870370370370372E-3</v>
      </c>
      <c r="K74" s="23">
        <f>IF(I74="PM","",IF(H74=0," ",J74/'Règles et points'!$F$23))</f>
        <v>11.933333333333335</v>
      </c>
      <c r="L74" s="3">
        <f>IF(H74=0,"",IF(I74="PM",30,VLOOKUP(H74,'Règles et points'!$C$5:$AG$19,(HLOOKUP('Course 1'!C74,'Règles et points'!$C$5:$AG$5,1)+1))))</f>
        <v>100</v>
      </c>
      <c r="M74" s="23">
        <f t="shared" si="2"/>
        <v>88.066666666666663</v>
      </c>
      <c r="N74" s="80"/>
      <c r="O74" s="51"/>
      <c r="P74" s="52"/>
    </row>
    <row r="75" spans="2:16" ht="12.75">
      <c r="B75" s="14">
        <v>71</v>
      </c>
      <c r="C75" s="28">
        <f>IF(Coureurs!C75="","",Coureurs!C75)</f>
        <v>17</v>
      </c>
      <c r="D75" s="131" t="str">
        <f>IF(Coureurs!D75="","",Coureurs!D75)</f>
        <v>H12</v>
      </c>
      <c r="E75" s="87" t="str">
        <f>IF(Coureurs!F75="","",Coureurs!F75)</f>
        <v>LAUDET</v>
      </c>
      <c r="F75" s="87" t="str">
        <f>IF(Coureurs!G75="","",Coureurs!G75)</f>
        <v>Sacha</v>
      </c>
      <c r="G75" s="50">
        <f>IF(Coureurs!J75="","",Coureurs!J75)</f>
        <v>2311183</v>
      </c>
      <c r="H75" s="106" t="s">
        <v>4</v>
      </c>
      <c r="I75" s="40">
        <v>2.3483796296296298E-2</v>
      </c>
      <c r="J75" s="8">
        <f>IF(I75="PM","",IF(H75=0," ",I75-HLOOKUP('Course 1'!H75,'tab1'!$C$3:$N$4,2)))</f>
        <v>7.5925925925925952E-3</v>
      </c>
      <c r="K75" s="23">
        <f>IF(I75="PM","",IF(H75=0," ",J75/'Règles et points'!$F$23))</f>
        <v>10.933333333333339</v>
      </c>
      <c r="L75" s="3">
        <f>IF(H75=0,"",IF(I75="PM",30,VLOOKUP(H75,'Règles et points'!$C$5:$AG$19,(HLOOKUP('Course 1'!C75,'Règles et points'!$C$5:$AG$5,1)+1))))</f>
        <v>100</v>
      </c>
      <c r="M75" s="23">
        <f t="shared" si="2"/>
        <v>89.066666666666663</v>
      </c>
      <c r="N75" s="80"/>
      <c r="O75" s="51"/>
      <c r="P75" s="52"/>
    </row>
    <row r="76" spans="2:16" ht="12.75">
      <c r="B76" s="14">
        <v>72</v>
      </c>
      <c r="C76" s="28">
        <f>IF(Coureurs!C76="","",Coureurs!C76)</f>
        <v>18</v>
      </c>
      <c r="D76" s="131" t="str">
        <f>IF(Coureurs!D76="","",Coureurs!D76)</f>
        <v>H14</v>
      </c>
      <c r="E76" s="87" t="str">
        <f>IF(Coureurs!F76="","",Coureurs!F76)</f>
        <v>LEFEVRE</v>
      </c>
      <c r="F76" s="87" t="str">
        <f>IF(Coureurs!G76="","",Coureurs!G76)</f>
        <v>Gauthier</v>
      </c>
      <c r="G76" s="50">
        <f>IF(Coureurs!J76="","",Coureurs!J76)</f>
        <v>2420990</v>
      </c>
      <c r="H76" s="106" t="s">
        <v>12</v>
      </c>
      <c r="I76" s="40">
        <v>3.4166666666666672E-2</v>
      </c>
      <c r="J76" s="8">
        <f>IF(I76="PM","",IF(H76=0," ",I76-HLOOKUP('Course 1'!H76,'tab1'!$C$3:$N$4,2)))</f>
        <v>1.1967592592592596E-2</v>
      </c>
      <c r="K76" s="23">
        <f>IF(I76="PM","",IF(H76=0," ",J76/'Règles et points'!$F$23))</f>
        <v>17.233333333333341</v>
      </c>
      <c r="L76" s="3">
        <f>IF(H76=0,"",IF(I76="PM",30,VLOOKUP(H76,'Règles et points'!$C$5:$AG$19,(HLOOKUP('Course 1'!C76,'Règles et points'!$C$5:$AG$5,1)+1))))</f>
        <v>100</v>
      </c>
      <c r="M76" s="23">
        <f t="shared" si="2"/>
        <v>82.766666666666652</v>
      </c>
      <c r="N76" s="80"/>
      <c r="O76" s="51"/>
      <c r="P76" s="52"/>
    </row>
    <row r="77" spans="2:16" ht="12.75">
      <c r="B77" s="14">
        <v>73</v>
      </c>
      <c r="C77" s="28">
        <f>IF(Coureurs!C77="","",Coureurs!C77)</f>
        <v>3</v>
      </c>
      <c r="D77" s="131" t="str">
        <f>IF(Coureurs!D77="","",Coureurs!D77)</f>
        <v>D14</v>
      </c>
      <c r="E77" s="87" t="str">
        <f>IF(Coureurs!F77="","",Coureurs!F77)</f>
        <v>BENSET</v>
      </c>
      <c r="F77" s="87" t="str">
        <f>IF(Coureurs!G77="","",Coureurs!G77)</f>
        <v>Estelle</v>
      </c>
      <c r="G77" s="50">
        <f>IF(Coureurs!J77="","",Coureurs!J77)</f>
        <v>2150413</v>
      </c>
      <c r="H77" s="106" t="s">
        <v>4</v>
      </c>
      <c r="I77" s="40">
        <v>5.136574074074074E-2</v>
      </c>
      <c r="J77" s="8">
        <f>IF(I77="PM","",IF(H77=0," ",I77-HLOOKUP('Course 1'!H77,'tab1'!$C$3:$N$4,2)))</f>
        <v>3.5474537037037041E-2</v>
      </c>
      <c r="K77" s="23">
        <f>IF(I77="PM","",IF(H77=0," ",J77/'Règles et points'!$F$23))</f>
        <v>51.083333333333343</v>
      </c>
      <c r="L77" s="3">
        <f>IF(H77=0,"",IF(I77="PM",30,VLOOKUP(H77,'Règles et points'!$C$5:$AG$19,(HLOOKUP('Course 1'!C77,'Règles et points'!$C$5:$AG$5,1)+1))))</f>
        <v>80</v>
      </c>
      <c r="M77" s="23">
        <f t="shared" si="2"/>
        <v>31.006666666666657</v>
      </c>
      <c r="N77" s="80">
        <v>2.09</v>
      </c>
      <c r="O77" s="51"/>
      <c r="P77" s="52"/>
    </row>
    <row r="78" spans="2:16" ht="12.75">
      <c r="B78" s="14">
        <v>74</v>
      </c>
      <c r="C78" s="28">
        <f>IF(Coureurs!C78="","",Coureurs!C78)</f>
        <v>27</v>
      </c>
      <c r="D78" s="131" t="str">
        <f>IF(Coureurs!D78="","",Coureurs!D78)</f>
        <v>H55</v>
      </c>
      <c r="E78" s="87" t="str">
        <f>IF(Coureurs!F78="","",Coureurs!F78)</f>
        <v>BOUCHERIE</v>
      </c>
      <c r="F78" s="87" t="str">
        <f>IF(Coureurs!G78="","",Coureurs!G78)</f>
        <v>Pascal</v>
      </c>
      <c r="G78" s="50">
        <f>IF(Coureurs!J78="","",Coureurs!J78)</f>
        <v>2420986</v>
      </c>
      <c r="H78" s="106" t="s">
        <v>12</v>
      </c>
      <c r="I78" s="40">
        <v>2.8599537037037034E-2</v>
      </c>
      <c r="J78" s="8">
        <f>IF(I78="PM","",IF(H78=0," ",I78-HLOOKUP('Course 1'!H78,'tab1'!$C$3:$N$4,2)))</f>
        <v>6.4004629629629585E-3</v>
      </c>
      <c r="K78" s="23">
        <f>IF(I78="PM","",IF(H78=0," ",J78/'Règles et points'!$F$23))</f>
        <v>9.2166666666666615</v>
      </c>
      <c r="L78" s="3">
        <f>IF(H78=0,"",IF(I78="PM",30,VLOOKUP(H78,'Règles et points'!$C$5:$AG$19,(HLOOKUP('Course 1'!C78,'Règles et points'!$C$5:$AG$5,1)+1))))</f>
        <v>80</v>
      </c>
      <c r="M78" s="23">
        <f t="shared" si="2"/>
        <v>70.783333333333331</v>
      </c>
      <c r="N78" s="80"/>
      <c r="O78" s="51"/>
      <c r="P78" s="52"/>
    </row>
    <row r="79" spans="2:16" ht="12.75">
      <c r="B79" s="14">
        <v>75</v>
      </c>
      <c r="C79" s="28">
        <f>IF(Coureurs!C79="","",Coureurs!C79)</f>
        <v>12</v>
      </c>
      <c r="D79" s="131" t="str">
        <f>IF(Coureurs!D79="","",Coureurs!D79)</f>
        <v>D55</v>
      </c>
      <c r="E79" s="87" t="str">
        <f>IF(Coureurs!F79="","",Coureurs!F79)</f>
        <v>BOUCHERIE</v>
      </c>
      <c r="F79" s="87" t="str">
        <f>IF(Coureurs!G79="","",Coureurs!G79)</f>
        <v>caroline</v>
      </c>
      <c r="G79" s="50">
        <f>IF(Coureurs!J79="","",Coureurs!J79)</f>
        <v>2420987</v>
      </c>
      <c r="H79" s="106" t="s">
        <v>12</v>
      </c>
      <c r="I79" s="40">
        <v>5.4502314814814816E-2</v>
      </c>
      <c r="J79" s="8">
        <f>IF(I79="PM","",IF(H79=0," ",I79-HLOOKUP('Course 1'!H79,'tab1'!$C$3:$N$4,2)))</f>
        <v>3.2303240740740743E-2</v>
      </c>
      <c r="K79" s="23">
        <f>IF(I79="PM","",IF(H79=0," ",J79/'Règles et points'!$F$23))</f>
        <v>46.516666666666673</v>
      </c>
      <c r="L79" s="3">
        <f>IF(H79=0,"",IF(I79="PM",30,VLOOKUP(H79,'Règles et points'!$C$5:$AG$19,(HLOOKUP('Course 1'!C79,'Règles et points'!$C$5:$AG$5,1)+1))))</f>
        <v>80</v>
      </c>
      <c r="M79" s="23">
        <f t="shared" si="2"/>
        <v>33.483333333333327</v>
      </c>
      <c r="N79" s="80"/>
      <c r="O79" s="51"/>
      <c r="P79" s="52"/>
    </row>
    <row r="80" spans="2:16" ht="12.75">
      <c r="B80" s="14">
        <v>76</v>
      </c>
      <c r="C80" s="28">
        <f>IF(Coureurs!C80="","",Coureurs!C80)</f>
        <v>17</v>
      </c>
      <c r="D80" s="131" t="str">
        <f>IF(Coureurs!D80="","",Coureurs!D80)</f>
        <v>H12</v>
      </c>
      <c r="E80" s="87" t="str">
        <f>IF(Coureurs!F80="","",Coureurs!F80)</f>
        <v>BOUCHERIE</v>
      </c>
      <c r="F80" s="87" t="str">
        <f>IF(Coureurs!G80="","",Coureurs!G80)</f>
        <v>Achille</v>
      </c>
      <c r="G80" s="50">
        <f>IF(Coureurs!J80="","",Coureurs!J80)</f>
        <v>2311189</v>
      </c>
      <c r="H80" s="25"/>
      <c r="I80" s="41"/>
      <c r="J80" s="8" t="str">
        <f>IF(I80="PM","",IF(H80=0," ",I80-HLOOKUP('Course 1'!H80,'tab1'!$C$3:$N$4,2)))</f>
        <v xml:space="preserve"> </v>
      </c>
      <c r="K80" s="23" t="str">
        <f>IF(I80="PM","",IF(H80=0," ",J80/'Règles et points'!$F$23))</f>
        <v xml:space="preserve"> </v>
      </c>
      <c r="L80" s="3" t="str">
        <f>IF(H80=0,"",IF(I80="PM",30,VLOOKUP(H80,'Règles et points'!$C$5:$AG$19,(HLOOKUP('Course 1'!C80,'Règles et points'!$C$5:$AG$5,1)+1))))</f>
        <v/>
      </c>
      <c r="M80" s="23">
        <f t="shared" si="2"/>
        <v>0</v>
      </c>
      <c r="N80" s="80"/>
      <c r="O80" s="51"/>
      <c r="P80" s="52"/>
    </row>
    <row r="81" spans="2:16" ht="12.75">
      <c r="B81" s="14">
        <v>77</v>
      </c>
      <c r="C81" s="28">
        <f>IF(Coureurs!C81="","",Coureurs!C81)</f>
        <v>22</v>
      </c>
      <c r="D81" s="131" t="str">
        <f>IF(Coureurs!D81="","",Coureurs!D81)</f>
        <v>H21</v>
      </c>
      <c r="E81" s="87" t="str">
        <f>IF(Coureurs!F81="","",Coureurs!F81)</f>
        <v>BOUCHERIE</v>
      </c>
      <c r="F81" s="87" t="str">
        <f>IF(Coureurs!G81="","",Coureurs!G81)</f>
        <v>jules</v>
      </c>
      <c r="G81" s="50">
        <f>IF(Coureurs!J81="","",Coureurs!J81)</f>
        <v>2150411</v>
      </c>
      <c r="H81" s="25"/>
      <c r="I81" s="41"/>
      <c r="J81" s="8" t="str">
        <f>IF(I81="PM","",IF(H81=0," ",I81-HLOOKUP('Course 1'!H81,'tab1'!$C$3:$N$4,2)))</f>
        <v xml:space="preserve"> </v>
      </c>
      <c r="K81" s="23" t="str">
        <f>IF(I81="PM","",IF(H81=0," ",J81/'Règles et points'!$F$23))</f>
        <v xml:space="preserve"> </v>
      </c>
      <c r="L81" s="3" t="str">
        <f>IF(H81=0,"",IF(I81="PM",30,VLOOKUP(H81,'Règles et points'!$C$5:$AG$19,(HLOOKUP('Course 1'!C81,'Règles et points'!$C$5:$AG$5,1)+1))))</f>
        <v/>
      </c>
      <c r="M81" s="23">
        <f t="shared" si="2"/>
        <v>0</v>
      </c>
      <c r="N81" s="80"/>
      <c r="O81" s="51"/>
      <c r="P81" s="52"/>
    </row>
    <row r="82" spans="2:16" ht="12.75">
      <c r="B82" s="14">
        <v>78</v>
      </c>
      <c r="C82" s="28">
        <f>IF(Coureurs!C82="","",Coureurs!C82)</f>
        <v>22</v>
      </c>
      <c r="D82" s="131" t="str">
        <f>IF(Coureurs!D82="","",Coureurs!D82)</f>
        <v>H21</v>
      </c>
      <c r="E82" s="87" t="str">
        <f>IF(Coureurs!F82="","",Coureurs!F82)</f>
        <v>BOUCHERIE</v>
      </c>
      <c r="F82" s="87" t="str">
        <f>IF(Coureurs!G82="","",Coureurs!G82)</f>
        <v>louis</v>
      </c>
      <c r="G82" s="50">
        <f>IF(Coureurs!J82="","",Coureurs!J82)</f>
        <v>2150412</v>
      </c>
      <c r="H82" s="25" t="s">
        <v>12</v>
      </c>
      <c r="I82" s="40">
        <v>3.1597222222222221E-2</v>
      </c>
      <c r="J82" s="8">
        <f>IF(I82="PM","",IF(H82=0," ",I82-HLOOKUP('Course 1'!H82,'tab1'!$C$3:$N$4,2)))</f>
        <v>9.3981481481481451E-3</v>
      </c>
      <c r="K82" s="23">
        <f>IF(I82="PM","",IF(H82=0," ",J82/'Règles et points'!$F$23))</f>
        <v>13.53333333333333</v>
      </c>
      <c r="L82" s="3">
        <f>IF(H82=0,"",IF(I82="PM",30,VLOOKUP(H82,'Règles et points'!$C$5:$AG$19,(HLOOKUP('Course 1'!C82,'Règles et points'!$C$5:$AG$5,1)+1))))</f>
        <v>60</v>
      </c>
      <c r="M82" s="23">
        <f t="shared" si="2"/>
        <v>46.466666666666669</v>
      </c>
      <c r="N82" s="80"/>
      <c r="O82" s="51"/>
      <c r="P82" s="52"/>
    </row>
    <row r="83" spans="2:16" ht="12.75">
      <c r="B83" s="14">
        <v>79</v>
      </c>
      <c r="C83" s="28">
        <f>IF(Coureurs!C83="","",Coureurs!C83)</f>
        <v>18</v>
      </c>
      <c r="D83" s="131" t="str">
        <f>IF(Coureurs!D83="","",Coureurs!D83)</f>
        <v>H14</v>
      </c>
      <c r="E83" s="87" t="str">
        <f>IF(Coureurs!F83="","",Coureurs!F83)</f>
        <v>ZHANG</v>
      </c>
      <c r="F83" s="87" t="str">
        <f>IF(Coureurs!G83="","",Coureurs!G83)</f>
        <v>Felix</v>
      </c>
      <c r="G83" s="50">
        <f>IF(Coureurs!J83="","",Coureurs!J83)</f>
        <v>2150416</v>
      </c>
      <c r="H83" s="25"/>
      <c r="I83" s="41"/>
      <c r="J83" s="8" t="str">
        <f>IF(I83="PM","",IF(H83=0," ",I83-HLOOKUP('Course 1'!H83,'tab1'!$C$3:$N$4,2)))</f>
        <v xml:space="preserve"> </v>
      </c>
      <c r="K83" s="23" t="str">
        <f>IF(I83="PM","",IF(H83=0," ",J83/'Règles et points'!$F$23))</f>
        <v xml:space="preserve"> </v>
      </c>
      <c r="L83" s="3" t="str">
        <f>IF(H83=0,"",IF(I83="PM",30,VLOOKUP(H83,'Règles et points'!$C$5:$AG$19,(HLOOKUP('Course 1'!C83,'Règles et points'!$C$5:$AG$5,1)+1))))</f>
        <v/>
      </c>
      <c r="M83" s="23">
        <f t="shared" si="2"/>
        <v>0</v>
      </c>
      <c r="N83" s="80"/>
      <c r="O83" s="51"/>
      <c r="P83" s="52"/>
    </row>
    <row r="84" spans="2:16" ht="12.75">
      <c r="B84" s="14">
        <v>80</v>
      </c>
      <c r="C84" s="28">
        <f>IF(Coureurs!C84="","",Coureurs!C84)</f>
        <v>2</v>
      </c>
      <c r="D84" s="131" t="str">
        <f>IF(Coureurs!D84="","",Coureurs!D84)</f>
        <v>D12</v>
      </c>
      <c r="E84" s="87" t="str">
        <f>IF(Coureurs!F84="","",Coureurs!F84)</f>
        <v>DUSSAIX</v>
      </c>
      <c r="F84" s="87" t="str">
        <f>IF(Coureurs!G84="","",Coureurs!G84)</f>
        <v>Margaux</v>
      </c>
      <c r="G84" s="50">
        <f>IF(Coureurs!J84="","",Coureurs!J84)</f>
        <v>2150414</v>
      </c>
      <c r="H84" s="25" t="s">
        <v>4</v>
      </c>
      <c r="I84" s="41" t="s">
        <v>241</v>
      </c>
      <c r="J84" s="8" t="str">
        <f>IF(I84="PM","",IF(H84=0," ",I84-HLOOKUP('Course 1'!H84,'tab1'!$C$3:$N$4,2)))</f>
        <v/>
      </c>
      <c r="K84" s="23" t="str">
        <f>IF(I84="PM","",IF(H84=0," ",J84/'Règles et points'!$F$23))</f>
        <v/>
      </c>
      <c r="L84" s="3">
        <f>IF(H84=0,"",IF(I84="PM",30,VLOOKUP(H84,'Règles et points'!$C$5:$AG$19,(HLOOKUP('Course 1'!C84,'Règles et points'!$C$5:$AG$5,1)+1))))</f>
        <v>30</v>
      </c>
      <c r="M84" s="23">
        <f t="shared" si="2"/>
        <v>30</v>
      </c>
      <c r="N84" s="80"/>
      <c r="O84" s="51"/>
      <c r="P84" s="52"/>
    </row>
    <row r="85" spans="2:16" ht="12.75">
      <c r="B85" s="14">
        <v>81</v>
      </c>
      <c r="C85" s="28">
        <f>IF(Coureurs!C85="","",Coureurs!C85)</f>
        <v>26</v>
      </c>
      <c r="D85" s="131" t="str">
        <f>IF(Coureurs!D85="","",Coureurs!D85)</f>
        <v>H50</v>
      </c>
      <c r="E85" s="87" t="str">
        <f>IF(Coureurs!F85="","",Coureurs!F85)</f>
        <v>DELABROYE DUCROQ</v>
      </c>
      <c r="F85" s="87" t="str">
        <f>IF(Coureurs!G85="","",Coureurs!G85)</f>
        <v>Arnaud</v>
      </c>
      <c r="G85" s="50" t="str">
        <f>IF(Coureurs!J85="","",Coureurs!J85)</f>
        <v/>
      </c>
      <c r="H85" s="25"/>
      <c r="I85" s="41"/>
      <c r="J85" s="8" t="str">
        <f>IF(I85="PM","",IF(H85=0," ",I85-HLOOKUP('Course 1'!H85,'tab1'!$C$3:$N$4,2)))</f>
        <v xml:space="preserve"> </v>
      </c>
      <c r="K85" s="23" t="str">
        <f>IF(I85="PM","",IF(H85=0," ",J85/'Règles et points'!$F$23))</f>
        <v xml:space="preserve"> </v>
      </c>
      <c r="L85" s="3" t="str">
        <f>IF(H85=0,"",IF(I85="PM",30,VLOOKUP(H85,'Règles et points'!$C$5:$AG$19,(HLOOKUP('Course 1'!C85,'Règles et points'!$C$5:$AG$5,1)+1))))</f>
        <v/>
      </c>
      <c r="M85" s="23">
        <f t="shared" si="2"/>
        <v>0</v>
      </c>
      <c r="N85" s="80"/>
      <c r="O85" s="51"/>
      <c r="P85" s="52"/>
    </row>
    <row r="86" spans="2:16" ht="12.75">
      <c r="B86" s="14">
        <v>82</v>
      </c>
      <c r="C86" s="28">
        <f>IF(Coureurs!C86="","",Coureurs!C86)</f>
        <v>16</v>
      </c>
      <c r="D86" s="131" t="str">
        <f>IF(Coureurs!D86="","",Coureurs!D86)</f>
        <v>H10</v>
      </c>
      <c r="E86" s="87" t="str">
        <f>IF(Coureurs!F86="","",Coureurs!F86)</f>
        <v>DELABROYE DUCROQ</v>
      </c>
      <c r="F86" s="87" t="str">
        <f>IF(Coureurs!G86="","",Coureurs!G86)</f>
        <v>Adam</v>
      </c>
      <c r="G86" s="50" t="str">
        <f>IF(Coureurs!J86="","",Coureurs!J86)</f>
        <v/>
      </c>
      <c r="H86" s="25"/>
      <c r="I86" s="41"/>
      <c r="J86" s="8" t="str">
        <f>IF(I86="PM","",IF(H86=0," ",I86-HLOOKUP('Course 1'!H86,'tab1'!$C$3:$N$4,2)))</f>
        <v xml:space="preserve"> </v>
      </c>
      <c r="K86" s="23" t="str">
        <f>IF(I86="PM","",IF(H86=0," ",J86/'Règles et points'!$F$23))</f>
        <v xml:space="preserve"> </v>
      </c>
      <c r="L86" s="3" t="str">
        <f>IF(H86=0,"",IF(I86="PM",30,VLOOKUP(H86,'Règles et points'!$C$5:$AG$19,(HLOOKUP('Course 1'!C86,'Règles et points'!$C$5:$AG$5,1)+1))))</f>
        <v/>
      </c>
      <c r="M86" s="23">
        <f t="shared" si="2"/>
        <v>0</v>
      </c>
      <c r="N86" s="80"/>
      <c r="O86" s="51"/>
      <c r="P86" s="52"/>
    </row>
    <row r="87" spans="2:16" ht="12.75">
      <c r="B87" s="14">
        <v>83</v>
      </c>
      <c r="C87" s="28">
        <f>IF(Coureurs!C87="","",Coureurs!C87)</f>
        <v>18</v>
      </c>
      <c r="D87" s="131" t="str">
        <f>IF(Coureurs!D87="","",Coureurs!D87)</f>
        <v>H14</v>
      </c>
      <c r="E87" s="87" t="str">
        <f>IF(Coureurs!F87="","",Coureurs!F87)</f>
        <v>RICHARD</v>
      </c>
      <c r="F87" s="87" t="str">
        <f>IF(Coureurs!G87="","",Coureurs!G87)</f>
        <v>Mathis</v>
      </c>
      <c r="G87" s="50">
        <f>IF(Coureurs!J87="","",Coureurs!J87)</f>
        <v>2311186</v>
      </c>
      <c r="H87" s="25" t="s">
        <v>12</v>
      </c>
      <c r="I87" s="40">
        <v>3.2812500000000001E-2</v>
      </c>
      <c r="J87" s="8">
        <f>IF(I87="PM","",IF(H87=0," ",I87-HLOOKUP('Course 1'!H87,'tab1'!$C$3:$N$4,2)))</f>
        <v>1.0613425925925925E-2</v>
      </c>
      <c r="K87" s="23">
        <f>IF(I87="PM","",IF(H87=0," ",J87/'Règles et points'!$F$23))</f>
        <v>15.283333333333335</v>
      </c>
      <c r="L87" s="3">
        <f>IF(H87=0,"",IF(I87="PM",30,VLOOKUP(H87,'Règles et points'!$C$5:$AG$19,(HLOOKUP('Course 1'!C87,'Règles et points'!$C$5:$AG$5,1)+1))))</f>
        <v>100</v>
      </c>
      <c r="M87" s="23">
        <f t="shared" si="2"/>
        <v>84.716666666666669</v>
      </c>
      <c r="N87" s="80"/>
      <c r="O87" s="51"/>
      <c r="P87" s="52"/>
    </row>
    <row r="88" spans="2:16" ht="12.75">
      <c r="B88" s="14">
        <v>84</v>
      </c>
      <c r="C88" s="28">
        <f>IF(Coureurs!C88="","",Coureurs!C88)</f>
        <v>9</v>
      </c>
      <c r="D88" s="131" t="str">
        <f>IF(Coureurs!D88="","",Coureurs!D88)</f>
        <v>D40</v>
      </c>
      <c r="E88" s="87" t="str">
        <f>IF(Coureurs!F88="","",Coureurs!F88)</f>
        <v>COQUET</v>
      </c>
      <c r="F88" s="87" t="str">
        <f>IF(Coureurs!G88="","",Coureurs!G88)</f>
        <v>Coralie</v>
      </c>
      <c r="G88" s="50" t="str">
        <f>IF(Coureurs!J88="","",Coureurs!J88)</f>
        <v/>
      </c>
      <c r="H88" s="25"/>
      <c r="I88" s="41"/>
      <c r="J88" s="8" t="str">
        <f>IF(I88="PM","",IF(H88=0," ",I88-HLOOKUP('Course 1'!H88,'tab1'!$C$3:$N$4,2)))</f>
        <v xml:space="preserve"> </v>
      </c>
      <c r="K88" s="23" t="str">
        <f>IF(I88="PM","",IF(H88=0," ",J88/'Règles et points'!$F$23))</f>
        <v xml:space="preserve"> </v>
      </c>
      <c r="L88" s="3" t="str">
        <f>IF(H88=0,"",IF(I88="PM",30,VLOOKUP(H88,'Règles et points'!$C$5:$AG$19,(HLOOKUP('Course 1'!C88,'Règles et points'!$C$5:$AG$5,1)+1))))</f>
        <v/>
      </c>
      <c r="M88" s="23">
        <f t="shared" si="2"/>
        <v>0</v>
      </c>
      <c r="N88" s="80"/>
      <c r="O88" s="51"/>
      <c r="P88" s="52"/>
    </row>
    <row r="89" spans="2:16" ht="12.75">
      <c r="B89" s="14">
        <v>85</v>
      </c>
      <c r="C89" s="28">
        <f>IF(Coureurs!C89="","",Coureurs!C89)</f>
        <v>17</v>
      </c>
      <c r="D89" s="131" t="str">
        <f>IF(Coureurs!D89="","",Coureurs!D89)</f>
        <v>H12</v>
      </c>
      <c r="E89" s="87" t="str">
        <f>IF(Coureurs!F89="","",Coureurs!F89)</f>
        <v>MONTACIE</v>
      </c>
      <c r="F89" s="87" t="str">
        <f>IF(Coureurs!G89="","",Coureurs!G89)</f>
        <v>Victor</v>
      </c>
      <c r="G89" s="50">
        <f>IF(Coureurs!J89="","",Coureurs!J89)</f>
        <v>2150417</v>
      </c>
      <c r="H89" s="25" t="s">
        <v>4</v>
      </c>
      <c r="I89" s="40">
        <v>5.1898148148148145E-2</v>
      </c>
      <c r="J89" s="8">
        <f>IF(I89="PM","",IF(H89=0," ",I89-HLOOKUP('Course 1'!H89,'tab1'!$C$3:$N$4,2)))</f>
        <v>3.6006944444444439E-2</v>
      </c>
      <c r="K89" s="23">
        <f>IF(I89="PM","",IF(H89=0," ",J89/'Règles et points'!$F$23))</f>
        <v>51.849999999999994</v>
      </c>
      <c r="L89" s="3">
        <f>IF(H89=0,"",IF(I89="PM",30,VLOOKUP(H89,'Règles et points'!$C$5:$AG$19,(HLOOKUP('Course 1'!C89,'Règles et points'!$C$5:$AG$5,1)+1))))</f>
        <v>100</v>
      </c>
      <c r="M89" s="23">
        <f t="shared" si="2"/>
        <v>48.150000000000006</v>
      </c>
      <c r="N89" s="80"/>
      <c r="O89" s="51"/>
      <c r="P89" s="52"/>
    </row>
    <row r="90" spans="2:16" ht="12.75">
      <c r="B90" s="14">
        <v>86</v>
      </c>
      <c r="C90" s="28">
        <f>IF(Coureurs!C90="","",Coureurs!C90)</f>
        <v>19</v>
      </c>
      <c r="D90" s="131" t="str">
        <f>IF(Coureurs!D90="","",Coureurs!D90)</f>
        <v>H16</v>
      </c>
      <c r="E90" s="87" t="str">
        <f>IF(Coureurs!F90="","",Coureurs!F90)</f>
        <v>MEUNIER</v>
      </c>
      <c r="F90" s="87" t="str">
        <f>IF(Coureurs!G90="","",Coureurs!G90)</f>
        <v>Hadrien</v>
      </c>
      <c r="G90" s="50">
        <f>IF(Coureurs!J90="","",Coureurs!J90)</f>
        <v>2144316</v>
      </c>
      <c r="H90" s="25"/>
      <c r="I90" s="41"/>
      <c r="J90" s="8" t="str">
        <f>IF(I90="PM","",IF(H90=0," ",I90-HLOOKUP('Course 1'!H90,'tab1'!$C$3:$N$4,2)))</f>
        <v xml:space="preserve"> </v>
      </c>
      <c r="K90" s="23" t="str">
        <f>IF(I90="PM","",IF(H90=0," ",J90/'Règles et points'!$F$23))</f>
        <v xml:space="preserve"> </v>
      </c>
      <c r="L90" s="3" t="str">
        <f>IF(H90=0,"",IF(I90="PM",30,VLOOKUP(H90,'Règles et points'!$C$5:$AG$19,(HLOOKUP('Course 1'!C90,'Règles et points'!$C$5:$AG$5,1)+1))))</f>
        <v/>
      </c>
      <c r="M90" s="23">
        <f t="shared" si="2"/>
        <v>0</v>
      </c>
      <c r="N90" s="80"/>
      <c r="O90" s="51"/>
      <c r="P90" s="52"/>
    </row>
    <row r="91" spans="2:16" ht="12.75">
      <c r="B91" s="14">
        <v>87</v>
      </c>
      <c r="C91" s="28">
        <f>IF(Coureurs!C91="","",Coureurs!C91)</f>
        <v>10</v>
      </c>
      <c r="D91" s="131" t="str">
        <f>IF(Coureurs!D91="","",Coureurs!D91)</f>
        <v>D45</v>
      </c>
      <c r="E91" s="87" t="str">
        <f>IF(Coureurs!F91="","",Coureurs!F91)</f>
        <v>SNELLMAN</v>
      </c>
      <c r="F91" s="87" t="str">
        <f>IF(Coureurs!G91="","",Coureurs!G91)</f>
        <v>Kaisa</v>
      </c>
      <c r="G91" s="50" t="str">
        <f>IF(Coureurs!J91="","",Coureurs!J91)</f>
        <v/>
      </c>
      <c r="H91" s="25" t="s">
        <v>12</v>
      </c>
      <c r="I91" s="40">
        <v>3.3287037037037039E-2</v>
      </c>
      <c r="J91" s="8">
        <f>IF(I91="PM","",IF(H91=0," ",I91-HLOOKUP('Course 1'!H91,'tab1'!$C$3:$N$4,2)))</f>
        <v>1.1087962962962963E-2</v>
      </c>
      <c r="K91" s="23">
        <f>IF(I91="PM","",IF(H91=0," ",J91/'Règles et points'!$F$23))</f>
        <v>15.966666666666669</v>
      </c>
      <c r="L91" s="3">
        <f>IF(H91=0,"",IF(I91="PM",30,VLOOKUP(H91,'Règles et points'!$C$5:$AG$19,(HLOOKUP('Course 1'!C91,'Règles et points'!$C$5:$AG$5,1)+1))))</f>
        <v>80</v>
      </c>
      <c r="M91" s="23">
        <f t="shared" si="2"/>
        <v>64.033333333333331</v>
      </c>
      <c r="N91" s="80"/>
      <c r="O91" s="51"/>
      <c r="P91" s="52"/>
    </row>
    <row r="92" spans="2:16" ht="12.75">
      <c r="B92" s="14">
        <v>88</v>
      </c>
      <c r="C92" s="28" t="e">
        <f>IF(Coureurs!C92="","",Coureurs!C92)</f>
        <v>#N/A</v>
      </c>
      <c r="D92" s="131" t="str">
        <f>IF(Coureurs!D92="","",Coureurs!D92)</f>
        <v>70</v>
      </c>
      <c r="E92" s="87" t="str">
        <f>IF(Coureurs!F92="","",Coureurs!F92)</f>
        <v/>
      </c>
      <c r="F92" s="87" t="str">
        <f>IF(Coureurs!G92="","",Coureurs!G92)</f>
        <v/>
      </c>
      <c r="G92" s="50" t="str">
        <f>IF(Coureurs!J92="","",Coureurs!J92)</f>
        <v/>
      </c>
      <c r="H92" s="25"/>
      <c r="I92" s="40"/>
      <c r="J92" s="8" t="str">
        <f>IF(I92="PM","",IF(H92=0," ",I92-HLOOKUP('Course 1'!H92,'tab1'!$C$3:$N$4,2)))</f>
        <v xml:space="preserve"> </v>
      </c>
      <c r="K92" s="23" t="str">
        <f>IF(I92="PM","",IF(H92=0," ",J92/'Règles et points'!$F$23))</f>
        <v xml:space="preserve"> </v>
      </c>
      <c r="L92" s="3" t="str">
        <f>IF(H92=0,"",IF(I92="PM",30,VLOOKUP(H92,'Règles et points'!$C$5:$AG$19,(HLOOKUP('Course 1'!C92,'Règles et points'!$C$5:$AG$5,1)+1))))</f>
        <v/>
      </c>
      <c r="M92" s="23">
        <f t="shared" si="2"/>
        <v>0</v>
      </c>
      <c r="N92" s="80"/>
      <c r="O92" s="51"/>
      <c r="P92" s="52"/>
    </row>
    <row r="93" spans="2:16" ht="12.75">
      <c r="B93" s="14">
        <v>89</v>
      </c>
      <c r="C93" s="28" t="e">
        <f>IF(Coureurs!C93="","",Coureurs!C93)</f>
        <v>#N/A</v>
      </c>
      <c r="D93" s="131" t="str">
        <f>IF(Coureurs!D93="","",Coureurs!D93)</f>
        <v>70</v>
      </c>
      <c r="E93" s="87" t="str">
        <f>IF(Coureurs!F93="","",Coureurs!F93)</f>
        <v/>
      </c>
      <c r="F93" s="87" t="str">
        <f>IF(Coureurs!G93="","",Coureurs!G93)</f>
        <v/>
      </c>
      <c r="G93" s="50" t="str">
        <f>IF(Coureurs!J93="","",Coureurs!J93)</f>
        <v/>
      </c>
      <c r="H93" s="25"/>
      <c r="I93" s="41"/>
      <c r="J93" s="8" t="str">
        <f>IF(I93="PM","",IF(H93=0," ",I93-HLOOKUP('Course 1'!H93,'tab1'!$C$3:$N$4,2)))</f>
        <v xml:space="preserve"> </v>
      </c>
      <c r="K93" s="23" t="str">
        <f>IF(I93="PM","",IF(H93=0," ",J93/'Règles et points'!$F$23))</f>
        <v xml:space="preserve"> </v>
      </c>
      <c r="L93" s="3" t="str">
        <f>IF(H93=0,"",IF(I93="PM",30,VLOOKUP(H93,'Règles et points'!$C$5:$AG$19,(HLOOKUP('Course 1'!C93,'Règles et points'!$C$5:$AG$5,1)+1))))</f>
        <v/>
      </c>
      <c r="M93" s="23">
        <f t="shared" si="2"/>
        <v>0</v>
      </c>
      <c r="N93" s="80"/>
      <c r="O93" s="51"/>
      <c r="P93" s="52"/>
    </row>
    <row r="94" spans="2:16" ht="12.75">
      <c r="B94" s="14">
        <v>90</v>
      </c>
      <c r="C94" s="28" t="e">
        <f>IF(Coureurs!C94="","",Coureurs!C94)</f>
        <v>#N/A</v>
      </c>
      <c r="D94" s="131" t="str">
        <f>IF(Coureurs!D94="","",Coureurs!D94)</f>
        <v>70</v>
      </c>
      <c r="E94" s="87" t="str">
        <f>IF(Coureurs!F94="","",Coureurs!F94)</f>
        <v/>
      </c>
      <c r="F94" s="87" t="str">
        <f>IF(Coureurs!G94="","",Coureurs!G94)</f>
        <v/>
      </c>
      <c r="G94" s="50" t="str">
        <f>IF(Coureurs!J94="","",Coureurs!J94)</f>
        <v/>
      </c>
      <c r="H94" s="25"/>
      <c r="I94" s="41"/>
      <c r="J94" s="8" t="str">
        <f>IF(I94="PM","",IF(H94=0," ",I94-HLOOKUP('Course 1'!H94,'tab1'!$C$3:$N$4,2)))</f>
        <v xml:space="preserve"> </v>
      </c>
      <c r="K94" s="23" t="str">
        <f>IF(I94="PM","",IF(H94=0," ",J94/'Règles et points'!$F$23))</f>
        <v xml:space="preserve"> </v>
      </c>
      <c r="L94" s="3" t="str">
        <f>IF(H94=0,"",IF(I94="PM",30,VLOOKUP(H94,'Règles et points'!$C$5:$AG$19,(HLOOKUP('Course 1'!C94,'Règles et points'!$C$5:$AG$5,1)+1))))</f>
        <v/>
      </c>
      <c r="M94" s="23">
        <f t="shared" si="2"/>
        <v>0</v>
      </c>
      <c r="N94" s="80"/>
      <c r="O94" s="51"/>
      <c r="P94" s="52"/>
    </row>
    <row r="95" spans="2:16" ht="12.75">
      <c r="B95" s="14">
        <v>91</v>
      </c>
      <c r="C95" s="28" t="e">
        <f>IF(Coureurs!C95="","",Coureurs!C95)</f>
        <v>#N/A</v>
      </c>
      <c r="D95" s="131" t="str">
        <f>IF(Coureurs!D95="","",Coureurs!D95)</f>
        <v>70</v>
      </c>
      <c r="E95" s="87" t="str">
        <f>IF(Coureurs!F95="","",Coureurs!F95)</f>
        <v/>
      </c>
      <c r="F95" s="87" t="str">
        <f>IF(Coureurs!G95="","",Coureurs!G95)</f>
        <v/>
      </c>
      <c r="G95" s="50" t="str">
        <f>IF(Coureurs!J95="","",Coureurs!J95)</f>
        <v/>
      </c>
      <c r="H95" s="25"/>
      <c r="I95" s="41"/>
      <c r="J95" s="8" t="str">
        <f>IF(I95="PM","",IF(H95=0," ",I95-HLOOKUP('Course 1'!H95,'tab1'!$C$3:$N$4,2)))</f>
        <v xml:space="preserve"> </v>
      </c>
      <c r="K95" s="23" t="str">
        <f>IF(I95="PM","",IF(H95=0," ",J95/'Règles et points'!$F$23))</f>
        <v xml:space="preserve"> </v>
      </c>
      <c r="L95" s="3" t="str">
        <f>IF(H95=0,"",IF(I95="PM",30,VLOOKUP(H95,'Règles et points'!$C$5:$AG$19,(HLOOKUP('Course 1'!C95,'Règles et points'!$C$5:$AG$5,1)+1))))</f>
        <v/>
      </c>
      <c r="M95" s="23">
        <f t="shared" si="2"/>
        <v>0</v>
      </c>
      <c r="N95" s="80"/>
      <c r="O95" s="51"/>
      <c r="P95" s="52"/>
    </row>
    <row r="96" spans="2:16" ht="12.75">
      <c r="B96" s="14">
        <v>92</v>
      </c>
      <c r="C96" s="28" t="e">
        <f>IF(Coureurs!C96="","",Coureurs!C96)</f>
        <v>#N/A</v>
      </c>
      <c r="D96" s="131" t="str">
        <f>IF(Coureurs!D96="","",Coureurs!D96)</f>
        <v>70</v>
      </c>
      <c r="E96" s="87" t="str">
        <f>IF(Coureurs!F96="","",Coureurs!F96)</f>
        <v/>
      </c>
      <c r="F96" s="87" t="str">
        <f>IF(Coureurs!G96="","",Coureurs!G96)</f>
        <v/>
      </c>
      <c r="G96" s="50" t="str">
        <f>IF(Coureurs!J96="","",Coureurs!J96)</f>
        <v/>
      </c>
      <c r="H96" s="25"/>
      <c r="I96" s="41"/>
      <c r="J96" s="8" t="str">
        <f>IF(I96="PM","",IF(H96=0," ",I96-HLOOKUP('Course 1'!H96,'tab1'!$C$3:$N$4,2)))</f>
        <v xml:space="preserve"> </v>
      </c>
      <c r="K96" s="23" t="str">
        <f>IF(I96="PM","",IF(H96=0," ",J96/'Règles et points'!$F$23))</f>
        <v xml:space="preserve"> </v>
      </c>
      <c r="L96" s="3" t="str">
        <f>IF(H96=0,"",IF(I96="PM",30,VLOOKUP(H96,'Règles et points'!$C$5:$AG$19,(HLOOKUP('Course 1'!C96,'Règles et points'!$C$5:$AG$5,1)+1))))</f>
        <v/>
      </c>
      <c r="M96" s="23">
        <f t="shared" si="2"/>
        <v>0</v>
      </c>
      <c r="N96" s="80"/>
      <c r="O96" s="51"/>
      <c r="P96" s="52"/>
    </row>
    <row r="97" spans="2:16" ht="12.75">
      <c r="B97" s="14">
        <v>93</v>
      </c>
      <c r="C97" s="28" t="e">
        <f>IF(Coureurs!C97="","",Coureurs!C97)</f>
        <v>#N/A</v>
      </c>
      <c r="D97" s="131" t="str">
        <f>IF(Coureurs!D97="","",Coureurs!D97)</f>
        <v>70</v>
      </c>
      <c r="E97" s="87" t="str">
        <f>IF(Coureurs!F97="","",Coureurs!F97)</f>
        <v/>
      </c>
      <c r="F97" s="87" t="str">
        <f>IF(Coureurs!G97="","",Coureurs!G97)</f>
        <v/>
      </c>
      <c r="G97" s="50" t="str">
        <f>IF(Coureurs!J97="","",Coureurs!J97)</f>
        <v/>
      </c>
      <c r="H97" s="25"/>
      <c r="I97" s="41"/>
      <c r="J97" s="8" t="str">
        <f>IF(I97="PM","",IF(H97=0," ",I97-HLOOKUP('Course 1'!H97,'tab1'!$C$3:$N$4,2)))</f>
        <v xml:space="preserve"> </v>
      </c>
      <c r="K97" s="23" t="str">
        <f>IF(I97="PM","",IF(H97=0," ",J97/'Règles et points'!$F$23))</f>
        <v xml:space="preserve"> </v>
      </c>
      <c r="L97" s="3" t="str">
        <f>IF(H97=0,"",IF(I97="PM",30,VLOOKUP(H97,'Règles et points'!$C$5:$AG$19,(HLOOKUP('Course 1'!C97,'Règles et points'!$C$5:$AG$5,1)+1))))</f>
        <v/>
      </c>
      <c r="M97" s="23">
        <f t="shared" si="2"/>
        <v>0</v>
      </c>
      <c r="N97" s="80"/>
      <c r="O97" s="51"/>
      <c r="P97" s="52"/>
    </row>
    <row r="98" spans="2:16" ht="12.75">
      <c r="B98" s="14">
        <v>94</v>
      </c>
      <c r="C98" s="28" t="e">
        <f>IF(Coureurs!C98="","",Coureurs!C98)</f>
        <v>#N/A</v>
      </c>
      <c r="D98" s="131" t="str">
        <f>IF(Coureurs!D98="","",Coureurs!D98)</f>
        <v>70</v>
      </c>
      <c r="E98" s="87" t="str">
        <f>IF(Coureurs!F98="","",Coureurs!F98)</f>
        <v/>
      </c>
      <c r="F98" s="87" t="str">
        <f>IF(Coureurs!G98="","",Coureurs!G98)</f>
        <v/>
      </c>
      <c r="G98" s="50" t="str">
        <f>IF(Coureurs!J98="","",Coureurs!J98)</f>
        <v/>
      </c>
      <c r="H98" s="25"/>
      <c r="I98" s="41"/>
      <c r="J98" s="8" t="str">
        <f>IF(I98="PM","",IF(H98=0," ",I98-HLOOKUP('Course 1'!H98,'tab1'!$C$3:$N$4,2)))</f>
        <v xml:space="preserve"> </v>
      </c>
      <c r="K98" s="23" t="str">
        <f>IF(I98="PM","",IF(H98=0," ",J98/'Règles et points'!$F$23))</f>
        <v xml:space="preserve"> </v>
      </c>
      <c r="L98" s="3" t="str">
        <f>IF(H98=0,"",IF(I98="PM",30,VLOOKUP(H98,'Règles et points'!$C$5:$AG$19,(HLOOKUP('Course 1'!C98,'Règles et points'!$C$5:$AG$5,1)+1))))</f>
        <v/>
      </c>
      <c r="M98" s="23">
        <f t="shared" si="2"/>
        <v>0</v>
      </c>
      <c r="N98" s="80"/>
      <c r="O98" s="51"/>
      <c r="P98" s="52"/>
    </row>
    <row r="99" spans="2:16" ht="12.75">
      <c r="B99" s="14">
        <v>95</v>
      </c>
      <c r="C99" s="28" t="e">
        <f>IF(Coureurs!C99="","",Coureurs!C99)</f>
        <v>#N/A</v>
      </c>
      <c r="D99" s="131" t="str">
        <f>IF(Coureurs!D99="","",Coureurs!D99)</f>
        <v>70</v>
      </c>
      <c r="E99" s="87" t="str">
        <f>IF(Coureurs!F99="","",Coureurs!F99)</f>
        <v/>
      </c>
      <c r="F99" s="87" t="str">
        <f>IF(Coureurs!G99="","",Coureurs!G99)</f>
        <v/>
      </c>
      <c r="G99" s="50" t="str">
        <f>IF(Coureurs!J99="","",Coureurs!J99)</f>
        <v/>
      </c>
      <c r="H99" s="25"/>
      <c r="I99" s="41"/>
      <c r="J99" s="8" t="str">
        <f>IF(I99="PM","",IF(H99=0," ",I99-HLOOKUP('Course 1'!H99,'tab1'!$C$3:$N$4,2)))</f>
        <v xml:space="preserve"> </v>
      </c>
      <c r="K99" s="23" t="str">
        <f>IF(I99="PM","",IF(H99=0," ",J99/'Règles et points'!$F$23))</f>
        <v xml:space="preserve"> </v>
      </c>
      <c r="L99" s="3" t="str">
        <f>IF(H99=0,"",IF(I99="PM",30,VLOOKUP(H99,'Règles et points'!$C$5:$AG$19,(HLOOKUP('Course 1'!C99,'Règles et points'!$C$5:$AG$5,1)+1))))</f>
        <v/>
      </c>
      <c r="M99" s="23">
        <f t="shared" si="2"/>
        <v>0</v>
      </c>
      <c r="N99" s="80"/>
      <c r="O99" s="51"/>
      <c r="P99" s="52"/>
    </row>
    <row r="100" spans="2:16" ht="12.75">
      <c r="B100" s="14">
        <v>96</v>
      </c>
      <c r="C100" s="28" t="e">
        <f>IF(Coureurs!C100="","",Coureurs!C100)</f>
        <v>#N/A</v>
      </c>
      <c r="D100" s="131" t="str">
        <f>IF(Coureurs!D100="","",Coureurs!D100)</f>
        <v>70</v>
      </c>
      <c r="E100" s="87" t="str">
        <f>IF(Coureurs!F100="","",Coureurs!F100)</f>
        <v/>
      </c>
      <c r="F100" s="87" t="str">
        <f>IF(Coureurs!G100="","",Coureurs!G100)</f>
        <v/>
      </c>
      <c r="G100" s="50" t="str">
        <f>IF(Coureurs!J100="","",Coureurs!J100)</f>
        <v/>
      </c>
      <c r="H100" s="25"/>
      <c r="I100" s="41"/>
      <c r="J100" s="8" t="str">
        <f>IF(I100="PM","",IF(H100=0," ",I100-HLOOKUP('Course 1'!H100,'tab1'!$C$3:$N$4,2)))</f>
        <v xml:space="preserve"> </v>
      </c>
      <c r="K100" s="23" t="str">
        <f>IF(I100="PM","",IF(H100=0," ",J100/'Règles et points'!$F$23))</f>
        <v xml:space="preserve"> </v>
      </c>
      <c r="L100" s="3" t="str">
        <f>IF(H100=0,"",IF(I100="PM",30,VLOOKUP(H100,'Règles et points'!$C$5:$AG$19,(HLOOKUP('Course 1'!C100,'Règles et points'!$C$5:$AG$5,1)+1))))</f>
        <v/>
      </c>
      <c r="M100" s="23">
        <f t="shared" si="2"/>
        <v>0</v>
      </c>
      <c r="N100" s="80"/>
      <c r="O100" s="51"/>
      <c r="P100" s="52"/>
    </row>
    <row r="101" spans="2:16" ht="12.75">
      <c r="B101" s="14">
        <v>97</v>
      </c>
      <c r="C101" s="28" t="e">
        <f>IF(Coureurs!C101="","",Coureurs!C101)</f>
        <v>#N/A</v>
      </c>
      <c r="D101" s="131" t="str">
        <f>IF(Coureurs!D101="","",Coureurs!D101)</f>
        <v>70</v>
      </c>
      <c r="E101" s="87" t="str">
        <f>IF(Coureurs!F101="","",Coureurs!F101)</f>
        <v/>
      </c>
      <c r="F101" s="87" t="str">
        <f>IF(Coureurs!G101="","",Coureurs!G101)</f>
        <v/>
      </c>
      <c r="G101" s="50" t="str">
        <f>IF(Coureurs!J101="","",Coureurs!J101)</f>
        <v/>
      </c>
      <c r="H101" s="25"/>
      <c r="I101" s="41"/>
      <c r="J101" s="8" t="str">
        <f>IF(I101="PM","",IF(H101=0," ",I101-HLOOKUP('Course 1'!H101,'tab1'!$C$3:$N$4,2)))</f>
        <v xml:space="preserve"> </v>
      </c>
      <c r="K101" s="23" t="str">
        <f>IF(I101="PM","",IF(H101=0," ",J101/'Règles et points'!$F$23))</f>
        <v xml:space="preserve"> </v>
      </c>
      <c r="L101" s="3" t="str">
        <f>IF(H101=0,"",IF(I101="PM",30,VLOOKUP(H101,'Règles et points'!$C$5:$AG$19,(HLOOKUP('Course 1'!C101,'Règles et points'!$C$5:$AG$5,1)+1))))</f>
        <v/>
      </c>
      <c r="M101" s="23">
        <f t="shared" si="2"/>
        <v>0</v>
      </c>
      <c r="N101" s="80"/>
      <c r="O101" s="51"/>
      <c r="P101" s="52"/>
    </row>
    <row r="102" spans="2:16" ht="12.75">
      <c r="B102" s="14">
        <v>98</v>
      </c>
      <c r="C102" s="28" t="e">
        <f>IF(Coureurs!C102="","",Coureurs!C102)</f>
        <v>#N/A</v>
      </c>
      <c r="D102" s="131" t="str">
        <f>IF(Coureurs!D102="","",Coureurs!D102)</f>
        <v>70</v>
      </c>
      <c r="E102" s="87" t="str">
        <f>IF(Coureurs!F102="","",Coureurs!F102)</f>
        <v/>
      </c>
      <c r="F102" s="87" t="str">
        <f>IF(Coureurs!G102="","",Coureurs!G102)</f>
        <v/>
      </c>
      <c r="G102" s="50" t="str">
        <f>IF(Coureurs!J102="","",Coureurs!J102)</f>
        <v/>
      </c>
      <c r="H102" s="25"/>
      <c r="I102" s="41"/>
      <c r="J102" s="8" t="str">
        <f>IF(I102="PM","",IF(H102=0," ",I102-HLOOKUP('Course 1'!H102,'tab1'!$C$3:$N$4,2)))</f>
        <v xml:space="preserve"> </v>
      </c>
      <c r="K102" s="23" t="str">
        <f>IF(I102="PM","",IF(H102=0," ",J102/'Règles et points'!$F$23))</f>
        <v xml:space="preserve"> </v>
      </c>
      <c r="L102" s="3" t="str">
        <f>IF(H102=0,"",IF(I102="PM",30,VLOOKUP(H102,'Règles et points'!$C$5:$AG$19,(HLOOKUP('Course 1'!C102,'Règles et points'!$C$5:$AG$5,1)+1))))</f>
        <v/>
      </c>
      <c r="M102" s="23">
        <f t="shared" si="2"/>
        <v>0</v>
      </c>
      <c r="N102" s="80"/>
      <c r="O102" s="51"/>
      <c r="P102" s="52"/>
    </row>
    <row r="103" spans="2:16" ht="12.75">
      <c r="B103" s="14">
        <v>99</v>
      </c>
      <c r="C103" s="28" t="e">
        <f>IF(Coureurs!C103="","",Coureurs!C103)</f>
        <v>#N/A</v>
      </c>
      <c r="D103" s="131" t="str">
        <f>IF(Coureurs!D103="","",Coureurs!D103)</f>
        <v>70</v>
      </c>
      <c r="E103" s="87" t="str">
        <f>IF(Coureurs!F103="","",Coureurs!F103)</f>
        <v/>
      </c>
      <c r="F103" s="87" t="str">
        <f>IF(Coureurs!G103="","",Coureurs!G103)</f>
        <v/>
      </c>
      <c r="G103" s="50" t="str">
        <f>IF(Coureurs!J103="","",Coureurs!J103)</f>
        <v/>
      </c>
      <c r="H103" s="25"/>
      <c r="I103" s="41"/>
      <c r="J103" s="8" t="str">
        <f>IF(I103="PM","",IF(H103=0," ",I103-HLOOKUP('Course 1'!H103,'tab1'!$C$3:$N$4,2)))</f>
        <v xml:space="preserve"> </v>
      </c>
      <c r="K103" s="23" t="str">
        <f>IF(I103="PM","",IF(H103=0," ",J103/'Règles et points'!$F$23))</f>
        <v xml:space="preserve"> </v>
      </c>
      <c r="L103" s="3" t="str">
        <f>IF(H103=0,"",IF(I103="PM",30,VLOOKUP(H103,'Règles et points'!$C$5:$AG$19,(HLOOKUP('Course 1'!C103,'Règles et points'!$C$5:$AG$5,1)+1))))</f>
        <v/>
      </c>
      <c r="M103" s="23">
        <f t="shared" si="2"/>
        <v>0</v>
      </c>
      <c r="N103" s="80"/>
      <c r="O103" s="51"/>
      <c r="P103" s="52"/>
    </row>
    <row r="104" spans="2:16" ht="12.75">
      <c r="B104" s="14">
        <v>100</v>
      </c>
      <c r="C104" s="28" t="e">
        <f>IF(Coureurs!C104="","",Coureurs!C104)</f>
        <v>#N/A</v>
      </c>
      <c r="D104" s="131" t="str">
        <f>IF(Coureurs!D104="","",Coureurs!D104)</f>
        <v>70</v>
      </c>
      <c r="E104" s="87" t="str">
        <f>IF(Coureurs!F104="","",Coureurs!F104)</f>
        <v/>
      </c>
      <c r="F104" s="87" t="str">
        <f>IF(Coureurs!G104="","",Coureurs!G104)</f>
        <v/>
      </c>
      <c r="G104" s="50" t="str">
        <f>IF(Coureurs!J104="","",Coureurs!J104)</f>
        <v/>
      </c>
      <c r="H104" s="25"/>
      <c r="I104" s="40"/>
      <c r="J104" s="8" t="str">
        <f>IF(I104="PM","",IF(H104=0," ",I104-HLOOKUP('Course 1'!H104,'tab1'!$C$3:$N$4,2)))</f>
        <v xml:space="preserve"> </v>
      </c>
      <c r="K104" s="23" t="str">
        <f>IF(I104="PM","",IF(H104=0," ",J104/'Règles et points'!$F$23))</f>
        <v xml:space="preserve"> </v>
      </c>
      <c r="L104" s="3" t="str">
        <f>IF(H104=0,"",IF(I104="PM",30,VLOOKUP(H104,'Règles et points'!$C$5:$AG$19,(HLOOKUP('Course 1'!C104,'Règles et points'!$C$5:$AG$5,1)+1))))</f>
        <v/>
      </c>
      <c r="M104" s="23">
        <f t="shared" si="2"/>
        <v>0</v>
      </c>
      <c r="N104" s="80"/>
      <c r="O104" s="51"/>
      <c r="P104" s="52"/>
    </row>
    <row r="105" spans="2:16" ht="12.75">
      <c r="B105" s="14">
        <v>101</v>
      </c>
      <c r="C105" s="28" t="e">
        <f>IF(Coureurs!C105="","",Coureurs!C105)</f>
        <v>#N/A</v>
      </c>
      <c r="D105" s="131" t="str">
        <f>IF(Coureurs!D105="","",Coureurs!D105)</f>
        <v>70</v>
      </c>
      <c r="E105" s="87" t="str">
        <f>IF(Coureurs!F105="","",Coureurs!F105)</f>
        <v/>
      </c>
      <c r="F105" s="87" t="str">
        <f>IF(Coureurs!G105="","",Coureurs!G105)</f>
        <v/>
      </c>
      <c r="G105" s="50" t="str">
        <f>IF(Coureurs!J105="","",Coureurs!J105)</f>
        <v/>
      </c>
      <c r="H105" s="25"/>
      <c r="I105" s="40"/>
      <c r="J105" s="8" t="str">
        <f>IF(I105="PM","",IF(H105=0," ",I105-HLOOKUP('Course 1'!H105,'tab1'!$C$3:$N$4,2)))</f>
        <v xml:space="preserve"> </v>
      </c>
      <c r="K105" s="23" t="str">
        <f>IF(I105="PM","",IF(H105=0," ",J105/'Règles et points'!$F$23))</f>
        <v xml:space="preserve"> </v>
      </c>
      <c r="L105" s="3" t="str">
        <f>IF(H105=0,"",IF(I105="PM",30,VLOOKUP(H105,'Règles et points'!$C$5:$AG$19,(HLOOKUP('Course 1'!C105,'Règles et points'!$C$5:$AG$5,1)+1))))</f>
        <v/>
      </c>
      <c r="M105" s="23">
        <f t="shared" si="2"/>
        <v>0</v>
      </c>
      <c r="N105" s="80"/>
      <c r="O105" s="51"/>
      <c r="P105" s="52"/>
    </row>
    <row r="106" spans="2:16" ht="12.75">
      <c r="B106" s="14">
        <v>102</v>
      </c>
      <c r="C106" s="28" t="e">
        <f>IF(Coureurs!C106="","",Coureurs!C106)</f>
        <v>#N/A</v>
      </c>
      <c r="D106" s="131" t="str">
        <f>IF(Coureurs!D106="","",Coureurs!D106)</f>
        <v>70</v>
      </c>
      <c r="E106" s="87" t="str">
        <f>IF(Coureurs!F106="","",Coureurs!F106)</f>
        <v/>
      </c>
      <c r="F106" s="87" t="str">
        <f>IF(Coureurs!G106="","",Coureurs!G106)</f>
        <v/>
      </c>
      <c r="G106" s="50" t="str">
        <f>IF(Coureurs!J106="","",Coureurs!J106)</f>
        <v/>
      </c>
      <c r="H106" s="25"/>
      <c r="I106" s="41"/>
      <c r="J106" s="8" t="str">
        <f>IF(I106="PM","",IF(H106=0," ",I106-HLOOKUP('Course 1'!H106,'tab1'!$C$3:$N$4,2)))</f>
        <v xml:space="preserve"> </v>
      </c>
      <c r="K106" s="23" t="str">
        <f>IF(I106="PM","",IF(H106=0," ",J106/'Règles et points'!$F$23))</f>
        <v xml:space="preserve"> </v>
      </c>
      <c r="L106" s="3" t="str">
        <f>IF(H106=0,"",IF(I106="PM",30,VLOOKUP(H106,'Règles et points'!$C$5:$AG$19,(HLOOKUP('Course 1'!C106,'Règles et points'!$C$5:$AG$5,1)+1))))</f>
        <v/>
      </c>
      <c r="M106" s="23">
        <f t="shared" si="2"/>
        <v>0</v>
      </c>
      <c r="N106" s="80"/>
      <c r="O106" s="51"/>
      <c r="P106" s="52"/>
    </row>
    <row r="107" spans="2:16" ht="12.75">
      <c r="B107" s="14">
        <v>103</v>
      </c>
      <c r="C107" s="28" t="e">
        <f>IF(Coureurs!C107="","",Coureurs!C107)</f>
        <v>#N/A</v>
      </c>
      <c r="D107" s="131" t="str">
        <f>IF(Coureurs!D107="","",Coureurs!D107)</f>
        <v>70</v>
      </c>
      <c r="E107" s="87" t="str">
        <f>IF(Coureurs!F107="","",Coureurs!F107)</f>
        <v/>
      </c>
      <c r="F107" s="87" t="str">
        <f>IF(Coureurs!G107="","",Coureurs!G107)</f>
        <v/>
      </c>
      <c r="G107" s="50" t="str">
        <f>IF(Coureurs!J107="","",Coureurs!J107)</f>
        <v/>
      </c>
      <c r="H107" s="25"/>
      <c r="I107" s="41"/>
      <c r="J107" s="8" t="str">
        <f>IF(I107="PM","",IF(H107=0," ",I107-HLOOKUP('Course 1'!H107,'tab1'!$C$3:$N$4,2)))</f>
        <v xml:space="preserve"> </v>
      </c>
      <c r="K107" s="23" t="str">
        <f>IF(I107="PM","",IF(H107=0," ",J107/'Règles et points'!$F$23))</f>
        <v xml:space="preserve"> </v>
      </c>
      <c r="L107" s="3" t="str">
        <f>IF(H107=0,"",IF(I107="PM",30,VLOOKUP(H107,'Règles et points'!$C$5:$AG$19,(HLOOKUP('Course 1'!C107,'Règles et points'!$C$5:$AG$5,1)+1))))</f>
        <v/>
      </c>
      <c r="M107" s="23">
        <f t="shared" si="2"/>
        <v>0</v>
      </c>
      <c r="N107" s="80"/>
      <c r="O107" s="51"/>
      <c r="P107" s="52"/>
    </row>
    <row r="108" spans="2:16" ht="12.75">
      <c r="B108" s="14">
        <v>104</v>
      </c>
      <c r="C108" s="28" t="e">
        <f>IF(Coureurs!C108="","",Coureurs!C108)</f>
        <v>#N/A</v>
      </c>
      <c r="D108" s="131" t="str">
        <f>IF(Coureurs!D108="","",Coureurs!D108)</f>
        <v>70</v>
      </c>
      <c r="E108" s="87" t="str">
        <f>IF(Coureurs!F108="","",Coureurs!F108)</f>
        <v/>
      </c>
      <c r="F108" s="87" t="str">
        <f>IF(Coureurs!G108="","",Coureurs!G108)</f>
        <v/>
      </c>
      <c r="G108" s="50" t="str">
        <f>IF(Coureurs!J108="","",Coureurs!J108)</f>
        <v/>
      </c>
      <c r="H108" s="25"/>
      <c r="I108" s="41"/>
      <c r="J108" s="8" t="str">
        <f>IF(I108="PM","",IF(H108=0," ",I108-HLOOKUP('Course 1'!H108,'tab1'!$C$3:$N$4,2)))</f>
        <v xml:space="preserve"> </v>
      </c>
      <c r="K108" s="23" t="str">
        <f>IF(I108="PM","",IF(H108=0," ",J108/'Règles et points'!$F$23))</f>
        <v xml:space="preserve"> </v>
      </c>
      <c r="L108" s="3" t="str">
        <f>IF(H108=0,"",IF(I108="PM",30,VLOOKUP(H108,'Règles et points'!$C$5:$AG$19,(HLOOKUP('Course 1'!C108,'Règles et points'!$C$5:$AG$5,1)+1))))</f>
        <v/>
      </c>
      <c r="M108" s="23">
        <f t="shared" si="2"/>
        <v>0</v>
      </c>
      <c r="N108" s="80"/>
      <c r="O108" s="51"/>
      <c r="P108" s="52"/>
    </row>
    <row r="109" spans="2:16" ht="12.75">
      <c r="B109" s="14">
        <v>105</v>
      </c>
      <c r="C109" s="28" t="e">
        <f>IF(Coureurs!C109="","",Coureurs!C109)</f>
        <v>#N/A</v>
      </c>
      <c r="D109" s="131" t="str">
        <f>IF(Coureurs!D109="","",Coureurs!D109)</f>
        <v>70</v>
      </c>
      <c r="E109" s="87" t="str">
        <f>IF(Coureurs!F109="","",Coureurs!F109)</f>
        <v/>
      </c>
      <c r="F109" s="87" t="str">
        <f>IF(Coureurs!G109="","",Coureurs!G109)</f>
        <v/>
      </c>
      <c r="G109" s="50" t="str">
        <f>IF(Coureurs!J109="","",Coureurs!J109)</f>
        <v/>
      </c>
      <c r="H109" s="25"/>
      <c r="I109" s="41"/>
      <c r="J109" s="8" t="str">
        <f>IF(I109="PM","",IF(H109=0," ",I109-HLOOKUP('Course 1'!H109,'tab1'!$C$3:$N$4,2)))</f>
        <v xml:space="preserve"> </v>
      </c>
      <c r="K109" s="23" t="str">
        <f>IF(I109="PM","",IF(H109=0," ",J109/'Règles et points'!$F$23))</f>
        <v xml:space="preserve"> </v>
      </c>
      <c r="L109" s="3" t="str">
        <f>IF(H109=0,"",IF(I109="PM",30,VLOOKUP(H109,'Règles et points'!$C$5:$AG$19,(HLOOKUP('Course 1'!C109,'Règles et points'!$C$5:$AG$5,1)+1))))</f>
        <v/>
      </c>
      <c r="M109" s="23">
        <f t="shared" si="2"/>
        <v>0</v>
      </c>
      <c r="N109" s="80"/>
      <c r="O109" s="51"/>
      <c r="P109" s="52"/>
    </row>
    <row r="110" spans="2:16" ht="12.75">
      <c r="B110" s="14">
        <v>106</v>
      </c>
      <c r="C110" s="28" t="e">
        <f>IF(Coureurs!C110="","",Coureurs!C110)</f>
        <v>#N/A</v>
      </c>
      <c r="D110" s="131" t="str">
        <f>IF(Coureurs!D110="","",Coureurs!D110)</f>
        <v>70</v>
      </c>
      <c r="E110" s="87" t="str">
        <f>IF(Coureurs!F110="","",Coureurs!F110)</f>
        <v/>
      </c>
      <c r="F110" s="87" t="str">
        <f>IF(Coureurs!G110="","",Coureurs!G110)</f>
        <v/>
      </c>
      <c r="G110" s="50" t="str">
        <f>IF(Coureurs!J110="","",Coureurs!J110)</f>
        <v/>
      </c>
      <c r="H110" s="25"/>
      <c r="I110" s="41"/>
      <c r="J110" s="8" t="str">
        <f>IF(I110="PM","",IF(H110=0," ",I110-HLOOKUP('Course 1'!H110,'tab1'!$C$3:$N$4,2)))</f>
        <v xml:space="preserve"> </v>
      </c>
      <c r="K110" s="23" t="str">
        <f>IF(I110="PM","",IF(H110=0," ",J110/'Règles et points'!$F$23))</f>
        <v xml:space="preserve"> </v>
      </c>
      <c r="L110" s="3" t="str">
        <f>IF(H110=0,"",IF(I110="PM",30,VLOOKUP(H110,'Règles et points'!$C$5:$AG$19,(HLOOKUP('Course 1'!C110,'Règles et points'!$C$5:$AG$5,1)+1))))</f>
        <v/>
      </c>
      <c r="M110" s="23">
        <f t="shared" si="2"/>
        <v>0</v>
      </c>
      <c r="N110" s="80"/>
      <c r="O110" s="51"/>
      <c r="P110" s="52"/>
    </row>
    <row r="111" spans="2:16" ht="12.75">
      <c r="B111" s="14">
        <v>107</v>
      </c>
      <c r="C111" s="28" t="e">
        <f>IF(Coureurs!C111="","",Coureurs!C111)</f>
        <v>#N/A</v>
      </c>
      <c r="D111" s="131" t="str">
        <f>IF(Coureurs!D111="","",Coureurs!D111)</f>
        <v>70</v>
      </c>
      <c r="E111" s="87" t="str">
        <f>IF(Coureurs!F111="","",Coureurs!F111)</f>
        <v/>
      </c>
      <c r="F111" s="87" t="str">
        <f>IF(Coureurs!G111="","",Coureurs!G111)</f>
        <v/>
      </c>
      <c r="G111" s="50" t="str">
        <f>IF(Coureurs!J111="","",Coureurs!J111)</f>
        <v/>
      </c>
      <c r="H111" s="25"/>
      <c r="I111" s="41"/>
      <c r="J111" s="8" t="str">
        <f>IF(I111="PM","",IF(H111=0," ",I111-HLOOKUP('Course 1'!H111,'tab1'!$C$3:$N$4,2)))</f>
        <v xml:space="preserve"> </v>
      </c>
      <c r="K111" s="23" t="str">
        <f>IF(I111="PM","",IF(H111=0," ",J111/'Règles et points'!$F$23))</f>
        <v xml:space="preserve"> </v>
      </c>
      <c r="L111" s="3" t="str">
        <f>IF(H111=0,"",IF(I111="PM",30,VLOOKUP(H111,'Règles et points'!$C$5:$AG$19,(HLOOKUP('Course 1'!C111,'Règles et points'!$C$5:$AG$5,1)+1))))</f>
        <v/>
      </c>
      <c r="M111" s="23">
        <f t="shared" si="2"/>
        <v>0</v>
      </c>
      <c r="N111" s="80"/>
      <c r="O111" s="51"/>
      <c r="P111" s="52"/>
    </row>
    <row r="112" spans="2:16" ht="12.75">
      <c r="B112" s="14">
        <v>108</v>
      </c>
      <c r="C112" s="28" t="e">
        <f>IF(Coureurs!C112="","",Coureurs!C112)</f>
        <v>#N/A</v>
      </c>
      <c r="D112" s="131" t="str">
        <f>IF(Coureurs!D112="","",Coureurs!D112)</f>
        <v>70</v>
      </c>
      <c r="E112" s="87" t="str">
        <f>IF(Coureurs!F112="","",Coureurs!F112)</f>
        <v/>
      </c>
      <c r="F112" s="87" t="str">
        <f>IF(Coureurs!G112="","",Coureurs!G112)</f>
        <v/>
      </c>
      <c r="G112" s="50" t="str">
        <f>IF(Coureurs!J112="","",Coureurs!J112)</f>
        <v/>
      </c>
      <c r="H112" s="25"/>
      <c r="I112" s="41"/>
      <c r="J112" s="8" t="str">
        <f>IF(I112="PM","",IF(H112=0," ",I112-HLOOKUP('Course 1'!H112,'tab1'!$C$3:$N$4,2)))</f>
        <v xml:space="preserve"> </v>
      </c>
      <c r="K112" s="23" t="str">
        <f>IF(I112="PM","",IF(H112=0," ",J112/'Règles et points'!$F$23))</f>
        <v xml:space="preserve"> </v>
      </c>
      <c r="L112" s="3" t="str">
        <f>IF(H112=0,"",IF(I112="PM",30,VLOOKUP(H112,'Règles et points'!$C$5:$AG$19,(HLOOKUP('Course 1'!C112,'Règles et points'!$C$5:$AG$5,1)+1))))</f>
        <v/>
      </c>
      <c r="M112" s="23">
        <f t="shared" si="2"/>
        <v>0</v>
      </c>
      <c r="N112" s="80"/>
      <c r="O112" s="51"/>
      <c r="P112" s="52"/>
    </row>
    <row r="113" spans="2:16" ht="12.75">
      <c r="B113" s="14">
        <v>109</v>
      </c>
      <c r="C113" s="28" t="e">
        <f>IF(Coureurs!C113="","",Coureurs!C113)</f>
        <v>#N/A</v>
      </c>
      <c r="D113" s="131" t="str">
        <f>IF(Coureurs!D113="","",Coureurs!D113)</f>
        <v>70</v>
      </c>
      <c r="E113" s="87" t="str">
        <f>IF(Coureurs!F113="","",Coureurs!F113)</f>
        <v/>
      </c>
      <c r="F113" s="87" t="str">
        <f>IF(Coureurs!G113="","",Coureurs!G113)</f>
        <v/>
      </c>
      <c r="G113" s="50" t="str">
        <f>IF(Coureurs!J113="","",Coureurs!J113)</f>
        <v/>
      </c>
      <c r="H113" s="25"/>
      <c r="I113" s="41"/>
      <c r="J113" s="8" t="str">
        <f>IF(I113="PM","",IF(H113=0," ",I113-HLOOKUP('Course 1'!H113,'tab1'!$C$3:$N$4,2)))</f>
        <v xml:space="preserve"> </v>
      </c>
      <c r="K113" s="23" t="str">
        <f>IF(I113="PM","",IF(H113=0," ",J113/'Règles et points'!$F$23))</f>
        <v xml:space="preserve"> </v>
      </c>
      <c r="L113" s="3" t="str">
        <f>IF(H113=0,"",IF(I113="PM",30,VLOOKUP(H113,'Règles et points'!$C$5:$AG$19,(HLOOKUP('Course 1'!C113,'Règles et points'!$C$5:$AG$5,1)+1))))</f>
        <v/>
      </c>
      <c r="M113" s="23">
        <f t="shared" si="2"/>
        <v>0</v>
      </c>
      <c r="N113" s="80"/>
      <c r="O113" s="51"/>
      <c r="P113" s="52"/>
    </row>
    <row r="114" spans="2:16" ht="12.75">
      <c r="B114" s="14">
        <v>110</v>
      </c>
      <c r="C114" s="28" t="e">
        <f>IF(Coureurs!C114="","",Coureurs!C114)</f>
        <v>#N/A</v>
      </c>
      <c r="D114" s="131" t="str">
        <f>IF(Coureurs!D114="","",Coureurs!D114)</f>
        <v>70</v>
      </c>
      <c r="E114" s="87" t="str">
        <f>IF(Coureurs!F114="","",Coureurs!F114)</f>
        <v/>
      </c>
      <c r="F114" s="87" t="str">
        <f>IF(Coureurs!G114="","",Coureurs!G114)</f>
        <v/>
      </c>
      <c r="G114" s="50" t="str">
        <f>IF(Coureurs!J114="","",Coureurs!J114)</f>
        <v/>
      </c>
      <c r="H114" s="25"/>
      <c r="I114" s="41"/>
      <c r="J114" s="8" t="str">
        <f>IF(I114="PM","",IF(H114=0," ",I114-HLOOKUP('Course 1'!H114,'tab1'!$C$3:$N$4,2)))</f>
        <v xml:space="preserve"> </v>
      </c>
      <c r="K114" s="23" t="str">
        <f>IF(I114="PM","",IF(H114=0," ",J114/'Règles et points'!$F$23))</f>
        <v xml:space="preserve"> </v>
      </c>
      <c r="L114" s="3" t="str">
        <f>IF(H114=0,"",IF(I114="PM",30,VLOOKUP(H114,'Règles et points'!$C$5:$AG$19,(HLOOKUP('Course 1'!C114,'Règles et points'!$C$5:$AG$5,1)+1))))</f>
        <v/>
      </c>
      <c r="M114" s="23">
        <f t="shared" si="2"/>
        <v>0</v>
      </c>
      <c r="N114" s="80"/>
      <c r="O114" s="51"/>
      <c r="P114" s="52"/>
    </row>
    <row r="115" spans="2:16" ht="12.75">
      <c r="B115" s="14">
        <v>111</v>
      </c>
      <c r="C115" s="28" t="e">
        <f>IF(Coureurs!C115="","",Coureurs!C115)</f>
        <v>#N/A</v>
      </c>
      <c r="D115" s="131" t="str">
        <f>IF(Coureurs!D115="","",Coureurs!D115)</f>
        <v>70</v>
      </c>
      <c r="E115" s="87" t="str">
        <f>IF(Coureurs!F115="","",Coureurs!F115)</f>
        <v/>
      </c>
      <c r="F115" s="87" t="str">
        <f>IF(Coureurs!G115="","",Coureurs!G115)</f>
        <v/>
      </c>
      <c r="G115" s="50" t="str">
        <f>IF(Coureurs!J115="","",Coureurs!J115)</f>
        <v/>
      </c>
      <c r="H115" s="25"/>
      <c r="I115" s="41"/>
      <c r="J115" s="8" t="str">
        <f>IF(I115="PM","",IF(H115=0," ",I115-HLOOKUP('Course 1'!H115,'tab1'!$C$3:$N$4,2)))</f>
        <v xml:space="preserve"> </v>
      </c>
      <c r="K115" s="23" t="str">
        <f>IF(I115="PM","",IF(H115=0," ",J115/'Règles et points'!$F$23))</f>
        <v xml:space="preserve"> </v>
      </c>
      <c r="L115" s="3" t="str">
        <f>IF(H115=0,"",IF(I115="PM",30,VLOOKUP(H115,'Règles et points'!$C$5:$AG$19,(HLOOKUP('Course 1'!C115,'Règles et points'!$C$5:$AG$5,1)+1))))</f>
        <v/>
      </c>
      <c r="M115" s="23">
        <f t="shared" si="2"/>
        <v>0</v>
      </c>
      <c r="N115" s="80"/>
      <c r="O115" s="51"/>
      <c r="P115" s="52"/>
    </row>
    <row r="116" spans="2:16" ht="12.75">
      <c r="B116" s="14">
        <v>112</v>
      </c>
      <c r="C116" s="28" t="e">
        <f>IF(Coureurs!C116="","",Coureurs!C116)</f>
        <v>#N/A</v>
      </c>
      <c r="D116" s="131" t="str">
        <f>IF(Coureurs!D116="","",Coureurs!D116)</f>
        <v>70</v>
      </c>
      <c r="E116" s="87" t="str">
        <f>IF(Coureurs!F116="","",Coureurs!F116)</f>
        <v/>
      </c>
      <c r="F116" s="87" t="str">
        <f>IF(Coureurs!G116="","",Coureurs!G116)</f>
        <v/>
      </c>
      <c r="G116" s="50" t="str">
        <f>IF(Coureurs!J116="","",Coureurs!J116)</f>
        <v/>
      </c>
      <c r="H116" s="25"/>
      <c r="I116" s="40"/>
      <c r="J116" s="8" t="str">
        <f>IF(I116="PM","",IF(H116=0," ",I116-HLOOKUP('Course 1'!H116,'tab1'!$C$3:$N$4,2)))</f>
        <v xml:space="preserve"> </v>
      </c>
      <c r="K116" s="23" t="str">
        <f>IF(I116="PM","",IF(H116=0," ",J116/'Règles et points'!$F$23))</f>
        <v xml:space="preserve"> </v>
      </c>
      <c r="L116" s="3" t="str">
        <f>IF(H116=0,"",IF(I116="PM",30,VLOOKUP(H116,'Règles et points'!$C$5:$AG$19,(HLOOKUP('Course 1'!C116,'Règles et points'!$C$5:$AG$5,1)+1))))</f>
        <v/>
      </c>
      <c r="M116" s="23">
        <f t="shared" si="2"/>
        <v>0</v>
      </c>
      <c r="N116" s="80"/>
      <c r="O116" s="51"/>
      <c r="P116" s="52"/>
    </row>
    <row r="117" spans="2:16" ht="12.75">
      <c r="B117" s="14">
        <v>113</v>
      </c>
      <c r="C117" s="28" t="e">
        <f>IF(Coureurs!C117="","",Coureurs!C117)</f>
        <v>#N/A</v>
      </c>
      <c r="D117" s="131" t="str">
        <f>IF(Coureurs!D117="","",Coureurs!D117)</f>
        <v>70</v>
      </c>
      <c r="E117" s="87" t="str">
        <f>IF(Coureurs!F117="","",Coureurs!F117)</f>
        <v/>
      </c>
      <c r="F117" s="87" t="str">
        <f>IF(Coureurs!G117="","",Coureurs!G117)</f>
        <v/>
      </c>
      <c r="G117" s="50" t="str">
        <f>IF(Coureurs!J117="","",Coureurs!J117)</f>
        <v/>
      </c>
      <c r="H117" s="25"/>
      <c r="I117" s="41"/>
      <c r="J117" s="8" t="str">
        <f>IF(I117="PM","",IF(H117=0," ",I117-HLOOKUP('Course 1'!H117,'tab1'!$C$3:$N$4,2)))</f>
        <v xml:space="preserve"> </v>
      </c>
      <c r="K117" s="23" t="str">
        <f>IF(I117="PM","",IF(H117=0," ",J117/'Règles et points'!$F$23))</f>
        <v xml:space="preserve"> </v>
      </c>
      <c r="L117" s="3" t="str">
        <f>IF(H117=0,"",IF(I117="PM",30,VLOOKUP(H117,'Règles et points'!$C$5:$AG$19,(HLOOKUP('Course 1'!C117,'Règles et points'!$C$5:$AG$5,1)+1))))</f>
        <v/>
      </c>
      <c r="M117" s="23">
        <f t="shared" si="2"/>
        <v>0</v>
      </c>
      <c r="N117" s="80"/>
      <c r="O117" s="51"/>
      <c r="P117" s="52"/>
    </row>
    <row r="118" spans="2:16" ht="12.75">
      <c r="B118" s="14">
        <v>114</v>
      </c>
      <c r="C118" s="28" t="e">
        <f>IF(Coureurs!C118="","",Coureurs!C118)</f>
        <v>#N/A</v>
      </c>
      <c r="D118" s="131" t="str">
        <f>IF(Coureurs!D118="","",Coureurs!D118)</f>
        <v>70</v>
      </c>
      <c r="E118" s="87" t="str">
        <f>IF(Coureurs!F118="","",Coureurs!F118)</f>
        <v/>
      </c>
      <c r="F118" s="87" t="str">
        <f>IF(Coureurs!G118="","",Coureurs!G118)</f>
        <v/>
      </c>
      <c r="G118" s="50" t="str">
        <f>IF(Coureurs!J118="","",Coureurs!J118)</f>
        <v/>
      </c>
      <c r="H118" s="25"/>
      <c r="I118" s="41"/>
      <c r="J118" s="8" t="str">
        <f>IF(I118="PM","",IF(H118=0," ",I118-HLOOKUP('Course 1'!H118,'tab1'!$C$3:$N$4,2)))</f>
        <v xml:space="preserve"> </v>
      </c>
      <c r="K118" s="23" t="str">
        <f>IF(I118="PM","",IF(H118=0," ",J118/'Règles et points'!$F$23))</f>
        <v xml:space="preserve"> </v>
      </c>
      <c r="L118" s="3" t="str">
        <f>IF(H118=0,"",IF(I118="PM",30,VLOOKUP(H118,'Règles et points'!$C$5:$AG$19,(HLOOKUP('Course 1'!C118,'Règles et points'!$C$5:$AG$5,1)+1))))</f>
        <v/>
      </c>
      <c r="M118" s="23">
        <f t="shared" si="2"/>
        <v>0</v>
      </c>
      <c r="N118" s="80"/>
      <c r="O118" s="51"/>
      <c r="P118" s="52"/>
    </row>
    <row r="119" spans="2:16" ht="12.75">
      <c r="B119" s="14">
        <v>115</v>
      </c>
      <c r="C119" s="28" t="e">
        <f>IF(Coureurs!C119="","",Coureurs!C119)</f>
        <v>#N/A</v>
      </c>
      <c r="D119" s="131" t="str">
        <f>IF(Coureurs!D119="","",Coureurs!D119)</f>
        <v>70</v>
      </c>
      <c r="E119" s="87" t="str">
        <f>IF(Coureurs!F119="","",Coureurs!F119)</f>
        <v/>
      </c>
      <c r="F119" s="87" t="str">
        <f>IF(Coureurs!G119="","",Coureurs!G119)</f>
        <v/>
      </c>
      <c r="G119" s="50" t="str">
        <f>IF(Coureurs!J119="","",Coureurs!J119)</f>
        <v/>
      </c>
      <c r="H119" s="25"/>
      <c r="I119" s="40"/>
      <c r="J119" s="8" t="str">
        <f>IF(I119="PM","",IF(H119=0," ",I119-HLOOKUP('Course 1'!H119,'tab1'!$C$3:$N$4,2)))</f>
        <v xml:space="preserve"> </v>
      </c>
      <c r="K119" s="23" t="str">
        <f>IF(I119="PM","",IF(H119=0," ",J119/'Règles et points'!$F$23))</f>
        <v xml:space="preserve"> </v>
      </c>
      <c r="L119" s="3" t="str">
        <f>IF(H119=0,"",IF(I119="PM",30,VLOOKUP(H119,'Règles et points'!$C$5:$AG$19,(HLOOKUP('Course 1'!C119,'Règles et points'!$C$5:$AG$5,1)+1))))</f>
        <v/>
      </c>
      <c r="M119" s="23">
        <f t="shared" si="2"/>
        <v>0</v>
      </c>
      <c r="N119" s="80"/>
      <c r="O119" s="51"/>
      <c r="P119" s="52"/>
    </row>
    <row r="120" spans="2:16" ht="12.75">
      <c r="B120" s="14">
        <v>116</v>
      </c>
      <c r="C120" s="28" t="e">
        <f>IF(Coureurs!C120="","",Coureurs!C120)</f>
        <v>#N/A</v>
      </c>
      <c r="D120" s="131" t="str">
        <f>IF(Coureurs!D120="","",Coureurs!D120)</f>
        <v>70</v>
      </c>
      <c r="E120" s="87" t="str">
        <f>IF(Coureurs!F120="","",Coureurs!F120)</f>
        <v/>
      </c>
      <c r="F120" s="87" t="str">
        <f>IF(Coureurs!G120="","",Coureurs!G120)</f>
        <v/>
      </c>
      <c r="G120" s="50" t="str">
        <f>IF(Coureurs!J120="","",Coureurs!J120)</f>
        <v/>
      </c>
      <c r="H120" s="25"/>
      <c r="I120" s="40"/>
      <c r="J120" s="8" t="str">
        <f>IF(I120="PM","",IF(H120=0," ",I120-HLOOKUP('Course 1'!H120,'tab1'!$C$3:$N$4,2)))</f>
        <v xml:space="preserve"> </v>
      </c>
      <c r="K120" s="23" t="str">
        <f>IF(I120="PM","",IF(H120=0," ",J120/'Règles et points'!$F$23))</f>
        <v xml:space="preserve"> </v>
      </c>
      <c r="L120" s="3" t="str">
        <f>IF(H120=0,"",IF(I120="PM",30,VLOOKUP(H120,'Règles et points'!$C$5:$AG$19,(HLOOKUP('Course 1'!C120,'Règles et points'!$C$5:$AG$5,1)+1))))</f>
        <v/>
      </c>
      <c r="M120" s="23">
        <f t="shared" si="2"/>
        <v>0</v>
      </c>
      <c r="N120" s="80"/>
      <c r="O120" s="51"/>
      <c r="P120" s="52"/>
    </row>
    <row r="121" spans="2:16" ht="12.75">
      <c r="B121" s="14">
        <v>117</v>
      </c>
      <c r="C121" s="28" t="e">
        <f>IF(Coureurs!C121="","",Coureurs!C121)</f>
        <v>#N/A</v>
      </c>
      <c r="D121" s="131" t="str">
        <f>IF(Coureurs!D121="","",Coureurs!D121)</f>
        <v>70</v>
      </c>
      <c r="E121" s="87" t="str">
        <f>IF(Coureurs!F121="","",Coureurs!F121)</f>
        <v/>
      </c>
      <c r="F121" s="87" t="str">
        <f>IF(Coureurs!G121="","",Coureurs!G121)</f>
        <v/>
      </c>
      <c r="G121" s="50" t="str">
        <f>IF(Coureurs!J121="","",Coureurs!J121)</f>
        <v/>
      </c>
      <c r="H121" s="25"/>
      <c r="I121" s="40"/>
      <c r="J121" s="8" t="str">
        <f>IF(I121="PM","",IF(H121=0," ",I121-HLOOKUP('Course 1'!H121,'tab1'!$C$3:$N$4,2)))</f>
        <v xml:space="preserve"> </v>
      </c>
      <c r="K121" s="23" t="str">
        <f>IF(I121="PM","",IF(H121=0," ",J121/'Règles et points'!$F$23))</f>
        <v xml:space="preserve"> </v>
      </c>
      <c r="L121" s="3" t="str">
        <f>IF(H121=0,"",VLOOKUP(H121,'Règles et points'!$C$5:$AG$19,(HLOOKUP('Course 1'!C121,'Règles et points'!$C$5:$AG$5,1)+1)))</f>
        <v/>
      </c>
      <c r="M121" s="23">
        <f t="shared" si="2"/>
        <v>0</v>
      </c>
      <c r="N121" s="80"/>
      <c r="O121" s="51"/>
      <c r="P121" s="52"/>
    </row>
    <row r="122" spans="2:16" ht="12.75">
      <c r="B122" s="14">
        <v>118</v>
      </c>
      <c r="C122" s="28" t="str">
        <f>IF(Coureurs!C122="","",Coureurs!C122)</f>
        <v/>
      </c>
      <c r="D122" s="131" t="str">
        <f>IF(Coureurs!D122="","",Coureurs!D122)</f>
        <v>70</v>
      </c>
      <c r="E122" s="87" t="str">
        <f>IF(Coureurs!F122="","",Coureurs!F122)</f>
        <v/>
      </c>
      <c r="F122" s="87" t="str">
        <f>IF(Coureurs!G122="","",Coureurs!G122)</f>
        <v/>
      </c>
      <c r="G122" s="50" t="str">
        <f>IF(Coureurs!J122="","",Coureurs!J122)</f>
        <v/>
      </c>
      <c r="H122" s="25"/>
      <c r="I122" s="41"/>
      <c r="J122" s="8" t="str">
        <f>IF(I122="PM","",IF(H122=0," ",I122-HLOOKUP('Course 1'!H122,'tab1'!$C$3:$N$4,2)))</f>
        <v xml:space="preserve"> </v>
      </c>
      <c r="K122" s="23" t="str">
        <f>IF(I122="PM","",IF(H122=0," ",J122/'Règles et points'!$F$23))</f>
        <v xml:space="preserve"> </v>
      </c>
      <c r="L122" s="3" t="str">
        <f>IF(H122=0,"",VLOOKUP(H122,'Règles et points'!$C$5:$AG$19,(HLOOKUP('Course 1'!C122,'Règles et points'!$C$5:$AG$5,1)+1)))</f>
        <v/>
      </c>
      <c r="M122" s="23">
        <f t="shared" si="2"/>
        <v>0</v>
      </c>
      <c r="N122" s="80"/>
      <c r="O122" s="51"/>
      <c r="P122" s="52"/>
    </row>
    <row r="123" spans="2:16" ht="12.75">
      <c r="B123" s="14">
        <v>119</v>
      </c>
      <c r="C123" s="28" t="str">
        <f>IF(Coureurs!C123="","",Coureurs!C123)</f>
        <v/>
      </c>
      <c r="D123" s="131" t="str">
        <f>IF(Coureurs!D123="","",Coureurs!D123)</f>
        <v>70</v>
      </c>
      <c r="E123" s="87" t="str">
        <f>IF(Coureurs!F123="","",Coureurs!F123)</f>
        <v/>
      </c>
      <c r="F123" s="87" t="str">
        <f>IF(Coureurs!G123="","",Coureurs!G123)</f>
        <v/>
      </c>
      <c r="G123" s="50" t="str">
        <f>IF(Coureurs!J123="","",Coureurs!J123)</f>
        <v/>
      </c>
      <c r="H123" s="25"/>
      <c r="I123" s="41"/>
      <c r="J123" s="8" t="str">
        <f>IF(I123="PM","",IF(H123=0," ",I123-HLOOKUP('Course 1'!H123,'tab1'!$C$3:$N$4,2)))</f>
        <v xml:space="preserve"> </v>
      </c>
      <c r="K123" s="23" t="str">
        <f>IF(I123="PM","",IF(H123=0," ",J123/'Règles et points'!$F$23))</f>
        <v xml:space="preserve"> </v>
      </c>
      <c r="L123" s="3" t="str">
        <f>IF(H123=0,"",VLOOKUP(H123,'Règles et points'!$C$5:$AG$19,(HLOOKUP('Course 1'!C123,'Règles et points'!$C$5:$AG$5,1)+1)))</f>
        <v/>
      </c>
      <c r="M123" s="23">
        <f t="shared" si="2"/>
        <v>0</v>
      </c>
      <c r="N123" s="80"/>
      <c r="O123" s="51"/>
      <c r="P123" s="52"/>
    </row>
    <row r="124" spans="2:16" ht="12.75">
      <c r="B124" s="14">
        <v>120</v>
      </c>
      <c r="C124" s="28" t="str">
        <f>IF(Coureurs!C124="","",Coureurs!C124)</f>
        <v/>
      </c>
      <c r="D124" s="131" t="str">
        <f>IF(Coureurs!D124="","",Coureurs!D124)</f>
        <v>70</v>
      </c>
      <c r="E124" s="87" t="str">
        <f>IF(Coureurs!F124="","",Coureurs!F124)</f>
        <v/>
      </c>
      <c r="F124" s="87" t="str">
        <f>IF(Coureurs!G124="","",Coureurs!G124)</f>
        <v/>
      </c>
      <c r="G124" s="50" t="str">
        <f>IF(Coureurs!J124="","",Coureurs!J124)</f>
        <v/>
      </c>
      <c r="H124" s="25"/>
      <c r="I124" s="41"/>
      <c r="J124" s="8" t="str">
        <f>IF(I124="PM","",IF(H124=0," ",I124-HLOOKUP('Course 1'!H124,'tab1'!$C$3:$N$4,2)))</f>
        <v xml:space="preserve"> </v>
      </c>
      <c r="K124" s="23" t="str">
        <f>IF(I124="PM","",IF(H124=0," ",J124/'Règles et points'!$F$23))</f>
        <v xml:space="preserve"> </v>
      </c>
      <c r="L124" s="3" t="str">
        <f>IF(H124=0,"",VLOOKUP(H124,'Règles et points'!$C$5:$AG$19,(HLOOKUP('Course 1'!C124,'Règles et points'!$C$5:$AG$5,1)+1)))</f>
        <v/>
      </c>
      <c r="M124" s="23">
        <f t="shared" si="2"/>
        <v>0</v>
      </c>
      <c r="N124" s="80"/>
      <c r="O124" s="51"/>
      <c r="P124" s="52"/>
    </row>
    <row r="125" spans="2:16" ht="12.75">
      <c r="B125" s="14">
        <v>121</v>
      </c>
      <c r="C125" s="28" t="str">
        <f>IF(Coureurs!C125="","",Coureurs!C125)</f>
        <v/>
      </c>
      <c r="D125" s="131" t="str">
        <f>IF(Coureurs!D125="","",Coureurs!D125)</f>
        <v>70</v>
      </c>
      <c r="E125" s="87" t="str">
        <f>IF(Coureurs!F125="","",Coureurs!F125)</f>
        <v/>
      </c>
      <c r="F125" s="87" t="str">
        <f>IF(Coureurs!G125="","",Coureurs!G125)</f>
        <v/>
      </c>
      <c r="G125" s="50" t="str">
        <f>IF(Coureurs!J125="","",Coureurs!J125)</f>
        <v/>
      </c>
      <c r="H125" s="25"/>
      <c r="I125" s="41"/>
      <c r="J125" s="8" t="str">
        <f>IF(I125="PM","",IF(H125=0," ",I125-HLOOKUP('Course 1'!H125,'tab1'!$C$3:$N$4,2)))</f>
        <v xml:space="preserve"> </v>
      </c>
      <c r="K125" s="23" t="str">
        <f>IF(I125="PM","",IF(H125=0," ",J125/'Règles et points'!$F$23))</f>
        <v xml:space="preserve"> </v>
      </c>
      <c r="L125" s="3" t="str">
        <f>IF(H125=0,"",VLOOKUP(H125,'Règles et points'!$C$5:$AG$19,(HLOOKUP('Course 1'!C125,'Règles et points'!$C$5:$AG$5,1)+1)))</f>
        <v/>
      </c>
      <c r="M125" s="23">
        <f t="shared" si="2"/>
        <v>0</v>
      </c>
      <c r="N125" s="80"/>
      <c r="O125" s="51"/>
      <c r="P125" s="52"/>
    </row>
    <row r="126" spans="2:16" ht="12.75">
      <c r="B126" s="14">
        <v>122</v>
      </c>
      <c r="C126" s="28" t="str">
        <f>IF(Coureurs!C126="","",Coureurs!C126)</f>
        <v/>
      </c>
      <c r="D126" s="131" t="str">
        <f>IF(Coureurs!D126="","",Coureurs!D126)</f>
        <v>70</v>
      </c>
      <c r="E126" s="87" t="str">
        <f>IF(Coureurs!F126="","",Coureurs!F126)</f>
        <v/>
      </c>
      <c r="F126" s="87" t="str">
        <f>IF(Coureurs!G126="","",Coureurs!G126)</f>
        <v/>
      </c>
      <c r="G126" s="50" t="str">
        <f>IF(Coureurs!J126="","",Coureurs!J126)</f>
        <v/>
      </c>
      <c r="H126" s="25"/>
      <c r="I126" s="41"/>
      <c r="J126" s="8" t="str">
        <f>IF(I126="PM","",IF(H126=0," ",I126-HLOOKUP('Course 1'!H126,'tab1'!$C$3:$N$4,2)))</f>
        <v xml:space="preserve"> </v>
      </c>
      <c r="K126" s="23" t="str">
        <f>IF(I126="PM","",IF(H126=0," ",J126/'Règles et points'!$F$23))</f>
        <v xml:space="preserve"> </v>
      </c>
      <c r="L126" s="3" t="str">
        <f>IF(H126=0,"",VLOOKUP(H126,'Règles et points'!$C$5:$AG$19,(HLOOKUP('Course 1'!C126,'Règles et points'!$C$5:$AG$5,1)+1)))</f>
        <v/>
      </c>
      <c r="M126" s="23">
        <f t="shared" si="2"/>
        <v>0</v>
      </c>
      <c r="N126" s="80"/>
      <c r="O126" s="51"/>
      <c r="P126" s="52"/>
    </row>
    <row r="127" spans="2:16" ht="12.75">
      <c r="B127" s="14">
        <v>123</v>
      </c>
      <c r="C127" s="28" t="str">
        <f>IF(Coureurs!C127="","",Coureurs!C127)</f>
        <v/>
      </c>
      <c r="D127" s="131" t="str">
        <f>IF(Coureurs!D127="","",Coureurs!D127)</f>
        <v>70</v>
      </c>
      <c r="E127" s="87" t="str">
        <f>IF(Coureurs!F127="","",Coureurs!F127)</f>
        <v/>
      </c>
      <c r="F127" s="87" t="str">
        <f>IF(Coureurs!G127="","",Coureurs!G127)</f>
        <v/>
      </c>
      <c r="G127" s="50" t="str">
        <f>IF(Coureurs!J127="","",Coureurs!J127)</f>
        <v/>
      </c>
      <c r="H127" s="25"/>
      <c r="I127" s="41"/>
      <c r="J127" s="8" t="str">
        <f>IF(I127="PM","",IF(H127=0," ",I127-HLOOKUP('Course 1'!H127,'tab1'!$C$3:$N$4,2)))</f>
        <v xml:space="preserve"> </v>
      </c>
      <c r="K127" s="23" t="str">
        <f>IF(I127="PM","",IF(H127=0," ",J127/'Règles et points'!$F$23))</f>
        <v xml:space="preserve"> </v>
      </c>
      <c r="L127" s="3" t="str">
        <f>IF(H127=0,"",VLOOKUP(H127,'Règles et points'!$C$5:$AG$19,(HLOOKUP('Course 1'!C127,'Règles et points'!$C$5:$AG$5,1)+1)))</f>
        <v/>
      </c>
      <c r="M127" s="23">
        <f t="shared" si="2"/>
        <v>0</v>
      </c>
      <c r="N127" s="80"/>
      <c r="O127" s="51"/>
      <c r="P127" s="52"/>
    </row>
    <row r="128" spans="2:16" ht="12.75">
      <c r="B128" s="14">
        <v>124</v>
      </c>
      <c r="C128" s="28" t="str">
        <f>IF(Coureurs!C128="","",Coureurs!C128)</f>
        <v/>
      </c>
      <c r="D128" s="131" t="str">
        <f>IF(Coureurs!D128="","",Coureurs!D128)</f>
        <v>70</v>
      </c>
      <c r="E128" s="87" t="str">
        <f>IF(Coureurs!F128="","",Coureurs!F128)</f>
        <v/>
      </c>
      <c r="F128" s="87" t="str">
        <f>IF(Coureurs!G128="","",Coureurs!G128)</f>
        <v/>
      </c>
      <c r="G128" s="50" t="str">
        <f>IF(Coureurs!J128="","",Coureurs!J128)</f>
        <v/>
      </c>
      <c r="H128" s="25"/>
      <c r="I128" s="41"/>
      <c r="J128" s="8" t="str">
        <f>IF(I128="PM","",IF(H128=0," ",I128-HLOOKUP('Course 1'!H128,'tab1'!$C$3:$N$4,2)))</f>
        <v xml:space="preserve"> </v>
      </c>
      <c r="K128" s="23" t="str">
        <f>IF(I128="PM","",IF(H128=0," ",J128/'Règles et points'!$F$23))</f>
        <v xml:space="preserve"> </v>
      </c>
      <c r="L128" s="3" t="str">
        <f>IF(H128=0,"",VLOOKUP(H128,'Règles et points'!$C$5:$AG$19,(HLOOKUP('Course 1'!C128,'Règles et points'!$C$5:$AG$5,1)+1)))</f>
        <v/>
      </c>
      <c r="M128" s="23">
        <f t="shared" si="2"/>
        <v>0</v>
      </c>
      <c r="N128" s="80"/>
      <c r="O128" s="51"/>
      <c r="P128" s="52"/>
    </row>
    <row r="129" spans="2:16" ht="12.75">
      <c r="B129" s="14">
        <v>125</v>
      </c>
      <c r="C129" s="28" t="str">
        <f>IF(Coureurs!C129="","",Coureurs!C129)</f>
        <v/>
      </c>
      <c r="D129" s="131" t="str">
        <f>IF(Coureurs!D129="","",Coureurs!D129)</f>
        <v>70</v>
      </c>
      <c r="E129" s="87" t="str">
        <f>IF(Coureurs!F129="","",Coureurs!F129)</f>
        <v/>
      </c>
      <c r="F129" s="87" t="str">
        <f>IF(Coureurs!G129="","",Coureurs!G129)</f>
        <v/>
      </c>
      <c r="G129" s="50" t="str">
        <f>IF(Coureurs!J129="","",Coureurs!J129)</f>
        <v/>
      </c>
      <c r="H129" s="25"/>
      <c r="I129" s="41"/>
      <c r="J129" s="8" t="str">
        <f>IF(I129="PM","",IF(H129=0," ",I129-HLOOKUP('Course 1'!H129,'tab1'!$C$3:$N$4,2)))</f>
        <v xml:space="preserve"> </v>
      </c>
      <c r="K129" s="23" t="str">
        <f>IF(I129="PM","",IF(H129=0," ",J129/'Règles et points'!$F$23))</f>
        <v xml:space="preserve"> </v>
      </c>
      <c r="L129" s="3" t="str">
        <f>IF(H129=0,"",VLOOKUP(H129,'Règles et points'!$C$5:$AG$19,(HLOOKUP('Course 1'!C129,'Règles et points'!$C$5:$AG$5,1)+1)))</f>
        <v/>
      </c>
      <c r="M129" s="23">
        <f t="shared" si="2"/>
        <v>0</v>
      </c>
      <c r="N129" s="80"/>
      <c r="O129" s="51"/>
      <c r="P129" s="52"/>
    </row>
    <row r="130" spans="2:16" ht="12.75">
      <c r="B130" s="14">
        <v>126</v>
      </c>
      <c r="C130" s="28" t="str">
        <f>IF(Coureurs!C130="","",Coureurs!C130)</f>
        <v/>
      </c>
      <c r="D130" s="131" t="str">
        <f>IF(Coureurs!D130="","",Coureurs!D130)</f>
        <v>70</v>
      </c>
      <c r="E130" s="87" t="str">
        <f>IF(Coureurs!F130="","",Coureurs!F130)</f>
        <v/>
      </c>
      <c r="F130" s="87" t="str">
        <f>IF(Coureurs!G130="","",Coureurs!G130)</f>
        <v/>
      </c>
      <c r="G130" s="50" t="str">
        <f>IF(Coureurs!J130="","",Coureurs!J130)</f>
        <v/>
      </c>
      <c r="H130" s="25"/>
      <c r="I130" s="41"/>
      <c r="J130" s="8" t="str">
        <f>IF(I130="PM","",IF(H130=0," ",I130-HLOOKUP('Course 1'!H130,'tab1'!$C$3:$N$4,2)))</f>
        <v xml:space="preserve"> </v>
      </c>
      <c r="K130" s="23" t="str">
        <f>IF(I130="PM","",IF(H130=0," ",J130/'Règles et points'!$F$23))</f>
        <v xml:space="preserve"> </v>
      </c>
      <c r="L130" s="3" t="str">
        <f>IF(H130=0,"",VLOOKUP(H130,'Règles et points'!$C$5:$AG$19,(HLOOKUP('Course 1'!C130,'Règles et points'!$C$5:$AG$5,1)+1)))</f>
        <v/>
      </c>
      <c r="M130" s="23">
        <f t="shared" si="2"/>
        <v>0</v>
      </c>
      <c r="N130" s="80"/>
      <c r="O130" s="51"/>
      <c r="P130" s="52"/>
    </row>
    <row r="131" spans="2:16" ht="12.75">
      <c r="B131" s="14">
        <v>127</v>
      </c>
      <c r="C131" s="28" t="str">
        <f>IF(Coureurs!C131="","",Coureurs!C131)</f>
        <v/>
      </c>
      <c r="D131" s="131" t="str">
        <f>IF(Coureurs!D131="","",Coureurs!D131)</f>
        <v>70</v>
      </c>
      <c r="E131" s="87" t="str">
        <f>IF(Coureurs!F131="","",Coureurs!F131)</f>
        <v/>
      </c>
      <c r="F131" s="87" t="str">
        <f>IF(Coureurs!G131="","",Coureurs!G131)</f>
        <v/>
      </c>
      <c r="G131" s="50" t="str">
        <f>IF(Coureurs!J131="","",Coureurs!J131)</f>
        <v/>
      </c>
      <c r="H131" s="25"/>
      <c r="I131" s="41"/>
      <c r="J131" s="8" t="str">
        <f>IF(I131="PM","",IF(H131=0," ",I131-HLOOKUP('Course 1'!H131,'tab1'!$C$3:$N$4,2)))</f>
        <v xml:space="preserve"> </v>
      </c>
      <c r="K131" s="23" t="str">
        <f>IF(I131="PM","",IF(H131=0," ",J131/'Règles et points'!$F$23))</f>
        <v xml:space="preserve"> </v>
      </c>
      <c r="L131" s="3" t="str">
        <f>IF(H131=0,"",VLOOKUP(H131,'Règles et points'!$C$5:$AG$19,(HLOOKUP('Course 1'!C131,'Règles et points'!$C$5:$AG$5,1)+1)))</f>
        <v/>
      </c>
      <c r="M131" s="23">
        <f t="shared" si="2"/>
        <v>0</v>
      </c>
      <c r="N131" s="80"/>
      <c r="O131" s="51"/>
      <c r="P131" s="52"/>
    </row>
    <row r="132" spans="2:16" ht="12.75">
      <c r="B132" s="14">
        <v>128</v>
      </c>
      <c r="C132" s="28" t="str">
        <f>IF(Coureurs!C132="","",Coureurs!C132)</f>
        <v/>
      </c>
      <c r="D132" s="131" t="str">
        <f>IF(Coureurs!D132="","",Coureurs!D132)</f>
        <v>70</v>
      </c>
      <c r="E132" s="87" t="str">
        <f>IF(Coureurs!F132="","",Coureurs!F132)</f>
        <v/>
      </c>
      <c r="F132" s="87" t="str">
        <f>IF(Coureurs!G132="","",Coureurs!G132)</f>
        <v/>
      </c>
      <c r="G132" s="50" t="str">
        <f>IF(Coureurs!J132="","",Coureurs!J132)</f>
        <v/>
      </c>
      <c r="H132" s="25"/>
      <c r="I132" s="41"/>
      <c r="J132" s="8" t="str">
        <f>IF(I132="PM","",IF(H132=0," ",I132-HLOOKUP('Course 1'!H132,'tab1'!$C$3:$N$4,2)))</f>
        <v xml:space="preserve"> </v>
      </c>
      <c r="K132" s="23" t="str">
        <f>IF(I132="PM","",IF(H132=0," ",J132/'Règles et points'!$F$23))</f>
        <v xml:space="preserve"> </v>
      </c>
      <c r="L132" s="3" t="str">
        <f>IF(H132=0,"",VLOOKUP(H132,'Règles et points'!$C$5:$AG$19,(HLOOKUP('Course 1'!C132,'Règles et points'!$C$5:$AG$5,1)+1)))</f>
        <v/>
      </c>
      <c r="M132" s="23">
        <f t="shared" si="2"/>
        <v>0</v>
      </c>
      <c r="N132" s="80"/>
      <c r="O132" s="51"/>
      <c r="P132" s="52"/>
    </row>
    <row r="133" spans="2:16" ht="12.75">
      <c r="B133" s="14">
        <v>129</v>
      </c>
      <c r="C133" s="28" t="str">
        <f>IF(Coureurs!C133="","",Coureurs!C133)</f>
        <v/>
      </c>
      <c r="D133" s="131" t="str">
        <f>IF(Coureurs!D133="","",Coureurs!D133)</f>
        <v>70</v>
      </c>
      <c r="E133" s="87" t="str">
        <f>IF(Coureurs!F133="","",Coureurs!F133)</f>
        <v/>
      </c>
      <c r="F133" s="87" t="str">
        <f>IF(Coureurs!G133="","",Coureurs!G133)</f>
        <v/>
      </c>
      <c r="G133" s="50" t="str">
        <f>IF(Coureurs!J133="","",Coureurs!J133)</f>
        <v/>
      </c>
      <c r="H133" s="25"/>
      <c r="I133" s="41"/>
      <c r="J133" s="8" t="str">
        <f>IF(I133="PM","",IF(H133=0," ",I133-HLOOKUP('Course 1'!H133,'tab1'!$C$3:$N$4,2)))</f>
        <v xml:space="preserve"> </v>
      </c>
      <c r="K133" s="23" t="str">
        <f>IF(I133="PM","",IF(H133=0," ",J133/'Règles et points'!$F$23))</f>
        <v xml:space="preserve"> </v>
      </c>
      <c r="L133" s="3" t="str">
        <f>IF(H133=0,"",VLOOKUP(H133,'Règles et points'!$C$5:$AG$19,(HLOOKUP('Course 1'!C133,'Règles et points'!$C$5:$AG$5,1)+1)))</f>
        <v/>
      </c>
      <c r="M133" s="23">
        <f t="shared" si="2"/>
        <v>0</v>
      </c>
      <c r="N133" s="80"/>
      <c r="O133" s="51"/>
      <c r="P133" s="52"/>
    </row>
    <row r="134" spans="2:16" ht="12.75">
      <c r="B134" s="14">
        <v>130</v>
      </c>
      <c r="C134" s="28" t="str">
        <f>IF(Coureurs!C134="","",Coureurs!C134)</f>
        <v/>
      </c>
      <c r="D134" s="131" t="str">
        <f>IF(Coureurs!D134="","",Coureurs!D134)</f>
        <v>70</v>
      </c>
      <c r="E134" s="87" t="str">
        <f>IF(Coureurs!F134="","",Coureurs!F134)</f>
        <v/>
      </c>
      <c r="F134" s="87" t="str">
        <f>IF(Coureurs!G134="","",Coureurs!G134)</f>
        <v/>
      </c>
      <c r="G134" s="50" t="str">
        <f>IF(Coureurs!J134="","",Coureurs!J134)</f>
        <v/>
      </c>
      <c r="H134" s="25"/>
      <c r="I134" s="41"/>
      <c r="J134" s="8" t="str">
        <f>IF(I134="PM","",IF(H134=0," ",I134-HLOOKUP('Course 1'!H134,'tab1'!$C$3:$N$4,2)))</f>
        <v xml:space="preserve"> </v>
      </c>
      <c r="K134" s="23" t="str">
        <f>IF(I134="PM","",IF(H134=0," ",J134/'Règles et points'!$F$23))</f>
        <v xml:space="preserve"> </v>
      </c>
      <c r="L134" s="3" t="str">
        <f>IF(H134=0,"",VLOOKUP(H134,'Règles et points'!$C$5:$AG$19,(HLOOKUP('Course 1'!C134,'Règles et points'!$C$5:$AG$5,1)+1)))</f>
        <v/>
      </c>
      <c r="M134" s="23">
        <f t="shared" ref="M134:M197" si="3">IF(I134="PM",30,IF(H134=0,0,L134-K134))+N134</f>
        <v>0</v>
      </c>
      <c r="N134" s="80"/>
      <c r="O134" s="51"/>
      <c r="P134" s="52"/>
    </row>
    <row r="135" spans="2:16" ht="12.75">
      <c r="B135" s="14">
        <v>131</v>
      </c>
      <c r="C135" s="28" t="str">
        <f>IF(Coureurs!C135="","",Coureurs!C135)</f>
        <v/>
      </c>
      <c r="D135" s="131" t="str">
        <f>IF(Coureurs!D135="","",Coureurs!D135)</f>
        <v>70</v>
      </c>
      <c r="E135" s="87" t="str">
        <f>IF(Coureurs!F135="","",Coureurs!F135)</f>
        <v/>
      </c>
      <c r="F135" s="87" t="str">
        <f>IF(Coureurs!G135="","",Coureurs!G135)</f>
        <v/>
      </c>
      <c r="G135" s="50" t="str">
        <f>IF(Coureurs!J135="","",Coureurs!J135)</f>
        <v/>
      </c>
      <c r="H135" s="25"/>
      <c r="I135" s="41"/>
      <c r="J135" s="8" t="str">
        <f>IF(I135="PM","",IF(H135=0," ",I135-HLOOKUP('Course 1'!H135,'tab1'!$C$3:$N$4,2)))</f>
        <v xml:space="preserve"> </v>
      </c>
      <c r="K135" s="23" t="str">
        <f>IF(I135="PM","",IF(H135=0," ",J135/'Règles et points'!$F$23))</f>
        <v xml:space="preserve"> </v>
      </c>
      <c r="L135" s="3" t="str">
        <f>IF(H135=0,"",VLOOKUP(H135,'Règles et points'!$C$5:$AG$19,(HLOOKUP('Course 1'!C135,'Règles et points'!$C$5:$AG$5,1)+1)))</f>
        <v/>
      </c>
      <c r="M135" s="23">
        <f t="shared" si="3"/>
        <v>0</v>
      </c>
      <c r="N135" s="80"/>
      <c r="O135" s="51"/>
      <c r="P135" s="52"/>
    </row>
    <row r="136" spans="2:16" ht="12.75">
      <c r="B136" s="14">
        <v>132</v>
      </c>
      <c r="C136" s="28" t="str">
        <f>IF(Coureurs!C136="","",Coureurs!C136)</f>
        <v/>
      </c>
      <c r="D136" s="131" t="str">
        <f>IF(Coureurs!D136="","",Coureurs!D136)</f>
        <v>70</v>
      </c>
      <c r="E136" s="87" t="str">
        <f>IF(Coureurs!F136="","",Coureurs!F136)</f>
        <v/>
      </c>
      <c r="F136" s="87" t="str">
        <f>IF(Coureurs!G136="","",Coureurs!G136)</f>
        <v/>
      </c>
      <c r="G136" s="50" t="str">
        <f>IF(Coureurs!J136="","",Coureurs!J136)</f>
        <v/>
      </c>
      <c r="H136" s="25"/>
      <c r="I136" s="41"/>
      <c r="J136" s="8" t="str">
        <f>IF(I136="PM","",IF(H136=0," ",I136-HLOOKUP('Course 1'!H136,'tab1'!$C$3:$N$4,2)))</f>
        <v xml:space="preserve"> </v>
      </c>
      <c r="K136" s="23" t="str">
        <f>IF(I136="PM","",IF(H136=0," ",J136/'Règles et points'!$F$23))</f>
        <v xml:space="preserve"> </v>
      </c>
      <c r="L136" s="3" t="str">
        <f>IF(H136=0,"",VLOOKUP(H136,'Règles et points'!$C$5:$AG$19,(HLOOKUP('Course 1'!C136,'Règles et points'!$C$5:$AG$5,1)+1)))</f>
        <v/>
      </c>
      <c r="M136" s="23">
        <f t="shared" si="3"/>
        <v>0</v>
      </c>
      <c r="N136" s="80"/>
      <c r="O136" s="51"/>
      <c r="P136" s="52"/>
    </row>
    <row r="137" spans="2:16" ht="12.75">
      <c r="B137" s="14">
        <v>133</v>
      </c>
      <c r="C137" s="28" t="str">
        <f>IF(Coureurs!C137="","",Coureurs!C137)</f>
        <v/>
      </c>
      <c r="D137" s="131" t="str">
        <f>IF(Coureurs!D137="","",Coureurs!D137)</f>
        <v>70</v>
      </c>
      <c r="E137" s="87" t="str">
        <f>IF(Coureurs!F137="","",Coureurs!F137)</f>
        <v/>
      </c>
      <c r="F137" s="87" t="str">
        <f>IF(Coureurs!G137="","",Coureurs!G137)</f>
        <v/>
      </c>
      <c r="G137" s="50" t="str">
        <f>IF(Coureurs!J137="","",Coureurs!J137)</f>
        <v/>
      </c>
      <c r="H137" s="25"/>
      <c r="I137" s="41"/>
      <c r="J137" s="8" t="str">
        <f>IF(I137="PM","",IF(H137=0," ",I137-HLOOKUP('Course 1'!H137,'tab1'!$C$3:$N$4,2)))</f>
        <v xml:space="preserve"> </v>
      </c>
      <c r="K137" s="23" t="str">
        <f>IF(I137="PM","",IF(H137=0," ",J137/'Règles et points'!$F$23))</f>
        <v xml:space="preserve"> </v>
      </c>
      <c r="L137" s="3" t="str">
        <f>IF(H137=0,"",VLOOKUP(H137,'Règles et points'!$C$5:$AG$19,(HLOOKUP('Course 1'!C137,'Règles et points'!$C$5:$AG$5,1)+1)))</f>
        <v/>
      </c>
      <c r="M137" s="23">
        <f t="shared" si="3"/>
        <v>0</v>
      </c>
      <c r="N137" s="80"/>
      <c r="O137" s="51"/>
      <c r="P137" s="52"/>
    </row>
    <row r="138" spans="2:16" ht="12.75">
      <c r="B138" s="14">
        <v>134</v>
      </c>
      <c r="C138" s="28" t="str">
        <f>IF(Coureurs!C138="","",Coureurs!C138)</f>
        <v/>
      </c>
      <c r="D138" s="131" t="str">
        <f>IF(Coureurs!D138="","",Coureurs!D138)</f>
        <v>70</v>
      </c>
      <c r="E138" s="87" t="str">
        <f>IF(Coureurs!F138="","",Coureurs!F138)</f>
        <v/>
      </c>
      <c r="F138" s="87" t="str">
        <f>IF(Coureurs!G138="","",Coureurs!G138)</f>
        <v/>
      </c>
      <c r="G138" s="50" t="str">
        <f>IF(Coureurs!J138="","",Coureurs!J138)</f>
        <v/>
      </c>
      <c r="H138" s="25"/>
      <c r="I138" s="41"/>
      <c r="J138" s="8" t="str">
        <f>IF(I138="PM","",IF(H138=0," ",I138-HLOOKUP('Course 1'!H138,'tab1'!$C$3:$N$4,2)))</f>
        <v xml:space="preserve"> </v>
      </c>
      <c r="K138" s="23" t="str">
        <f>IF(I138="PM","",IF(H138=0," ",J138/'Règles et points'!$F$23))</f>
        <v xml:space="preserve"> </v>
      </c>
      <c r="L138" s="3" t="str">
        <f>IF(H138=0,"",VLOOKUP(H138,'Règles et points'!$C$5:$AG$19,(HLOOKUP('Course 1'!C138,'Règles et points'!$C$5:$AG$5,1)+1)))</f>
        <v/>
      </c>
      <c r="M138" s="23">
        <f t="shared" si="3"/>
        <v>0</v>
      </c>
      <c r="N138" s="80"/>
      <c r="O138" s="51"/>
      <c r="P138" s="52"/>
    </row>
    <row r="139" spans="2:16" ht="12.75">
      <c r="B139" s="14">
        <v>135</v>
      </c>
      <c r="C139" s="28" t="str">
        <f>IF(Coureurs!C139="","",Coureurs!C139)</f>
        <v/>
      </c>
      <c r="D139" s="131" t="str">
        <f>IF(Coureurs!D139="","",Coureurs!D139)</f>
        <v>70</v>
      </c>
      <c r="E139" s="87" t="str">
        <f>IF(Coureurs!F139="","",Coureurs!F139)</f>
        <v/>
      </c>
      <c r="F139" s="87" t="str">
        <f>IF(Coureurs!G139="","",Coureurs!G139)</f>
        <v/>
      </c>
      <c r="G139" s="50" t="str">
        <f>IF(Coureurs!J139="","",Coureurs!J139)</f>
        <v/>
      </c>
      <c r="H139" s="25"/>
      <c r="I139" s="41"/>
      <c r="J139" s="8" t="str">
        <f>IF(I139="PM","",IF(H139=0," ",I139-HLOOKUP('Course 1'!H139,'tab1'!$C$3:$N$4,2)))</f>
        <v xml:space="preserve"> </v>
      </c>
      <c r="K139" s="23" t="str">
        <f>IF(I139="PM","",IF(H139=0," ",J139/'Règles et points'!$F$23))</f>
        <v xml:space="preserve"> </v>
      </c>
      <c r="L139" s="3" t="str">
        <f>IF(H139=0,"",VLOOKUP(H139,'Règles et points'!$C$5:$AG$19,(HLOOKUP('Course 1'!C139,'Règles et points'!$C$5:$AG$5,1)+1)))</f>
        <v/>
      </c>
      <c r="M139" s="23">
        <f t="shared" si="3"/>
        <v>0</v>
      </c>
      <c r="N139" s="80"/>
      <c r="O139" s="51"/>
      <c r="P139" s="52"/>
    </row>
    <row r="140" spans="2:16" ht="12.75">
      <c r="B140" s="14">
        <v>136</v>
      </c>
      <c r="C140" s="28" t="str">
        <f>IF(Coureurs!C140="","",Coureurs!C140)</f>
        <v/>
      </c>
      <c r="D140" s="131" t="str">
        <f>IF(Coureurs!D140="","",Coureurs!D140)</f>
        <v>70</v>
      </c>
      <c r="E140" s="87" t="str">
        <f>IF(Coureurs!F140="","",Coureurs!F140)</f>
        <v/>
      </c>
      <c r="F140" s="87" t="str">
        <f>IF(Coureurs!G140="","",Coureurs!G140)</f>
        <v/>
      </c>
      <c r="G140" s="50" t="str">
        <f>IF(Coureurs!J140="","",Coureurs!J140)</f>
        <v/>
      </c>
      <c r="H140" s="25"/>
      <c r="I140" s="41"/>
      <c r="J140" s="8" t="str">
        <f>IF(I140="PM","",IF(H140=0," ",I140-HLOOKUP('Course 1'!H140,'tab1'!$C$3:$N$4,2)))</f>
        <v xml:space="preserve"> </v>
      </c>
      <c r="K140" s="23" t="str">
        <f>IF(I140="PM","",IF(H140=0," ",J140/'Règles et points'!$F$23))</f>
        <v xml:space="preserve"> </v>
      </c>
      <c r="L140" s="3" t="str">
        <f>IF(H140=0,"",VLOOKUP(H140,'Règles et points'!$C$5:$AG$19,(HLOOKUP('Course 1'!C140,'Règles et points'!$C$5:$AG$5,1)+1)))</f>
        <v/>
      </c>
      <c r="M140" s="23">
        <f t="shared" si="3"/>
        <v>0</v>
      </c>
      <c r="N140" s="80"/>
      <c r="O140" s="51"/>
      <c r="P140" s="52"/>
    </row>
    <row r="141" spans="2:16" ht="12.75">
      <c r="B141" s="14">
        <v>137</v>
      </c>
      <c r="C141" s="28" t="str">
        <f>IF(Coureurs!C141="","",Coureurs!C141)</f>
        <v/>
      </c>
      <c r="D141" s="131" t="str">
        <f>IF(Coureurs!D141="","",Coureurs!D141)</f>
        <v>70</v>
      </c>
      <c r="E141" s="87" t="str">
        <f>IF(Coureurs!F141="","",Coureurs!F141)</f>
        <v/>
      </c>
      <c r="F141" s="87" t="str">
        <f>IF(Coureurs!G141="","",Coureurs!G141)</f>
        <v/>
      </c>
      <c r="G141" s="50" t="str">
        <f>IF(Coureurs!J141="","",Coureurs!J141)</f>
        <v/>
      </c>
      <c r="H141" s="25"/>
      <c r="I141" s="41"/>
      <c r="J141" s="8" t="str">
        <f>IF(I141="PM","",IF(H141=0," ",I141-HLOOKUP('Course 1'!H141,'tab1'!$C$3:$N$4,2)))</f>
        <v xml:space="preserve"> </v>
      </c>
      <c r="K141" s="23" t="str">
        <f>IF(I141="PM","",IF(H141=0," ",J141/'Règles et points'!$F$23))</f>
        <v xml:space="preserve"> </v>
      </c>
      <c r="L141" s="3" t="str">
        <f>IF(H141=0,"",VLOOKUP(H141,'Règles et points'!$C$5:$AG$19,(HLOOKUP('Course 1'!C141,'Règles et points'!$C$5:$AG$5,1)+1)))</f>
        <v/>
      </c>
      <c r="M141" s="23">
        <f t="shared" si="3"/>
        <v>0</v>
      </c>
      <c r="N141" s="80"/>
      <c r="O141" s="51"/>
      <c r="P141" s="52"/>
    </row>
    <row r="142" spans="2:16" ht="12.75">
      <c r="B142" s="14">
        <v>138</v>
      </c>
      <c r="C142" s="28" t="str">
        <f>IF(Coureurs!C142="","",Coureurs!C142)</f>
        <v/>
      </c>
      <c r="D142" s="131" t="str">
        <f>IF(Coureurs!D142="","",Coureurs!D142)</f>
        <v>70</v>
      </c>
      <c r="E142" s="87" t="str">
        <f>IF(Coureurs!F142="","",Coureurs!F142)</f>
        <v/>
      </c>
      <c r="F142" s="87" t="str">
        <f>IF(Coureurs!G142="","",Coureurs!G142)</f>
        <v/>
      </c>
      <c r="G142" s="50" t="str">
        <f>IF(Coureurs!J142="","",Coureurs!J142)</f>
        <v/>
      </c>
      <c r="H142" s="25"/>
      <c r="I142" s="41"/>
      <c r="J142" s="8" t="str">
        <f>IF(I142="PM","",IF(H142=0," ",I142-HLOOKUP('Course 1'!H142,'tab1'!$C$3:$N$4,2)))</f>
        <v xml:space="preserve"> </v>
      </c>
      <c r="K142" s="23" t="str">
        <f>IF(I142="PM","",IF(H142=0," ",J142/'Règles et points'!$F$23))</f>
        <v xml:space="preserve"> </v>
      </c>
      <c r="L142" s="3" t="str">
        <f>IF(H142=0,"",VLOOKUP(H142,'Règles et points'!$C$5:$AG$19,(HLOOKUP('Course 1'!C142,'Règles et points'!$C$5:$AG$5,1)+1)))</f>
        <v/>
      </c>
      <c r="M142" s="23">
        <f t="shared" si="3"/>
        <v>0</v>
      </c>
      <c r="N142" s="80"/>
      <c r="O142" s="51"/>
      <c r="P142" s="52"/>
    </row>
    <row r="143" spans="2:16" ht="12.75">
      <c r="B143" s="14">
        <v>139</v>
      </c>
      <c r="C143" s="28" t="str">
        <f>IF(Coureurs!C143="","",Coureurs!C143)</f>
        <v/>
      </c>
      <c r="D143" s="131" t="str">
        <f>IF(Coureurs!D143="","",Coureurs!D143)</f>
        <v>70</v>
      </c>
      <c r="E143" s="87" t="str">
        <f>IF(Coureurs!F143="","",Coureurs!F143)</f>
        <v/>
      </c>
      <c r="F143" s="87" t="str">
        <f>IF(Coureurs!G143="","",Coureurs!G143)</f>
        <v/>
      </c>
      <c r="G143" s="50" t="str">
        <f>IF(Coureurs!J143="","",Coureurs!J143)</f>
        <v/>
      </c>
      <c r="H143" s="25"/>
      <c r="I143" s="41"/>
      <c r="J143" s="8" t="str">
        <f>IF(I143="PM","",IF(H143=0," ",I143-HLOOKUP('Course 1'!H143,'tab1'!$C$3:$N$4,2)))</f>
        <v xml:space="preserve"> </v>
      </c>
      <c r="K143" s="23" t="str">
        <f>IF(I143="PM","",IF(H143=0," ",J143/'Règles et points'!$F$23))</f>
        <v xml:space="preserve"> </v>
      </c>
      <c r="L143" s="3" t="str">
        <f>IF(H143=0,"",VLOOKUP(H143,'Règles et points'!$C$5:$AG$19,(HLOOKUP('Course 1'!C143,'Règles et points'!$C$5:$AG$5,1)+1)))</f>
        <v/>
      </c>
      <c r="M143" s="23">
        <f t="shared" si="3"/>
        <v>0</v>
      </c>
      <c r="N143" s="80"/>
      <c r="O143" s="51"/>
      <c r="P143" s="52"/>
    </row>
    <row r="144" spans="2:16" ht="12.75">
      <c r="B144" s="14">
        <v>140</v>
      </c>
      <c r="C144" s="28" t="str">
        <f>IF(Coureurs!C144="","",Coureurs!C144)</f>
        <v/>
      </c>
      <c r="D144" s="131" t="str">
        <f>IF(Coureurs!D144="","",Coureurs!D144)</f>
        <v>70</v>
      </c>
      <c r="E144" s="87" t="str">
        <f>IF(Coureurs!F144="","",Coureurs!F144)</f>
        <v/>
      </c>
      <c r="F144" s="87" t="str">
        <f>IF(Coureurs!G144="","",Coureurs!G144)</f>
        <v/>
      </c>
      <c r="G144" s="50" t="str">
        <f>IF(Coureurs!J144="","",Coureurs!J144)</f>
        <v/>
      </c>
      <c r="H144" s="25"/>
      <c r="I144" s="41"/>
      <c r="J144" s="8" t="str">
        <f>IF(I144="PM","",IF(H144=0," ",I144-HLOOKUP('Course 1'!H144,'tab1'!$C$3:$N$4,2)))</f>
        <v xml:space="preserve"> </v>
      </c>
      <c r="K144" s="23" t="str">
        <f>IF(I144="PM","",IF(H144=0," ",J144/'Règles et points'!$F$23))</f>
        <v xml:space="preserve"> </v>
      </c>
      <c r="L144" s="3" t="str">
        <f>IF(H144=0,"",VLOOKUP(H144,'Règles et points'!$C$5:$AG$19,(HLOOKUP('Course 1'!C144,'Règles et points'!$C$5:$AG$5,1)+1)))</f>
        <v/>
      </c>
      <c r="M144" s="23">
        <f t="shared" si="3"/>
        <v>0</v>
      </c>
      <c r="N144" s="80"/>
      <c r="O144" s="51"/>
      <c r="P144" s="52"/>
    </row>
    <row r="145" spans="2:16" ht="12.75">
      <c r="B145" s="14">
        <v>141</v>
      </c>
      <c r="C145" s="28" t="str">
        <f>IF(Coureurs!C145="","",Coureurs!C145)</f>
        <v/>
      </c>
      <c r="D145" s="131" t="str">
        <f>IF(Coureurs!D145="","",Coureurs!D145)</f>
        <v>70</v>
      </c>
      <c r="E145" s="87" t="str">
        <f>IF(Coureurs!F145="","",Coureurs!F145)</f>
        <v/>
      </c>
      <c r="F145" s="87" t="str">
        <f>IF(Coureurs!G145="","",Coureurs!G145)</f>
        <v/>
      </c>
      <c r="G145" s="50" t="str">
        <f>IF(Coureurs!J145="","",Coureurs!J145)</f>
        <v/>
      </c>
      <c r="H145" s="25"/>
      <c r="I145" s="41"/>
      <c r="J145" s="8" t="str">
        <f>IF(I145="PM","",IF(H145=0," ",I145-HLOOKUP('Course 1'!H145,'tab1'!$C$3:$N$4,2)))</f>
        <v xml:space="preserve"> </v>
      </c>
      <c r="K145" s="23" t="str">
        <f>IF(I145="PM","",IF(H145=0," ",J145/'Règles et points'!$F$23))</f>
        <v xml:space="preserve"> </v>
      </c>
      <c r="L145" s="3" t="str">
        <f>IF(H145=0,"",VLOOKUP(H145,'Règles et points'!$C$5:$AG$19,(HLOOKUP('Course 1'!C145,'Règles et points'!$C$5:$AG$5,1)+1)))</f>
        <v/>
      </c>
      <c r="M145" s="23">
        <f t="shared" si="3"/>
        <v>0</v>
      </c>
      <c r="N145" s="80"/>
      <c r="O145" s="51"/>
      <c r="P145" s="52"/>
    </row>
    <row r="146" spans="2:16" ht="12.75">
      <c r="B146" s="14">
        <v>142</v>
      </c>
      <c r="C146" s="28" t="str">
        <f>IF(Coureurs!C146="","",Coureurs!C146)</f>
        <v/>
      </c>
      <c r="D146" s="131" t="str">
        <f>IF(Coureurs!D146="","",Coureurs!D146)</f>
        <v>70</v>
      </c>
      <c r="E146" s="87" t="str">
        <f>IF(Coureurs!F146="","",Coureurs!F146)</f>
        <v/>
      </c>
      <c r="F146" s="87" t="str">
        <f>IF(Coureurs!G146="","",Coureurs!G146)</f>
        <v/>
      </c>
      <c r="G146" s="50" t="str">
        <f>IF(Coureurs!J146="","",Coureurs!J146)</f>
        <v/>
      </c>
      <c r="H146" s="25"/>
      <c r="I146" s="41"/>
      <c r="J146" s="8" t="str">
        <f>IF(I146="PM","",IF(H146=0," ",I146-HLOOKUP('Course 1'!H146,'tab1'!$C$3:$N$4,2)))</f>
        <v xml:space="preserve"> </v>
      </c>
      <c r="K146" s="23" t="str">
        <f>IF(I146="PM","",IF(H146=0," ",J146/'Règles et points'!$F$23))</f>
        <v xml:space="preserve"> </v>
      </c>
      <c r="L146" s="3" t="str">
        <f>IF(H146=0,"",VLOOKUP(H146,'Règles et points'!$C$5:$AG$19,(HLOOKUP('Course 1'!C146,'Règles et points'!$C$5:$AG$5,1)+1)))</f>
        <v/>
      </c>
      <c r="M146" s="23">
        <f t="shared" si="3"/>
        <v>0</v>
      </c>
      <c r="N146" s="80"/>
      <c r="O146" s="51"/>
      <c r="P146" s="52"/>
    </row>
    <row r="147" spans="2:16" ht="12.75">
      <c r="B147" s="14">
        <v>143</v>
      </c>
      <c r="C147" s="28" t="str">
        <f>IF(Coureurs!C147="","",Coureurs!C147)</f>
        <v/>
      </c>
      <c r="D147" s="131" t="str">
        <f>IF(Coureurs!D147="","",Coureurs!D147)</f>
        <v>70</v>
      </c>
      <c r="E147" s="87" t="str">
        <f>IF(Coureurs!F147="","",Coureurs!F147)</f>
        <v/>
      </c>
      <c r="F147" s="87" t="str">
        <f>IF(Coureurs!G147="","",Coureurs!G147)</f>
        <v/>
      </c>
      <c r="G147" s="50" t="str">
        <f>IF(Coureurs!J147="","",Coureurs!J147)</f>
        <v/>
      </c>
      <c r="H147" s="25"/>
      <c r="I147" s="41"/>
      <c r="J147" s="8" t="str">
        <f>IF(I147="PM","",IF(H147=0," ",I147-HLOOKUP('Course 1'!H147,'tab1'!$C$3:$N$4,2)))</f>
        <v xml:space="preserve"> </v>
      </c>
      <c r="K147" s="23" t="str">
        <f>IF(I147="PM","",IF(H147=0," ",J147/'Règles et points'!$F$23))</f>
        <v xml:space="preserve"> </v>
      </c>
      <c r="L147" s="3" t="str">
        <f>IF(H147=0,"",VLOOKUP(H147,'Règles et points'!$C$5:$AG$19,(HLOOKUP('Course 1'!C147,'Règles et points'!$C$5:$AG$5,1)+1)))</f>
        <v/>
      </c>
      <c r="M147" s="23">
        <f t="shared" si="3"/>
        <v>0</v>
      </c>
      <c r="N147" s="80"/>
      <c r="O147" s="51"/>
      <c r="P147" s="52"/>
    </row>
    <row r="148" spans="2:16" ht="12.75">
      <c r="B148" s="14">
        <v>144</v>
      </c>
      <c r="C148" s="28" t="str">
        <f>IF(Coureurs!C148="","",Coureurs!C148)</f>
        <v/>
      </c>
      <c r="D148" s="131" t="str">
        <f>IF(Coureurs!D148="","",Coureurs!D148)</f>
        <v>70</v>
      </c>
      <c r="E148" s="87" t="str">
        <f>IF(Coureurs!F148="","",Coureurs!F148)</f>
        <v/>
      </c>
      <c r="F148" s="87" t="str">
        <f>IF(Coureurs!G148="","",Coureurs!G148)</f>
        <v/>
      </c>
      <c r="G148" s="50" t="str">
        <f>IF(Coureurs!J148="","",Coureurs!J148)</f>
        <v/>
      </c>
      <c r="H148" s="25"/>
      <c r="I148" s="41"/>
      <c r="J148" s="8" t="str">
        <f>IF(I148="PM","",IF(H148=0," ",I148-HLOOKUP('Course 1'!H148,'tab1'!$C$3:$N$4,2)))</f>
        <v xml:space="preserve"> </v>
      </c>
      <c r="K148" s="23" t="str">
        <f>IF(I148="PM","",IF(H148=0," ",J148/'Règles et points'!$F$23))</f>
        <v xml:space="preserve"> </v>
      </c>
      <c r="L148" s="3" t="str">
        <f>IF(H148=0,"",VLOOKUP(H148,'Règles et points'!$C$5:$AG$19,(HLOOKUP('Course 1'!C148,'Règles et points'!$C$5:$AG$5,1)+1)))</f>
        <v/>
      </c>
      <c r="M148" s="23">
        <f t="shared" si="3"/>
        <v>0</v>
      </c>
      <c r="N148" s="80"/>
      <c r="O148" s="51"/>
      <c r="P148" s="52"/>
    </row>
    <row r="149" spans="2:16" ht="12.75">
      <c r="B149" s="14">
        <v>145</v>
      </c>
      <c r="C149" s="28" t="str">
        <f>IF(Coureurs!C149="","",Coureurs!C149)</f>
        <v/>
      </c>
      <c r="D149" s="131" t="str">
        <f>IF(Coureurs!D149="","",Coureurs!D149)</f>
        <v>70</v>
      </c>
      <c r="E149" s="87" t="str">
        <f>IF(Coureurs!F149="","",Coureurs!F149)</f>
        <v/>
      </c>
      <c r="F149" s="87" t="str">
        <f>IF(Coureurs!G149="","",Coureurs!G149)</f>
        <v/>
      </c>
      <c r="G149" s="50" t="str">
        <f>IF(Coureurs!J149="","",Coureurs!J149)</f>
        <v/>
      </c>
      <c r="H149" s="25"/>
      <c r="I149" s="41"/>
      <c r="J149" s="8" t="str">
        <f>IF(I149="PM","",IF(H149=0," ",I149-HLOOKUP('Course 1'!H149,'tab1'!$C$3:$N$4,2)))</f>
        <v xml:space="preserve"> </v>
      </c>
      <c r="K149" s="23" t="str">
        <f>IF(I149="PM","",IF(H149=0," ",J149/'Règles et points'!$F$23))</f>
        <v xml:space="preserve"> </v>
      </c>
      <c r="L149" s="3" t="str">
        <f>IF(H149=0,"",VLOOKUP(H149,'Règles et points'!$C$5:$AG$19,(HLOOKUP('Course 1'!C149,'Règles et points'!$C$5:$AG$5,1)+1)))</f>
        <v/>
      </c>
      <c r="M149" s="23">
        <f t="shared" si="3"/>
        <v>0</v>
      </c>
      <c r="N149" s="80"/>
      <c r="O149" s="51"/>
      <c r="P149" s="52"/>
    </row>
    <row r="150" spans="2:16" ht="12.75">
      <c r="B150" s="14">
        <v>146</v>
      </c>
      <c r="C150" s="28" t="str">
        <f>IF(Coureurs!C150="","",Coureurs!C150)</f>
        <v/>
      </c>
      <c r="D150" s="131" t="str">
        <f>IF(Coureurs!D150="","",Coureurs!D150)</f>
        <v>70</v>
      </c>
      <c r="E150" s="87" t="str">
        <f>IF(Coureurs!F150="","",Coureurs!F150)</f>
        <v/>
      </c>
      <c r="F150" s="87" t="str">
        <f>IF(Coureurs!G150="","",Coureurs!G150)</f>
        <v/>
      </c>
      <c r="G150" s="50" t="str">
        <f>IF(Coureurs!J150="","",Coureurs!J150)</f>
        <v/>
      </c>
      <c r="H150" s="25"/>
      <c r="I150" s="41"/>
      <c r="J150" s="8" t="str">
        <f>IF(I150="PM","",IF(H150=0," ",I150-HLOOKUP('Course 1'!H150,'tab1'!$C$3:$N$4,2)))</f>
        <v xml:space="preserve"> </v>
      </c>
      <c r="K150" s="23" t="str">
        <f>IF(I150="PM","",IF(H150=0," ",J150/'Règles et points'!$F$23))</f>
        <v xml:space="preserve"> </v>
      </c>
      <c r="L150" s="3" t="str">
        <f>IF(H150=0,"",VLOOKUP(H150,'Règles et points'!$C$5:$AG$19,(HLOOKUP('Course 1'!C150,'Règles et points'!$C$5:$AG$5,1)+1)))</f>
        <v/>
      </c>
      <c r="M150" s="23">
        <f t="shared" si="3"/>
        <v>0</v>
      </c>
      <c r="N150" s="80"/>
      <c r="O150" s="51"/>
      <c r="P150" s="52"/>
    </row>
    <row r="151" spans="2:16" ht="12.75">
      <c r="B151" s="14">
        <v>147</v>
      </c>
      <c r="C151" s="28" t="str">
        <f>IF(Coureurs!C151="","",Coureurs!C151)</f>
        <v/>
      </c>
      <c r="D151" s="131" t="str">
        <f>IF(Coureurs!D151="","",Coureurs!D151)</f>
        <v>70</v>
      </c>
      <c r="E151" s="87" t="str">
        <f>IF(Coureurs!F151="","",Coureurs!F151)</f>
        <v/>
      </c>
      <c r="F151" s="87" t="str">
        <f>IF(Coureurs!G151="","",Coureurs!G151)</f>
        <v/>
      </c>
      <c r="G151" s="50" t="str">
        <f>IF(Coureurs!J151="","",Coureurs!J151)</f>
        <v/>
      </c>
      <c r="H151" s="25"/>
      <c r="I151" s="41"/>
      <c r="J151" s="8" t="str">
        <f>IF(I151="PM","",IF(H151=0," ",I151-HLOOKUP('Course 1'!H151,'tab1'!$C$3:$N$4,2)))</f>
        <v xml:space="preserve"> </v>
      </c>
      <c r="K151" s="23" t="str">
        <f>IF(I151="PM","",IF(H151=0," ",J151/'Règles et points'!$F$23))</f>
        <v xml:space="preserve"> </v>
      </c>
      <c r="L151" s="3" t="str">
        <f>IF(H151=0,"",VLOOKUP(H151,'Règles et points'!$C$5:$AG$19,(HLOOKUP('Course 1'!C151,'Règles et points'!$C$5:$AG$5,1)+1)))</f>
        <v/>
      </c>
      <c r="M151" s="23">
        <f t="shared" si="3"/>
        <v>0</v>
      </c>
      <c r="N151" s="80"/>
      <c r="O151" s="51"/>
      <c r="P151" s="52"/>
    </row>
    <row r="152" spans="2:16" ht="12.75">
      <c r="B152" s="14">
        <v>148</v>
      </c>
      <c r="C152" s="28" t="str">
        <f>IF(Coureurs!C152="","",Coureurs!C152)</f>
        <v/>
      </c>
      <c r="D152" s="131" t="str">
        <f>IF(Coureurs!D152="","",Coureurs!D152)</f>
        <v>70</v>
      </c>
      <c r="E152" s="87" t="str">
        <f>IF(Coureurs!F152="","",Coureurs!F152)</f>
        <v/>
      </c>
      <c r="F152" s="87" t="str">
        <f>IF(Coureurs!G152="","",Coureurs!G152)</f>
        <v/>
      </c>
      <c r="G152" s="50" t="str">
        <f>IF(Coureurs!J152="","",Coureurs!J152)</f>
        <v/>
      </c>
      <c r="H152" s="25"/>
      <c r="I152" s="41"/>
      <c r="J152" s="8" t="str">
        <f>IF(I152="PM","",IF(H152=0," ",I152-HLOOKUP('Course 1'!H152,'tab1'!$C$3:$N$4,2)))</f>
        <v xml:space="preserve"> </v>
      </c>
      <c r="K152" s="23" t="str">
        <f>IF(I152="PM","",IF(H152=0," ",J152/'Règles et points'!$F$23))</f>
        <v xml:space="preserve"> </v>
      </c>
      <c r="L152" s="3" t="str">
        <f>IF(H152=0,"",VLOOKUP(H152,'Règles et points'!$C$5:$AG$19,(HLOOKUP('Course 1'!C152,'Règles et points'!$C$5:$AG$5,1)+1)))</f>
        <v/>
      </c>
      <c r="M152" s="23">
        <f t="shared" si="3"/>
        <v>0</v>
      </c>
      <c r="N152" s="80"/>
      <c r="O152" s="51"/>
      <c r="P152" s="52"/>
    </row>
    <row r="153" spans="2:16" ht="12.75">
      <c r="B153" s="14">
        <v>149</v>
      </c>
      <c r="C153" s="28" t="str">
        <f>IF(Coureurs!C153="","",Coureurs!C153)</f>
        <v/>
      </c>
      <c r="D153" s="131" t="str">
        <f>IF(Coureurs!D153="","",Coureurs!D153)</f>
        <v>70</v>
      </c>
      <c r="E153" s="87" t="str">
        <f>IF(Coureurs!F153="","",Coureurs!F153)</f>
        <v/>
      </c>
      <c r="F153" s="87" t="str">
        <f>IF(Coureurs!G153="","",Coureurs!G153)</f>
        <v/>
      </c>
      <c r="G153" s="50" t="str">
        <f>IF(Coureurs!J153="","",Coureurs!J153)</f>
        <v/>
      </c>
      <c r="H153" s="25"/>
      <c r="I153" s="41"/>
      <c r="J153" s="8" t="str">
        <f>IF(I153="PM","",IF(H153=0," ",I153-HLOOKUP('Course 1'!H153,'tab1'!$C$3:$N$4,2)))</f>
        <v xml:space="preserve"> </v>
      </c>
      <c r="K153" s="23" t="str">
        <f>IF(I153="PM","",IF(H153=0," ",J153/'Règles et points'!$F$23))</f>
        <v xml:space="preserve"> </v>
      </c>
      <c r="L153" s="3" t="str">
        <f>IF(H153=0,"",VLOOKUP(H153,'Règles et points'!$C$5:$AG$19,(HLOOKUP('Course 1'!C153,'Règles et points'!$C$5:$AG$5,1)+1)))</f>
        <v/>
      </c>
      <c r="M153" s="23">
        <f t="shared" si="3"/>
        <v>0</v>
      </c>
      <c r="N153" s="80"/>
      <c r="O153" s="51"/>
      <c r="P153" s="52"/>
    </row>
    <row r="154" spans="2:16" ht="12.75">
      <c r="B154" s="14">
        <v>150</v>
      </c>
      <c r="C154" s="28" t="str">
        <f>IF(Coureurs!C154="","",Coureurs!C154)</f>
        <v/>
      </c>
      <c r="D154" s="131" t="str">
        <f>IF(Coureurs!D154="","",Coureurs!D154)</f>
        <v>70</v>
      </c>
      <c r="E154" s="87" t="str">
        <f>IF(Coureurs!F154="","",Coureurs!F154)</f>
        <v/>
      </c>
      <c r="F154" s="87" t="str">
        <f>IF(Coureurs!G154="","",Coureurs!G154)</f>
        <v/>
      </c>
      <c r="G154" s="50" t="str">
        <f>IF(Coureurs!J154="","",Coureurs!J154)</f>
        <v/>
      </c>
      <c r="H154" s="25"/>
      <c r="I154" s="41"/>
      <c r="J154" s="8" t="str">
        <f>IF(I154="PM","",IF(H154=0," ",I154-HLOOKUP('Course 1'!H154,'tab1'!$C$3:$N$4,2)))</f>
        <v xml:space="preserve"> </v>
      </c>
      <c r="K154" s="23" t="str">
        <f>IF(I154="PM","",IF(H154=0," ",J154/'Règles et points'!$F$23))</f>
        <v xml:space="preserve"> </v>
      </c>
      <c r="L154" s="3" t="str">
        <f>IF(H154=0,"",VLOOKUP(H154,'Règles et points'!$C$5:$AG$19,(HLOOKUP('Course 1'!C154,'Règles et points'!$C$5:$AG$5,1)+1)))</f>
        <v/>
      </c>
      <c r="M154" s="23">
        <f t="shared" si="3"/>
        <v>0</v>
      </c>
      <c r="N154" s="80"/>
      <c r="O154" s="51"/>
      <c r="P154" s="52"/>
    </row>
    <row r="155" spans="2:16" ht="12.75">
      <c r="B155" s="14">
        <v>151</v>
      </c>
      <c r="C155" s="28" t="str">
        <f>IF(Coureurs!C155="","",Coureurs!C155)</f>
        <v/>
      </c>
      <c r="D155" s="131" t="str">
        <f>IF(Coureurs!D155="","",Coureurs!D155)</f>
        <v>70</v>
      </c>
      <c r="E155" s="87" t="str">
        <f>IF(Coureurs!F155="","",Coureurs!F155)</f>
        <v/>
      </c>
      <c r="F155" s="87" t="str">
        <f>IF(Coureurs!G155="","",Coureurs!G155)</f>
        <v/>
      </c>
      <c r="G155" s="50" t="str">
        <f>IF(Coureurs!J155="","",Coureurs!J155)</f>
        <v/>
      </c>
      <c r="H155" s="25"/>
      <c r="I155" s="41"/>
      <c r="J155" s="8" t="str">
        <f>IF(I155="PM","",IF(H155=0," ",I155-HLOOKUP('Course 1'!H155,'tab1'!$C$3:$N$4,2)))</f>
        <v xml:space="preserve"> </v>
      </c>
      <c r="K155" s="23" t="str">
        <f>IF(I155="PM","",IF(H155=0," ",J155/'Règles et points'!$F$23))</f>
        <v xml:space="preserve"> </v>
      </c>
      <c r="L155" s="3" t="str">
        <f>IF(H155=0,"",VLOOKUP(H155,'Règles et points'!$C$5:$AG$19,(HLOOKUP('Course 1'!C155,'Règles et points'!$C$5:$AG$5,1)+1)))</f>
        <v/>
      </c>
      <c r="M155" s="23">
        <f t="shared" si="3"/>
        <v>0</v>
      </c>
      <c r="N155" s="80"/>
      <c r="O155" s="51"/>
      <c r="P155" s="52"/>
    </row>
    <row r="156" spans="2:16" ht="12.75">
      <c r="B156" s="14">
        <v>152</v>
      </c>
      <c r="C156" s="28" t="str">
        <f>IF(Coureurs!C156="","",Coureurs!C156)</f>
        <v/>
      </c>
      <c r="D156" s="131" t="str">
        <f>IF(Coureurs!D156="","",Coureurs!D156)</f>
        <v>70</v>
      </c>
      <c r="E156" s="87" t="str">
        <f>IF(Coureurs!F156="","",Coureurs!F156)</f>
        <v/>
      </c>
      <c r="F156" s="87" t="str">
        <f>IF(Coureurs!G156="","",Coureurs!G156)</f>
        <v/>
      </c>
      <c r="G156" s="50" t="str">
        <f>IF(Coureurs!J156="","",Coureurs!J156)</f>
        <v/>
      </c>
      <c r="H156" s="25"/>
      <c r="I156" s="41"/>
      <c r="J156" s="8" t="str">
        <f>IF(I156="PM","",IF(H156=0," ",I156-HLOOKUP('Course 1'!H156,'tab1'!$C$3:$N$4,2)))</f>
        <v xml:space="preserve"> </v>
      </c>
      <c r="K156" s="23" t="str">
        <f>IF(I156="PM","",IF(H156=0," ",J156/'Règles et points'!$F$23))</f>
        <v xml:space="preserve"> </v>
      </c>
      <c r="L156" s="3" t="str">
        <f>IF(H156=0,"",VLOOKUP(H156,'Règles et points'!$C$5:$AG$19,(HLOOKUP('Course 1'!C156,'Règles et points'!$C$5:$AG$5,1)+1)))</f>
        <v/>
      </c>
      <c r="M156" s="23">
        <f t="shared" si="3"/>
        <v>0</v>
      </c>
      <c r="N156" s="80"/>
      <c r="O156" s="51"/>
      <c r="P156" s="52"/>
    </row>
    <row r="157" spans="2:16" ht="12.75">
      <c r="B157" s="14">
        <v>153</v>
      </c>
      <c r="C157" s="28" t="str">
        <f>IF(Coureurs!C157="","",Coureurs!C157)</f>
        <v/>
      </c>
      <c r="D157" s="131" t="str">
        <f>IF(Coureurs!D157="","",Coureurs!D157)</f>
        <v>70</v>
      </c>
      <c r="E157" s="87" t="str">
        <f>IF(Coureurs!F157="","",Coureurs!F157)</f>
        <v/>
      </c>
      <c r="F157" s="87" t="str">
        <f>IF(Coureurs!G157="","",Coureurs!G157)</f>
        <v/>
      </c>
      <c r="G157" s="50" t="str">
        <f>IF(Coureurs!J157="","",Coureurs!J157)</f>
        <v/>
      </c>
      <c r="H157" s="25"/>
      <c r="I157" s="41"/>
      <c r="J157" s="8" t="str">
        <f>IF(I157="PM","",IF(H157=0," ",I157-HLOOKUP('Course 1'!H157,'tab1'!$C$3:$N$4,2)))</f>
        <v xml:space="preserve"> </v>
      </c>
      <c r="K157" s="23" t="str">
        <f>IF(I157="PM","",IF(H157=0," ",J157/'Règles et points'!$F$23))</f>
        <v xml:space="preserve"> </v>
      </c>
      <c r="L157" s="3" t="str">
        <f>IF(H157=0,"",VLOOKUP(H157,'Règles et points'!$C$5:$AG$19,(HLOOKUP('Course 1'!C157,'Règles et points'!$C$5:$AG$5,1)+1)))</f>
        <v/>
      </c>
      <c r="M157" s="23">
        <f t="shared" si="3"/>
        <v>0</v>
      </c>
      <c r="N157" s="80"/>
      <c r="O157" s="51"/>
      <c r="P157" s="52"/>
    </row>
    <row r="158" spans="2:16" ht="12.75">
      <c r="B158" s="14">
        <v>154</v>
      </c>
      <c r="C158" s="28" t="str">
        <f>IF(Coureurs!C158="","",Coureurs!C158)</f>
        <v/>
      </c>
      <c r="D158" s="131" t="str">
        <f>IF(Coureurs!D158="","",Coureurs!D158)</f>
        <v>70</v>
      </c>
      <c r="E158" s="87" t="str">
        <f>IF(Coureurs!F158="","",Coureurs!F158)</f>
        <v/>
      </c>
      <c r="F158" s="87" t="str">
        <f>IF(Coureurs!G158="","",Coureurs!G158)</f>
        <v/>
      </c>
      <c r="G158" s="50" t="str">
        <f>IF(Coureurs!J158="","",Coureurs!J158)</f>
        <v/>
      </c>
      <c r="H158" s="25"/>
      <c r="I158" s="41"/>
      <c r="J158" s="8" t="str">
        <f>IF(I158="PM","",IF(H158=0," ",I158-HLOOKUP('Course 1'!H158,'tab1'!$C$3:$N$4,2)))</f>
        <v xml:space="preserve"> </v>
      </c>
      <c r="K158" s="23" t="str">
        <f>IF(I158="PM","",IF(H158=0," ",J158/'Règles et points'!$F$23))</f>
        <v xml:space="preserve"> </v>
      </c>
      <c r="L158" s="3" t="str">
        <f>IF(H158=0,"",VLOOKUP(H158,'Règles et points'!$C$5:$AG$19,(HLOOKUP('Course 1'!C158,'Règles et points'!$C$5:$AG$5,1)+1)))</f>
        <v/>
      </c>
      <c r="M158" s="23">
        <f t="shared" si="3"/>
        <v>0</v>
      </c>
      <c r="N158" s="80"/>
      <c r="O158" s="51"/>
      <c r="P158" s="52"/>
    </row>
    <row r="159" spans="2:16" ht="12.75">
      <c r="B159" s="14">
        <v>155</v>
      </c>
      <c r="C159" s="28" t="str">
        <f>IF(Coureurs!C159="","",Coureurs!C159)</f>
        <v/>
      </c>
      <c r="D159" s="131" t="str">
        <f>IF(Coureurs!D159="","",Coureurs!D159)</f>
        <v>70</v>
      </c>
      <c r="E159" s="87" t="str">
        <f>IF(Coureurs!F159="","",Coureurs!F159)</f>
        <v/>
      </c>
      <c r="F159" s="87" t="str">
        <f>IF(Coureurs!G159="","",Coureurs!G159)</f>
        <v/>
      </c>
      <c r="G159" s="50" t="str">
        <f>IF(Coureurs!J159="","",Coureurs!J159)</f>
        <v/>
      </c>
      <c r="H159" s="25"/>
      <c r="I159" s="41"/>
      <c r="J159" s="8" t="str">
        <f>IF(I159="PM","",IF(H159=0," ",I159-HLOOKUP('Course 1'!H159,'tab1'!$C$3:$N$4,2)))</f>
        <v xml:space="preserve"> </v>
      </c>
      <c r="K159" s="23" t="str">
        <f>IF(I159="PM","",IF(H159=0," ",J159/'Règles et points'!$F$23))</f>
        <v xml:space="preserve"> </v>
      </c>
      <c r="L159" s="3" t="str">
        <f>IF(H159=0,"",VLOOKUP(H159,'Règles et points'!$C$5:$AG$19,(HLOOKUP('Course 1'!C159,'Règles et points'!$C$5:$AG$5,1)+1)))</f>
        <v/>
      </c>
      <c r="M159" s="23">
        <f t="shared" si="3"/>
        <v>0</v>
      </c>
      <c r="N159" s="80"/>
      <c r="O159" s="51"/>
      <c r="P159" s="52"/>
    </row>
    <row r="160" spans="2:16" ht="12.75">
      <c r="B160" s="14">
        <v>156</v>
      </c>
      <c r="C160" s="28" t="str">
        <f>IF(Coureurs!C160="","",Coureurs!C160)</f>
        <v/>
      </c>
      <c r="D160" s="131" t="str">
        <f>IF(Coureurs!D160="","",Coureurs!D160)</f>
        <v>70</v>
      </c>
      <c r="E160" s="87" t="str">
        <f>IF(Coureurs!F160="","",Coureurs!F160)</f>
        <v/>
      </c>
      <c r="F160" s="87" t="str">
        <f>IF(Coureurs!G160="","",Coureurs!G160)</f>
        <v/>
      </c>
      <c r="G160" s="50" t="str">
        <f>IF(Coureurs!J160="","",Coureurs!J160)</f>
        <v/>
      </c>
      <c r="H160" s="25"/>
      <c r="I160" s="41"/>
      <c r="J160" s="8" t="str">
        <f>IF(I160="PM","",IF(H160=0," ",I160-HLOOKUP('Course 1'!H160,'tab1'!$C$3:$N$4,2)))</f>
        <v xml:space="preserve"> </v>
      </c>
      <c r="K160" s="23" t="str">
        <f>IF(I160="PM","",IF(H160=0," ",J160/'Règles et points'!$F$23))</f>
        <v xml:space="preserve"> </v>
      </c>
      <c r="L160" s="3" t="str">
        <f>IF(H160=0,"",VLOOKUP(H160,'Règles et points'!$C$5:$AG$19,(HLOOKUP('Course 1'!C160,'Règles et points'!$C$5:$AG$5,1)+1)))</f>
        <v/>
      </c>
      <c r="M160" s="23">
        <f t="shared" si="3"/>
        <v>0</v>
      </c>
      <c r="N160" s="80"/>
      <c r="O160" s="51"/>
      <c r="P160" s="52"/>
    </row>
    <row r="161" spans="2:16" ht="12.75">
      <c r="B161" s="14">
        <v>157</v>
      </c>
      <c r="C161" s="28" t="str">
        <f>IF(Coureurs!C161="","",Coureurs!C161)</f>
        <v/>
      </c>
      <c r="D161" s="131" t="str">
        <f>IF(Coureurs!D161="","",Coureurs!D161)</f>
        <v>70</v>
      </c>
      <c r="E161" s="87" t="str">
        <f>IF(Coureurs!F161="","",Coureurs!F161)</f>
        <v/>
      </c>
      <c r="F161" s="87" t="str">
        <f>IF(Coureurs!G161="","",Coureurs!G161)</f>
        <v/>
      </c>
      <c r="G161" s="50" t="str">
        <f>IF(Coureurs!J161="","",Coureurs!J161)</f>
        <v/>
      </c>
      <c r="H161" s="25"/>
      <c r="I161" s="41"/>
      <c r="J161" s="8" t="str">
        <f>IF(I161="PM","",IF(H161=0," ",I161-HLOOKUP('Course 1'!H161,'tab1'!$C$3:$N$4,2)))</f>
        <v xml:space="preserve"> </v>
      </c>
      <c r="K161" s="23" t="str">
        <f>IF(I161="PM","",IF(H161=0," ",J161/'Règles et points'!$F$23))</f>
        <v xml:space="preserve"> </v>
      </c>
      <c r="L161" s="3" t="str">
        <f>IF(H161=0,"",VLOOKUP(H161,'Règles et points'!$C$5:$AG$19,(HLOOKUP('Course 1'!C161,'Règles et points'!$C$5:$AG$5,1)+1)))</f>
        <v/>
      </c>
      <c r="M161" s="23">
        <f t="shared" si="3"/>
        <v>0</v>
      </c>
      <c r="N161" s="80"/>
      <c r="O161" s="51"/>
      <c r="P161" s="52"/>
    </row>
    <row r="162" spans="2:16" ht="12.75">
      <c r="B162" s="14">
        <v>158</v>
      </c>
      <c r="C162" s="28" t="str">
        <f>IF(Coureurs!C162="","",Coureurs!C162)</f>
        <v/>
      </c>
      <c r="D162" s="131" t="str">
        <f>IF(Coureurs!D162="","",Coureurs!D162)</f>
        <v>70</v>
      </c>
      <c r="E162" s="87" t="str">
        <f>IF(Coureurs!F162="","",Coureurs!F162)</f>
        <v/>
      </c>
      <c r="F162" s="87" t="str">
        <f>IF(Coureurs!G162="","",Coureurs!G162)</f>
        <v/>
      </c>
      <c r="G162" s="50" t="str">
        <f>IF(Coureurs!J162="","",Coureurs!J162)</f>
        <v/>
      </c>
      <c r="H162" s="25"/>
      <c r="I162" s="41"/>
      <c r="J162" s="8" t="str">
        <f>IF(I162="PM","",IF(H162=0," ",I162-HLOOKUP('Course 1'!H162,'tab1'!$C$3:$N$4,2)))</f>
        <v xml:space="preserve"> </v>
      </c>
      <c r="K162" s="23" t="str">
        <f>IF(I162="PM","",IF(H162=0," ",J162/'Règles et points'!$F$23))</f>
        <v xml:space="preserve"> </v>
      </c>
      <c r="L162" s="3" t="str">
        <f>IF(H162=0,"",VLOOKUP(H162,'Règles et points'!$C$5:$AG$19,(HLOOKUP('Course 1'!C162,'Règles et points'!$C$5:$AG$5,1)+1)))</f>
        <v/>
      </c>
      <c r="M162" s="23">
        <f t="shared" si="3"/>
        <v>0</v>
      </c>
      <c r="N162" s="80"/>
      <c r="O162" s="51"/>
      <c r="P162" s="52"/>
    </row>
    <row r="163" spans="2:16" ht="12.75">
      <c r="B163" s="14">
        <v>159</v>
      </c>
      <c r="C163" s="28" t="str">
        <f>IF(Coureurs!C163="","",Coureurs!C163)</f>
        <v/>
      </c>
      <c r="D163" s="131" t="str">
        <f>IF(Coureurs!D163="","",Coureurs!D163)</f>
        <v>70</v>
      </c>
      <c r="E163" s="87" t="str">
        <f>IF(Coureurs!F163="","",Coureurs!F163)</f>
        <v/>
      </c>
      <c r="F163" s="87" t="str">
        <f>IF(Coureurs!G163="","",Coureurs!G163)</f>
        <v/>
      </c>
      <c r="G163" s="50" t="str">
        <f>IF(Coureurs!J163="","",Coureurs!J163)</f>
        <v/>
      </c>
      <c r="H163" s="25"/>
      <c r="I163" s="41"/>
      <c r="J163" s="8" t="str">
        <f>IF(I163="PM","",IF(H163=0," ",I163-HLOOKUP('Course 1'!H163,'tab1'!$C$3:$N$4,2)))</f>
        <v xml:space="preserve"> </v>
      </c>
      <c r="K163" s="23" t="str">
        <f>IF(I163="PM","",IF(H163=0," ",J163/'Règles et points'!$F$23))</f>
        <v xml:space="preserve"> </v>
      </c>
      <c r="L163" s="3" t="str">
        <f>IF(H163=0,"",VLOOKUP(H163,'Règles et points'!$C$5:$AG$19,(HLOOKUP('Course 1'!C163,'Règles et points'!$C$5:$AG$5,1)+1)))</f>
        <v/>
      </c>
      <c r="M163" s="23">
        <f t="shared" si="3"/>
        <v>0</v>
      </c>
      <c r="N163" s="80"/>
      <c r="O163" s="51"/>
      <c r="P163" s="52"/>
    </row>
    <row r="164" spans="2:16" ht="12.75">
      <c r="B164" s="14">
        <v>160</v>
      </c>
      <c r="C164" s="28" t="str">
        <f>IF(Coureurs!C164="","",Coureurs!C164)</f>
        <v/>
      </c>
      <c r="D164" s="131" t="str">
        <f>IF(Coureurs!D164="","",Coureurs!D164)</f>
        <v>70</v>
      </c>
      <c r="E164" s="87" t="str">
        <f>IF(Coureurs!F164="","",Coureurs!F164)</f>
        <v/>
      </c>
      <c r="F164" s="87" t="str">
        <f>IF(Coureurs!G164="","",Coureurs!G164)</f>
        <v/>
      </c>
      <c r="G164" s="50" t="str">
        <f>IF(Coureurs!J164="","",Coureurs!J164)</f>
        <v/>
      </c>
      <c r="H164" s="25"/>
      <c r="I164" s="41"/>
      <c r="J164" s="8" t="str">
        <f>IF(I164="PM","",IF(H164=0," ",I164-HLOOKUP('Course 1'!H164,'tab1'!$C$3:$N$4,2)))</f>
        <v xml:space="preserve"> </v>
      </c>
      <c r="K164" s="23" t="str">
        <f>IF(I164="PM","",IF(H164=0," ",J164/'Règles et points'!$F$23))</f>
        <v xml:space="preserve"> </v>
      </c>
      <c r="L164" s="3" t="str">
        <f>IF(H164=0,"",VLOOKUP(H164,'Règles et points'!$C$5:$AG$19,(HLOOKUP('Course 1'!C164,'Règles et points'!$C$5:$AG$5,1)+1)))</f>
        <v/>
      </c>
      <c r="M164" s="23">
        <f t="shared" si="3"/>
        <v>0</v>
      </c>
      <c r="N164" s="80"/>
      <c r="O164" s="51"/>
      <c r="P164" s="52"/>
    </row>
    <row r="165" spans="2:16" ht="12.75">
      <c r="B165" s="14">
        <v>161</v>
      </c>
      <c r="C165" s="28" t="str">
        <f>IF(Coureurs!C165="","",Coureurs!C165)</f>
        <v/>
      </c>
      <c r="D165" s="131" t="str">
        <f>IF(Coureurs!D165="","",Coureurs!D165)</f>
        <v>70</v>
      </c>
      <c r="E165" s="87" t="str">
        <f>IF(Coureurs!F165="","",Coureurs!F165)</f>
        <v/>
      </c>
      <c r="F165" s="87" t="str">
        <f>IF(Coureurs!G165="","",Coureurs!G165)</f>
        <v/>
      </c>
      <c r="G165" s="50" t="str">
        <f>IF(Coureurs!J165="","",Coureurs!J165)</f>
        <v/>
      </c>
      <c r="H165" s="25"/>
      <c r="I165" s="41"/>
      <c r="J165" s="8" t="str">
        <f>IF(I165="PM","",IF(H165=0," ",I165-HLOOKUP('Course 1'!H165,'tab1'!$C$3:$N$4,2)))</f>
        <v xml:space="preserve"> </v>
      </c>
      <c r="K165" s="23" t="str">
        <f>IF(I165="PM","",IF(H165=0," ",J165/'Règles et points'!$F$23))</f>
        <v xml:space="preserve"> </v>
      </c>
      <c r="L165" s="3" t="str">
        <f>IF(H165=0,"",VLOOKUP(H165,'Règles et points'!$C$5:$AG$19,(HLOOKUP('Course 1'!C165,'Règles et points'!$C$5:$AG$5,1)+1)))</f>
        <v/>
      </c>
      <c r="M165" s="23">
        <f t="shared" si="3"/>
        <v>0</v>
      </c>
      <c r="N165" s="80"/>
      <c r="O165" s="51"/>
      <c r="P165" s="52"/>
    </row>
    <row r="166" spans="2:16" ht="12.75">
      <c r="B166" s="14">
        <v>162</v>
      </c>
      <c r="C166" s="28" t="str">
        <f>IF(Coureurs!C166="","",Coureurs!C166)</f>
        <v/>
      </c>
      <c r="D166" s="131" t="str">
        <f>IF(Coureurs!D166="","",Coureurs!D166)</f>
        <v>70</v>
      </c>
      <c r="E166" s="87" t="str">
        <f>IF(Coureurs!F166="","",Coureurs!F166)</f>
        <v/>
      </c>
      <c r="F166" s="87" t="str">
        <f>IF(Coureurs!G166="","",Coureurs!G166)</f>
        <v/>
      </c>
      <c r="G166" s="50" t="str">
        <f>IF(Coureurs!J166="","",Coureurs!J166)</f>
        <v/>
      </c>
      <c r="H166" s="25"/>
      <c r="I166" s="41"/>
      <c r="J166" s="8" t="str">
        <f>IF(I166="PM","",IF(H166=0," ",I166-HLOOKUP('Course 1'!H166,'tab1'!$C$3:$N$4,2)))</f>
        <v xml:space="preserve"> </v>
      </c>
      <c r="K166" s="23" t="str">
        <f>IF(I166="PM","",IF(H166=0," ",J166/'Règles et points'!$F$23))</f>
        <v xml:space="preserve"> </v>
      </c>
      <c r="L166" s="3" t="str">
        <f>IF(H166=0,"",VLOOKUP(H166,'Règles et points'!$C$5:$AG$19,(HLOOKUP('Course 1'!C166,'Règles et points'!$C$5:$AG$5,1)+1)))</f>
        <v/>
      </c>
      <c r="M166" s="23">
        <f t="shared" si="3"/>
        <v>0</v>
      </c>
      <c r="N166" s="80"/>
      <c r="O166" s="51"/>
      <c r="P166" s="52"/>
    </row>
    <row r="167" spans="2:16" ht="12.75">
      <c r="B167" s="14">
        <v>163</v>
      </c>
      <c r="C167" s="28" t="str">
        <f>IF(Coureurs!C167="","",Coureurs!C167)</f>
        <v/>
      </c>
      <c r="D167" s="131" t="str">
        <f>IF(Coureurs!D167="","",Coureurs!D167)</f>
        <v>70</v>
      </c>
      <c r="E167" s="87" t="str">
        <f>IF(Coureurs!F167="","",Coureurs!F167)</f>
        <v/>
      </c>
      <c r="F167" s="87" t="str">
        <f>IF(Coureurs!G167="","",Coureurs!G167)</f>
        <v/>
      </c>
      <c r="G167" s="50" t="str">
        <f>IF(Coureurs!J167="","",Coureurs!J167)</f>
        <v/>
      </c>
      <c r="H167" s="25"/>
      <c r="I167" s="41"/>
      <c r="J167" s="8" t="str">
        <f>IF(I167="PM","",IF(H167=0," ",I167-HLOOKUP('Course 1'!H167,'tab1'!$C$3:$N$4,2)))</f>
        <v xml:space="preserve"> </v>
      </c>
      <c r="K167" s="23" t="str">
        <f>IF(I167="PM","",IF(H167=0," ",J167/'Règles et points'!$F$23))</f>
        <v xml:space="preserve"> </v>
      </c>
      <c r="L167" s="3" t="str">
        <f>IF(H167=0,"",VLOOKUP(H167,'Règles et points'!$C$5:$AG$19,(HLOOKUP('Course 1'!C167,'Règles et points'!$C$5:$AG$5,1)+1)))</f>
        <v/>
      </c>
      <c r="M167" s="23">
        <f t="shared" si="3"/>
        <v>0</v>
      </c>
      <c r="N167" s="80"/>
      <c r="O167" s="51"/>
      <c r="P167" s="52"/>
    </row>
    <row r="168" spans="2:16" ht="12.75">
      <c r="B168" s="14">
        <v>164</v>
      </c>
      <c r="C168" s="28" t="str">
        <f>IF(Coureurs!C168="","",Coureurs!C168)</f>
        <v/>
      </c>
      <c r="D168" s="131" t="str">
        <f>IF(Coureurs!D168="","",Coureurs!D168)</f>
        <v>70</v>
      </c>
      <c r="E168" s="87" t="str">
        <f>IF(Coureurs!F168="","",Coureurs!F168)</f>
        <v/>
      </c>
      <c r="F168" s="87" t="str">
        <f>IF(Coureurs!G168="","",Coureurs!G168)</f>
        <v/>
      </c>
      <c r="G168" s="50" t="str">
        <f>IF(Coureurs!J168="","",Coureurs!J168)</f>
        <v/>
      </c>
      <c r="H168" s="25"/>
      <c r="I168" s="41"/>
      <c r="J168" s="8" t="str">
        <f>IF(I168="PM","",IF(H168=0," ",I168-HLOOKUP('Course 1'!H168,'tab1'!$C$3:$N$4,2)))</f>
        <v xml:space="preserve"> </v>
      </c>
      <c r="K168" s="23" t="str">
        <f>IF(I168="PM","",IF(H168=0," ",J168/'Règles et points'!$F$23))</f>
        <v xml:space="preserve"> </v>
      </c>
      <c r="L168" s="3" t="str">
        <f>IF(H168=0,"",VLOOKUP(H168,'Règles et points'!$C$5:$AG$19,(HLOOKUP('Course 1'!C168,'Règles et points'!$C$5:$AG$5,1)+1)))</f>
        <v/>
      </c>
      <c r="M168" s="23">
        <f t="shared" si="3"/>
        <v>0</v>
      </c>
      <c r="N168" s="80"/>
      <c r="O168" s="51"/>
      <c r="P168" s="52"/>
    </row>
    <row r="169" spans="2:16" ht="12.75">
      <c r="B169" s="14">
        <v>165</v>
      </c>
      <c r="C169" s="28" t="str">
        <f>IF(Coureurs!C169="","",Coureurs!C169)</f>
        <v/>
      </c>
      <c r="D169" s="131" t="str">
        <f>IF(Coureurs!D169="","",Coureurs!D169)</f>
        <v>70</v>
      </c>
      <c r="E169" s="87" t="str">
        <f>IF(Coureurs!F169="","",Coureurs!F169)</f>
        <v/>
      </c>
      <c r="F169" s="87" t="str">
        <f>IF(Coureurs!G169="","",Coureurs!G169)</f>
        <v/>
      </c>
      <c r="G169" s="50" t="str">
        <f>IF(Coureurs!J169="","",Coureurs!J169)</f>
        <v/>
      </c>
      <c r="H169" s="25"/>
      <c r="I169" s="41"/>
      <c r="J169" s="8" t="str">
        <f>IF(I169="PM","",IF(H169=0," ",I169-HLOOKUP('Course 1'!H169,'tab1'!$C$3:$N$4,2)))</f>
        <v xml:space="preserve"> </v>
      </c>
      <c r="K169" s="23" t="str">
        <f>IF(I169="PM","",IF(H169=0," ",J169/'Règles et points'!$F$23))</f>
        <v xml:space="preserve"> </v>
      </c>
      <c r="L169" s="3" t="str">
        <f>IF(H169=0,"",VLOOKUP(H169,'Règles et points'!$C$5:$AG$19,(HLOOKUP('Course 1'!C169,'Règles et points'!$C$5:$AG$5,1)+1)))</f>
        <v/>
      </c>
      <c r="M169" s="23">
        <f t="shared" si="3"/>
        <v>0</v>
      </c>
      <c r="N169" s="80"/>
      <c r="O169" s="51"/>
      <c r="P169" s="52"/>
    </row>
    <row r="170" spans="2:16" ht="12.75">
      <c r="B170" s="14">
        <v>166</v>
      </c>
      <c r="C170" s="28" t="str">
        <f>IF(Coureurs!C170="","",Coureurs!C170)</f>
        <v/>
      </c>
      <c r="D170" s="131" t="str">
        <f>IF(Coureurs!D170="","",Coureurs!D170)</f>
        <v>70</v>
      </c>
      <c r="E170" s="87" t="str">
        <f>IF(Coureurs!F170="","",Coureurs!F170)</f>
        <v/>
      </c>
      <c r="F170" s="87" t="str">
        <f>IF(Coureurs!G170="","",Coureurs!G170)</f>
        <v/>
      </c>
      <c r="G170" s="50" t="str">
        <f>IF(Coureurs!J170="","",Coureurs!J170)</f>
        <v/>
      </c>
      <c r="H170" s="25"/>
      <c r="I170" s="41"/>
      <c r="J170" s="8" t="str">
        <f>IF(I170="PM","",IF(H170=0," ",I170-HLOOKUP('Course 1'!H170,'tab1'!$C$3:$N$4,2)))</f>
        <v xml:space="preserve"> </v>
      </c>
      <c r="K170" s="23" t="str">
        <f>IF(I170="PM","",IF(H170=0," ",J170/'Règles et points'!$F$23))</f>
        <v xml:space="preserve"> </v>
      </c>
      <c r="L170" s="3" t="str">
        <f>IF(H170=0,"",VLOOKUP(H170,'Règles et points'!$C$5:$AG$19,(HLOOKUP('Course 1'!C170,'Règles et points'!$C$5:$AG$5,1)+1)))</f>
        <v/>
      </c>
      <c r="M170" s="23">
        <f t="shared" si="3"/>
        <v>0</v>
      </c>
      <c r="N170" s="80"/>
      <c r="O170" s="51"/>
      <c r="P170" s="52"/>
    </row>
    <row r="171" spans="2:16" ht="12.75">
      <c r="B171" s="14">
        <v>167</v>
      </c>
      <c r="C171" s="28" t="str">
        <f>IF(Coureurs!C171="","",Coureurs!C171)</f>
        <v/>
      </c>
      <c r="D171" s="131" t="str">
        <f>IF(Coureurs!D171="","",Coureurs!D171)</f>
        <v>70</v>
      </c>
      <c r="E171" s="87" t="str">
        <f>IF(Coureurs!F171="","",Coureurs!F171)</f>
        <v/>
      </c>
      <c r="F171" s="87" t="str">
        <f>IF(Coureurs!G171="","",Coureurs!G171)</f>
        <v/>
      </c>
      <c r="G171" s="50" t="str">
        <f>IF(Coureurs!J171="","",Coureurs!J171)</f>
        <v/>
      </c>
      <c r="H171" s="25"/>
      <c r="I171" s="41"/>
      <c r="J171" s="8" t="str">
        <f>IF(I171="PM","",IF(H171=0," ",I171-HLOOKUP('Course 1'!H171,'tab1'!$C$3:$N$4,2)))</f>
        <v xml:space="preserve"> </v>
      </c>
      <c r="K171" s="23" t="str">
        <f>IF(I171="PM","",IF(H171=0," ",J171/'Règles et points'!$F$23))</f>
        <v xml:space="preserve"> </v>
      </c>
      <c r="L171" s="3" t="str">
        <f>IF(H171=0,"",VLOOKUP(H171,'Règles et points'!$C$5:$AG$19,(HLOOKUP('Course 1'!C171,'Règles et points'!$C$5:$AG$5,1)+1)))</f>
        <v/>
      </c>
      <c r="M171" s="23">
        <f t="shared" si="3"/>
        <v>0</v>
      </c>
      <c r="N171" s="80"/>
      <c r="O171" s="51"/>
      <c r="P171" s="52"/>
    </row>
    <row r="172" spans="2:16" ht="12.75">
      <c r="B172" s="14">
        <v>168</v>
      </c>
      <c r="C172" s="28" t="str">
        <f>IF(Coureurs!C172="","",Coureurs!C172)</f>
        <v/>
      </c>
      <c r="D172" s="131" t="str">
        <f>IF(Coureurs!D172="","",Coureurs!D172)</f>
        <v>70</v>
      </c>
      <c r="E172" s="87" t="str">
        <f>IF(Coureurs!F172="","",Coureurs!F172)</f>
        <v/>
      </c>
      <c r="F172" s="87" t="str">
        <f>IF(Coureurs!G172="","",Coureurs!G172)</f>
        <v/>
      </c>
      <c r="G172" s="50" t="str">
        <f>IF(Coureurs!J172="","",Coureurs!J172)</f>
        <v/>
      </c>
      <c r="H172" s="25"/>
      <c r="I172" s="41"/>
      <c r="J172" s="8" t="str">
        <f>IF(I172="PM","",IF(H172=0," ",I172-HLOOKUP('Course 1'!H172,'tab1'!$C$3:$N$4,2)))</f>
        <v xml:space="preserve"> </v>
      </c>
      <c r="K172" s="23" t="str">
        <f>IF(I172="PM","",IF(H172=0," ",J172/'Règles et points'!$F$23))</f>
        <v xml:space="preserve"> </v>
      </c>
      <c r="L172" s="3" t="str">
        <f>IF(H172=0,"",VLOOKUP(H172,'Règles et points'!$C$5:$AG$19,(HLOOKUP('Course 1'!C172,'Règles et points'!$C$5:$AG$5,1)+1)))</f>
        <v/>
      </c>
      <c r="M172" s="23">
        <f t="shared" si="3"/>
        <v>0</v>
      </c>
      <c r="N172" s="80"/>
      <c r="O172" s="51"/>
      <c r="P172" s="52"/>
    </row>
    <row r="173" spans="2:16" ht="12.75">
      <c r="B173" s="14">
        <v>169</v>
      </c>
      <c r="C173" s="28" t="str">
        <f>IF(Coureurs!C173="","",Coureurs!C173)</f>
        <v/>
      </c>
      <c r="D173" s="131" t="str">
        <f>IF(Coureurs!D173="","",Coureurs!D173)</f>
        <v>70</v>
      </c>
      <c r="E173" s="87" t="str">
        <f>IF(Coureurs!F173="","",Coureurs!F173)</f>
        <v/>
      </c>
      <c r="F173" s="87" t="str">
        <f>IF(Coureurs!G173="","",Coureurs!G173)</f>
        <v/>
      </c>
      <c r="G173" s="50" t="str">
        <f>IF(Coureurs!J173="","",Coureurs!J173)</f>
        <v/>
      </c>
      <c r="H173" s="25"/>
      <c r="I173" s="41"/>
      <c r="J173" s="8" t="str">
        <f>IF(I173="PM","",IF(H173=0," ",I173-HLOOKUP('Course 1'!H173,'tab1'!$C$3:$N$4,2)))</f>
        <v xml:space="preserve"> </v>
      </c>
      <c r="K173" s="23" t="str">
        <f>IF(I173="PM","",IF(H173=0," ",J173/'Règles et points'!$F$23))</f>
        <v xml:space="preserve"> </v>
      </c>
      <c r="L173" s="3" t="str">
        <f>IF(H173=0,"",VLOOKUP(H173,'Règles et points'!$C$5:$AG$19,(HLOOKUP('Course 1'!C173,'Règles et points'!$C$5:$AG$5,1)+1)))</f>
        <v/>
      </c>
      <c r="M173" s="23">
        <f t="shared" si="3"/>
        <v>0</v>
      </c>
      <c r="N173" s="80"/>
      <c r="O173" s="51"/>
      <c r="P173" s="52"/>
    </row>
    <row r="174" spans="2:16" ht="12.75">
      <c r="B174" s="14">
        <v>170</v>
      </c>
      <c r="C174" s="28" t="str">
        <f>IF(Coureurs!C174="","",Coureurs!C174)</f>
        <v/>
      </c>
      <c r="D174" s="131" t="str">
        <f>IF(Coureurs!D174="","",Coureurs!D174)</f>
        <v>70</v>
      </c>
      <c r="E174" s="87" t="str">
        <f>IF(Coureurs!F174="","",Coureurs!F174)</f>
        <v/>
      </c>
      <c r="F174" s="87" t="str">
        <f>IF(Coureurs!G174="","",Coureurs!G174)</f>
        <v/>
      </c>
      <c r="G174" s="50" t="str">
        <f>IF(Coureurs!J174="","",Coureurs!J174)</f>
        <v/>
      </c>
      <c r="H174" s="25"/>
      <c r="I174" s="41"/>
      <c r="J174" s="8" t="str">
        <f>IF(I174="PM","",IF(H174=0," ",I174-HLOOKUP('Course 1'!H174,'tab1'!$C$3:$N$4,2)))</f>
        <v xml:space="preserve"> </v>
      </c>
      <c r="K174" s="23" t="str">
        <f>IF(I174="PM","",IF(H174=0," ",J174/'Règles et points'!$F$23))</f>
        <v xml:space="preserve"> </v>
      </c>
      <c r="L174" s="3" t="str">
        <f>IF(H174=0,"",VLOOKUP(H174,'Règles et points'!$C$5:$AG$19,(HLOOKUP('Course 1'!C174,'Règles et points'!$C$5:$AG$5,1)+1)))</f>
        <v/>
      </c>
      <c r="M174" s="23">
        <f t="shared" si="3"/>
        <v>0</v>
      </c>
      <c r="N174" s="80"/>
      <c r="O174" s="51"/>
      <c r="P174" s="52"/>
    </row>
    <row r="175" spans="2:16" ht="12.75">
      <c r="B175" s="14">
        <v>171</v>
      </c>
      <c r="C175" s="28" t="str">
        <f>IF(Coureurs!C175="","",Coureurs!C175)</f>
        <v/>
      </c>
      <c r="D175" s="131" t="str">
        <f>IF(Coureurs!D175="","",Coureurs!D175)</f>
        <v>70</v>
      </c>
      <c r="E175" s="87" t="str">
        <f>IF(Coureurs!F175="","",Coureurs!F175)</f>
        <v/>
      </c>
      <c r="F175" s="87" t="str">
        <f>IF(Coureurs!G175="","",Coureurs!G175)</f>
        <v/>
      </c>
      <c r="G175" s="50" t="str">
        <f>IF(Coureurs!J175="","",Coureurs!J175)</f>
        <v/>
      </c>
      <c r="H175" s="25"/>
      <c r="I175" s="41"/>
      <c r="J175" s="8" t="str">
        <f>IF(I175="PM","",IF(H175=0," ",I175-HLOOKUP('Course 1'!H175,'tab1'!$C$3:$N$4,2)))</f>
        <v xml:space="preserve"> </v>
      </c>
      <c r="K175" s="23" t="str">
        <f>IF(I175="PM","",IF(H175=0," ",J175/'Règles et points'!$F$23))</f>
        <v xml:space="preserve"> </v>
      </c>
      <c r="L175" s="3" t="str">
        <f>IF(H175=0,"",VLOOKUP(H175,'Règles et points'!$C$5:$AG$19,(HLOOKUP('Course 1'!C175,'Règles et points'!$C$5:$AG$5,1)+1)))</f>
        <v/>
      </c>
      <c r="M175" s="23">
        <f t="shared" si="3"/>
        <v>0</v>
      </c>
      <c r="N175" s="80"/>
      <c r="O175" s="51"/>
      <c r="P175" s="52"/>
    </row>
    <row r="176" spans="2:16" ht="12.75">
      <c r="B176" s="14">
        <v>172</v>
      </c>
      <c r="C176" s="28" t="str">
        <f>IF(Coureurs!C176="","",Coureurs!C176)</f>
        <v/>
      </c>
      <c r="D176" s="131" t="str">
        <f>IF(Coureurs!D176="","",Coureurs!D176)</f>
        <v>70</v>
      </c>
      <c r="E176" s="87" t="str">
        <f>IF(Coureurs!F176="","",Coureurs!F176)</f>
        <v/>
      </c>
      <c r="F176" s="87" t="str">
        <f>IF(Coureurs!G176="","",Coureurs!G176)</f>
        <v/>
      </c>
      <c r="G176" s="50" t="str">
        <f>IF(Coureurs!J176="","",Coureurs!J176)</f>
        <v/>
      </c>
      <c r="H176" s="25"/>
      <c r="I176" s="41"/>
      <c r="J176" s="8" t="str">
        <f>IF(I176="PM","",IF(H176=0," ",I176-HLOOKUP('Course 1'!H176,'tab1'!$C$3:$N$4,2)))</f>
        <v xml:space="preserve"> </v>
      </c>
      <c r="K176" s="23" t="str">
        <f>IF(I176="PM","",IF(H176=0," ",J176/'Règles et points'!$F$23))</f>
        <v xml:space="preserve"> </v>
      </c>
      <c r="L176" s="3" t="str">
        <f>IF(H176=0,"",VLOOKUP(H176,'Règles et points'!$C$5:$AG$19,(HLOOKUP('Course 1'!C176,'Règles et points'!$C$5:$AG$5,1)+1)))</f>
        <v/>
      </c>
      <c r="M176" s="23">
        <f t="shared" si="3"/>
        <v>0</v>
      </c>
      <c r="N176" s="80"/>
      <c r="O176" s="51"/>
      <c r="P176" s="52"/>
    </row>
    <row r="177" spans="2:16" ht="12.75">
      <c r="B177" s="14">
        <v>173</v>
      </c>
      <c r="C177" s="28" t="str">
        <f>IF(Coureurs!C177="","",Coureurs!C177)</f>
        <v/>
      </c>
      <c r="D177" s="131" t="str">
        <f>IF(Coureurs!D177="","",Coureurs!D177)</f>
        <v>70</v>
      </c>
      <c r="E177" s="87" t="str">
        <f>IF(Coureurs!F177="","",Coureurs!F177)</f>
        <v/>
      </c>
      <c r="F177" s="87" t="str">
        <f>IF(Coureurs!G177="","",Coureurs!G177)</f>
        <v/>
      </c>
      <c r="G177" s="50" t="str">
        <f>IF(Coureurs!J177="","",Coureurs!J177)</f>
        <v/>
      </c>
      <c r="H177" s="25"/>
      <c r="I177" s="41"/>
      <c r="J177" s="8" t="str">
        <f>IF(I177="PM","",IF(H177=0," ",I177-HLOOKUP('Course 1'!H177,'tab1'!$C$3:$N$4,2)))</f>
        <v xml:space="preserve"> </v>
      </c>
      <c r="K177" s="23" t="str">
        <f>IF(I177="PM","",IF(H177=0," ",J177/'Règles et points'!$F$23))</f>
        <v xml:space="preserve"> </v>
      </c>
      <c r="L177" s="3" t="str">
        <f>IF(H177=0,"",VLOOKUP(H177,'Règles et points'!$C$5:$AG$19,(HLOOKUP('Course 1'!C177,'Règles et points'!$C$5:$AG$5,1)+1)))</f>
        <v/>
      </c>
      <c r="M177" s="23">
        <f t="shared" si="3"/>
        <v>0</v>
      </c>
      <c r="N177" s="80"/>
      <c r="O177" s="51"/>
      <c r="P177" s="52"/>
    </row>
    <row r="178" spans="2:16" ht="12.75">
      <c r="B178" s="14">
        <v>174</v>
      </c>
      <c r="C178" s="28" t="str">
        <f>IF(Coureurs!C178="","",Coureurs!C178)</f>
        <v/>
      </c>
      <c r="D178" s="131" t="str">
        <f>IF(Coureurs!D178="","",Coureurs!D178)</f>
        <v>70</v>
      </c>
      <c r="E178" s="87" t="str">
        <f>IF(Coureurs!F178="","",Coureurs!F178)</f>
        <v/>
      </c>
      <c r="F178" s="87" t="str">
        <f>IF(Coureurs!G178="","",Coureurs!G178)</f>
        <v/>
      </c>
      <c r="G178" s="50" t="str">
        <f>IF(Coureurs!J178="","",Coureurs!J178)</f>
        <v/>
      </c>
      <c r="H178" s="25"/>
      <c r="I178" s="41"/>
      <c r="J178" s="8" t="str">
        <f>IF(I178="PM","",IF(H178=0," ",I178-HLOOKUP('Course 1'!H178,'tab1'!$C$3:$N$4,2)))</f>
        <v xml:space="preserve"> </v>
      </c>
      <c r="K178" s="23" t="str">
        <f>IF(I178="PM","",IF(H178=0," ",J178/'Règles et points'!$F$23))</f>
        <v xml:space="preserve"> </v>
      </c>
      <c r="L178" s="3" t="str">
        <f>IF(H178=0,"",VLOOKUP(H178,'Règles et points'!$C$5:$AG$19,(HLOOKUP('Course 1'!C178,'Règles et points'!$C$5:$AG$5,1)+1)))</f>
        <v/>
      </c>
      <c r="M178" s="23">
        <f t="shared" si="3"/>
        <v>0</v>
      </c>
      <c r="N178" s="80"/>
      <c r="O178" s="51"/>
      <c r="P178" s="52"/>
    </row>
    <row r="179" spans="2:16" ht="12.75">
      <c r="B179" s="14">
        <v>175</v>
      </c>
      <c r="C179" s="28" t="str">
        <f>IF(Coureurs!C179="","",Coureurs!C179)</f>
        <v/>
      </c>
      <c r="D179" s="131" t="str">
        <f>IF(Coureurs!D179="","",Coureurs!D179)</f>
        <v>70</v>
      </c>
      <c r="E179" s="87" t="str">
        <f>IF(Coureurs!F179="","",Coureurs!F179)</f>
        <v/>
      </c>
      <c r="F179" s="87" t="str">
        <f>IF(Coureurs!G179="","",Coureurs!G179)</f>
        <v/>
      </c>
      <c r="G179" s="50" t="str">
        <f>IF(Coureurs!J179="","",Coureurs!J179)</f>
        <v/>
      </c>
      <c r="H179" s="25"/>
      <c r="I179" s="41"/>
      <c r="J179" s="8" t="str">
        <f>IF(I179="PM","",IF(H179=0," ",I179-HLOOKUP('Course 1'!H179,'tab1'!$C$3:$N$4,2)))</f>
        <v xml:space="preserve"> </v>
      </c>
      <c r="K179" s="23" t="str">
        <f>IF(I179="PM","",IF(H179=0," ",J179/'Règles et points'!$F$23))</f>
        <v xml:space="preserve"> </v>
      </c>
      <c r="L179" s="3" t="str">
        <f>IF(H179=0,"",VLOOKUP(H179,'Règles et points'!$C$5:$AG$19,(HLOOKUP('Course 1'!C179,'Règles et points'!$C$5:$AG$5,1)+1)))</f>
        <v/>
      </c>
      <c r="M179" s="23">
        <f t="shared" si="3"/>
        <v>0</v>
      </c>
      <c r="N179" s="80"/>
      <c r="O179" s="51"/>
      <c r="P179" s="52"/>
    </row>
    <row r="180" spans="2:16" ht="12.75">
      <c r="B180" s="14">
        <v>176</v>
      </c>
      <c r="C180" s="28" t="str">
        <f>IF(Coureurs!C180="","",Coureurs!C180)</f>
        <v/>
      </c>
      <c r="D180" s="131" t="str">
        <f>IF(Coureurs!D180="","",Coureurs!D180)</f>
        <v>70</v>
      </c>
      <c r="E180" s="87" t="str">
        <f>IF(Coureurs!F180="","",Coureurs!F180)</f>
        <v/>
      </c>
      <c r="F180" s="87" t="str">
        <f>IF(Coureurs!G180="","",Coureurs!G180)</f>
        <v/>
      </c>
      <c r="G180" s="50" t="str">
        <f>IF(Coureurs!J180="","",Coureurs!J180)</f>
        <v/>
      </c>
      <c r="H180" s="25"/>
      <c r="I180" s="41"/>
      <c r="J180" s="8" t="str">
        <f>IF(I180="PM","",IF(H180=0," ",I180-HLOOKUP('Course 1'!H180,'tab1'!$C$3:$N$4,2)))</f>
        <v xml:space="preserve"> </v>
      </c>
      <c r="K180" s="23" t="str">
        <f>IF(I180="PM","",IF(H180=0," ",J180/'Règles et points'!$F$23))</f>
        <v xml:space="preserve"> </v>
      </c>
      <c r="L180" s="3" t="str">
        <f>IF(H180=0,"",VLOOKUP(H180,'Règles et points'!$C$5:$AG$19,(HLOOKUP('Course 1'!C180,'Règles et points'!$C$5:$AG$5,1)+1)))</f>
        <v/>
      </c>
      <c r="M180" s="23">
        <f t="shared" si="3"/>
        <v>0</v>
      </c>
      <c r="N180" s="80"/>
      <c r="O180" s="51"/>
      <c r="P180" s="52"/>
    </row>
    <row r="181" spans="2:16" ht="12.75">
      <c r="B181" s="14">
        <v>177</v>
      </c>
      <c r="C181" s="28" t="str">
        <f>IF(Coureurs!C181="","",Coureurs!C181)</f>
        <v/>
      </c>
      <c r="D181" s="131" t="str">
        <f>IF(Coureurs!D181="","",Coureurs!D181)</f>
        <v>70</v>
      </c>
      <c r="E181" s="87" t="str">
        <f>IF(Coureurs!F181="","",Coureurs!F181)</f>
        <v/>
      </c>
      <c r="F181" s="87" t="str">
        <f>IF(Coureurs!G181="","",Coureurs!G181)</f>
        <v/>
      </c>
      <c r="G181" s="50" t="str">
        <f>IF(Coureurs!J181="","",Coureurs!J181)</f>
        <v/>
      </c>
      <c r="H181" s="25"/>
      <c r="I181" s="41"/>
      <c r="J181" s="8" t="str">
        <f>IF(I181="PM","",IF(H181=0," ",I181-HLOOKUP('Course 1'!H181,'tab1'!$C$3:$N$4,2)))</f>
        <v xml:space="preserve"> </v>
      </c>
      <c r="K181" s="23" t="str">
        <f>IF(I181="PM","",IF(H181=0," ",J181/'Règles et points'!$F$23))</f>
        <v xml:space="preserve"> </v>
      </c>
      <c r="L181" s="3" t="str">
        <f>IF(H181=0,"",VLOOKUP(H181,'Règles et points'!$C$5:$AG$19,(HLOOKUP('Course 1'!C181,'Règles et points'!$C$5:$AG$5,1)+1)))</f>
        <v/>
      </c>
      <c r="M181" s="23">
        <f t="shared" si="3"/>
        <v>0</v>
      </c>
      <c r="N181" s="80"/>
      <c r="O181" s="51"/>
      <c r="P181" s="52"/>
    </row>
    <row r="182" spans="2:16" ht="12.75">
      <c r="B182" s="14">
        <v>178</v>
      </c>
      <c r="C182" s="28" t="str">
        <f>IF(Coureurs!C182="","",Coureurs!C182)</f>
        <v/>
      </c>
      <c r="D182" s="131" t="str">
        <f>IF(Coureurs!D182="","",Coureurs!D182)</f>
        <v>70</v>
      </c>
      <c r="E182" s="87" t="str">
        <f>IF(Coureurs!F182="","",Coureurs!F182)</f>
        <v/>
      </c>
      <c r="F182" s="87" t="str">
        <f>IF(Coureurs!G182="","",Coureurs!G182)</f>
        <v/>
      </c>
      <c r="G182" s="50" t="str">
        <f>IF(Coureurs!J182="","",Coureurs!J182)</f>
        <v/>
      </c>
      <c r="H182" s="25"/>
      <c r="I182" s="41"/>
      <c r="J182" s="8" t="str">
        <f>IF(I182="PM","",IF(H182=0," ",I182-HLOOKUP('Course 1'!H182,'tab1'!$C$3:$N$4,2)))</f>
        <v xml:space="preserve"> </v>
      </c>
      <c r="K182" s="23" t="str">
        <f>IF(I182="PM","",IF(H182=0," ",J182/'Règles et points'!$F$23))</f>
        <v xml:space="preserve"> </v>
      </c>
      <c r="L182" s="3" t="str">
        <f>IF(H182=0,"",VLOOKUP(H182,'Règles et points'!$C$5:$AG$19,(HLOOKUP('Course 1'!C182,'Règles et points'!$C$5:$AG$5,1)+1)))</f>
        <v/>
      </c>
      <c r="M182" s="23">
        <f t="shared" si="3"/>
        <v>0</v>
      </c>
      <c r="N182" s="80"/>
      <c r="O182" s="51"/>
      <c r="P182" s="52"/>
    </row>
    <row r="183" spans="2:16" ht="12.75">
      <c r="B183" s="14">
        <v>179</v>
      </c>
      <c r="C183" s="28" t="str">
        <f>IF(Coureurs!C183="","",Coureurs!C183)</f>
        <v/>
      </c>
      <c r="D183" s="131" t="str">
        <f>IF(Coureurs!D183="","",Coureurs!D183)</f>
        <v>70</v>
      </c>
      <c r="E183" s="87" t="str">
        <f>IF(Coureurs!F183="","",Coureurs!F183)</f>
        <v/>
      </c>
      <c r="F183" s="87" t="str">
        <f>IF(Coureurs!G183="","",Coureurs!G183)</f>
        <v/>
      </c>
      <c r="G183" s="50" t="str">
        <f>IF(Coureurs!J183="","",Coureurs!J183)</f>
        <v/>
      </c>
      <c r="H183" s="25"/>
      <c r="I183" s="41"/>
      <c r="J183" s="8" t="str">
        <f>IF(I183="PM","",IF(H183=0," ",I183-HLOOKUP('Course 1'!H183,'tab1'!$C$3:$N$4,2)))</f>
        <v xml:space="preserve"> </v>
      </c>
      <c r="K183" s="23" t="str">
        <f>IF(I183="PM","",IF(H183=0," ",J183/'Règles et points'!$F$23))</f>
        <v xml:space="preserve"> </v>
      </c>
      <c r="L183" s="3" t="str">
        <f>IF(H183=0,"",VLOOKUP(H183,'Règles et points'!$C$5:$AG$19,(HLOOKUP('Course 1'!C183,'Règles et points'!$C$5:$AG$5,1)+1)))</f>
        <v/>
      </c>
      <c r="M183" s="23">
        <f t="shared" si="3"/>
        <v>0</v>
      </c>
      <c r="N183" s="80"/>
      <c r="O183" s="51"/>
      <c r="P183" s="52"/>
    </row>
    <row r="184" spans="2:16" ht="12.75">
      <c r="B184" s="14">
        <v>180</v>
      </c>
      <c r="C184" s="28" t="str">
        <f>IF(Coureurs!C184="","",Coureurs!C184)</f>
        <v/>
      </c>
      <c r="D184" s="131" t="str">
        <f>IF(Coureurs!D184="","",Coureurs!D184)</f>
        <v>70</v>
      </c>
      <c r="E184" s="87" t="str">
        <f>IF(Coureurs!F184="","",Coureurs!F184)</f>
        <v/>
      </c>
      <c r="F184" s="87" t="str">
        <f>IF(Coureurs!G184="","",Coureurs!G184)</f>
        <v/>
      </c>
      <c r="G184" s="50" t="str">
        <f>IF(Coureurs!J184="","",Coureurs!J184)</f>
        <v/>
      </c>
      <c r="H184" s="25"/>
      <c r="I184" s="41"/>
      <c r="J184" s="8" t="str">
        <f>IF(I184="PM","",IF(H184=0," ",I184-HLOOKUP('Course 1'!H184,'tab1'!$C$3:$N$4,2)))</f>
        <v xml:space="preserve"> </v>
      </c>
      <c r="K184" s="23" t="str">
        <f>IF(I184="PM","",IF(H184=0," ",J184/'Règles et points'!$F$23))</f>
        <v xml:space="preserve"> </v>
      </c>
      <c r="L184" s="3" t="str">
        <f>IF(H184=0,"",VLOOKUP(H184,'Règles et points'!$C$5:$AG$19,(HLOOKUP('Course 1'!C184,'Règles et points'!$C$5:$AG$5,1)+1)))</f>
        <v/>
      </c>
      <c r="M184" s="23">
        <f t="shared" si="3"/>
        <v>0</v>
      </c>
      <c r="N184" s="80"/>
      <c r="O184" s="51"/>
      <c r="P184" s="52"/>
    </row>
    <row r="185" spans="2:16" ht="12.75">
      <c r="B185" s="14">
        <v>181</v>
      </c>
      <c r="C185" s="28" t="str">
        <f>IF(Coureurs!C185="","",Coureurs!C185)</f>
        <v/>
      </c>
      <c r="D185" s="131" t="str">
        <f>IF(Coureurs!D185="","",Coureurs!D185)</f>
        <v>70</v>
      </c>
      <c r="E185" s="87" t="str">
        <f>IF(Coureurs!F185="","",Coureurs!F185)</f>
        <v/>
      </c>
      <c r="F185" s="87" t="str">
        <f>IF(Coureurs!G185="","",Coureurs!G185)</f>
        <v/>
      </c>
      <c r="G185" s="50" t="str">
        <f>IF(Coureurs!J185="","",Coureurs!J185)</f>
        <v/>
      </c>
      <c r="H185" s="25"/>
      <c r="I185" s="41"/>
      <c r="J185" s="8" t="str">
        <f>IF(I185="PM","",IF(H185=0," ",I185-HLOOKUP('Course 1'!H185,'tab1'!$C$3:$N$4,2)))</f>
        <v xml:space="preserve"> </v>
      </c>
      <c r="K185" s="23" t="str">
        <f>IF(I185="PM","",IF(H185=0," ",J185/'Règles et points'!$F$23))</f>
        <v xml:space="preserve"> </v>
      </c>
      <c r="L185" s="3" t="str">
        <f>IF(H185=0,"",VLOOKUP(H185,'Règles et points'!$C$5:$AG$19,(HLOOKUP('Course 1'!C185,'Règles et points'!$C$5:$AG$5,1)+1)))</f>
        <v/>
      </c>
      <c r="M185" s="23">
        <f t="shared" si="3"/>
        <v>0</v>
      </c>
      <c r="N185" s="80"/>
      <c r="O185" s="51"/>
      <c r="P185" s="52"/>
    </row>
    <row r="186" spans="2:16" ht="12.75">
      <c r="B186" s="14">
        <v>182</v>
      </c>
      <c r="C186" s="28" t="str">
        <f>IF(Coureurs!C186="","",Coureurs!C186)</f>
        <v/>
      </c>
      <c r="D186" s="131" t="str">
        <f>IF(Coureurs!D186="","",Coureurs!D186)</f>
        <v>70</v>
      </c>
      <c r="E186" s="87" t="str">
        <f>IF(Coureurs!F186="","",Coureurs!F186)</f>
        <v/>
      </c>
      <c r="F186" s="87" t="str">
        <f>IF(Coureurs!G186="","",Coureurs!G186)</f>
        <v/>
      </c>
      <c r="G186" s="50" t="str">
        <f>IF(Coureurs!J186="","",Coureurs!J186)</f>
        <v/>
      </c>
      <c r="H186" s="25"/>
      <c r="I186" s="41"/>
      <c r="J186" s="8" t="str">
        <f>IF(I186="PM","",IF(H186=0," ",I186-HLOOKUP('Course 1'!H186,'tab1'!$C$3:$N$4,2)))</f>
        <v xml:space="preserve"> </v>
      </c>
      <c r="K186" s="23" t="str">
        <f>IF(I186="PM","",IF(H186=0," ",J186/'Règles et points'!$F$23))</f>
        <v xml:space="preserve"> </v>
      </c>
      <c r="L186" s="3" t="str">
        <f>IF(H186=0,"",VLOOKUP(H186,'Règles et points'!$C$5:$AG$19,(HLOOKUP('Course 1'!C186,'Règles et points'!$C$5:$AG$5,1)+1)))</f>
        <v/>
      </c>
      <c r="M186" s="23">
        <f t="shared" si="3"/>
        <v>0</v>
      </c>
      <c r="N186" s="80"/>
      <c r="O186" s="51"/>
      <c r="P186" s="52"/>
    </row>
    <row r="187" spans="2:16" ht="12.75">
      <c r="B187" s="14">
        <v>183</v>
      </c>
      <c r="C187" s="28" t="str">
        <f>IF(Coureurs!C187="","",Coureurs!C187)</f>
        <v/>
      </c>
      <c r="D187" s="131" t="str">
        <f>IF(Coureurs!D187="","",Coureurs!D187)</f>
        <v>70</v>
      </c>
      <c r="E187" s="87" t="str">
        <f>IF(Coureurs!F187="","",Coureurs!F187)</f>
        <v/>
      </c>
      <c r="F187" s="87" t="str">
        <f>IF(Coureurs!G187="","",Coureurs!G187)</f>
        <v/>
      </c>
      <c r="G187" s="50" t="str">
        <f>IF(Coureurs!J187="","",Coureurs!J187)</f>
        <v/>
      </c>
      <c r="H187" s="25"/>
      <c r="I187" s="41"/>
      <c r="J187" s="8" t="str">
        <f>IF(I187="PM","",IF(H187=0," ",I187-HLOOKUP('Course 1'!H187,'tab1'!$C$3:$N$4,2)))</f>
        <v xml:space="preserve"> </v>
      </c>
      <c r="K187" s="23" t="str">
        <f>IF(I187="PM","",IF(H187=0," ",J187/'Règles et points'!$F$23))</f>
        <v xml:space="preserve"> </v>
      </c>
      <c r="L187" s="3" t="str">
        <f>IF(H187=0,"",VLOOKUP(H187,'Règles et points'!$C$5:$AG$19,(HLOOKUP('Course 1'!C187,'Règles et points'!$C$5:$AG$5,1)+1)))</f>
        <v/>
      </c>
      <c r="M187" s="23">
        <f t="shared" si="3"/>
        <v>0</v>
      </c>
      <c r="N187" s="80"/>
      <c r="O187" s="51"/>
      <c r="P187" s="52"/>
    </row>
    <row r="188" spans="2:16" ht="12.75">
      <c r="B188" s="14">
        <v>184</v>
      </c>
      <c r="C188" s="28" t="str">
        <f>IF(Coureurs!C188="","",Coureurs!C188)</f>
        <v/>
      </c>
      <c r="D188" s="131" t="str">
        <f>IF(Coureurs!D188="","",Coureurs!D188)</f>
        <v>70</v>
      </c>
      <c r="E188" s="87" t="str">
        <f>IF(Coureurs!F188="","",Coureurs!F188)</f>
        <v/>
      </c>
      <c r="F188" s="87" t="str">
        <f>IF(Coureurs!G188="","",Coureurs!G188)</f>
        <v/>
      </c>
      <c r="G188" s="50" t="str">
        <f>IF(Coureurs!J188="","",Coureurs!J188)</f>
        <v/>
      </c>
      <c r="H188" s="25"/>
      <c r="I188" s="41"/>
      <c r="J188" s="8" t="str">
        <f>IF(I188="PM","",IF(H188=0," ",I188-HLOOKUP('Course 1'!H188,'tab1'!$C$3:$N$4,2)))</f>
        <v xml:space="preserve"> </v>
      </c>
      <c r="K188" s="23" t="str">
        <f>IF(I188="PM","",IF(H188=0," ",J188/'Règles et points'!$F$23))</f>
        <v xml:space="preserve"> </v>
      </c>
      <c r="L188" s="3" t="str">
        <f>IF(H188=0,"",VLOOKUP(H188,'Règles et points'!$C$5:$AG$19,(HLOOKUP('Course 1'!C188,'Règles et points'!$C$5:$AG$5,1)+1)))</f>
        <v/>
      </c>
      <c r="M188" s="23">
        <f t="shared" si="3"/>
        <v>0</v>
      </c>
      <c r="N188" s="80"/>
      <c r="O188" s="51"/>
      <c r="P188" s="52"/>
    </row>
    <row r="189" spans="2:16" ht="12.75">
      <c r="B189" s="14">
        <v>185</v>
      </c>
      <c r="C189" s="28" t="str">
        <f>IF(Coureurs!C189="","",Coureurs!C189)</f>
        <v/>
      </c>
      <c r="D189" s="131" t="str">
        <f>IF(Coureurs!D189="","",Coureurs!D189)</f>
        <v>70</v>
      </c>
      <c r="E189" s="87" t="str">
        <f>IF(Coureurs!F189="","",Coureurs!F189)</f>
        <v/>
      </c>
      <c r="F189" s="87" t="str">
        <f>IF(Coureurs!G189="","",Coureurs!G189)</f>
        <v/>
      </c>
      <c r="G189" s="50" t="str">
        <f>IF(Coureurs!J189="","",Coureurs!J189)</f>
        <v/>
      </c>
      <c r="H189" s="25"/>
      <c r="I189" s="41"/>
      <c r="J189" s="8" t="str">
        <f>IF(I189="PM","",IF(H189=0," ",I189-HLOOKUP('Course 1'!H189,'tab1'!$C$3:$N$4,2)))</f>
        <v xml:space="preserve"> </v>
      </c>
      <c r="K189" s="23" t="str">
        <f>IF(I189="PM","",IF(H189=0," ",J189/'Règles et points'!$F$23))</f>
        <v xml:space="preserve"> </v>
      </c>
      <c r="L189" s="3" t="str">
        <f>IF(H189=0,"",VLOOKUP(H189,'Règles et points'!$C$5:$AG$19,(HLOOKUP('Course 1'!C189,'Règles et points'!$C$5:$AG$5,1)+1)))</f>
        <v/>
      </c>
      <c r="M189" s="23">
        <f t="shared" si="3"/>
        <v>0</v>
      </c>
      <c r="N189" s="80"/>
      <c r="O189" s="51"/>
      <c r="P189" s="52"/>
    </row>
    <row r="190" spans="2:16" ht="12.75">
      <c r="B190" s="14">
        <v>186</v>
      </c>
      <c r="C190" s="28" t="str">
        <f>IF(Coureurs!C190="","",Coureurs!C190)</f>
        <v/>
      </c>
      <c r="D190" s="131" t="str">
        <f>IF(Coureurs!D190="","",Coureurs!D190)</f>
        <v>70</v>
      </c>
      <c r="E190" s="87" t="str">
        <f>IF(Coureurs!F190="","",Coureurs!F190)</f>
        <v/>
      </c>
      <c r="F190" s="87" t="str">
        <f>IF(Coureurs!G190="","",Coureurs!G190)</f>
        <v/>
      </c>
      <c r="G190" s="50" t="str">
        <f>IF(Coureurs!J190="","",Coureurs!J190)</f>
        <v/>
      </c>
      <c r="H190" s="25"/>
      <c r="I190" s="41"/>
      <c r="J190" s="8" t="str">
        <f>IF(I190="PM","",IF(H190=0," ",I190-HLOOKUP('Course 1'!H190,'tab1'!$C$3:$N$4,2)))</f>
        <v xml:space="preserve"> </v>
      </c>
      <c r="K190" s="23" t="str">
        <f>IF(I190="PM","",IF(H190=0," ",J190/'Règles et points'!$F$23))</f>
        <v xml:space="preserve"> </v>
      </c>
      <c r="L190" s="3" t="str">
        <f>IF(H190=0,"",VLOOKUP(H190,'Règles et points'!$C$5:$AG$19,(HLOOKUP('Course 1'!C190,'Règles et points'!$C$5:$AG$5,1)+1)))</f>
        <v/>
      </c>
      <c r="M190" s="23">
        <f t="shared" si="3"/>
        <v>0</v>
      </c>
      <c r="N190" s="80"/>
      <c r="O190" s="51"/>
      <c r="P190" s="52"/>
    </row>
    <row r="191" spans="2:16" ht="12.75">
      <c r="B191" s="14">
        <v>187</v>
      </c>
      <c r="C191" s="28" t="str">
        <f>IF(Coureurs!C191="","",Coureurs!C191)</f>
        <v/>
      </c>
      <c r="D191" s="131" t="str">
        <f>IF(Coureurs!D191="","",Coureurs!D191)</f>
        <v>70</v>
      </c>
      <c r="E191" s="87" t="str">
        <f>IF(Coureurs!F191="","",Coureurs!F191)</f>
        <v/>
      </c>
      <c r="F191" s="87" t="str">
        <f>IF(Coureurs!G191="","",Coureurs!G191)</f>
        <v/>
      </c>
      <c r="G191" s="50" t="str">
        <f>IF(Coureurs!J191="","",Coureurs!J191)</f>
        <v/>
      </c>
      <c r="H191" s="25"/>
      <c r="I191" s="41"/>
      <c r="J191" s="8" t="str">
        <f>IF(I191="PM","",IF(H191=0," ",I191-HLOOKUP('Course 1'!H191,'tab1'!$C$3:$N$4,2)))</f>
        <v xml:space="preserve"> </v>
      </c>
      <c r="K191" s="23" t="str">
        <f>IF(I191="PM","",IF(H191=0," ",J191/'Règles et points'!$F$23))</f>
        <v xml:space="preserve"> </v>
      </c>
      <c r="L191" s="3" t="str">
        <f>IF(H191=0,"",VLOOKUP(H191,'Règles et points'!$C$5:$AG$19,(HLOOKUP('Course 1'!C191,'Règles et points'!$C$5:$AG$5,1)+1)))</f>
        <v/>
      </c>
      <c r="M191" s="23">
        <f t="shared" si="3"/>
        <v>0</v>
      </c>
      <c r="N191" s="80"/>
      <c r="O191" s="51"/>
      <c r="P191" s="52"/>
    </row>
    <row r="192" spans="2:16" ht="12.75">
      <c r="B192" s="14">
        <v>188</v>
      </c>
      <c r="C192" s="28" t="str">
        <f>IF(Coureurs!C192="","",Coureurs!C192)</f>
        <v/>
      </c>
      <c r="D192" s="131" t="str">
        <f>IF(Coureurs!D192="","",Coureurs!D192)</f>
        <v>70</v>
      </c>
      <c r="E192" s="87" t="str">
        <f>IF(Coureurs!F192="","",Coureurs!F192)</f>
        <v/>
      </c>
      <c r="F192" s="87" t="str">
        <f>IF(Coureurs!G192="","",Coureurs!G192)</f>
        <v/>
      </c>
      <c r="G192" s="50" t="str">
        <f>IF(Coureurs!J192="","",Coureurs!J192)</f>
        <v/>
      </c>
      <c r="H192" s="25"/>
      <c r="I192" s="41"/>
      <c r="J192" s="8" t="str">
        <f>IF(I192="PM","",IF(H192=0," ",I192-HLOOKUP('Course 1'!H192,'tab1'!$C$3:$N$4,2)))</f>
        <v xml:space="preserve"> </v>
      </c>
      <c r="K192" s="23" t="str">
        <f>IF(I192="PM","",IF(H192=0," ",J192/'Règles et points'!$F$23))</f>
        <v xml:space="preserve"> </v>
      </c>
      <c r="L192" s="3" t="str">
        <f>IF(H192=0,"",VLOOKUP(H192,'Règles et points'!$C$5:$AG$19,(HLOOKUP('Course 1'!C192,'Règles et points'!$C$5:$AG$5,1)+1)))</f>
        <v/>
      </c>
      <c r="M192" s="23">
        <f t="shared" si="3"/>
        <v>0</v>
      </c>
      <c r="N192" s="80"/>
      <c r="O192" s="51"/>
      <c r="P192" s="52"/>
    </row>
    <row r="193" spans="2:16" ht="12.75">
      <c r="B193" s="14">
        <v>189</v>
      </c>
      <c r="C193" s="28" t="str">
        <f>IF(Coureurs!C193="","",Coureurs!C193)</f>
        <v/>
      </c>
      <c r="D193" s="131" t="str">
        <f>IF(Coureurs!D193="","",Coureurs!D193)</f>
        <v>70</v>
      </c>
      <c r="E193" s="87" t="str">
        <f>IF(Coureurs!F193="","",Coureurs!F193)</f>
        <v/>
      </c>
      <c r="F193" s="87" t="str">
        <f>IF(Coureurs!G193="","",Coureurs!G193)</f>
        <v/>
      </c>
      <c r="G193" s="50" t="str">
        <f>IF(Coureurs!J193="","",Coureurs!J193)</f>
        <v/>
      </c>
      <c r="H193" s="25"/>
      <c r="I193" s="41"/>
      <c r="J193" s="8" t="str">
        <f>IF(I193="PM","",IF(H193=0," ",I193-HLOOKUP('Course 1'!H193,'tab1'!$C$3:$N$4,2)))</f>
        <v xml:space="preserve"> </v>
      </c>
      <c r="K193" s="23" t="str">
        <f>IF(I193="PM","",IF(H193=0," ",J193/'Règles et points'!$F$23))</f>
        <v xml:space="preserve"> </v>
      </c>
      <c r="L193" s="3" t="str">
        <f>IF(H193=0,"",VLOOKUP(H193,'Règles et points'!$C$5:$AG$19,(HLOOKUP('Course 1'!C193,'Règles et points'!$C$5:$AG$5,1)+1)))</f>
        <v/>
      </c>
      <c r="M193" s="23">
        <f t="shared" si="3"/>
        <v>0</v>
      </c>
      <c r="N193" s="80"/>
      <c r="O193" s="51"/>
      <c r="P193" s="52"/>
    </row>
    <row r="194" spans="2:16" ht="12.75">
      <c r="B194" s="14">
        <v>190</v>
      </c>
      <c r="C194" s="28" t="str">
        <f>IF(Coureurs!C194="","",Coureurs!C194)</f>
        <v/>
      </c>
      <c r="D194" s="131" t="str">
        <f>IF(Coureurs!D194="","",Coureurs!D194)</f>
        <v>70</v>
      </c>
      <c r="E194" s="87" t="str">
        <f>IF(Coureurs!F194="","",Coureurs!F194)</f>
        <v/>
      </c>
      <c r="F194" s="87" t="str">
        <f>IF(Coureurs!G194="","",Coureurs!G194)</f>
        <v/>
      </c>
      <c r="G194" s="50" t="str">
        <f>IF(Coureurs!J194="","",Coureurs!J194)</f>
        <v/>
      </c>
      <c r="H194" s="25"/>
      <c r="I194" s="41"/>
      <c r="J194" s="8" t="str">
        <f>IF(I194="PM","",IF(H194=0," ",I194-HLOOKUP('Course 1'!H194,'tab1'!$C$3:$N$4,2)))</f>
        <v xml:space="preserve"> </v>
      </c>
      <c r="K194" s="23" t="str">
        <f>IF(I194="PM","",IF(H194=0," ",J194/'Règles et points'!$F$23))</f>
        <v xml:space="preserve"> </v>
      </c>
      <c r="L194" s="3" t="str">
        <f>IF(H194=0,"",VLOOKUP(H194,'Règles et points'!$C$5:$AG$19,(HLOOKUP('Course 1'!C194,'Règles et points'!$C$5:$AG$5,1)+1)))</f>
        <v/>
      </c>
      <c r="M194" s="23">
        <f t="shared" si="3"/>
        <v>0</v>
      </c>
      <c r="N194" s="80"/>
      <c r="O194" s="51"/>
      <c r="P194" s="52"/>
    </row>
    <row r="195" spans="2:16" ht="12.75">
      <c r="B195" s="14">
        <v>191</v>
      </c>
      <c r="C195" s="28" t="str">
        <f>IF(Coureurs!C195="","",Coureurs!C195)</f>
        <v/>
      </c>
      <c r="D195" s="131" t="str">
        <f>IF(Coureurs!D195="","",Coureurs!D195)</f>
        <v>70</v>
      </c>
      <c r="E195" s="87" t="str">
        <f>IF(Coureurs!F195="","",Coureurs!F195)</f>
        <v/>
      </c>
      <c r="F195" s="87" t="str">
        <f>IF(Coureurs!G195="","",Coureurs!G195)</f>
        <v/>
      </c>
      <c r="G195" s="50" t="str">
        <f>IF(Coureurs!J195="","",Coureurs!J195)</f>
        <v/>
      </c>
      <c r="H195" s="25"/>
      <c r="I195" s="41"/>
      <c r="J195" s="8" t="str">
        <f>IF(I195="PM","",IF(H195=0," ",I195-HLOOKUP('Course 1'!H195,'tab1'!$C$3:$N$4,2)))</f>
        <v xml:space="preserve"> </v>
      </c>
      <c r="K195" s="23" t="str">
        <f>IF(I195="PM","",IF(H195=0," ",J195/'Règles et points'!$F$23))</f>
        <v xml:space="preserve"> </v>
      </c>
      <c r="L195" s="3" t="str">
        <f>IF(H195=0,"",VLOOKUP(H195,'Règles et points'!$C$5:$AG$19,(HLOOKUP('Course 1'!C195,'Règles et points'!$C$5:$AG$5,1)+1)))</f>
        <v/>
      </c>
      <c r="M195" s="23">
        <f t="shared" si="3"/>
        <v>0</v>
      </c>
      <c r="N195" s="80"/>
      <c r="O195" s="51"/>
      <c r="P195" s="52"/>
    </row>
    <row r="196" spans="2:16" ht="12.75">
      <c r="B196" s="14">
        <v>192</v>
      </c>
      <c r="C196" s="28" t="str">
        <f>IF(Coureurs!C196="","",Coureurs!C196)</f>
        <v/>
      </c>
      <c r="D196" s="131" t="str">
        <f>IF(Coureurs!D196="","",Coureurs!D196)</f>
        <v>70</v>
      </c>
      <c r="E196" s="87" t="str">
        <f>IF(Coureurs!F196="","",Coureurs!F196)</f>
        <v/>
      </c>
      <c r="F196" s="87" t="str">
        <f>IF(Coureurs!G196="","",Coureurs!G196)</f>
        <v/>
      </c>
      <c r="G196" s="50" t="str">
        <f>IF(Coureurs!J196="","",Coureurs!J196)</f>
        <v/>
      </c>
      <c r="H196" s="25"/>
      <c r="I196" s="41"/>
      <c r="J196" s="8" t="str">
        <f>IF(I196="PM","",IF(H196=0," ",I196-HLOOKUP('Course 1'!H196,'tab1'!$C$3:$N$4,2)))</f>
        <v xml:space="preserve"> </v>
      </c>
      <c r="K196" s="23" t="str">
        <f>IF(I196="PM","",IF(H196=0," ",J196/'Règles et points'!$F$23))</f>
        <v xml:space="preserve"> </v>
      </c>
      <c r="L196" s="3" t="str">
        <f>IF(H196=0,"",VLOOKUP(H196,'Règles et points'!$C$5:$AG$19,(HLOOKUP('Course 1'!C196,'Règles et points'!$C$5:$AG$5,1)+1)))</f>
        <v/>
      </c>
      <c r="M196" s="23">
        <f t="shared" si="3"/>
        <v>0</v>
      </c>
      <c r="N196" s="80"/>
      <c r="O196" s="51"/>
      <c r="P196" s="52"/>
    </row>
    <row r="197" spans="2:16" ht="12.75">
      <c r="B197" s="14">
        <v>193</v>
      </c>
      <c r="C197" s="28" t="str">
        <f>IF(Coureurs!C197="","",Coureurs!C197)</f>
        <v/>
      </c>
      <c r="D197" s="131" t="str">
        <f>IF(Coureurs!D197="","",Coureurs!D197)</f>
        <v>70</v>
      </c>
      <c r="E197" s="87" t="str">
        <f>IF(Coureurs!F197="","",Coureurs!F197)</f>
        <v/>
      </c>
      <c r="F197" s="87" t="str">
        <f>IF(Coureurs!G197="","",Coureurs!G197)</f>
        <v/>
      </c>
      <c r="G197" s="50" t="str">
        <f>IF(Coureurs!J197="","",Coureurs!J197)</f>
        <v/>
      </c>
      <c r="H197" s="25"/>
      <c r="I197" s="41"/>
      <c r="J197" s="8" t="str">
        <f>IF(I197="PM","",IF(H197=0," ",I197-HLOOKUP('Course 1'!H197,'tab1'!$C$3:$N$4,2)))</f>
        <v xml:space="preserve"> </v>
      </c>
      <c r="K197" s="23" t="str">
        <f>IF(I197="PM","",IF(H197=0," ",J197/'Règles et points'!$F$23))</f>
        <v xml:space="preserve"> </v>
      </c>
      <c r="L197" s="3" t="str">
        <f>IF(H197=0,"",VLOOKUP(H197,'Règles et points'!$C$5:$AG$19,(HLOOKUP('Course 1'!C197,'Règles et points'!$C$5:$AG$5,1)+1)))</f>
        <v/>
      </c>
      <c r="M197" s="23">
        <f t="shared" si="3"/>
        <v>0</v>
      </c>
      <c r="N197" s="80"/>
      <c r="O197" s="51"/>
      <c r="P197" s="52"/>
    </row>
    <row r="198" spans="2:16" ht="12.75">
      <c r="B198" s="14">
        <v>194</v>
      </c>
      <c r="C198" s="28" t="str">
        <f>IF(Coureurs!C198="","",Coureurs!C198)</f>
        <v/>
      </c>
      <c r="D198" s="131" t="str">
        <f>IF(Coureurs!D198="","",Coureurs!D198)</f>
        <v>70</v>
      </c>
      <c r="E198" s="87" t="str">
        <f>IF(Coureurs!F198="","",Coureurs!F198)</f>
        <v/>
      </c>
      <c r="F198" s="87" t="str">
        <f>IF(Coureurs!G198="","",Coureurs!G198)</f>
        <v/>
      </c>
      <c r="G198" s="50" t="str">
        <f>IF(Coureurs!J198="","",Coureurs!J198)</f>
        <v/>
      </c>
      <c r="H198" s="25"/>
      <c r="I198" s="41"/>
      <c r="J198" s="8" t="str">
        <f>IF(I198="PM","",IF(H198=0," ",I198-HLOOKUP('Course 1'!H198,'tab1'!$C$3:$N$4,2)))</f>
        <v xml:space="preserve"> </v>
      </c>
      <c r="K198" s="23" t="str">
        <f>IF(I198="PM","",IF(H198=0," ",J198/'Règles et points'!$F$23))</f>
        <v xml:space="preserve"> </v>
      </c>
      <c r="L198" s="3" t="str">
        <f>IF(H198=0,"",VLOOKUP(H198,'Règles et points'!$C$5:$AG$19,(HLOOKUP('Course 1'!C198,'Règles et points'!$C$5:$AG$5,1)+1)))</f>
        <v/>
      </c>
      <c r="M198" s="23">
        <f t="shared" ref="M198:M261" si="4">IF(I198="PM",30,IF(H198=0,0,L198-K198))+N198</f>
        <v>0</v>
      </c>
      <c r="N198" s="80"/>
      <c r="O198" s="51"/>
      <c r="P198" s="52"/>
    </row>
    <row r="199" spans="2:16" ht="12.75">
      <c r="B199" s="14">
        <v>195</v>
      </c>
      <c r="C199" s="28" t="str">
        <f>IF(Coureurs!C199="","",Coureurs!C199)</f>
        <v/>
      </c>
      <c r="D199" s="131" t="str">
        <f>IF(Coureurs!D199="","",Coureurs!D199)</f>
        <v>70</v>
      </c>
      <c r="E199" s="87" t="str">
        <f>IF(Coureurs!F199="","",Coureurs!F199)</f>
        <v/>
      </c>
      <c r="F199" s="87" t="str">
        <f>IF(Coureurs!G199="","",Coureurs!G199)</f>
        <v/>
      </c>
      <c r="G199" s="50" t="str">
        <f>IF(Coureurs!J199="","",Coureurs!J199)</f>
        <v/>
      </c>
      <c r="H199" s="25"/>
      <c r="I199" s="41"/>
      <c r="J199" s="8" t="str">
        <f>IF(I199="PM","",IF(H199=0," ",I199-HLOOKUP('Course 1'!H199,'tab1'!$C$3:$N$4,2)))</f>
        <v xml:space="preserve"> </v>
      </c>
      <c r="K199" s="23" t="str">
        <f>IF(I199="PM","",IF(H199=0," ",J199/'Règles et points'!$F$23))</f>
        <v xml:space="preserve"> </v>
      </c>
      <c r="L199" s="3" t="str">
        <f>IF(H199=0,"",VLOOKUP(H199,'Règles et points'!$C$5:$AG$19,(HLOOKUP('Course 1'!C199,'Règles et points'!$C$5:$AG$5,1)+1)))</f>
        <v/>
      </c>
      <c r="M199" s="23">
        <f t="shared" si="4"/>
        <v>0</v>
      </c>
      <c r="N199" s="80"/>
      <c r="O199" s="51"/>
      <c r="P199" s="52"/>
    </row>
    <row r="200" spans="2:16" ht="12.75">
      <c r="B200" s="14">
        <v>196</v>
      </c>
      <c r="C200" s="28" t="str">
        <f>IF(Coureurs!C200="","",Coureurs!C200)</f>
        <v/>
      </c>
      <c r="D200" s="131" t="str">
        <f>IF(Coureurs!D200="","",Coureurs!D200)</f>
        <v>70</v>
      </c>
      <c r="E200" s="87" t="str">
        <f>IF(Coureurs!F200="","",Coureurs!F200)</f>
        <v/>
      </c>
      <c r="F200" s="87" t="str">
        <f>IF(Coureurs!G200="","",Coureurs!G200)</f>
        <v/>
      </c>
      <c r="G200" s="50" t="str">
        <f>IF(Coureurs!J200="","",Coureurs!J200)</f>
        <v/>
      </c>
      <c r="H200" s="25"/>
      <c r="I200" s="41"/>
      <c r="J200" s="8" t="str">
        <f>IF(I200="PM","",IF(H200=0," ",I200-HLOOKUP('Course 1'!H200,'tab1'!$C$3:$N$4,2)))</f>
        <v xml:space="preserve"> </v>
      </c>
      <c r="K200" s="23" t="str">
        <f>IF(I200="PM","",IF(H200=0," ",J200/'Règles et points'!$F$23))</f>
        <v xml:space="preserve"> </v>
      </c>
      <c r="L200" s="3" t="str">
        <f>IF(H200=0,"",VLOOKUP(H200,'Règles et points'!$C$5:$AG$19,(HLOOKUP('Course 1'!C200,'Règles et points'!$C$5:$AG$5,1)+1)))</f>
        <v/>
      </c>
      <c r="M200" s="23">
        <f t="shared" si="4"/>
        <v>0</v>
      </c>
      <c r="N200" s="80"/>
      <c r="O200" s="51"/>
      <c r="P200" s="52"/>
    </row>
    <row r="201" spans="2:16" ht="12.75">
      <c r="B201" s="14">
        <v>197</v>
      </c>
      <c r="C201" s="28" t="str">
        <f>IF(Coureurs!C201="","",Coureurs!C201)</f>
        <v/>
      </c>
      <c r="D201" s="131" t="str">
        <f>IF(Coureurs!D201="","",Coureurs!D201)</f>
        <v>70</v>
      </c>
      <c r="E201" s="87" t="str">
        <f>IF(Coureurs!F201="","",Coureurs!F201)</f>
        <v/>
      </c>
      <c r="F201" s="87" t="str">
        <f>IF(Coureurs!G201="","",Coureurs!G201)</f>
        <v/>
      </c>
      <c r="G201" s="50" t="str">
        <f>IF(Coureurs!J201="","",Coureurs!J201)</f>
        <v/>
      </c>
      <c r="H201" s="25"/>
      <c r="I201" s="41"/>
      <c r="J201" s="8" t="str">
        <f>IF(I201="PM","",IF(H201=0," ",I201-HLOOKUP('Course 1'!H201,'tab1'!$C$3:$N$4,2)))</f>
        <v xml:space="preserve"> </v>
      </c>
      <c r="K201" s="23" t="str">
        <f>IF(I201="PM","",IF(H201=0," ",J201/'Règles et points'!$F$23))</f>
        <v xml:space="preserve"> </v>
      </c>
      <c r="L201" s="3" t="str">
        <f>IF(H201=0,"",VLOOKUP(H201,'Règles et points'!$C$5:$AG$19,(HLOOKUP('Course 1'!C201,'Règles et points'!$C$5:$AG$5,1)+1)))</f>
        <v/>
      </c>
      <c r="M201" s="23">
        <f t="shared" si="4"/>
        <v>0</v>
      </c>
      <c r="N201" s="80"/>
      <c r="O201" s="51"/>
      <c r="P201" s="52"/>
    </row>
    <row r="202" spans="2:16" ht="12.75">
      <c r="B202" s="14">
        <v>198</v>
      </c>
      <c r="C202" s="28" t="str">
        <f>IF(Coureurs!C202="","",Coureurs!C202)</f>
        <v/>
      </c>
      <c r="D202" s="131" t="str">
        <f>IF(Coureurs!D202="","",Coureurs!D202)</f>
        <v>70</v>
      </c>
      <c r="E202" s="87" t="str">
        <f>IF(Coureurs!F202="","",Coureurs!F202)</f>
        <v/>
      </c>
      <c r="F202" s="87" t="str">
        <f>IF(Coureurs!G202="","",Coureurs!G202)</f>
        <v/>
      </c>
      <c r="G202" s="50" t="str">
        <f>IF(Coureurs!J202="","",Coureurs!J202)</f>
        <v/>
      </c>
      <c r="H202" s="25"/>
      <c r="I202" s="41"/>
      <c r="J202" s="8" t="str">
        <f>IF(I202="PM","",IF(H202=0," ",I202-HLOOKUP('Course 1'!H202,'tab1'!$C$3:$N$4,2)))</f>
        <v xml:space="preserve"> </v>
      </c>
      <c r="K202" s="23" t="str">
        <f>IF(I202="PM","",IF(H202=0," ",J202/'Règles et points'!$F$23))</f>
        <v xml:space="preserve"> </v>
      </c>
      <c r="L202" s="3" t="str">
        <f>IF(H202=0,"",VLOOKUP(H202,'Règles et points'!$C$5:$AG$19,(HLOOKUP('Course 1'!C202,'Règles et points'!$C$5:$AG$5,1)+1)))</f>
        <v/>
      </c>
      <c r="M202" s="23">
        <f t="shared" si="4"/>
        <v>0</v>
      </c>
      <c r="N202" s="80"/>
      <c r="O202" s="51"/>
      <c r="P202" s="52"/>
    </row>
    <row r="203" spans="2:16" ht="12.75">
      <c r="B203" s="14">
        <v>199</v>
      </c>
      <c r="C203" s="28" t="str">
        <f>IF(Coureurs!C203="","",Coureurs!C203)</f>
        <v/>
      </c>
      <c r="D203" s="131" t="str">
        <f>IF(Coureurs!D203="","",Coureurs!D203)</f>
        <v>70</v>
      </c>
      <c r="E203" s="87" t="str">
        <f>IF(Coureurs!F203="","",Coureurs!F203)</f>
        <v/>
      </c>
      <c r="F203" s="87" t="str">
        <f>IF(Coureurs!G203="","",Coureurs!G203)</f>
        <v/>
      </c>
      <c r="G203" s="50" t="str">
        <f>IF(Coureurs!J203="","",Coureurs!J203)</f>
        <v/>
      </c>
      <c r="H203" s="25"/>
      <c r="I203" s="41"/>
      <c r="J203" s="8" t="str">
        <f>IF(I203="PM","",IF(H203=0," ",I203-HLOOKUP('Course 1'!H203,'tab1'!$C$3:$N$4,2)))</f>
        <v xml:space="preserve"> </v>
      </c>
      <c r="K203" s="23" t="str">
        <f>IF(I203="PM","",IF(H203=0," ",J203/'Règles et points'!$F$23))</f>
        <v xml:space="preserve"> </v>
      </c>
      <c r="L203" s="3" t="str">
        <f>IF(H203=0,"",VLOOKUP(H203,'Règles et points'!$C$5:$AG$19,(HLOOKUP('Course 1'!C203,'Règles et points'!$C$5:$AG$5,1)+1)))</f>
        <v/>
      </c>
      <c r="M203" s="23">
        <f t="shared" si="4"/>
        <v>0</v>
      </c>
      <c r="N203" s="80"/>
      <c r="O203" s="51"/>
      <c r="P203" s="52"/>
    </row>
    <row r="204" spans="2:16" ht="12.75">
      <c r="B204" s="14">
        <v>200</v>
      </c>
      <c r="C204" s="28" t="str">
        <f>IF(Coureurs!C204="","",Coureurs!C204)</f>
        <v/>
      </c>
      <c r="D204" s="131" t="str">
        <f>IF(Coureurs!D204="","",Coureurs!D204)</f>
        <v>70</v>
      </c>
      <c r="E204" s="87" t="str">
        <f>IF(Coureurs!F204="","",Coureurs!F204)</f>
        <v/>
      </c>
      <c r="F204" s="87" t="str">
        <f>IF(Coureurs!G204="","",Coureurs!G204)</f>
        <v/>
      </c>
      <c r="G204" s="50" t="str">
        <f>IF(Coureurs!J204="","",Coureurs!J204)</f>
        <v/>
      </c>
      <c r="H204" s="25"/>
      <c r="I204" s="41"/>
      <c r="J204" s="8" t="str">
        <f>IF(I204="PM","",IF(H204=0," ",I204-HLOOKUP('Course 1'!H204,'tab1'!$C$3:$N$4,2)))</f>
        <v xml:space="preserve"> </v>
      </c>
      <c r="K204" s="23" t="str">
        <f>IF(I204="PM","",IF(H204=0," ",J204/'Règles et points'!$F$23))</f>
        <v xml:space="preserve"> </v>
      </c>
      <c r="L204" s="3" t="str">
        <f>IF(H204=0,"",VLOOKUP(H204,'Règles et points'!$C$5:$AG$19,(HLOOKUP('Course 1'!C204,'Règles et points'!$C$5:$AG$5,1)+1)))</f>
        <v/>
      </c>
      <c r="M204" s="23">
        <f t="shared" si="4"/>
        <v>0</v>
      </c>
      <c r="N204" s="80"/>
      <c r="O204" s="51"/>
      <c r="P204" s="52"/>
    </row>
    <row r="205" spans="2:16" ht="12.75">
      <c r="B205" s="14">
        <v>201</v>
      </c>
      <c r="C205" s="28" t="str">
        <f>IF(Coureurs!C205="","",Coureurs!C205)</f>
        <v/>
      </c>
      <c r="D205" s="131" t="str">
        <f>IF(Coureurs!D205="","",Coureurs!D205)</f>
        <v>70</v>
      </c>
      <c r="E205" s="87" t="str">
        <f>IF(Coureurs!F205="","",Coureurs!F205)</f>
        <v/>
      </c>
      <c r="F205" s="87" t="str">
        <f>IF(Coureurs!G205="","",Coureurs!G205)</f>
        <v/>
      </c>
      <c r="G205" s="50" t="str">
        <f>IF(Coureurs!J205="","",Coureurs!J205)</f>
        <v/>
      </c>
      <c r="H205" s="25"/>
      <c r="I205" s="41"/>
      <c r="J205" s="8" t="str">
        <f>IF(I205="PM","",IF(H205=0," ",I205-HLOOKUP('Course 1'!H205,'tab1'!$C$3:$N$4,2)))</f>
        <v xml:space="preserve"> </v>
      </c>
      <c r="K205" s="23" t="str">
        <f>IF(I205="PM","",IF(H205=0," ",J205/'Règles et points'!$F$23))</f>
        <v xml:space="preserve"> </v>
      </c>
      <c r="L205" s="3" t="str">
        <f>IF(H205=0,"",VLOOKUP(H205,'Règles et points'!$C$5:$AG$19,(HLOOKUP('Course 1'!C205,'Règles et points'!$C$5:$AG$5,1)+1)))</f>
        <v/>
      </c>
      <c r="M205" s="23">
        <f t="shared" si="4"/>
        <v>0</v>
      </c>
      <c r="N205" s="80"/>
      <c r="O205" s="51"/>
      <c r="P205" s="52"/>
    </row>
    <row r="206" spans="2:16" ht="12.75">
      <c r="B206" s="14">
        <v>202</v>
      </c>
      <c r="C206" s="28" t="str">
        <f>IF(Coureurs!C206="","",Coureurs!C206)</f>
        <v/>
      </c>
      <c r="D206" s="131" t="str">
        <f>IF(Coureurs!D206="","",Coureurs!D206)</f>
        <v>70</v>
      </c>
      <c r="E206" s="87" t="str">
        <f>IF(Coureurs!F206="","",Coureurs!F206)</f>
        <v/>
      </c>
      <c r="F206" s="87" t="str">
        <f>IF(Coureurs!G206="","",Coureurs!G206)</f>
        <v/>
      </c>
      <c r="G206" s="50" t="str">
        <f>IF(Coureurs!J206="","",Coureurs!J206)</f>
        <v/>
      </c>
      <c r="H206" s="25"/>
      <c r="I206" s="41"/>
      <c r="J206" s="8" t="str">
        <f>IF(I206="PM","",IF(H206=0," ",I206-HLOOKUP('Course 1'!H206,'tab1'!$C$3:$N$4,2)))</f>
        <v xml:space="preserve"> </v>
      </c>
      <c r="K206" s="23" t="str">
        <f>IF(I206="PM","",IF(H206=0," ",J206/'Règles et points'!$F$23))</f>
        <v xml:space="preserve"> </v>
      </c>
      <c r="L206" s="3" t="str">
        <f>IF(H206=0,"",VLOOKUP(H206,'Règles et points'!$C$5:$AG$19,(HLOOKUP('Course 1'!C206,'Règles et points'!$C$5:$AG$5,1)+1)))</f>
        <v/>
      </c>
      <c r="M206" s="23">
        <f t="shared" si="4"/>
        <v>0</v>
      </c>
      <c r="N206" s="80"/>
      <c r="O206" s="51"/>
      <c r="P206" s="52"/>
    </row>
    <row r="207" spans="2:16" ht="12.75">
      <c r="B207" s="14">
        <v>203</v>
      </c>
      <c r="C207" s="28" t="str">
        <f>IF(Coureurs!C207="","",Coureurs!C207)</f>
        <v/>
      </c>
      <c r="D207" s="131" t="str">
        <f>IF(Coureurs!D207="","",Coureurs!D207)</f>
        <v>70</v>
      </c>
      <c r="E207" s="87" t="str">
        <f>IF(Coureurs!F207="","",Coureurs!F207)</f>
        <v/>
      </c>
      <c r="F207" s="87" t="str">
        <f>IF(Coureurs!G207="","",Coureurs!G207)</f>
        <v/>
      </c>
      <c r="G207" s="50" t="str">
        <f>IF(Coureurs!J207="","",Coureurs!J207)</f>
        <v/>
      </c>
      <c r="H207" s="25"/>
      <c r="I207" s="41"/>
      <c r="J207" s="8" t="str">
        <f>IF(I207="PM","",IF(H207=0," ",I207-HLOOKUP('Course 1'!H207,'tab1'!$C$3:$N$4,2)))</f>
        <v xml:space="preserve"> </v>
      </c>
      <c r="K207" s="23" t="str">
        <f>IF(I207="PM","",IF(H207=0," ",J207/'Règles et points'!$F$23))</f>
        <v xml:space="preserve"> </v>
      </c>
      <c r="L207" s="3" t="str">
        <f>IF(H207=0,"",VLOOKUP(H207,'Règles et points'!$C$5:$AG$19,(HLOOKUP('Course 1'!C207,'Règles et points'!$C$5:$AG$5,1)+1)))</f>
        <v/>
      </c>
      <c r="M207" s="23">
        <f t="shared" si="4"/>
        <v>0</v>
      </c>
      <c r="N207" s="80"/>
      <c r="O207" s="51"/>
      <c r="P207" s="52"/>
    </row>
    <row r="208" spans="2:16" ht="12.75">
      <c r="B208" s="14">
        <v>204</v>
      </c>
      <c r="C208" s="28" t="str">
        <f>IF(Coureurs!C208="","",Coureurs!C208)</f>
        <v/>
      </c>
      <c r="D208" s="131" t="str">
        <f>IF(Coureurs!D208="","",Coureurs!D208)</f>
        <v>70</v>
      </c>
      <c r="E208" s="87" t="str">
        <f>IF(Coureurs!F208="","",Coureurs!F208)</f>
        <v/>
      </c>
      <c r="F208" s="87" t="str">
        <f>IF(Coureurs!G208="","",Coureurs!G208)</f>
        <v/>
      </c>
      <c r="G208" s="50" t="str">
        <f>IF(Coureurs!J208="","",Coureurs!J208)</f>
        <v/>
      </c>
      <c r="H208" s="25"/>
      <c r="I208" s="41"/>
      <c r="J208" s="8" t="str">
        <f>IF(I208="PM","",IF(H208=0," ",I208-HLOOKUP('Course 1'!H208,'tab1'!$C$3:$N$4,2)))</f>
        <v xml:space="preserve"> </v>
      </c>
      <c r="K208" s="23" t="str">
        <f>IF(I208="PM","",IF(H208=0," ",J208/'Règles et points'!$F$23))</f>
        <v xml:space="preserve"> </v>
      </c>
      <c r="L208" s="3" t="str">
        <f>IF(H208=0,"",VLOOKUP(H208,'Règles et points'!$C$5:$AG$19,(HLOOKUP('Course 1'!C208,'Règles et points'!$C$5:$AG$5,1)+1)))</f>
        <v/>
      </c>
      <c r="M208" s="23">
        <f t="shared" si="4"/>
        <v>0</v>
      </c>
      <c r="N208" s="80"/>
      <c r="O208" s="51"/>
      <c r="P208" s="52"/>
    </row>
    <row r="209" spans="2:16" ht="12.75">
      <c r="B209" s="14">
        <v>205</v>
      </c>
      <c r="C209" s="28" t="str">
        <f>IF(Coureurs!C209="","",Coureurs!C209)</f>
        <v/>
      </c>
      <c r="D209" s="131" t="str">
        <f>IF(Coureurs!D209="","",Coureurs!D209)</f>
        <v>70</v>
      </c>
      <c r="E209" s="87" t="str">
        <f>IF(Coureurs!F209="","",Coureurs!F209)</f>
        <v/>
      </c>
      <c r="F209" s="87" t="str">
        <f>IF(Coureurs!G209="","",Coureurs!G209)</f>
        <v/>
      </c>
      <c r="G209" s="50" t="str">
        <f>IF(Coureurs!J209="","",Coureurs!J209)</f>
        <v/>
      </c>
      <c r="H209" s="25"/>
      <c r="I209" s="41"/>
      <c r="J209" s="8" t="str">
        <f>IF(I209="PM","",IF(H209=0," ",I209-HLOOKUP('Course 1'!H209,'tab1'!$C$3:$N$4,2)))</f>
        <v xml:space="preserve"> </v>
      </c>
      <c r="K209" s="23" t="str">
        <f>IF(I209="PM","",IF(H209=0," ",J209/'Règles et points'!$F$23))</f>
        <v xml:space="preserve"> </v>
      </c>
      <c r="L209" s="3" t="str">
        <f>IF(H209=0,"",VLOOKUP(H209,'Règles et points'!$C$5:$AG$19,(HLOOKUP('Course 1'!C209,'Règles et points'!$C$5:$AG$5,1)+1)))</f>
        <v/>
      </c>
      <c r="M209" s="23">
        <f t="shared" si="4"/>
        <v>0</v>
      </c>
      <c r="N209" s="80"/>
      <c r="O209" s="51"/>
      <c r="P209" s="52"/>
    </row>
    <row r="210" spans="2:16" ht="12.75">
      <c r="B210" s="14">
        <v>206</v>
      </c>
      <c r="C210" s="28" t="str">
        <f>IF(Coureurs!C210="","",Coureurs!C210)</f>
        <v/>
      </c>
      <c r="D210" s="131" t="str">
        <f>IF(Coureurs!D210="","",Coureurs!D210)</f>
        <v>70</v>
      </c>
      <c r="E210" s="87" t="str">
        <f>IF(Coureurs!F210="","",Coureurs!F210)</f>
        <v/>
      </c>
      <c r="F210" s="87" t="str">
        <f>IF(Coureurs!G210="","",Coureurs!G210)</f>
        <v/>
      </c>
      <c r="G210" s="50" t="str">
        <f>IF(Coureurs!J210="","",Coureurs!J210)</f>
        <v/>
      </c>
      <c r="H210" s="25"/>
      <c r="I210" s="41"/>
      <c r="J210" s="8" t="str">
        <f>IF(I210="PM","",IF(H210=0," ",I210-HLOOKUP('Course 1'!H210,'tab1'!$C$3:$N$4,2)))</f>
        <v xml:space="preserve"> </v>
      </c>
      <c r="K210" s="23" t="str">
        <f>IF(I210="PM","",IF(H210=0," ",J210/'Règles et points'!$F$23))</f>
        <v xml:space="preserve"> </v>
      </c>
      <c r="L210" s="3" t="str">
        <f>IF(H210=0,"",VLOOKUP(H210,'Règles et points'!$C$5:$AG$19,(HLOOKUP('Course 1'!C210,'Règles et points'!$C$5:$AG$5,1)+1)))</f>
        <v/>
      </c>
      <c r="M210" s="23">
        <f t="shared" si="4"/>
        <v>0</v>
      </c>
      <c r="N210" s="80"/>
      <c r="O210" s="51"/>
      <c r="P210" s="52"/>
    </row>
    <row r="211" spans="2:16" ht="12.75">
      <c r="B211" s="14">
        <v>207</v>
      </c>
      <c r="C211" s="28" t="str">
        <f>IF(Coureurs!C211="","",Coureurs!C211)</f>
        <v/>
      </c>
      <c r="D211" s="131" t="str">
        <f>IF(Coureurs!D211="","",Coureurs!D211)</f>
        <v>70</v>
      </c>
      <c r="E211" s="87" t="str">
        <f>IF(Coureurs!F211="","",Coureurs!F211)</f>
        <v/>
      </c>
      <c r="F211" s="87" t="str">
        <f>IF(Coureurs!G211="","",Coureurs!G211)</f>
        <v/>
      </c>
      <c r="G211" s="50" t="str">
        <f>IF(Coureurs!J211="","",Coureurs!J211)</f>
        <v/>
      </c>
      <c r="H211" s="25"/>
      <c r="I211" s="41"/>
      <c r="J211" s="8" t="str">
        <f>IF(I211="PM","",IF(H211=0," ",I211-HLOOKUP('Course 1'!H211,'tab1'!$C$3:$N$4,2)))</f>
        <v xml:space="preserve"> </v>
      </c>
      <c r="K211" s="23" t="str">
        <f>IF(I211="PM","",IF(H211=0," ",J211/'Règles et points'!$F$23))</f>
        <v xml:space="preserve"> </v>
      </c>
      <c r="L211" s="3" t="str">
        <f>IF(H211=0,"",VLOOKUP(H211,'Règles et points'!$C$5:$AG$19,(HLOOKUP('Course 1'!C211,'Règles et points'!$C$5:$AG$5,1)+1)))</f>
        <v/>
      </c>
      <c r="M211" s="23">
        <f t="shared" si="4"/>
        <v>0</v>
      </c>
      <c r="N211" s="80"/>
      <c r="O211" s="51"/>
      <c r="P211" s="52"/>
    </row>
    <row r="212" spans="2:16" ht="12.75">
      <c r="B212" s="14">
        <v>208</v>
      </c>
      <c r="C212" s="28" t="str">
        <f>IF(Coureurs!C212="","",Coureurs!C212)</f>
        <v/>
      </c>
      <c r="D212" s="131" t="str">
        <f>IF(Coureurs!D212="","",Coureurs!D212)</f>
        <v>70</v>
      </c>
      <c r="E212" s="87" t="str">
        <f>IF(Coureurs!F212="","",Coureurs!F212)</f>
        <v/>
      </c>
      <c r="F212" s="87" t="str">
        <f>IF(Coureurs!G212="","",Coureurs!G212)</f>
        <v/>
      </c>
      <c r="G212" s="50" t="str">
        <f>IF(Coureurs!J212="","",Coureurs!J212)</f>
        <v/>
      </c>
      <c r="H212" s="25"/>
      <c r="I212" s="41"/>
      <c r="J212" s="8" t="str">
        <f>IF(I212="PM","",IF(H212=0," ",I212-HLOOKUP('Course 1'!H212,'tab1'!$C$3:$N$4,2)))</f>
        <v xml:space="preserve"> </v>
      </c>
      <c r="K212" s="23" t="str">
        <f>IF(I212="PM","",IF(H212=0," ",J212/'Règles et points'!$F$23))</f>
        <v xml:space="preserve"> </v>
      </c>
      <c r="L212" s="3" t="str">
        <f>IF(H212=0,"",VLOOKUP(H212,'Règles et points'!$C$5:$AG$19,(HLOOKUP('Course 1'!C212,'Règles et points'!$C$5:$AG$5,1)+1)))</f>
        <v/>
      </c>
      <c r="M212" s="23">
        <f t="shared" si="4"/>
        <v>0</v>
      </c>
      <c r="N212" s="80"/>
      <c r="O212" s="51"/>
      <c r="P212" s="52"/>
    </row>
    <row r="213" spans="2:16" ht="12.75">
      <c r="B213" s="14">
        <v>209</v>
      </c>
      <c r="C213" s="28" t="str">
        <f>IF(Coureurs!C213="","",Coureurs!C213)</f>
        <v/>
      </c>
      <c r="D213" s="131" t="str">
        <f>IF(Coureurs!D213="","",Coureurs!D213)</f>
        <v>70</v>
      </c>
      <c r="E213" s="87" t="str">
        <f>IF(Coureurs!F213="","",Coureurs!F213)</f>
        <v/>
      </c>
      <c r="F213" s="87" t="str">
        <f>IF(Coureurs!G213="","",Coureurs!G213)</f>
        <v/>
      </c>
      <c r="G213" s="50" t="str">
        <f>IF(Coureurs!J213="","",Coureurs!J213)</f>
        <v/>
      </c>
      <c r="H213" s="25"/>
      <c r="I213" s="41"/>
      <c r="J213" s="8" t="str">
        <f>IF(I213="PM","",IF(H213=0," ",I213-HLOOKUP('Course 1'!H213,'tab1'!$C$3:$N$4,2)))</f>
        <v xml:space="preserve"> </v>
      </c>
      <c r="K213" s="23" t="str">
        <f>IF(I213="PM","",IF(H213=0," ",J213/'Règles et points'!$F$23))</f>
        <v xml:space="preserve"> </v>
      </c>
      <c r="L213" s="3" t="str">
        <f>IF(H213=0,"",VLOOKUP(H213,'Règles et points'!$C$5:$AG$19,(HLOOKUP('Course 1'!C213,'Règles et points'!$C$5:$AG$5,1)+1)))</f>
        <v/>
      </c>
      <c r="M213" s="23">
        <f t="shared" si="4"/>
        <v>0</v>
      </c>
      <c r="N213" s="80"/>
      <c r="O213" s="51"/>
      <c r="P213" s="52"/>
    </row>
    <row r="214" spans="2:16" ht="12.75">
      <c r="B214" s="14">
        <v>210</v>
      </c>
      <c r="C214" s="28" t="str">
        <f>IF(Coureurs!C214="","",Coureurs!C214)</f>
        <v/>
      </c>
      <c r="D214" s="131" t="str">
        <f>IF(Coureurs!D214="","",Coureurs!D214)</f>
        <v>70</v>
      </c>
      <c r="E214" s="87" t="str">
        <f>IF(Coureurs!F214="","",Coureurs!F214)</f>
        <v/>
      </c>
      <c r="F214" s="87" t="str">
        <f>IF(Coureurs!G214="","",Coureurs!G214)</f>
        <v/>
      </c>
      <c r="G214" s="50" t="str">
        <f>IF(Coureurs!J214="","",Coureurs!J214)</f>
        <v/>
      </c>
      <c r="H214" s="25"/>
      <c r="I214" s="41"/>
      <c r="J214" s="8" t="str">
        <f>IF(I214="PM","",IF(H214=0," ",I214-HLOOKUP('Course 1'!H214,'tab1'!$C$3:$N$4,2)))</f>
        <v xml:space="preserve"> </v>
      </c>
      <c r="K214" s="23" t="str">
        <f>IF(I214="PM","",IF(H214=0," ",J214/'Règles et points'!$F$23))</f>
        <v xml:space="preserve"> </v>
      </c>
      <c r="L214" s="3" t="str">
        <f>IF(H214=0,"",VLOOKUP(H214,'Règles et points'!$C$5:$AG$19,(HLOOKUP('Course 1'!C214,'Règles et points'!$C$5:$AG$5,1)+1)))</f>
        <v/>
      </c>
      <c r="M214" s="23">
        <f t="shared" si="4"/>
        <v>0</v>
      </c>
      <c r="N214" s="80"/>
      <c r="O214" s="51"/>
      <c r="P214" s="52"/>
    </row>
    <row r="215" spans="2:16" ht="12.75">
      <c r="B215" s="14">
        <v>211</v>
      </c>
      <c r="C215" s="28" t="str">
        <f>IF(Coureurs!C215="","",Coureurs!C215)</f>
        <v/>
      </c>
      <c r="D215" s="131" t="str">
        <f>IF(Coureurs!D215="","",Coureurs!D215)</f>
        <v>70</v>
      </c>
      <c r="E215" s="87" t="str">
        <f>IF(Coureurs!F215="","",Coureurs!F215)</f>
        <v/>
      </c>
      <c r="F215" s="87" t="str">
        <f>IF(Coureurs!G215="","",Coureurs!G215)</f>
        <v/>
      </c>
      <c r="G215" s="50" t="str">
        <f>IF(Coureurs!J215="","",Coureurs!J215)</f>
        <v/>
      </c>
      <c r="H215" s="25"/>
      <c r="I215" s="41"/>
      <c r="J215" s="8" t="str">
        <f>IF(I215="PM","",IF(H215=0," ",I215-HLOOKUP('Course 1'!H215,'tab1'!$C$3:$N$4,2)))</f>
        <v xml:space="preserve"> </v>
      </c>
      <c r="K215" s="23" t="str">
        <f>IF(I215="PM","",IF(H215=0," ",J215/'Règles et points'!$F$23))</f>
        <v xml:space="preserve"> </v>
      </c>
      <c r="L215" s="3" t="str">
        <f>IF(H215=0,"",VLOOKUP(H215,'Règles et points'!$C$5:$AG$19,(HLOOKUP('Course 1'!C215,'Règles et points'!$C$5:$AG$5,1)+1)))</f>
        <v/>
      </c>
      <c r="M215" s="23">
        <f t="shared" si="4"/>
        <v>0</v>
      </c>
      <c r="N215" s="80"/>
      <c r="O215" s="51"/>
      <c r="P215" s="52"/>
    </row>
    <row r="216" spans="2:16" ht="12.75">
      <c r="B216" s="14">
        <v>212</v>
      </c>
      <c r="C216" s="28" t="str">
        <f>IF(Coureurs!C216="","",Coureurs!C216)</f>
        <v/>
      </c>
      <c r="D216" s="131" t="str">
        <f>IF(Coureurs!D216="","",Coureurs!D216)</f>
        <v>70</v>
      </c>
      <c r="E216" s="87" t="str">
        <f>IF(Coureurs!F216="","",Coureurs!F216)</f>
        <v/>
      </c>
      <c r="F216" s="87" t="str">
        <f>IF(Coureurs!G216="","",Coureurs!G216)</f>
        <v/>
      </c>
      <c r="G216" s="50" t="str">
        <f>IF(Coureurs!J216="","",Coureurs!J216)</f>
        <v/>
      </c>
      <c r="H216" s="25"/>
      <c r="I216" s="41"/>
      <c r="J216" s="8" t="str">
        <f>IF(I216="PM","",IF(H216=0," ",I216-HLOOKUP('Course 1'!H216,'tab1'!$C$3:$N$4,2)))</f>
        <v xml:space="preserve"> </v>
      </c>
      <c r="K216" s="23" t="str">
        <f>IF(I216="PM","",IF(H216=0," ",J216/'Règles et points'!$F$23))</f>
        <v xml:space="preserve"> </v>
      </c>
      <c r="L216" s="3" t="str">
        <f>IF(H216=0,"",VLOOKUP(H216,'Règles et points'!$C$5:$AG$19,(HLOOKUP('Course 1'!C216,'Règles et points'!$C$5:$AG$5,1)+1)))</f>
        <v/>
      </c>
      <c r="M216" s="23">
        <f t="shared" si="4"/>
        <v>0</v>
      </c>
      <c r="N216" s="80"/>
      <c r="O216" s="51"/>
      <c r="P216" s="52"/>
    </row>
    <row r="217" spans="2:16" ht="12.75">
      <c r="B217" s="14">
        <v>213</v>
      </c>
      <c r="C217" s="28" t="str">
        <f>IF(Coureurs!C217="","",Coureurs!C217)</f>
        <v/>
      </c>
      <c r="D217" s="131" t="str">
        <f>IF(Coureurs!D217="","",Coureurs!D217)</f>
        <v>70</v>
      </c>
      <c r="E217" s="87" t="str">
        <f>IF(Coureurs!F217="","",Coureurs!F217)</f>
        <v/>
      </c>
      <c r="F217" s="87" t="str">
        <f>IF(Coureurs!G217="","",Coureurs!G217)</f>
        <v/>
      </c>
      <c r="G217" s="50" t="str">
        <f>IF(Coureurs!J217="","",Coureurs!J217)</f>
        <v/>
      </c>
      <c r="H217" s="25"/>
      <c r="I217" s="41"/>
      <c r="J217" s="8" t="str">
        <f>IF(I217="PM","",IF(H217=0," ",I217-HLOOKUP('Course 1'!H217,'tab1'!$C$3:$N$4,2)))</f>
        <v xml:space="preserve"> </v>
      </c>
      <c r="K217" s="23" t="str">
        <f>IF(I217="PM","",IF(H217=0," ",J217/'Règles et points'!$F$23))</f>
        <v xml:space="preserve"> </v>
      </c>
      <c r="L217" s="3" t="str">
        <f>IF(H217=0,"",VLOOKUP(H217,'Règles et points'!$C$5:$AG$19,(HLOOKUP('Course 1'!C217,'Règles et points'!$C$5:$AG$5,1)+1)))</f>
        <v/>
      </c>
      <c r="M217" s="23">
        <f t="shared" si="4"/>
        <v>0</v>
      </c>
      <c r="N217" s="80"/>
      <c r="O217" s="51"/>
      <c r="P217" s="52"/>
    </row>
    <row r="218" spans="2:16" ht="12.75">
      <c r="B218" s="14">
        <v>214</v>
      </c>
      <c r="C218" s="28" t="str">
        <f>IF(Coureurs!C218="","",Coureurs!C218)</f>
        <v/>
      </c>
      <c r="D218" s="131" t="str">
        <f>IF(Coureurs!D218="","",Coureurs!D218)</f>
        <v>70</v>
      </c>
      <c r="E218" s="87" t="str">
        <f>IF(Coureurs!F218="","",Coureurs!F218)</f>
        <v/>
      </c>
      <c r="F218" s="87" t="str">
        <f>IF(Coureurs!G218="","",Coureurs!G218)</f>
        <v/>
      </c>
      <c r="G218" s="50" t="str">
        <f>IF(Coureurs!J218="","",Coureurs!J218)</f>
        <v/>
      </c>
      <c r="H218" s="25"/>
      <c r="I218" s="41"/>
      <c r="J218" s="8" t="str">
        <f>IF(I218="PM","",IF(H218=0," ",I218-HLOOKUP('Course 1'!H218,'tab1'!$C$3:$N$4,2)))</f>
        <v xml:space="preserve"> </v>
      </c>
      <c r="K218" s="23" t="str">
        <f>IF(I218="PM","",IF(H218=0," ",J218/'Règles et points'!$F$23))</f>
        <v xml:space="preserve"> </v>
      </c>
      <c r="L218" s="3" t="str">
        <f>IF(H218=0,"",VLOOKUP(H218,'Règles et points'!$C$5:$AG$19,(HLOOKUP('Course 1'!C218,'Règles et points'!$C$5:$AG$5,1)+1)))</f>
        <v/>
      </c>
      <c r="M218" s="23">
        <f t="shared" si="4"/>
        <v>0</v>
      </c>
      <c r="N218" s="80"/>
      <c r="O218" s="51"/>
      <c r="P218" s="52"/>
    </row>
    <row r="219" spans="2:16" ht="12.75">
      <c r="B219" s="14">
        <v>215</v>
      </c>
      <c r="C219" s="28" t="str">
        <f>IF(Coureurs!C219="","",Coureurs!C219)</f>
        <v/>
      </c>
      <c r="D219" s="131" t="str">
        <f>IF(Coureurs!D219="","",Coureurs!D219)</f>
        <v>70</v>
      </c>
      <c r="E219" s="87" t="str">
        <f>IF(Coureurs!F219="","",Coureurs!F219)</f>
        <v/>
      </c>
      <c r="F219" s="87" t="str">
        <f>IF(Coureurs!G219="","",Coureurs!G219)</f>
        <v/>
      </c>
      <c r="G219" s="50" t="str">
        <f>IF(Coureurs!J219="","",Coureurs!J219)</f>
        <v/>
      </c>
      <c r="H219" s="25"/>
      <c r="I219" s="41"/>
      <c r="J219" s="8" t="str">
        <f>IF(I219="PM","",IF(H219=0," ",I219-HLOOKUP('Course 1'!H219,'tab1'!$C$3:$N$4,2)))</f>
        <v xml:space="preserve"> </v>
      </c>
      <c r="K219" s="23" t="str">
        <f>IF(I219="PM","",IF(H219=0," ",J219/'Règles et points'!$F$23))</f>
        <v xml:space="preserve"> </v>
      </c>
      <c r="L219" s="3" t="str">
        <f>IF(H219=0,"",VLOOKUP(H219,'Règles et points'!$C$5:$AG$19,(HLOOKUP('Course 1'!C219,'Règles et points'!$C$5:$AG$5,1)+1)))</f>
        <v/>
      </c>
      <c r="M219" s="23">
        <f t="shared" si="4"/>
        <v>0</v>
      </c>
      <c r="N219" s="80"/>
      <c r="O219" s="51"/>
      <c r="P219" s="52"/>
    </row>
    <row r="220" spans="2:16" ht="12.75">
      <c r="B220" s="14">
        <v>216</v>
      </c>
      <c r="C220" s="28" t="str">
        <f>IF(Coureurs!C220="","",Coureurs!C220)</f>
        <v/>
      </c>
      <c r="D220" s="131" t="str">
        <f>IF(Coureurs!D220="","",Coureurs!D220)</f>
        <v>70</v>
      </c>
      <c r="E220" s="87" t="str">
        <f>IF(Coureurs!F220="","",Coureurs!F220)</f>
        <v/>
      </c>
      <c r="F220" s="87" t="str">
        <f>IF(Coureurs!G220="","",Coureurs!G220)</f>
        <v/>
      </c>
      <c r="G220" s="50" t="str">
        <f>IF(Coureurs!J220="","",Coureurs!J220)</f>
        <v/>
      </c>
      <c r="H220" s="25"/>
      <c r="I220" s="41"/>
      <c r="J220" s="8" t="str">
        <f>IF(I220="PM","",IF(H220=0," ",I220-HLOOKUP('Course 1'!H220,'tab1'!$C$3:$N$4,2)))</f>
        <v xml:space="preserve"> </v>
      </c>
      <c r="K220" s="23" t="str">
        <f>IF(I220="PM","",IF(H220=0," ",J220/'Règles et points'!$F$23))</f>
        <v xml:space="preserve"> </v>
      </c>
      <c r="L220" s="3" t="str">
        <f>IF(H220=0,"",VLOOKUP(H220,'Règles et points'!$C$5:$AG$19,(HLOOKUP('Course 1'!C220,'Règles et points'!$C$5:$AG$5,1)+1)))</f>
        <v/>
      </c>
      <c r="M220" s="23">
        <f t="shared" si="4"/>
        <v>0</v>
      </c>
      <c r="N220" s="80"/>
      <c r="O220" s="51"/>
      <c r="P220" s="52"/>
    </row>
    <row r="221" spans="2:16" ht="12.75">
      <c r="B221" s="14">
        <v>217</v>
      </c>
      <c r="C221" s="28" t="str">
        <f>IF(Coureurs!C221="","",Coureurs!C221)</f>
        <v/>
      </c>
      <c r="D221" s="131" t="str">
        <f>IF(Coureurs!D221="","",Coureurs!D221)</f>
        <v>70</v>
      </c>
      <c r="E221" s="87" t="str">
        <f>IF(Coureurs!F221="","",Coureurs!F221)</f>
        <v/>
      </c>
      <c r="F221" s="87" t="str">
        <f>IF(Coureurs!G221="","",Coureurs!G221)</f>
        <v/>
      </c>
      <c r="G221" s="50" t="str">
        <f>IF(Coureurs!J221="","",Coureurs!J221)</f>
        <v/>
      </c>
      <c r="H221" s="25"/>
      <c r="I221" s="41"/>
      <c r="J221" s="8" t="str">
        <f>IF(I221="PM","",IF(H221=0," ",I221-HLOOKUP('Course 1'!H221,'tab1'!$C$3:$N$4,2)))</f>
        <v xml:space="preserve"> </v>
      </c>
      <c r="K221" s="23" t="str">
        <f>IF(I221="PM","",IF(H221=0," ",J221/'Règles et points'!$F$23))</f>
        <v xml:space="preserve"> </v>
      </c>
      <c r="L221" s="3" t="str">
        <f>IF(H221=0,"",VLOOKUP(H221,'Règles et points'!$C$5:$AG$19,(HLOOKUP('Course 1'!C221,'Règles et points'!$C$5:$AG$5,1)+1)))</f>
        <v/>
      </c>
      <c r="M221" s="23">
        <f t="shared" si="4"/>
        <v>0</v>
      </c>
      <c r="N221" s="80"/>
      <c r="O221" s="51"/>
      <c r="P221" s="52"/>
    </row>
    <row r="222" spans="2:16" ht="12.75">
      <c r="B222" s="14">
        <v>218</v>
      </c>
      <c r="C222" s="28" t="str">
        <f>IF(Coureurs!C222="","",Coureurs!C222)</f>
        <v/>
      </c>
      <c r="D222" s="131" t="str">
        <f>IF(Coureurs!D222="","",Coureurs!D222)</f>
        <v>70</v>
      </c>
      <c r="E222" s="87" t="str">
        <f>IF(Coureurs!F222="","",Coureurs!F222)</f>
        <v/>
      </c>
      <c r="F222" s="87" t="str">
        <f>IF(Coureurs!G222="","",Coureurs!G222)</f>
        <v/>
      </c>
      <c r="G222" s="50" t="str">
        <f>IF(Coureurs!J222="","",Coureurs!J222)</f>
        <v/>
      </c>
      <c r="H222" s="25"/>
      <c r="I222" s="41"/>
      <c r="J222" s="8" t="str">
        <f>IF(I222="PM","",IF(H222=0," ",I222-HLOOKUP('Course 1'!H222,'tab1'!$C$3:$N$4,2)))</f>
        <v xml:space="preserve"> </v>
      </c>
      <c r="K222" s="23" t="str">
        <f>IF(I222="PM","",IF(H222=0," ",J222/'Règles et points'!$F$23))</f>
        <v xml:space="preserve"> </v>
      </c>
      <c r="L222" s="3" t="str">
        <f>IF(H222=0,"",VLOOKUP(H222,'Règles et points'!$C$5:$AG$19,(HLOOKUP('Course 1'!C222,'Règles et points'!$C$5:$AG$5,1)+1)))</f>
        <v/>
      </c>
      <c r="M222" s="23">
        <f t="shared" si="4"/>
        <v>0</v>
      </c>
      <c r="N222" s="80"/>
      <c r="O222" s="51"/>
      <c r="P222" s="52"/>
    </row>
    <row r="223" spans="2:16" ht="12.75">
      <c r="B223" s="14">
        <v>219</v>
      </c>
      <c r="C223" s="28" t="str">
        <f>IF(Coureurs!C223="","",Coureurs!C223)</f>
        <v/>
      </c>
      <c r="D223" s="131" t="str">
        <f>IF(Coureurs!D223="","",Coureurs!D223)</f>
        <v>70</v>
      </c>
      <c r="E223" s="87" t="str">
        <f>IF(Coureurs!F223="","",Coureurs!F223)</f>
        <v/>
      </c>
      <c r="F223" s="87" t="str">
        <f>IF(Coureurs!G223="","",Coureurs!G223)</f>
        <v/>
      </c>
      <c r="G223" s="50" t="str">
        <f>IF(Coureurs!J223="","",Coureurs!J223)</f>
        <v/>
      </c>
      <c r="H223" s="25"/>
      <c r="I223" s="41"/>
      <c r="J223" s="8" t="str">
        <f>IF(I223="PM","",IF(H223=0," ",I223-HLOOKUP('Course 1'!H223,'tab1'!$C$3:$N$4,2)))</f>
        <v xml:space="preserve"> </v>
      </c>
      <c r="K223" s="23" t="str">
        <f>IF(I223="PM","",IF(H223=0," ",J223/'Règles et points'!$F$23))</f>
        <v xml:space="preserve"> </v>
      </c>
      <c r="L223" s="3" t="str">
        <f>IF(H223=0,"",VLOOKUP(H223,'Règles et points'!$C$5:$AG$19,(HLOOKUP('Course 1'!C223,'Règles et points'!$C$5:$AG$5,1)+1)))</f>
        <v/>
      </c>
      <c r="M223" s="23">
        <f t="shared" si="4"/>
        <v>0</v>
      </c>
      <c r="N223" s="80"/>
      <c r="O223" s="51"/>
      <c r="P223" s="52"/>
    </row>
    <row r="224" spans="2:16" ht="12.75">
      <c r="B224" s="14">
        <v>220</v>
      </c>
      <c r="C224" s="28" t="str">
        <f>IF(Coureurs!C224="","",Coureurs!C224)</f>
        <v/>
      </c>
      <c r="D224" s="131" t="str">
        <f>IF(Coureurs!D224="","",Coureurs!D224)</f>
        <v>70</v>
      </c>
      <c r="E224" s="87" t="str">
        <f>IF(Coureurs!F224="","",Coureurs!F224)</f>
        <v/>
      </c>
      <c r="F224" s="87" t="str">
        <f>IF(Coureurs!G224="","",Coureurs!G224)</f>
        <v/>
      </c>
      <c r="G224" s="50" t="str">
        <f>IF(Coureurs!J224="","",Coureurs!J224)</f>
        <v/>
      </c>
      <c r="H224" s="25"/>
      <c r="I224" s="41"/>
      <c r="J224" s="8" t="str">
        <f>IF(I224="PM","",IF(H224=0," ",I224-HLOOKUP('Course 1'!H224,'tab1'!$C$3:$N$4,2)))</f>
        <v xml:space="preserve"> </v>
      </c>
      <c r="K224" s="23" t="str">
        <f>IF(I224="PM","",IF(H224=0," ",J224/'Règles et points'!$F$23))</f>
        <v xml:space="preserve"> </v>
      </c>
      <c r="L224" s="3" t="str">
        <f>IF(H224=0,"",VLOOKUP(H224,'Règles et points'!$C$5:$AG$19,(HLOOKUP('Course 1'!C224,'Règles et points'!$C$5:$AG$5,1)+1)))</f>
        <v/>
      </c>
      <c r="M224" s="23">
        <f t="shared" si="4"/>
        <v>0</v>
      </c>
      <c r="N224" s="80"/>
      <c r="O224" s="51"/>
      <c r="P224" s="52"/>
    </row>
    <row r="225" spans="2:16" ht="12.75">
      <c r="B225" s="14">
        <v>221</v>
      </c>
      <c r="C225" s="28" t="str">
        <f>IF(Coureurs!C225="","",Coureurs!C225)</f>
        <v/>
      </c>
      <c r="D225" s="131" t="str">
        <f>IF(Coureurs!D225="","",Coureurs!D225)</f>
        <v>70</v>
      </c>
      <c r="E225" s="87" t="str">
        <f>IF(Coureurs!F225="","",Coureurs!F225)</f>
        <v/>
      </c>
      <c r="F225" s="87" t="str">
        <f>IF(Coureurs!G225="","",Coureurs!G225)</f>
        <v/>
      </c>
      <c r="G225" s="50" t="str">
        <f>IF(Coureurs!J225="","",Coureurs!J225)</f>
        <v/>
      </c>
      <c r="H225" s="25"/>
      <c r="I225" s="41"/>
      <c r="J225" s="8" t="str">
        <f>IF(I225="PM","",IF(H225=0," ",I225-HLOOKUP('Course 1'!H225,'tab1'!$C$3:$N$4,2)))</f>
        <v xml:space="preserve"> </v>
      </c>
      <c r="K225" s="23" t="str">
        <f>IF(I225="PM","",IF(H225=0," ",J225/'Règles et points'!$F$23))</f>
        <v xml:space="preserve"> </v>
      </c>
      <c r="L225" s="3" t="str">
        <f>IF(H225=0,"",VLOOKUP(H225,'Règles et points'!$C$5:$AG$19,(HLOOKUP('Course 1'!C225,'Règles et points'!$C$5:$AG$5,1)+1)))</f>
        <v/>
      </c>
      <c r="M225" s="23">
        <f t="shared" si="4"/>
        <v>0</v>
      </c>
      <c r="N225" s="80"/>
      <c r="O225" s="51"/>
      <c r="P225" s="52"/>
    </row>
    <row r="226" spans="2:16" ht="12.75">
      <c r="B226" s="14">
        <v>222</v>
      </c>
      <c r="C226" s="28" t="str">
        <f>IF(Coureurs!C226="","",Coureurs!C226)</f>
        <v/>
      </c>
      <c r="D226" s="131" t="str">
        <f>IF(Coureurs!D226="","",Coureurs!D226)</f>
        <v>70</v>
      </c>
      <c r="E226" s="87" t="str">
        <f>IF(Coureurs!F226="","",Coureurs!F226)</f>
        <v/>
      </c>
      <c r="F226" s="87" t="str">
        <f>IF(Coureurs!G226="","",Coureurs!G226)</f>
        <v/>
      </c>
      <c r="G226" s="50" t="str">
        <f>IF(Coureurs!J226="","",Coureurs!J226)</f>
        <v/>
      </c>
      <c r="H226" s="25"/>
      <c r="I226" s="41"/>
      <c r="J226" s="8" t="str">
        <f>IF(I226="PM","",IF(H226=0," ",I226-HLOOKUP('Course 1'!H226,'tab1'!$C$3:$N$4,2)))</f>
        <v xml:space="preserve"> </v>
      </c>
      <c r="K226" s="23" t="str">
        <f>IF(I226="PM","",IF(H226=0," ",J226/'Règles et points'!$F$23))</f>
        <v xml:space="preserve"> </v>
      </c>
      <c r="L226" s="3" t="str">
        <f>IF(H226=0,"",VLOOKUP(H226,'Règles et points'!$C$5:$AG$19,(HLOOKUP('Course 1'!C226,'Règles et points'!$C$5:$AG$5,1)+1)))</f>
        <v/>
      </c>
      <c r="M226" s="23">
        <f t="shared" si="4"/>
        <v>0</v>
      </c>
      <c r="N226" s="80"/>
      <c r="O226" s="51"/>
      <c r="P226" s="52"/>
    </row>
    <row r="227" spans="2:16" ht="12.75">
      <c r="B227" s="14">
        <v>223</v>
      </c>
      <c r="C227" s="28" t="str">
        <f>IF(Coureurs!C227="","",Coureurs!C227)</f>
        <v/>
      </c>
      <c r="D227" s="131" t="str">
        <f>IF(Coureurs!D227="","",Coureurs!D227)</f>
        <v>70</v>
      </c>
      <c r="E227" s="87" t="str">
        <f>IF(Coureurs!F227="","",Coureurs!F227)</f>
        <v/>
      </c>
      <c r="F227" s="87" t="str">
        <f>IF(Coureurs!G227="","",Coureurs!G227)</f>
        <v/>
      </c>
      <c r="G227" s="50" t="str">
        <f>IF(Coureurs!J227="","",Coureurs!J227)</f>
        <v/>
      </c>
      <c r="H227" s="25"/>
      <c r="I227" s="41"/>
      <c r="J227" s="8" t="str">
        <f>IF(I227="PM","",IF(H227=0," ",I227-HLOOKUP('Course 1'!H227,'tab1'!$C$3:$N$4,2)))</f>
        <v xml:space="preserve"> </v>
      </c>
      <c r="K227" s="23" t="str">
        <f>IF(I227="PM","",IF(H227=0," ",J227/'Règles et points'!$F$23))</f>
        <v xml:space="preserve"> </v>
      </c>
      <c r="L227" s="3" t="str">
        <f>IF(H227=0,"",VLOOKUP(H227,'Règles et points'!$C$5:$AG$19,(HLOOKUP('Course 1'!C227,'Règles et points'!$C$5:$AG$5,1)+1)))</f>
        <v/>
      </c>
      <c r="M227" s="23">
        <f t="shared" si="4"/>
        <v>0</v>
      </c>
      <c r="N227" s="80"/>
      <c r="O227" s="51"/>
      <c r="P227" s="52"/>
    </row>
    <row r="228" spans="2:16" ht="12.75">
      <c r="B228" s="14">
        <v>224</v>
      </c>
      <c r="C228" s="28" t="str">
        <f>IF(Coureurs!C228="","",Coureurs!C228)</f>
        <v/>
      </c>
      <c r="D228" s="131" t="str">
        <f>IF(Coureurs!D228="","",Coureurs!D228)</f>
        <v>70</v>
      </c>
      <c r="E228" s="87" t="str">
        <f>IF(Coureurs!F228="","",Coureurs!F228)</f>
        <v/>
      </c>
      <c r="F228" s="87" t="str">
        <f>IF(Coureurs!G228="","",Coureurs!G228)</f>
        <v/>
      </c>
      <c r="G228" s="50" t="str">
        <f>IF(Coureurs!J228="","",Coureurs!J228)</f>
        <v/>
      </c>
      <c r="H228" s="25"/>
      <c r="I228" s="41"/>
      <c r="J228" s="8" t="str">
        <f>IF(I228="PM","",IF(H228=0," ",I228-HLOOKUP('Course 1'!H228,'tab1'!$C$3:$N$4,2)))</f>
        <v xml:space="preserve"> </v>
      </c>
      <c r="K228" s="23" t="str">
        <f>IF(I228="PM","",IF(H228=0," ",J228/'Règles et points'!$F$23))</f>
        <v xml:space="preserve"> </v>
      </c>
      <c r="L228" s="3" t="str">
        <f>IF(H228=0,"",VLOOKUP(H228,'Règles et points'!$C$5:$AG$19,(HLOOKUP('Course 1'!C228,'Règles et points'!$C$5:$AG$5,1)+1)))</f>
        <v/>
      </c>
      <c r="M228" s="23">
        <f t="shared" si="4"/>
        <v>0</v>
      </c>
      <c r="N228" s="80"/>
      <c r="O228" s="51"/>
      <c r="P228" s="52"/>
    </row>
    <row r="229" spans="2:16" ht="12.75">
      <c r="B229" s="14">
        <v>225</v>
      </c>
      <c r="C229" s="28" t="str">
        <f>IF(Coureurs!C229="","",Coureurs!C229)</f>
        <v/>
      </c>
      <c r="D229" s="131" t="str">
        <f>IF(Coureurs!D229="","",Coureurs!D229)</f>
        <v>70</v>
      </c>
      <c r="E229" s="87" t="str">
        <f>IF(Coureurs!F229="","",Coureurs!F229)</f>
        <v/>
      </c>
      <c r="F229" s="87" t="str">
        <f>IF(Coureurs!G229="","",Coureurs!G229)</f>
        <v/>
      </c>
      <c r="G229" s="50" t="str">
        <f>IF(Coureurs!J229="","",Coureurs!J229)</f>
        <v/>
      </c>
      <c r="H229" s="25"/>
      <c r="I229" s="41"/>
      <c r="J229" s="8" t="str">
        <f>IF(I229="PM","",IF(H229=0," ",I229-HLOOKUP('Course 1'!H229,'tab1'!$C$3:$N$4,2)))</f>
        <v xml:space="preserve"> </v>
      </c>
      <c r="K229" s="23" t="str">
        <f>IF(I229="PM","",IF(H229=0," ",J229/'Règles et points'!$F$23))</f>
        <v xml:space="preserve"> </v>
      </c>
      <c r="L229" s="3" t="str">
        <f>IF(H229=0,"",VLOOKUP(H229,'Règles et points'!$C$5:$AG$19,(HLOOKUP('Course 1'!C229,'Règles et points'!$C$5:$AG$5,1)+1)))</f>
        <v/>
      </c>
      <c r="M229" s="23">
        <f t="shared" si="4"/>
        <v>0</v>
      </c>
      <c r="N229" s="80"/>
      <c r="O229" s="51"/>
      <c r="P229" s="52"/>
    </row>
    <row r="230" spans="2:16" ht="12.75">
      <c r="B230" s="14">
        <v>226</v>
      </c>
      <c r="C230" s="28" t="str">
        <f>IF(Coureurs!C230="","",Coureurs!C230)</f>
        <v/>
      </c>
      <c r="D230" s="131" t="str">
        <f>IF(Coureurs!D230="","",Coureurs!D230)</f>
        <v>70</v>
      </c>
      <c r="E230" s="87" t="str">
        <f>IF(Coureurs!F230="","",Coureurs!F230)</f>
        <v/>
      </c>
      <c r="F230" s="87" t="str">
        <f>IF(Coureurs!G230="","",Coureurs!G230)</f>
        <v/>
      </c>
      <c r="G230" s="50" t="str">
        <f>IF(Coureurs!J230="","",Coureurs!J230)</f>
        <v/>
      </c>
      <c r="H230" s="25"/>
      <c r="I230" s="41"/>
      <c r="J230" s="8" t="str">
        <f>IF(I230="PM","",IF(H230=0," ",I230-HLOOKUP('Course 1'!H230,'tab1'!$C$3:$N$4,2)))</f>
        <v xml:space="preserve"> </v>
      </c>
      <c r="K230" s="23" t="str">
        <f>IF(I230="PM","",IF(H230=0," ",J230/'Règles et points'!$F$23))</f>
        <v xml:space="preserve"> </v>
      </c>
      <c r="L230" s="3" t="str">
        <f>IF(H230=0,"",VLOOKUP(H230,'Règles et points'!$C$5:$AG$19,(HLOOKUP('Course 1'!C230,'Règles et points'!$C$5:$AG$5,1)+1)))</f>
        <v/>
      </c>
      <c r="M230" s="23">
        <f t="shared" si="4"/>
        <v>0</v>
      </c>
      <c r="N230" s="80"/>
      <c r="O230" s="51"/>
      <c r="P230" s="52"/>
    </row>
    <row r="231" spans="2:16" ht="12.75">
      <c r="B231" s="14">
        <v>227</v>
      </c>
      <c r="C231" s="28" t="str">
        <f>IF(Coureurs!C231="","",Coureurs!C231)</f>
        <v/>
      </c>
      <c r="D231" s="131" t="str">
        <f>IF(Coureurs!D231="","",Coureurs!D231)</f>
        <v>70</v>
      </c>
      <c r="E231" s="87" t="str">
        <f>IF(Coureurs!F231="","",Coureurs!F231)</f>
        <v/>
      </c>
      <c r="F231" s="87" t="str">
        <f>IF(Coureurs!G231="","",Coureurs!G231)</f>
        <v/>
      </c>
      <c r="G231" s="50" t="str">
        <f>IF(Coureurs!J231="","",Coureurs!J231)</f>
        <v/>
      </c>
      <c r="H231" s="25"/>
      <c r="I231" s="41"/>
      <c r="J231" s="8" t="str">
        <f>IF(I231="PM","",IF(H231=0," ",I231-HLOOKUP('Course 1'!H231,'tab1'!$C$3:$N$4,2)))</f>
        <v xml:space="preserve"> </v>
      </c>
      <c r="K231" s="23" t="str">
        <f>IF(I231="PM","",IF(H231=0," ",J231/'Règles et points'!$F$23))</f>
        <v xml:space="preserve"> </v>
      </c>
      <c r="L231" s="3" t="str">
        <f>IF(H231=0,"",VLOOKUP(H231,'Règles et points'!$C$5:$AG$19,(HLOOKUP('Course 1'!C231,'Règles et points'!$C$5:$AG$5,1)+1)))</f>
        <v/>
      </c>
      <c r="M231" s="23">
        <f t="shared" si="4"/>
        <v>0</v>
      </c>
      <c r="N231" s="80"/>
      <c r="O231" s="51"/>
      <c r="P231" s="52"/>
    </row>
    <row r="232" spans="2:16" ht="12.75">
      <c r="B232" s="14">
        <v>228</v>
      </c>
      <c r="C232" s="28" t="str">
        <f>IF(Coureurs!C232="","",Coureurs!C232)</f>
        <v/>
      </c>
      <c r="D232" s="131" t="str">
        <f>IF(Coureurs!D232="","",Coureurs!D232)</f>
        <v>70</v>
      </c>
      <c r="E232" s="87" t="str">
        <f>IF(Coureurs!F232="","",Coureurs!F232)</f>
        <v/>
      </c>
      <c r="F232" s="87" t="str">
        <f>IF(Coureurs!G232="","",Coureurs!G232)</f>
        <v/>
      </c>
      <c r="G232" s="50" t="str">
        <f>IF(Coureurs!J232="","",Coureurs!J232)</f>
        <v/>
      </c>
      <c r="H232" s="25"/>
      <c r="I232" s="41"/>
      <c r="J232" s="8" t="str">
        <f>IF(I232="PM","",IF(H232=0," ",I232-HLOOKUP('Course 1'!H232,'tab1'!$C$3:$N$4,2)))</f>
        <v xml:space="preserve"> </v>
      </c>
      <c r="K232" s="23" t="str">
        <f>IF(I232="PM","",IF(H232=0," ",J232/'Règles et points'!$F$23))</f>
        <v xml:space="preserve"> </v>
      </c>
      <c r="L232" s="3" t="str">
        <f>IF(H232=0,"",VLOOKUP(H232,'Règles et points'!$C$5:$AG$19,(HLOOKUP('Course 1'!C232,'Règles et points'!$C$5:$AG$5,1)+1)))</f>
        <v/>
      </c>
      <c r="M232" s="23">
        <f t="shared" si="4"/>
        <v>0</v>
      </c>
      <c r="N232" s="80"/>
      <c r="O232" s="51"/>
      <c r="P232" s="52"/>
    </row>
    <row r="233" spans="2:16" ht="12.75">
      <c r="B233" s="14">
        <v>229</v>
      </c>
      <c r="C233" s="28" t="str">
        <f>IF(Coureurs!C233="","",Coureurs!C233)</f>
        <v/>
      </c>
      <c r="D233" s="131" t="str">
        <f>IF(Coureurs!D233="","",Coureurs!D233)</f>
        <v>70</v>
      </c>
      <c r="E233" s="87" t="str">
        <f>IF(Coureurs!F233="","",Coureurs!F233)</f>
        <v/>
      </c>
      <c r="F233" s="87" t="str">
        <f>IF(Coureurs!G233="","",Coureurs!G233)</f>
        <v/>
      </c>
      <c r="G233" s="50" t="str">
        <f>IF(Coureurs!J233="","",Coureurs!J233)</f>
        <v/>
      </c>
      <c r="H233" s="25"/>
      <c r="I233" s="41"/>
      <c r="J233" s="8" t="str">
        <f>IF(I233="PM","",IF(H233=0," ",I233-HLOOKUP('Course 1'!H233,'tab1'!$C$3:$N$4,2)))</f>
        <v xml:space="preserve"> </v>
      </c>
      <c r="K233" s="23" t="str">
        <f>IF(I233="PM","",IF(H233=0," ",J233/'Règles et points'!$F$23))</f>
        <v xml:space="preserve"> </v>
      </c>
      <c r="L233" s="3" t="str">
        <f>IF(H233=0,"",VLOOKUP(H233,'Règles et points'!$C$5:$AG$19,(HLOOKUP('Course 1'!C233,'Règles et points'!$C$5:$AG$5,1)+1)))</f>
        <v/>
      </c>
      <c r="M233" s="23">
        <f t="shared" si="4"/>
        <v>0</v>
      </c>
      <c r="N233" s="80"/>
      <c r="O233" s="51"/>
      <c r="P233" s="52"/>
    </row>
    <row r="234" spans="2:16" ht="12.75">
      <c r="B234" s="14">
        <v>230</v>
      </c>
      <c r="C234" s="28" t="str">
        <f>IF(Coureurs!C234="","",Coureurs!C234)</f>
        <v/>
      </c>
      <c r="D234" s="131" t="str">
        <f>IF(Coureurs!D234="","",Coureurs!D234)</f>
        <v>70</v>
      </c>
      <c r="E234" s="87" t="str">
        <f>IF(Coureurs!F234="","",Coureurs!F234)</f>
        <v/>
      </c>
      <c r="F234" s="87" t="str">
        <f>IF(Coureurs!G234="","",Coureurs!G234)</f>
        <v/>
      </c>
      <c r="G234" s="50" t="str">
        <f>IF(Coureurs!J234="","",Coureurs!J234)</f>
        <v/>
      </c>
      <c r="H234" s="25"/>
      <c r="I234" s="41"/>
      <c r="J234" s="8" t="str">
        <f>IF(I234="PM","",IF(H234=0," ",I234-HLOOKUP('Course 1'!H234,'tab1'!$C$3:$N$4,2)))</f>
        <v xml:space="preserve"> </v>
      </c>
      <c r="K234" s="23" t="str">
        <f>IF(I234="PM","",IF(H234=0," ",J234/'Règles et points'!$F$23))</f>
        <v xml:space="preserve"> </v>
      </c>
      <c r="L234" s="3" t="str">
        <f>IF(H234=0,"",VLOOKUP(H234,'Règles et points'!$C$5:$AG$19,(HLOOKUP('Course 1'!C234,'Règles et points'!$C$5:$AG$5,1)+1)))</f>
        <v/>
      </c>
      <c r="M234" s="23">
        <f t="shared" si="4"/>
        <v>0</v>
      </c>
      <c r="N234" s="80"/>
      <c r="O234" s="51"/>
      <c r="P234" s="52"/>
    </row>
    <row r="235" spans="2:16" ht="12.75">
      <c r="B235" s="14">
        <v>231</v>
      </c>
      <c r="C235" s="28" t="str">
        <f>IF(Coureurs!C235="","",Coureurs!C235)</f>
        <v/>
      </c>
      <c r="D235" s="131" t="str">
        <f>IF(Coureurs!D235="","",Coureurs!D235)</f>
        <v>70</v>
      </c>
      <c r="E235" s="87" t="str">
        <f>IF(Coureurs!F235="","",Coureurs!F235)</f>
        <v/>
      </c>
      <c r="F235" s="87" t="str">
        <f>IF(Coureurs!G235="","",Coureurs!G235)</f>
        <v/>
      </c>
      <c r="G235" s="50" t="str">
        <f>IF(Coureurs!J235="","",Coureurs!J235)</f>
        <v/>
      </c>
      <c r="H235" s="25"/>
      <c r="I235" s="41"/>
      <c r="J235" s="8" t="str">
        <f>IF(I235="PM","",IF(H235=0," ",I235-HLOOKUP('Course 1'!H235,'tab1'!$C$3:$N$4,2)))</f>
        <v xml:space="preserve"> </v>
      </c>
      <c r="K235" s="23" t="str">
        <f>IF(I235="PM","",IF(H235=0," ",J235/'Règles et points'!$F$23))</f>
        <v xml:space="preserve"> </v>
      </c>
      <c r="L235" s="3" t="str">
        <f>IF(H235=0,"",VLOOKUP(H235,'Règles et points'!$C$5:$AG$19,(HLOOKUP('Course 1'!C235,'Règles et points'!$C$5:$AG$5,1)+1)))</f>
        <v/>
      </c>
      <c r="M235" s="23">
        <f t="shared" si="4"/>
        <v>0</v>
      </c>
      <c r="N235" s="80"/>
      <c r="O235" s="51"/>
      <c r="P235" s="52"/>
    </row>
    <row r="236" spans="2:16" ht="12.75">
      <c r="B236" s="14">
        <v>232</v>
      </c>
      <c r="C236" s="28" t="str">
        <f>IF(Coureurs!C236="","",Coureurs!C236)</f>
        <v/>
      </c>
      <c r="D236" s="131" t="str">
        <f>IF(Coureurs!D236="","",Coureurs!D236)</f>
        <v>70</v>
      </c>
      <c r="E236" s="87" t="str">
        <f>IF(Coureurs!F236="","",Coureurs!F236)</f>
        <v/>
      </c>
      <c r="F236" s="87" t="str">
        <f>IF(Coureurs!G236="","",Coureurs!G236)</f>
        <v/>
      </c>
      <c r="G236" s="50" t="str">
        <f>IF(Coureurs!J236="","",Coureurs!J236)</f>
        <v/>
      </c>
      <c r="H236" s="25"/>
      <c r="I236" s="41"/>
      <c r="J236" s="8" t="str">
        <f>IF(I236="PM","",IF(H236=0," ",I236-HLOOKUP('Course 1'!H236,'tab1'!$C$3:$N$4,2)))</f>
        <v xml:space="preserve"> </v>
      </c>
      <c r="K236" s="23" t="str">
        <f>IF(I236="PM","",IF(H236=0," ",J236/'Règles et points'!$F$23))</f>
        <v xml:space="preserve"> </v>
      </c>
      <c r="L236" s="3" t="str">
        <f>IF(H236=0,"",VLOOKUP(H236,'Règles et points'!$C$5:$AG$19,(HLOOKUP('Course 1'!C236,'Règles et points'!$C$5:$AG$5,1)+1)))</f>
        <v/>
      </c>
      <c r="M236" s="23">
        <f t="shared" si="4"/>
        <v>0</v>
      </c>
      <c r="N236" s="80"/>
      <c r="O236" s="51"/>
      <c r="P236" s="52"/>
    </row>
    <row r="237" spans="2:16" ht="12.75">
      <c r="B237" s="14">
        <v>233</v>
      </c>
      <c r="C237" s="28" t="str">
        <f>IF(Coureurs!C237="","",Coureurs!C237)</f>
        <v/>
      </c>
      <c r="D237" s="131" t="str">
        <f>IF(Coureurs!D237="","",Coureurs!D237)</f>
        <v>70</v>
      </c>
      <c r="E237" s="87" t="str">
        <f>IF(Coureurs!F237="","",Coureurs!F237)</f>
        <v/>
      </c>
      <c r="F237" s="87" t="str">
        <f>IF(Coureurs!G237="","",Coureurs!G237)</f>
        <v/>
      </c>
      <c r="G237" s="50" t="str">
        <f>IF(Coureurs!J237="","",Coureurs!J237)</f>
        <v/>
      </c>
      <c r="H237" s="25"/>
      <c r="I237" s="41"/>
      <c r="J237" s="8" t="str">
        <f>IF(I237="PM","",IF(H237=0," ",I237-HLOOKUP('Course 1'!H237,'tab1'!$C$3:$N$4,2)))</f>
        <v xml:space="preserve"> </v>
      </c>
      <c r="K237" s="23" t="str">
        <f>IF(I237="PM","",IF(H237=0," ",J237/'Règles et points'!$F$23))</f>
        <v xml:space="preserve"> </v>
      </c>
      <c r="L237" s="3" t="str">
        <f>IF(H237=0,"",VLOOKUP(H237,'Règles et points'!$C$5:$AG$19,(HLOOKUP('Course 1'!C237,'Règles et points'!$C$5:$AG$5,1)+1)))</f>
        <v/>
      </c>
      <c r="M237" s="23">
        <f t="shared" si="4"/>
        <v>0</v>
      </c>
      <c r="N237" s="80"/>
      <c r="O237" s="51"/>
      <c r="P237" s="52"/>
    </row>
    <row r="238" spans="2:16" ht="12.75">
      <c r="B238" s="14">
        <v>234</v>
      </c>
      <c r="C238" s="28" t="str">
        <f>IF(Coureurs!C238="","",Coureurs!C238)</f>
        <v/>
      </c>
      <c r="D238" s="131" t="str">
        <f>IF(Coureurs!D238="","",Coureurs!D238)</f>
        <v>70</v>
      </c>
      <c r="E238" s="87" t="str">
        <f>IF(Coureurs!F238="","",Coureurs!F238)</f>
        <v/>
      </c>
      <c r="F238" s="87" t="str">
        <f>IF(Coureurs!G238="","",Coureurs!G238)</f>
        <v/>
      </c>
      <c r="G238" s="50" t="str">
        <f>IF(Coureurs!J238="","",Coureurs!J238)</f>
        <v/>
      </c>
      <c r="H238" s="25"/>
      <c r="I238" s="41"/>
      <c r="J238" s="8" t="str">
        <f>IF(I238="PM","",IF(H238=0," ",I238-HLOOKUP('Course 1'!H238,'tab1'!$C$3:$N$4,2)))</f>
        <v xml:space="preserve"> </v>
      </c>
      <c r="K238" s="23" t="str">
        <f>IF(I238="PM","",IF(H238=0," ",J238/'Règles et points'!$F$23))</f>
        <v xml:space="preserve"> </v>
      </c>
      <c r="L238" s="3" t="str">
        <f>IF(H238=0,"",VLOOKUP(H238,'Règles et points'!$C$5:$AG$19,(HLOOKUP('Course 1'!C238,'Règles et points'!$C$5:$AG$5,1)+1)))</f>
        <v/>
      </c>
      <c r="M238" s="23">
        <f t="shared" si="4"/>
        <v>0</v>
      </c>
      <c r="N238" s="80"/>
      <c r="O238" s="51"/>
      <c r="P238" s="52"/>
    </row>
    <row r="239" spans="2:16" ht="12.75">
      <c r="B239" s="14">
        <v>235</v>
      </c>
      <c r="C239" s="28" t="str">
        <f>IF(Coureurs!C239="","",Coureurs!C239)</f>
        <v/>
      </c>
      <c r="D239" s="131" t="str">
        <f>IF(Coureurs!D239="","",Coureurs!D239)</f>
        <v>70</v>
      </c>
      <c r="E239" s="87" t="str">
        <f>IF(Coureurs!F239="","",Coureurs!F239)</f>
        <v/>
      </c>
      <c r="F239" s="87" t="str">
        <f>IF(Coureurs!G239="","",Coureurs!G239)</f>
        <v/>
      </c>
      <c r="G239" s="50" t="str">
        <f>IF(Coureurs!J239="","",Coureurs!J239)</f>
        <v/>
      </c>
      <c r="H239" s="25"/>
      <c r="I239" s="41"/>
      <c r="J239" s="8" t="str">
        <f>IF(I239="PM","",IF(H239=0," ",I239-HLOOKUP('Course 1'!H239,'tab1'!$C$3:$N$4,2)))</f>
        <v xml:space="preserve"> </v>
      </c>
      <c r="K239" s="23" t="str">
        <f>IF(I239="PM","",IF(H239=0," ",J239/'Règles et points'!$F$23))</f>
        <v xml:space="preserve"> </v>
      </c>
      <c r="L239" s="3" t="str">
        <f>IF(H239=0,"",VLOOKUP(H239,'Règles et points'!$C$5:$AG$19,(HLOOKUP('Course 1'!C239,'Règles et points'!$C$5:$AG$5,1)+1)))</f>
        <v/>
      </c>
      <c r="M239" s="23">
        <f t="shared" si="4"/>
        <v>0</v>
      </c>
      <c r="N239" s="80"/>
      <c r="O239" s="51"/>
      <c r="P239" s="52"/>
    </row>
    <row r="240" spans="2:16" ht="12.75">
      <c r="B240" s="14">
        <v>236</v>
      </c>
      <c r="C240" s="28" t="str">
        <f>IF(Coureurs!C240="","",Coureurs!C240)</f>
        <v/>
      </c>
      <c r="D240" s="131" t="str">
        <f>IF(Coureurs!D240="","",Coureurs!D240)</f>
        <v>70</v>
      </c>
      <c r="E240" s="87" t="str">
        <f>IF(Coureurs!F240="","",Coureurs!F240)</f>
        <v/>
      </c>
      <c r="F240" s="87" t="str">
        <f>IF(Coureurs!G240="","",Coureurs!G240)</f>
        <v/>
      </c>
      <c r="G240" s="50" t="str">
        <f>IF(Coureurs!J240="","",Coureurs!J240)</f>
        <v/>
      </c>
      <c r="H240" s="25"/>
      <c r="I240" s="41"/>
      <c r="J240" s="8" t="str">
        <f>IF(I240="PM","",IF(H240=0," ",I240-HLOOKUP('Course 1'!H240,'tab1'!$C$3:$N$4,2)))</f>
        <v xml:space="preserve"> </v>
      </c>
      <c r="K240" s="23" t="str">
        <f>IF(I240="PM","",IF(H240=0," ",J240/'Règles et points'!$F$23))</f>
        <v xml:space="preserve"> </v>
      </c>
      <c r="L240" s="3" t="str">
        <f>IF(H240=0,"",VLOOKUP(H240,'Règles et points'!$C$5:$AG$19,(HLOOKUP('Course 1'!C240,'Règles et points'!$C$5:$AG$5,1)+1)))</f>
        <v/>
      </c>
      <c r="M240" s="23">
        <f t="shared" si="4"/>
        <v>0</v>
      </c>
      <c r="N240" s="80"/>
      <c r="O240" s="51"/>
      <c r="P240" s="52"/>
    </row>
    <row r="241" spans="2:16" ht="12.75">
      <c r="B241" s="14">
        <v>237</v>
      </c>
      <c r="C241" s="28" t="str">
        <f>IF(Coureurs!C241="","",Coureurs!C241)</f>
        <v/>
      </c>
      <c r="D241" s="131" t="str">
        <f>IF(Coureurs!D241="","",Coureurs!D241)</f>
        <v>70</v>
      </c>
      <c r="E241" s="87" t="str">
        <f>IF(Coureurs!F241="","",Coureurs!F241)</f>
        <v/>
      </c>
      <c r="F241" s="87" t="str">
        <f>IF(Coureurs!G241="","",Coureurs!G241)</f>
        <v/>
      </c>
      <c r="G241" s="50" t="str">
        <f>IF(Coureurs!J241="","",Coureurs!J241)</f>
        <v/>
      </c>
      <c r="H241" s="25"/>
      <c r="I241" s="41"/>
      <c r="J241" s="8" t="str">
        <f>IF(I241="PM","",IF(H241=0," ",I241-HLOOKUP('Course 1'!H241,'tab1'!$C$3:$N$4,2)))</f>
        <v xml:space="preserve"> </v>
      </c>
      <c r="K241" s="23" t="str">
        <f>IF(I241="PM","",IF(H241=0," ",J241/'Règles et points'!$F$23))</f>
        <v xml:space="preserve"> </v>
      </c>
      <c r="L241" s="3" t="str">
        <f>IF(H241=0,"",VLOOKUP(H241,'Règles et points'!$C$5:$AG$19,(HLOOKUP('Course 1'!C241,'Règles et points'!$C$5:$AG$5,1)+1)))</f>
        <v/>
      </c>
      <c r="M241" s="23">
        <f t="shared" si="4"/>
        <v>0</v>
      </c>
      <c r="N241" s="80"/>
      <c r="O241" s="51"/>
      <c r="P241" s="52"/>
    </row>
    <row r="242" spans="2:16" ht="12.75">
      <c r="B242" s="14">
        <v>238</v>
      </c>
      <c r="C242" s="28" t="str">
        <f>IF(Coureurs!C242="","",Coureurs!C242)</f>
        <v/>
      </c>
      <c r="D242" s="131" t="str">
        <f>IF(Coureurs!D242="","",Coureurs!D242)</f>
        <v>70</v>
      </c>
      <c r="E242" s="87" t="str">
        <f>IF(Coureurs!F242="","",Coureurs!F242)</f>
        <v/>
      </c>
      <c r="F242" s="87" t="str">
        <f>IF(Coureurs!G242="","",Coureurs!G242)</f>
        <v/>
      </c>
      <c r="G242" s="50" t="str">
        <f>IF(Coureurs!J242="","",Coureurs!J242)</f>
        <v/>
      </c>
      <c r="H242" s="25"/>
      <c r="I242" s="41"/>
      <c r="J242" s="8" t="str">
        <f>IF(I242="PM","",IF(H242=0," ",I242-HLOOKUP('Course 1'!H242,'tab1'!$C$3:$N$4,2)))</f>
        <v xml:space="preserve"> </v>
      </c>
      <c r="K242" s="23" t="str">
        <f>IF(I242="PM","",IF(H242=0," ",J242/'Règles et points'!$F$23))</f>
        <v xml:space="preserve"> </v>
      </c>
      <c r="L242" s="3" t="str">
        <f>IF(H242=0,"",VLOOKUP(H242,'Règles et points'!$C$5:$AG$19,(HLOOKUP('Course 1'!C242,'Règles et points'!$C$5:$AG$5,1)+1)))</f>
        <v/>
      </c>
      <c r="M242" s="23">
        <f t="shared" si="4"/>
        <v>0</v>
      </c>
      <c r="N242" s="80"/>
      <c r="O242" s="51"/>
      <c r="P242" s="52"/>
    </row>
    <row r="243" spans="2:16" ht="12.75">
      <c r="B243" s="14">
        <v>239</v>
      </c>
      <c r="C243" s="28" t="str">
        <f>IF(Coureurs!C243="","",Coureurs!C243)</f>
        <v/>
      </c>
      <c r="D243" s="131" t="str">
        <f>IF(Coureurs!D243="","",Coureurs!D243)</f>
        <v>70</v>
      </c>
      <c r="E243" s="87" t="str">
        <f>IF(Coureurs!F243="","",Coureurs!F243)</f>
        <v/>
      </c>
      <c r="F243" s="87" t="str">
        <f>IF(Coureurs!G243="","",Coureurs!G243)</f>
        <v/>
      </c>
      <c r="G243" s="50" t="str">
        <f>IF(Coureurs!J243="","",Coureurs!J243)</f>
        <v/>
      </c>
      <c r="H243" s="25"/>
      <c r="I243" s="41"/>
      <c r="J243" s="8" t="str">
        <f>IF(I243="PM","",IF(H243=0," ",I243-HLOOKUP('Course 1'!H243,'tab1'!$C$3:$N$4,2)))</f>
        <v xml:space="preserve"> </v>
      </c>
      <c r="K243" s="23" t="str">
        <f>IF(I243="PM","",IF(H243=0," ",J243/'Règles et points'!$F$23))</f>
        <v xml:space="preserve"> </v>
      </c>
      <c r="L243" s="3" t="str">
        <f>IF(H243=0,"",VLOOKUP(H243,'Règles et points'!$C$5:$AG$19,(HLOOKUP('Course 1'!C243,'Règles et points'!$C$5:$AG$5,1)+1)))</f>
        <v/>
      </c>
      <c r="M243" s="23">
        <f t="shared" si="4"/>
        <v>0</v>
      </c>
      <c r="N243" s="80"/>
      <c r="O243" s="51"/>
      <c r="P243" s="52"/>
    </row>
    <row r="244" spans="2:16" ht="12.75">
      <c r="B244" s="14">
        <v>240</v>
      </c>
      <c r="C244" s="28" t="str">
        <f>IF(Coureurs!C244="","",Coureurs!C244)</f>
        <v/>
      </c>
      <c r="D244" s="131" t="str">
        <f>IF(Coureurs!D244="","",Coureurs!D244)</f>
        <v>70</v>
      </c>
      <c r="E244" s="87" t="str">
        <f>IF(Coureurs!F244="","",Coureurs!F244)</f>
        <v/>
      </c>
      <c r="F244" s="87" t="str">
        <f>IF(Coureurs!G244="","",Coureurs!G244)</f>
        <v/>
      </c>
      <c r="G244" s="50" t="str">
        <f>IF(Coureurs!J244="","",Coureurs!J244)</f>
        <v/>
      </c>
      <c r="H244" s="25"/>
      <c r="I244" s="41"/>
      <c r="J244" s="8" t="str">
        <f>IF(I244="PM","",IF(H244=0," ",I244-HLOOKUP('Course 1'!H244,'tab1'!$C$3:$N$4,2)))</f>
        <v xml:space="preserve"> </v>
      </c>
      <c r="K244" s="23" t="str">
        <f>IF(I244="PM","",IF(H244=0," ",J244/'Règles et points'!$F$23))</f>
        <v xml:space="preserve"> </v>
      </c>
      <c r="L244" s="3" t="str">
        <f>IF(H244=0,"",VLOOKUP(H244,'Règles et points'!$C$5:$AG$19,(HLOOKUP('Course 1'!C244,'Règles et points'!$C$5:$AG$5,1)+1)))</f>
        <v/>
      </c>
      <c r="M244" s="23">
        <f t="shared" si="4"/>
        <v>0</v>
      </c>
      <c r="N244" s="80"/>
      <c r="O244" s="51"/>
      <c r="P244" s="52"/>
    </row>
    <row r="245" spans="2:16" ht="12.75">
      <c r="B245" s="14">
        <v>241</v>
      </c>
      <c r="C245" s="28" t="str">
        <f>IF(Coureurs!C245="","",Coureurs!C245)</f>
        <v/>
      </c>
      <c r="D245" s="131" t="str">
        <f>IF(Coureurs!D245="","",Coureurs!D245)</f>
        <v>70</v>
      </c>
      <c r="E245" s="87" t="str">
        <f>IF(Coureurs!F245="","",Coureurs!F245)</f>
        <v/>
      </c>
      <c r="F245" s="87" t="str">
        <f>IF(Coureurs!G245="","",Coureurs!G245)</f>
        <v/>
      </c>
      <c r="G245" s="50" t="str">
        <f>IF(Coureurs!J245="","",Coureurs!J245)</f>
        <v/>
      </c>
      <c r="H245" s="25"/>
      <c r="I245" s="41"/>
      <c r="J245" s="8" t="str">
        <f>IF(I245="PM","",IF(H245=0," ",I245-HLOOKUP('Course 1'!H245,'tab1'!$C$3:$N$4,2)))</f>
        <v xml:space="preserve"> </v>
      </c>
      <c r="K245" s="23" t="str">
        <f>IF(I245="PM","",IF(H245=0," ",J245/'Règles et points'!$F$23))</f>
        <v xml:space="preserve"> </v>
      </c>
      <c r="L245" s="3" t="str">
        <f>IF(H245=0,"",VLOOKUP(H245,'Règles et points'!$C$5:$AG$19,(HLOOKUP('Course 1'!C245,'Règles et points'!$C$5:$AG$5,1)+1)))</f>
        <v/>
      </c>
      <c r="M245" s="23">
        <f t="shared" si="4"/>
        <v>0</v>
      </c>
      <c r="N245" s="80"/>
      <c r="O245" s="51"/>
      <c r="P245" s="52"/>
    </row>
    <row r="246" spans="2:16" ht="12.75">
      <c r="B246" s="14">
        <v>242</v>
      </c>
      <c r="C246" s="28" t="str">
        <f>IF(Coureurs!C246="","",Coureurs!C246)</f>
        <v/>
      </c>
      <c r="D246" s="131" t="str">
        <f>IF(Coureurs!D246="","",Coureurs!D246)</f>
        <v>70</v>
      </c>
      <c r="E246" s="87" t="str">
        <f>IF(Coureurs!F246="","",Coureurs!F246)</f>
        <v/>
      </c>
      <c r="F246" s="87" t="str">
        <f>IF(Coureurs!G246="","",Coureurs!G246)</f>
        <v/>
      </c>
      <c r="G246" s="50" t="str">
        <f>IF(Coureurs!J246="","",Coureurs!J246)</f>
        <v/>
      </c>
      <c r="H246" s="25"/>
      <c r="I246" s="41"/>
      <c r="J246" s="8" t="str">
        <f>IF(I246="PM","",IF(H246=0," ",I246-HLOOKUP('Course 1'!H246,'tab1'!$C$3:$N$4,2)))</f>
        <v xml:space="preserve"> </v>
      </c>
      <c r="K246" s="23" t="str">
        <f>IF(I246="PM","",IF(H246=0," ",J246/'Règles et points'!$F$23))</f>
        <v xml:space="preserve"> </v>
      </c>
      <c r="L246" s="3" t="str">
        <f>IF(H246=0,"",VLOOKUP(H246,'Règles et points'!$C$5:$AG$19,(HLOOKUP('Course 1'!C246,'Règles et points'!$C$5:$AG$5,1)+1)))</f>
        <v/>
      </c>
      <c r="M246" s="23">
        <f t="shared" si="4"/>
        <v>0</v>
      </c>
      <c r="N246" s="80"/>
      <c r="O246" s="51"/>
      <c r="P246" s="52"/>
    </row>
    <row r="247" spans="2:16" ht="12.75">
      <c r="B247" s="14">
        <v>243</v>
      </c>
      <c r="C247" s="28" t="str">
        <f>IF(Coureurs!C247="","",Coureurs!C247)</f>
        <v/>
      </c>
      <c r="D247" s="131" t="str">
        <f>IF(Coureurs!D247="","",Coureurs!D247)</f>
        <v>70</v>
      </c>
      <c r="E247" s="87" t="str">
        <f>IF(Coureurs!F247="","",Coureurs!F247)</f>
        <v/>
      </c>
      <c r="F247" s="87" t="str">
        <f>IF(Coureurs!G247="","",Coureurs!G247)</f>
        <v/>
      </c>
      <c r="G247" s="50" t="str">
        <f>IF(Coureurs!J247="","",Coureurs!J247)</f>
        <v/>
      </c>
      <c r="H247" s="25"/>
      <c r="I247" s="41"/>
      <c r="J247" s="8" t="str">
        <f>IF(I247="PM","",IF(H247=0," ",I247-HLOOKUP('Course 1'!H247,'tab1'!$C$3:$N$4,2)))</f>
        <v xml:space="preserve"> </v>
      </c>
      <c r="K247" s="23" t="str">
        <f>IF(I247="PM","",IF(H247=0," ",J247/'Règles et points'!$F$23))</f>
        <v xml:space="preserve"> </v>
      </c>
      <c r="L247" s="3" t="str">
        <f>IF(H247=0,"",VLOOKUP(H247,'Règles et points'!$C$5:$AG$19,(HLOOKUP('Course 1'!C247,'Règles et points'!$C$5:$AG$5,1)+1)))</f>
        <v/>
      </c>
      <c r="M247" s="23">
        <f t="shared" si="4"/>
        <v>0</v>
      </c>
      <c r="N247" s="80"/>
      <c r="O247" s="51"/>
      <c r="P247" s="52"/>
    </row>
    <row r="248" spans="2:16" ht="12.75">
      <c r="B248" s="14">
        <v>244</v>
      </c>
      <c r="C248" s="28" t="str">
        <f>IF(Coureurs!C248="","",Coureurs!C248)</f>
        <v/>
      </c>
      <c r="D248" s="131" t="str">
        <f>IF(Coureurs!D248="","",Coureurs!D248)</f>
        <v>70</v>
      </c>
      <c r="E248" s="87" t="str">
        <f>IF(Coureurs!F248="","",Coureurs!F248)</f>
        <v/>
      </c>
      <c r="F248" s="87" t="str">
        <f>IF(Coureurs!G248="","",Coureurs!G248)</f>
        <v/>
      </c>
      <c r="G248" s="50" t="str">
        <f>IF(Coureurs!J248="","",Coureurs!J248)</f>
        <v/>
      </c>
      <c r="H248" s="25"/>
      <c r="I248" s="41"/>
      <c r="J248" s="8" t="str">
        <f>IF(I248="PM","",IF(H248=0," ",I248-HLOOKUP('Course 1'!H248,'tab1'!$C$3:$N$4,2)))</f>
        <v xml:space="preserve"> </v>
      </c>
      <c r="K248" s="23" t="str">
        <f>IF(I248="PM","",IF(H248=0," ",J248/'Règles et points'!$F$23))</f>
        <v xml:space="preserve"> </v>
      </c>
      <c r="L248" s="3" t="str">
        <f>IF(H248=0,"",VLOOKUP(H248,'Règles et points'!$C$5:$AG$19,(HLOOKUP('Course 1'!C248,'Règles et points'!$C$5:$AG$5,1)+1)))</f>
        <v/>
      </c>
      <c r="M248" s="23">
        <f t="shared" si="4"/>
        <v>0</v>
      </c>
      <c r="N248" s="80"/>
      <c r="O248" s="51"/>
      <c r="P248" s="52"/>
    </row>
    <row r="249" spans="2:16" ht="12.75">
      <c r="B249" s="14">
        <v>245</v>
      </c>
      <c r="C249" s="28" t="str">
        <f>IF(Coureurs!C249="","",Coureurs!C249)</f>
        <v/>
      </c>
      <c r="D249" s="131" t="str">
        <f>IF(Coureurs!D249="","",Coureurs!D249)</f>
        <v>70</v>
      </c>
      <c r="E249" s="87" t="str">
        <f>IF(Coureurs!F249="","",Coureurs!F249)</f>
        <v/>
      </c>
      <c r="F249" s="87" t="str">
        <f>IF(Coureurs!G249="","",Coureurs!G249)</f>
        <v/>
      </c>
      <c r="G249" s="50" t="str">
        <f>IF(Coureurs!J249="","",Coureurs!J249)</f>
        <v/>
      </c>
      <c r="H249" s="25"/>
      <c r="I249" s="41"/>
      <c r="J249" s="8" t="str">
        <f>IF(I249="PM","",IF(H249=0," ",I249-HLOOKUP('Course 1'!H249,'tab1'!$C$3:$N$4,2)))</f>
        <v xml:space="preserve"> </v>
      </c>
      <c r="K249" s="23" t="str">
        <f>IF(I249="PM","",IF(H249=0," ",J249/'Règles et points'!$F$23))</f>
        <v xml:space="preserve"> </v>
      </c>
      <c r="L249" s="3" t="str">
        <f>IF(H249=0,"",VLOOKUP(H249,'Règles et points'!$C$5:$AG$19,(HLOOKUP('Course 1'!C249,'Règles et points'!$C$5:$AG$5,1)+1)))</f>
        <v/>
      </c>
      <c r="M249" s="23">
        <f t="shared" si="4"/>
        <v>0</v>
      </c>
      <c r="N249" s="80"/>
      <c r="O249" s="51"/>
      <c r="P249" s="52"/>
    </row>
    <row r="250" spans="2:16" ht="12.75">
      <c r="B250" s="14">
        <v>246</v>
      </c>
      <c r="C250" s="28" t="str">
        <f>IF(Coureurs!C250="","",Coureurs!C250)</f>
        <v/>
      </c>
      <c r="D250" s="131" t="str">
        <f>IF(Coureurs!D250="","",Coureurs!D250)</f>
        <v>70</v>
      </c>
      <c r="E250" s="87" t="str">
        <f>IF(Coureurs!F250="","",Coureurs!F250)</f>
        <v/>
      </c>
      <c r="F250" s="87" t="str">
        <f>IF(Coureurs!G250="","",Coureurs!G250)</f>
        <v/>
      </c>
      <c r="G250" s="50" t="str">
        <f>IF(Coureurs!J250="","",Coureurs!J250)</f>
        <v/>
      </c>
      <c r="H250" s="25"/>
      <c r="I250" s="41"/>
      <c r="J250" s="8" t="str">
        <f>IF(I250="PM","",IF(H250=0," ",I250-HLOOKUP('Course 1'!H250,'tab1'!$C$3:$N$4,2)))</f>
        <v xml:space="preserve"> </v>
      </c>
      <c r="K250" s="23" t="str">
        <f>IF(I250="PM","",IF(H250=0," ",J250/'Règles et points'!$F$23))</f>
        <v xml:space="preserve"> </v>
      </c>
      <c r="L250" s="3" t="str">
        <f>IF(H250=0,"",VLOOKUP(H250,'Règles et points'!$C$5:$AG$19,(HLOOKUP('Course 1'!C250,'Règles et points'!$C$5:$AG$5,1)+1)))</f>
        <v/>
      </c>
      <c r="M250" s="23">
        <f t="shared" si="4"/>
        <v>0</v>
      </c>
      <c r="N250" s="80"/>
      <c r="O250" s="51"/>
      <c r="P250" s="52"/>
    </row>
    <row r="251" spans="2:16" ht="12.75">
      <c r="B251" s="14">
        <v>247</v>
      </c>
      <c r="C251" s="28" t="str">
        <f>IF(Coureurs!C251="","",Coureurs!C251)</f>
        <v/>
      </c>
      <c r="D251" s="131" t="str">
        <f>IF(Coureurs!D251="","",Coureurs!D251)</f>
        <v>70</v>
      </c>
      <c r="E251" s="87" t="str">
        <f>IF(Coureurs!F251="","",Coureurs!F251)</f>
        <v/>
      </c>
      <c r="F251" s="87" t="str">
        <f>IF(Coureurs!G251="","",Coureurs!G251)</f>
        <v/>
      </c>
      <c r="G251" s="50" t="str">
        <f>IF(Coureurs!J251="","",Coureurs!J251)</f>
        <v/>
      </c>
      <c r="H251" s="25"/>
      <c r="I251" s="41"/>
      <c r="J251" s="8" t="str">
        <f>IF(I251="PM","",IF(H251=0," ",I251-HLOOKUP('Course 1'!H251,'tab1'!$C$3:$N$4,2)))</f>
        <v xml:space="preserve"> </v>
      </c>
      <c r="K251" s="23" t="str">
        <f>IF(I251="PM","",IF(H251=0," ",J251/'Règles et points'!$F$23))</f>
        <v xml:space="preserve"> </v>
      </c>
      <c r="L251" s="3" t="str">
        <f>IF(H251=0,"",VLOOKUP(H251,'Règles et points'!$C$5:$AG$19,(HLOOKUP('Course 1'!C251,'Règles et points'!$C$5:$AG$5,1)+1)))</f>
        <v/>
      </c>
      <c r="M251" s="23">
        <f t="shared" si="4"/>
        <v>0</v>
      </c>
      <c r="N251" s="80"/>
      <c r="O251" s="51"/>
      <c r="P251" s="52"/>
    </row>
    <row r="252" spans="2:16" ht="12.75">
      <c r="B252" s="14">
        <v>248</v>
      </c>
      <c r="C252" s="28" t="str">
        <f>IF(Coureurs!C252="","",Coureurs!C252)</f>
        <v/>
      </c>
      <c r="D252" s="131" t="str">
        <f>IF(Coureurs!D252="","",Coureurs!D252)</f>
        <v>70</v>
      </c>
      <c r="E252" s="87" t="str">
        <f>IF(Coureurs!F252="","",Coureurs!F252)</f>
        <v/>
      </c>
      <c r="F252" s="87" t="str">
        <f>IF(Coureurs!G252="","",Coureurs!G252)</f>
        <v/>
      </c>
      <c r="G252" s="50" t="str">
        <f>IF(Coureurs!J252="","",Coureurs!J252)</f>
        <v/>
      </c>
      <c r="H252" s="25"/>
      <c r="I252" s="41"/>
      <c r="J252" s="8" t="str">
        <f>IF(I252="PM","",IF(H252=0," ",I252-HLOOKUP('Course 1'!H252,'tab1'!$C$3:$N$4,2)))</f>
        <v xml:space="preserve"> </v>
      </c>
      <c r="K252" s="23" t="str">
        <f>IF(I252="PM","",IF(H252=0," ",J252/'Règles et points'!$F$23))</f>
        <v xml:space="preserve"> </v>
      </c>
      <c r="L252" s="3" t="str">
        <f>IF(H252=0,"",VLOOKUP(H252,'Règles et points'!$C$5:$AG$19,(HLOOKUP('Course 1'!C252,'Règles et points'!$C$5:$AG$5,1)+1)))</f>
        <v/>
      </c>
      <c r="M252" s="23">
        <f t="shared" si="4"/>
        <v>0</v>
      </c>
      <c r="N252" s="80"/>
      <c r="O252" s="51"/>
      <c r="P252" s="52"/>
    </row>
    <row r="253" spans="2:16" ht="12.75">
      <c r="B253" s="14">
        <v>249</v>
      </c>
      <c r="C253" s="28" t="str">
        <f>IF(Coureurs!C253="","",Coureurs!C253)</f>
        <v/>
      </c>
      <c r="D253" s="131" t="str">
        <f>IF(Coureurs!D253="","",Coureurs!D253)</f>
        <v>70</v>
      </c>
      <c r="E253" s="87" t="str">
        <f>IF(Coureurs!F253="","",Coureurs!F253)</f>
        <v/>
      </c>
      <c r="F253" s="87" t="str">
        <f>IF(Coureurs!G253="","",Coureurs!G253)</f>
        <v/>
      </c>
      <c r="G253" s="50" t="str">
        <f>IF(Coureurs!J253="","",Coureurs!J253)</f>
        <v/>
      </c>
      <c r="H253" s="25"/>
      <c r="I253" s="41"/>
      <c r="J253" s="8" t="str">
        <f>IF(I253="PM","",IF(H253=0," ",I253-HLOOKUP('Course 1'!H253,'tab1'!$C$3:$N$4,2)))</f>
        <v xml:space="preserve"> </v>
      </c>
      <c r="K253" s="23" t="str">
        <f>IF(I253="PM","",IF(H253=0," ",J253/'Règles et points'!$F$23))</f>
        <v xml:space="preserve"> </v>
      </c>
      <c r="L253" s="3" t="str">
        <f>IF(H253=0,"",VLOOKUP(H253,'Règles et points'!$C$5:$AG$19,(HLOOKUP('Course 1'!C253,'Règles et points'!$C$5:$AG$5,1)+1)))</f>
        <v/>
      </c>
      <c r="M253" s="23">
        <f t="shared" si="4"/>
        <v>0</v>
      </c>
      <c r="N253" s="80"/>
      <c r="O253" s="51"/>
      <c r="P253" s="52"/>
    </row>
    <row r="254" spans="2:16" ht="12.75">
      <c r="B254" s="14">
        <v>250</v>
      </c>
      <c r="C254" s="28" t="str">
        <f>IF(Coureurs!C254="","",Coureurs!C254)</f>
        <v/>
      </c>
      <c r="D254" s="131" t="str">
        <f>IF(Coureurs!D254="","",Coureurs!D254)</f>
        <v>70</v>
      </c>
      <c r="E254" s="87" t="str">
        <f>IF(Coureurs!F254="","",Coureurs!F254)</f>
        <v/>
      </c>
      <c r="F254" s="87" t="str">
        <f>IF(Coureurs!G254="","",Coureurs!G254)</f>
        <v/>
      </c>
      <c r="G254" s="50" t="str">
        <f>IF(Coureurs!J254="","",Coureurs!J254)</f>
        <v/>
      </c>
      <c r="H254" s="25"/>
      <c r="I254" s="41"/>
      <c r="J254" s="8" t="str">
        <f>IF(I254="PM","",IF(H254=0," ",I254-HLOOKUP('Course 1'!H254,'tab1'!$C$3:$N$4,2)))</f>
        <v xml:space="preserve"> </v>
      </c>
      <c r="K254" s="23" t="str">
        <f>IF(I254="PM","",IF(H254=0," ",J254/'Règles et points'!$F$23))</f>
        <v xml:space="preserve"> </v>
      </c>
      <c r="L254" s="3" t="str">
        <f>IF(H254=0,"",VLOOKUP(H254,'Règles et points'!$C$5:$AG$19,(HLOOKUP('Course 1'!C254,'Règles et points'!$C$5:$AG$5,1)+1)))</f>
        <v/>
      </c>
      <c r="M254" s="23">
        <f t="shared" si="4"/>
        <v>0</v>
      </c>
      <c r="N254" s="80"/>
      <c r="O254" s="51"/>
      <c r="P254" s="52"/>
    </row>
    <row r="255" spans="2:16" ht="12.75">
      <c r="B255" s="14">
        <v>251</v>
      </c>
      <c r="C255" s="28" t="str">
        <f>IF(Coureurs!C255="","",Coureurs!C255)</f>
        <v/>
      </c>
      <c r="D255" s="131" t="str">
        <f>IF(Coureurs!D255="","",Coureurs!D255)</f>
        <v>70</v>
      </c>
      <c r="E255" s="87" t="str">
        <f>IF(Coureurs!F255="","",Coureurs!F255)</f>
        <v/>
      </c>
      <c r="F255" s="87" t="str">
        <f>IF(Coureurs!G255="","",Coureurs!G255)</f>
        <v/>
      </c>
      <c r="G255" s="50" t="str">
        <f>IF(Coureurs!J255="","",Coureurs!J255)</f>
        <v/>
      </c>
      <c r="H255" s="25"/>
      <c r="I255" s="41"/>
      <c r="J255" s="8" t="str">
        <f>IF(I255="PM","",IF(H255=0," ",I255-HLOOKUP('Course 1'!H255,'tab1'!$C$3:$N$4,2)))</f>
        <v xml:space="preserve"> </v>
      </c>
      <c r="K255" s="23" t="str">
        <f>IF(I255="PM","",IF(H255=0," ",J255/'Règles et points'!$F$23))</f>
        <v xml:space="preserve"> </v>
      </c>
      <c r="L255" s="3" t="str">
        <f>IF(H255=0,"",VLOOKUP(H255,'Règles et points'!$C$5:$AG$19,(HLOOKUP('Course 1'!C255,'Règles et points'!$C$5:$AG$5,1)+1)))</f>
        <v/>
      </c>
      <c r="M255" s="23">
        <f t="shared" si="4"/>
        <v>0</v>
      </c>
      <c r="N255" s="80"/>
      <c r="O255" s="51"/>
      <c r="P255" s="52"/>
    </row>
    <row r="256" spans="2:16" ht="12.75">
      <c r="B256" s="14">
        <v>252</v>
      </c>
      <c r="C256" s="28" t="str">
        <f>IF(Coureurs!C256="","",Coureurs!C256)</f>
        <v/>
      </c>
      <c r="D256" s="131" t="str">
        <f>IF(Coureurs!D256="","",Coureurs!D256)</f>
        <v>70</v>
      </c>
      <c r="E256" s="87" t="str">
        <f>IF(Coureurs!F256="","",Coureurs!F256)</f>
        <v/>
      </c>
      <c r="F256" s="87" t="str">
        <f>IF(Coureurs!G256="","",Coureurs!G256)</f>
        <v/>
      </c>
      <c r="G256" s="50" t="str">
        <f>IF(Coureurs!J256="","",Coureurs!J256)</f>
        <v/>
      </c>
      <c r="H256" s="25"/>
      <c r="I256" s="41"/>
      <c r="J256" s="8" t="str">
        <f>IF(I256="PM","",IF(H256=0," ",I256-HLOOKUP('Course 1'!H256,'tab1'!$C$3:$N$4,2)))</f>
        <v xml:space="preserve"> </v>
      </c>
      <c r="K256" s="23" t="str">
        <f>IF(I256="PM","",IF(H256=0," ",J256/'Règles et points'!$F$23))</f>
        <v xml:space="preserve"> </v>
      </c>
      <c r="L256" s="3" t="str">
        <f>IF(H256=0,"",VLOOKUP(H256,'Règles et points'!$C$5:$AG$19,(HLOOKUP('Course 1'!C256,'Règles et points'!$C$5:$AG$5,1)+1)))</f>
        <v/>
      </c>
      <c r="M256" s="23">
        <f t="shared" si="4"/>
        <v>0</v>
      </c>
      <c r="N256" s="80"/>
      <c r="O256" s="51"/>
      <c r="P256" s="52"/>
    </row>
    <row r="257" spans="2:16" ht="12.75">
      <c r="B257" s="14">
        <v>253</v>
      </c>
      <c r="C257" s="28" t="str">
        <f>IF(Coureurs!C257="","",Coureurs!C257)</f>
        <v/>
      </c>
      <c r="D257" s="131" t="str">
        <f>IF(Coureurs!D257="","",Coureurs!D257)</f>
        <v>70</v>
      </c>
      <c r="E257" s="87" t="str">
        <f>IF(Coureurs!F257="","",Coureurs!F257)</f>
        <v/>
      </c>
      <c r="F257" s="87" t="str">
        <f>IF(Coureurs!G257="","",Coureurs!G257)</f>
        <v/>
      </c>
      <c r="G257" s="50" t="str">
        <f>IF(Coureurs!J257="","",Coureurs!J257)</f>
        <v/>
      </c>
      <c r="H257" s="25"/>
      <c r="I257" s="41"/>
      <c r="J257" s="8" t="str">
        <f>IF(I257="PM","",IF(H257=0," ",I257-HLOOKUP('Course 1'!H257,'tab1'!$C$3:$N$4,2)))</f>
        <v xml:space="preserve"> </v>
      </c>
      <c r="K257" s="23" t="str">
        <f>IF(I257="PM","",IF(H257=0," ",J257/'Règles et points'!$F$23))</f>
        <v xml:space="preserve"> </v>
      </c>
      <c r="L257" s="3" t="str">
        <f>IF(H257=0,"",VLOOKUP(H257,'Règles et points'!$C$5:$AG$19,(HLOOKUP('Course 1'!C257,'Règles et points'!$C$5:$AG$5,1)+1)))</f>
        <v/>
      </c>
      <c r="M257" s="23">
        <f t="shared" si="4"/>
        <v>0</v>
      </c>
      <c r="N257" s="80"/>
      <c r="O257" s="51"/>
      <c r="P257" s="52"/>
    </row>
    <row r="258" spans="2:16" ht="12.75">
      <c r="B258" s="14">
        <v>254</v>
      </c>
      <c r="C258" s="28" t="str">
        <f>IF(Coureurs!C258="","",Coureurs!C258)</f>
        <v/>
      </c>
      <c r="D258" s="131" t="str">
        <f>IF(Coureurs!D258="","",Coureurs!D258)</f>
        <v>70</v>
      </c>
      <c r="E258" s="87" t="str">
        <f>IF(Coureurs!F258="","",Coureurs!F258)</f>
        <v/>
      </c>
      <c r="F258" s="87" t="str">
        <f>IF(Coureurs!G258="","",Coureurs!G258)</f>
        <v/>
      </c>
      <c r="G258" s="50" t="str">
        <f>IF(Coureurs!J258="","",Coureurs!J258)</f>
        <v/>
      </c>
      <c r="H258" s="25"/>
      <c r="I258" s="41"/>
      <c r="J258" s="8" t="str">
        <f>IF(I258="PM","",IF(H258=0," ",I258-HLOOKUP('Course 1'!H258,'tab1'!$C$3:$N$4,2)))</f>
        <v xml:space="preserve"> </v>
      </c>
      <c r="K258" s="23" t="str">
        <f>IF(I258="PM","",IF(H258=0," ",J258/'Règles et points'!$F$23))</f>
        <v xml:space="preserve"> </v>
      </c>
      <c r="L258" s="3" t="str">
        <f>IF(H258=0,"",VLOOKUP(H258,'Règles et points'!$C$5:$AG$19,(HLOOKUP('Course 1'!C258,'Règles et points'!$C$5:$AG$5,1)+1)))</f>
        <v/>
      </c>
      <c r="M258" s="23">
        <f t="shared" si="4"/>
        <v>0</v>
      </c>
      <c r="N258" s="80"/>
      <c r="O258" s="51"/>
      <c r="P258" s="52"/>
    </row>
    <row r="259" spans="2:16" ht="12.75">
      <c r="B259" s="14">
        <v>255</v>
      </c>
      <c r="C259" s="28" t="str">
        <f>IF(Coureurs!C259="","",Coureurs!C259)</f>
        <v/>
      </c>
      <c r="D259" s="131" t="str">
        <f>IF(Coureurs!D259="","",Coureurs!D259)</f>
        <v>70</v>
      </c>
      <c r="E259" s="87" t="str">
        <f>IF(Coureurs!F259="","",Coureurs!F259)</f>
        <v/>
      </c>
      <c r="F259" s="87" t="str">
        <f>IF(Coureurs!G259="","",Coureurs!G259)</f>
        <v/>
      </c>
      <c r="G259" s="50" t="str">
        <f>IF(Coureurs!J259="","",Coureurs!J259)</f>
        <v/>
      </c>
      <c r="H259" s="25"/>
      <c r="I259" s="41"/>
      <c r="J259" s="8" t="str">
        <f>IF(I259="PM","",IF(H259=0," ",I259-HLOOKUP('Course 1'!H259,'tab1'!$C$3:$N$4,2)))</f>
        <v xml:space="preserve"> </v>
      </c>
      <c r="K259" s="23" t="str">
        <f>IF(I259="PM","",IF(H259=0," ",J259/'Règles et points'!$F$23))</f>
        <v xml:space="preserve"> </v>
      </c>
      <c r="L259" s="3" t="str">
        <f>IF(H259=0,"",VLOOKUP(H259,'Règles et points'!$C$5:$AG$19,(HLOOKUP('Course 1'!C259,'Règles et points'!$C$5:$AG$5,1)+1)))</f>
        <v/>
      </c>
      <c r="M259" s="23">
        <f t="shared" si="4"/>
        <v>0</v>
      </c>
      <c r="N259" s="80"/>
      <c r="O259" s="51"/>
      <c r="P259" s="52"/>
    </row>
    <row r="260" spans="2:16" ht="12.75">
      <c r="B260" s="14">
        <v>256</v>
      </c>
      <c r="C260" s="28" t="str">
        <f>IF(Coureurs!C260="","",Coureurs!C260)</f>
        <v/>
      </c>
      <c r="D260" s="131" t="str">
        <f>IF(Coureurs!D260="","",Coureurs!D260)</f>
        <v>70</v>
      </c>
      <c r="E260" s="87" t="str">
        <f>IF(Coureurs!F260="","",Coureurs!F260)</f>
        <v/>
      </c>
      <c r="F260" s="87" t="str">
        <f>IF(Coureurs!G260="","",Coureurs!G260)</f>
        <v/>
      </c>
      <c r="G260" s="50" t="str">
        <f>IF(Coureurs!J260="","",Coureurs!J260)</f>
        <v/>
      </c>
      <c r="H260" s="25"/>
      <c r="I260" s="41"/>
      <c r="J260" s="8" t="str">
        <f>IF(I260="PM","",IF(H260=0," ",I260-HLOOKUP('Course 1'!H260,'tab1'!$C$3:$N$4,2)))</f>
        <v xml:space="preserve"> </v>
      </c>
      <c r="K260" s="23" t="str">
        <f>IF(I260="PM","",IF(H260=0," ",J260/'Règles et points'!$F$23))</f>
        <v xml:space="preserve"> </v>
      </c>
      <c r="L260" s="3" t="str">
        <f>IF(H260=0,"",VLOOKUP(H260,'Règles et points'!$C$5:$AG$19,(HLOOKUP('Course 1'!C260,'Règles et points'!$C$5:$AG$5,1)+1)))</f>
        <v/>
      </c>
      <c r="M260" s="23">
        <f t="shared" si="4"/>
        <v>0</v>
      </c>
      <c r="N260" s="80"/>
      <c r="O260" s="51"/>
      <c r="P260" s="52"/>
    </row>
    <row r="261" spans="2:16" ht="12.75">
      <c r="B261" s="14">
        <v>257</v>
      </c>
      <c r="C261" s="28" t="str">
        <f>IF(Coureurs!C261="","",Coureurs!C261)</f>
        <v/>
      </c>
      <c r="D261" s="131" t="str">
        <f>IF(Coureurs!D261="","",Coureurs!D261)</f>
        <v>70</v>
      </c>
      <c r="E261" s="87" t="str">
        <f>IF(Coureurs!F261="","",Coureurs!F261)</f>
        <v/>
      </c>
      <c r="F261" s="87" t="str">
        <f>IF(Coureurs!G261="","",Coureurs!G261)</f>
        <v/>
      </c>
      <c r="G261" s="50" t="str">
        <f>IF(Coureurs!J261="","",Coureurs!J261)</f>
        <v/>
      </c>
      <c r="H261" s="25"/>
      <c r="I261" s="41"/>
      <c r="J261" s="8" t="str">
        <f>IF(I261="PM","",IF(H261=0," ",I261-HLOOKUP('Course 1'!H261,'tab1'!$C$3:$N$4,2)))</f>
        <v xml:space="preserve"> </v>
      </c>
      <c r="K261" s="23" t="str">
        <f>IF(I261="PM","",IF(H261=0," ",J261/'Règles et points'!$F$23))</f>
        <v xml:space="preserve"> </v>
      </c>
      <c r="L261" s="3" t="str">
        <f>IF(H261=0,"",VLOOKUP(H261,'Règles et points'!$C$5:$AG$19,(HLOOKUP('Course 1'!C261,'Règles et points'!$C$5:$AG$5,1)+1)))</f>
        <v/>
      </c>
      <c r="M261" s="23">
        <f t="shared" si="4"/>
        <v>0</v>
      </c>
      <c r="N261" s="80"/>
      <c r="O261" s="51"/>
      <c r="P261" s="52"/>
    </row>
    <row r="262" spans="2:16" ht="12.75">
      <c r="B262" s="14">
        <v>258</v>
      </c>
      <c r="C262" s="28" t="str">
        <f>IF(Coureurs!C262="","",Coureurs!C262)</f>
        <v/>
      </c>
      <c r="D262" s="131" t="str">
        <f>IF(Coureurs!D262="","",Coureurs!D262)</f>
        <v>70</v>
      </c>
      <c r="E262" s="87" t="str">
        <f>IF(Coureurs!F262="","",Coureurs!F262)</f>
        <v/>
      </c>
      <c r="F262" s="87" t="str">
        <f>IF(Coureurs!G262="","",Coureurs!G262)</f>
        <v/>
      </c>
      <c r="G262" s="50" t="str">
        <f>IF(Coureurs!J262="","",Coureurs!J262)</f>
        <v/>
      </c>
      <c r="H262" s="25"/>
      <c r="I262" s="41"/>
      <c r="J262" s="8" t="str">
        <f>IF(I262="PM","",IF(H262=0," ",I262-HLOOKUP('Course 1'!H262,'tab1'!$C$3:$N$4,2)))</f>
        <v xml:space="preserve"> </v>
      </c>
      <c r="K262" s="23" t="str">
        <f>IF(I262="PM","",IF(H262=0," ",J262/'Règles et points'!$F$23))</f>
        <v xml:space="preserve"> </v>
      </c>
      <c r="L262" s="3" t="str">
        <f>IF(H262=0,"",VLOOKUP(H262,'Règles et points'!$C$5:$AG$19,(HLOOKUP('Course 1'!C262,'Règles et points'!$C$5:$AG$5,1)+1)))</f>
        <v/>
      </c>
      <c r="M262" s="23">
        <f t="shared" ref="M262:M304" si="5">IF(I262="PM",30,IF(H262=0,0,L262-K262))+N262</f>
        <v>0</v>
      </c>
      <c r="N262" s="80"/>
      <c r="O262" s="51"/>
      <c r="P262" s="52"/>
    </row>
    <row r="263" spans="2:16" ht="12.75">
      <c r="B263" s="14">
        <v>259</v>
      </c>
      <c r="C263" s="28" t="str">
        <f>IF(Coureurs!C263="","",Coureurs!C263)</f>
        <v/>
      </c>
      <c r="D263" s="131" t="str">
        <f>IF(Coureurs!D263="","",Coureurs!D263)</f>
        <v>70</v>
      </c>
      <c r="E263" s="87" t="str">
        <f>IF(Coureurs!F263="","",Coureurs!F263)</f>
        <v/>
      </c>
      <c r="F263" s="87" t="str">
        <f>IF(Coureurs!G263="","",Coureurs!G263)</f>
        <v/>
      </c>
      <c r="G263" s="50" t="str">
        <f>IF(Coureurs!J263="","",Coureurs!J263)</f>
        <v/>
      </c>
      <c r="H263" s="25"/>
      <c r="I263" s="41"/>
      <c r="J263" s="8" t="str">
        <f>IF(I263="PM","",IF(H263=0," ",I263-HLOOKUP('Course 1'!H263,'tab1'!$C$3:$N$4,2)))</f>
        <v xml:space="preserve"> </v>
      </c>
      <c r="K263" s="23" t="str">
        <f>IF(I263="PM","",IF(H263=0," ",J263/'Règles et points'!$F$23))</f>
        <v xml:space="preserve"> </v>
      </c>
      <c r="L263" s="3" t="str">
        <f>IF(H263=0,"",VLOOKUP(H263,'Règles et points'!$C$5:$AG$19,(HLOOKUP('Course 1'!C263,'Règles et points'!$C$5:$AG$5,1)+1)))</f>
        <v/>
      </c>
      <c r="M263" s="23">
        <f t="shared" si="5"/>
        <v>0</v>
      </c>
      <c r="N263" s="80"/>
      <c r="O263" s="51"/>
      <c r="P263" s="52"/>
    </row>
    <row r="264" spans="2:16" ht="12.75">
      <c r="B264" s="14">
        <v>260</v>
      </c>
      <c r="C264" s="28" t="str">
        <f>IF(Coureurs!C264="","",Coureurs!C264)</f>
        <v/>
      </c>
      <c r="D264" s="131" t="str">
        <f>IF(Coureurs!D264="","",Coureurs!D264)</f>
        <v>70</v>
      </c>
      <c r="E264" s="87" t="str">
        <f>IF(Coureurs!F264="","",Coureurs!F264)</f>
        <v/>
      </c>
      <c r="F264" s="87" t="str">
        <f>IF(Coureurs!G264="","",Coureurs!G264)</f>
        <v/>
      </c>
      <c r="G264" s="50" t="str">
        <f>IF(Coureurs!J264="","",Coureurs!J264)</f>
        <v/>
      </c>
      <c r="H264" s="25"/>
      <c r="I264" s="41"/>
      <c r="J264" s="8" t="str">
        <f>IF(I264="PM","",IF(H264=0," ",I264-HLOOKUP('Course 1'!H264,'tab1'!$C$3:$N$4,2)))</f>
        <v xml:space="preserve"> </v>
      </c>
      <c r="K264" s="23" t="str">
        <f>IF(I264="PM","",IF(H264=0," ",J264/'Règles et points'!$F$23))</f>
        <v xml:space="preserve"> </v>
      </c>
      <c r="L264" s="3" t="str">
        <f>IF(H264=0,"",VLOOKUP(H264,'Règles et points'!$C$5:$AG$19,(HLOOKUP('Course 1'!C264,'Règles et points'!$C$5:$AG$5,1)+1)))</f>
        <v/>
      </c>
      <c r="M264" s="23">
        <f t="shared" si="5"/>
        <v>0</v>
      </c>
      <c r="N264" s="80"/>
      <c r="O264" s="51"/>
      <c r="P264" s="52"/>
    </row>
    <row r="265" spans="2:16" ht="12.75">
      <c r="B265" s="14">
        <v>261</v>
      </c>
      <c r="C265" s="28" t="str">
        <f>IF(Coureurs!C265="","",Coureurs!C265)</f>
        <v/>
      </c>
      <c r="D265" s="131" t="str">
        <f>IF(Coureurs!D265="","",Coureurs!D265)</f>
        <v>70</v>
      </c>
      <c r="E265" s="87" t="str">
        <f>IF(Coureurs!F265="","",Coureurs!F265)</f>
        <v/>
      </c>
      <c r="F265" s="87" t="str">
        <f>IF(Coureurs!G265="","",Coureurs!G265)</f>
        <v/>
      </c>
      <c r="G265" s="50" t="str">
        <f>IF(Coureurs!J265="","",Coureurs!J265)</f>
        <v/>
      </c>
      <c r="H265" s="25"/>
      <c r="I265" s="41"/>
      <c r="J265" s="8" t="str">
        <f>IF(I265="PM","",IF(H265=0," ",I265-HLOOKUP('Course 1'!H265,'tab1'!$C$3:$N$4,2)))</f>
        <v xml:space="preserve"> </v>
      </c>
      <c r="K265" s="23" t="str">
        <f>IF(I265="PM","",IF(H265=0," ",J265/'Règles et points'!$F$23))</f>
        <v xml:space="preserve"> </v>
      </c>
      <c r="L265" s="3" t="str">
        <f>IF(H265=0,"",VLOOKUP(H265,'Règles et points'!$C$5:$AG$19,(HLOOKUP('Course 1'!C265,'Règles et points'!$C$5:$AG$5,1)+1)))</f>
        <v/>
      </c>
      <c r="M265" s="23">
        <f t="shared" si="5"/>
        <v>0</v>
      </c>
      <c r="N265" s="80"/>
      <c r="O265" s="51"/>
      <c r="P265" s="52"/>
    </row>
    <row r="266" spans="2:16" ht="12.75">
      <c r="B266" s="14">
        <v>262</v>
      </c>
      <c r="C266" s="28" t="str">
        <f>IF(Coureurs!C266="","",Coureurs!C266)</f>
        <v/>
      </c>
      <c r="D266" s="131" t="str">
        <f>IF(Coureurs!D266="","",Coureurs!D266)</f>
        <v>70</v>
      </c>
      <c r="E266" s="87" t="str">
        <f>IF(Coureurs!F266="","",Coureurs!F266)</f>
        <v/>
      </c>
      <c r="F266" s="87" t="str">
        <f>IF(Coureurs!G266="","",Coureurs!G266)</f>
        <v/>
      </c>
      <c r="G266" s="50" t="str">
        <f>IF(Coureurs!J266="","",Coureurs!J266)</f>
        <v/>
      </c>
      <c r="H266" s="25"/>
      <c r="I266" s="41"/>
      <c r="J266" s="8" t="str">
        <f>IF(I266="PM","",IF(H266=0," ",I266-HLOOKUP('Course 1'!H266,'tab1'!$C$3:$N$4,2)))</f>
        <v xml:space="preserve"> </v>
      </c>
      <c r="K266" s="23" t="str">
        <f>IF(I266="PM","",IF(H266=0," ",J266/'Règles et points'!$F$23))</f>
        <v xml:space="preserve"> </v>
      </c>
      <c r="L266" s="3" t="str">
        <f>IF(H266=0,"",VLOOKUP(H266,'Règles et points'!$C$5:$AG$19,(HLOOKUP('Course 1'!C266,'Règles et points'!$C$5:$AG$5,1)+1)))</f>
        <v/>
      </c>
      <c r="M266" s="23">
        <f t="shared" si="5"/>
        <v>0</v>
      </c>
      <c r="N266" s="80"/>
      <c r="O266" s="51"/>
      <c r="P266" s="52"/>
    </row>
    <row r="267" spans="2:16" ht="12.75">
      <c r="B267" s="14">
        <v>263</v>
      </c>
      <c r="C267" s="28" t="str">
        <f>IF(Coureurs!C267="","",Coureurs!C267)</f>
        <v/>
      </c>
      <c r="D267" s="131" t="str">
        <f>IF(Coureurs!D267="","",Coureurs!D267)</f>
        <v>70</v>
      </c>
      <c r="E267" s="87" t="str">
        <f>IF(Coureurs!F267="","",Coureurs!F267)</f>
        <v/>
      </c>
      <c r="F267" s="87" t="str">
        <f>IF(Coureurs!G267="","",Coureurs!G267)</f>
        <v/>
      </c>
      <c r="G267" s="50" t="str">
        <f>IF(Coureurs!J267="","",Coureurs!J267)</f>
        <v/>
      </c>
      <c r="H267" s="25"/>
      <c r="I267" s="41"/>
      <c r="J267" s="8" t="str">
        <f>IF(I267="PM","",IF(H267=0," ",I267-HLOOKUP('Course 1'!H267,'tab1'!$C$3:$N$4,2)))</f>
        <v xml:space="preserve"> </v>
      </c>
      <c r="K267" s="23" t="str">
        <f>IF(I267="PM","",IF(H267=0," ",J267/'Règles et points'!$F$23))</f>
        <v xml:space="preserve"> </v>
      </c>
      <c r="L267" s="3" t="str">
        <f>IF(H267=0,"",VLOOKUP(H267,'Règles et points'!$C$5:$AG$19,(HLOOKUP('Course 1'!C267,'Règles et points'!$C$5:$AG$5,1)+1)))</f>
        <v/>
      </c>
      <c r="M267" s="23">
        <f t="shared" si="5"/>
        <v>0</v>
      </c>
      <c r="N267" s="80"/>
      <c r="O267" s="51"/>
      <c r="P267" s="52"/>
    </row>
    <row r="268" spans="2:16" ht="12.75">
      <c r="B268" s="14">
        <v>264</v>
      </c>
      <c r="C268" s="28" t="str">
        <f>IF(Coureurs!C268="","",Coureurs!C268)</f>
        <v/>
      </c>
      <c r="D268" s="131" t="str">
        <f>IF(Coureurs!D268="","",Coureurs!D268)</f>
        <v>70</v>
      </c>
      <c r="E268" s="87" t="str">
        <f>IF(Coureurs!F268="","",Coureurs!F268)</f>
        <v/>
      </c>
      <c r="F268" s="87" t="str">
        <f>IF(Coureurs!G268="","",Coureurs!G268)</f>
        <v/>
      </c>
      <c r="G268" s="50" t="str">
        <f>IF(Coureurs!J268="","",Coureurs!J268)</f>
        <v/>
      </c>
      <c r="H268" s="25"/>
      <c r="I268" s="41"/>
      <c r="J268" s="8" t="str">
        <f>IF(I268="PM","",IF(H268=0," ",I268-HLOOKUP('Course 1'!H268,'tab1'!$C$3:$N$4,2)))</f>
        <v xml:space="preserve"> </v>
      </c>
      <c r="K268" s="23" t="str">
        <f>IF(I268="PM","",IF(H268=0," ",J268/'Règles et points'!$F$23))</f>
        <v xml:space="preserve"> </v>
      </c>
      <c r="L268" s="3" t="str">
        <f>IF(H268=0,"",VLOOKUP(H268,'Règles et points'!$C$5:$AG$19,(HLOOKUP('Course 1'!C268,'Règles et points'!$C$5:$AG$5,1)+1)))</f>
        <v/>
      </c>
      <c r="M268" s="23">
        <f t="shared" si="5"/>
        <v>0</v>
      </c>
      <c r="N268" s="80"/>
      <c r="O268" s="51"/>
      <c r="P268" s="52"/>
    </row>
    <row r="269" spans="2:16" ht="12.75">
      <c r="B269" s="14">
        <v>265</v>
      </c>
      <c r="C269" s="28" t="str">
        <f>IF(Coureurs!C269="","",Coureurs!C269)</f>
        <v/>
      </c>
      <c r="D269" s="131" t="str">
        <f>IF(Coureurs!D269="","",Coureurs!D269)</f>
        <v>70</v>
      </c>
      <c r="E269" s="87" t="str">
        <f>IF(Coureurs!F269="","",Coureurs!F269)</f>
        <v/>
      </c>
      <c r="F269" s="87" t="str">
        <f>IF(Coureurs!G269="","",Coureurs!G269)</f>
        <v/>
      </c>
      <c r="G269" s="50" t="str">
        <f>IF(Coureurs!J269="","",Coureurs!J269)</f>
        <v/>
      </c>
      <c r="H269" s="25"/>
      <c r="I269" s="41"/>
      <c r="J269" s="8" t="str">
        <f>IF(I269="PM","",IF(H269=0," ",I269-HLOOKUP('Course 1'!H269,'tab1'!$C$3:$N$4,2)))</f>
        <v xml:space="preserve"> </v>
      </c>
      <c r="K269" s="23" t="str">
        <f>IF(I269="PM","",IF(H269=0," ",J269/'Règles et points'!$F$23))</f>
        <v xml:space="preserve"> </v>
      </c>
      <c r="L269" s="3" t="str">
        <f>IF(H269=0,"",VLOOKUP(H269,'Règles et points'!$C$5:$AG$19,(HLOOKUP('Course 1'!C269,'Règles et points'!$C$5:$AG$5,1)+1)))</f>
        <v/>
      </c>
      <c r="M269" s="23">
        <f t="shared" si="5"/>
        <v>0</v>
      </c>
      <c r="N269" s="80"/>
      <c r="O269" s="51"/>
      <c r="P269" s="52"/>
    </row>
    <row r="270" spans="2:16" ht="12.75">
      <c r="B270" s="14">
        <v>266</v>
      </c>
      <c r="C270" s="28" t="str">
        <f>IF(Coureurs!C270="","",Coureurs!C270)</f>
        <v/>
      </c>
      <c r="D270" s="131" t="str">
        <f>IF(Coureurs!D270="","",Coureurs!D270)</f>
        <v>70</v>
      </c>
      <c r="E270" s="87" t="str">
        <f>IF(Coureurs!F270="","",Coureurs!F270)</f>
        <v/>
      </c>
      <c r="F270" s="87" t="str">
        <f>IF(Coureurs!G270="","",Coureurs!G270)</f>
        <v/>
      </c>
      <c r="G270" s="50" t="str">
        <f>IF(Coureurs!J270="","",Coureurs!J270)</f>
        <v/>
      </c>
      <c r="H270" s="25"/>
      <c r="I270" s="41"/>
      <c r="J270" s="8" t="str">
        <f>IF(I270="PM","",IF(H270=0," ",I270-HLOOKUP('Course 1'!H270,'tab1'!$C$3:$N$4,2)))</f>
        <v xml:space="preserve"> </v>
      </c>
      <c r="K270" s="23" t="str">
        <f>IF(I270="PM","",IF(H270=0," ",J270/'Règles et points'!$F$23))</f>
        <v xml:space="preserve"> </v>
      </c>
      <c r="L270" s="3" t="str">
        <f>IF(H270=0,"",VLOOKUP(H270,'Règles et points'!$C$5:$AG$19,(HLOOKUP('Course 1'!C270,'Règles et points'!$C$5:$AG$5,1)+1)))</f>
        <v/>
      </c>
      <c r="M270" s="23">
        <f t="shared" si="5"/>
        <v>0</v>
      </c>
      <c r="N270" s="80"/>
      <c r="O270" s="51"/>
      <c r="P270" s="52"/>
    </row>
    <row r="271" spans="2:16" ht="12.75">
      <c r="B271" s="14">
        <v>267</v>
      </c>
      <c r="C271" s="28" t="str">
        <f>IF(Coureurs!C271="","",Coureurs!C271)</f>
        <v/>
      </c>
      <c r="D271" s="131" t="str">
        <f>IF(Coureurs!D271="","",Coureurs!D271)</f>
        <v>70</v>
      </c>
      <c r="E271" s="87" t="str">
        <f>IF(Coureurs!F271="","",Coureurs!F271)</f>
        <v/>
      </c>
      <c r="F271" s="87" t="str">
        <f>IF(Coureurs!G271="","",Coureurs!G271)</f>
        <v/>
      </c>
      <c r="G271" s="50" t="str">
        <f>IF(Coureurs!J271="","",Coureurs!J271)</f>
        <v/>
      </c>
      <c r="H271" s="25"/>
      <c r="I271" s="41"/>
      <c r="J271" s="8" t="str">
        <f>IF(I271="PM","",IF(H271=0," ",I271-HLOOKUP('Course 1'!H271,'tab1'!$C$3:$N$4,2)))</f>
        <v xml:space="preserve"> </v>
      </c>
      <c r="K271" s="23" t="str">
        <f>IF(I271="PM","",IF(H271=0," ",J271/'Règles et points'!$F$23))</f>
        <v xml:space="preserve"> </v>
      </c>
      <c r="L271" s="3" t="str">
        <f>IF(H271=0,"",VLOOKUP(H271,'Règles et points'!$C$5:$AG$19,(HLOOKUP('Course 1'!C271,'Règles et points'!$C$5:$AG$5,1)+1)))</f>
        <v/>
      </c>
      <c r="M271" s="23">
        <f t="shared" si="5"/>
        <v>0</v>
      </c>
      <c r="N271" s="80"/>
      <c r="O271" s="51"/>
      <c r="P271" s="52"/>
    </row>
    <row r="272" spans="2:16" ht="12.75">
      <c r="B272" s="14">
        <v>268</v>
      </c>
      <c r="C272" s="28" t="str">
        <f>IF(Coureurs!C272="","",Coureurs!C272)</f>
        <v/>
      </c>
      <c r="D272" s="131" t="str">
        <f>IF(Coureurs!D272="","",Coureurs!D272)</f>
        <v>70</v>
      </c>
      <c r="E272" s="87" t="str">
        <f>IF(Coureurs!F272="","",Coureurs!F272)</f>
        <v/>
      </c>
      <c r="F272" s="87" t="str">
        <f>IF(Coureurs!G272="","",Coureurs!G272)</f>
        <v/>
      </c>
      <c r="G272" s="50" t="str">
        <f>IF(Coureurs!J272="","",Coureurs!J272)</f>
        <v/>
      </c>
      <c r="H272" s="25"/>
      <c r="I272" s="41"/>
      <c r="J272" s="8" t="str">
        <f>IF(I272="PM","",IF(H272=0," ",I272-HLOOKUP('Course 1'!H272,'tab1'!$C$3:$N$4,2)))</f>
        <v xml:space="preserve"> </v>
      </c>
      <c r="K272" s="23" t="str">
        <f>IF(I272="PM","",IF(H272=0," ",J272/'Règles et points'!$F$23))</f>
        <v xml:space="preserve"> </v>
      </c>
      <c r="L272" s="3" t="str">
        <f>IF(H272=0,"",VLOOKUP(H272,'Règles et points'!$C$5:$AG$19,(HLOOKUP('Course 1'!C272,'Règles et points'!$C$5:$AG$5,1)+1)))</f>
        <v/>
      </c>
      <c r="M272" s="23">
        <f t="shared" si="5"/>
        <v>0</v>
      </c>
      <c r="N272" s="80"/>
      <c r="O272" s="51"/>
      <c r="P272" s="52"/>
    </row>
    <row r="273" spans="2:16" ht="12.75">
      <c r="B273" s="14">
        <v>269</v>
      </c>
      <c r="C273" s="28" t="str">
        <f>IF(Coureurs!C273="","",Coureurs!C273)</f>
        <v/>
      </c>
      <c r="D273" s="131" t="str">
        <f>IF(Coureurs!D273="","",Coureurs!D273)</f>
        <v>70</v>
      </c>
      <c r="E273" s="87" t="str">
        <f>IF(Coureurs!F273="","",Coureurs!F273)</f>
        <v/>
      </c>
      <c r="F273" s="87" t="str">
        <f>IF(Coureurs!G273="","",Coureurs!G273)</f>
        <v/>
      </c>
      <c r="G273" s="50" t="str">
        <f>IF(Coureurs!J273="","",Coureurs!J273)</f>
        <v/>
      </c>
      <c r="H273" s="25"/>
      <c r="I273" s="41"/>
      <c r="J273" s="8" t="str">
        <f>IF(I273="PM","",IF(H273=0," ",I273-HLOOKUP('Course 1'!H273,'tab1'!$C$3:$N$4,2)))</f>
        <v xml:space="preserve"> </v>
      </c>
      <c r="K273" s="23" t="str">
        <f>IF(I273="PM","",IF(H273=0," ",J273/'Règles et points'!$F$23))</f>
        <v xml:space="preserve"> </v>
      </c>
      <c r="L273" s="3" t="str">
        <f>IF(H273=0,"",VLOOKUP(H273,'Règles et points'!$C$5:$AG$19,(HLOOKUP('Course 1'!C273,'Règles et points'!$C$5:$AG$5,1)+1)))</f>
        <v/>
      </c>
      <c r="M273" s="23">
        <f t="shared" si="5"/>
        <v>0</v>
      </c>
      <c r="N273" s="80"/>
      <c r="O273" s="51"/>
      <c r="P273" s="52"/>
    </row>
    <row r="274" spans="2:16" ht="12.75">
      <c r="B274" s="14">
        <v>270</v>
      </c>
      <c r="C274" s="28" t="str">
        <f>IF(Coureurs!C274="","",Coureurs!C274)</f>
        <v/>
      </c>
      <c r="D274" s="131" t="str">
        <f>IF(Coureurs!D274="","",Coureurs!D274)</f>
        <v>70</v>
      </c>
      <c r="E274" s="87" t="str">
        <f>IF(Coureurs!F274="","",Coureurs!F274)</f>
        <v/>
      </c>
      <c r="F274" s="87" t="str">
        <f>IF(Coureurs!G274="","",Coureurs!G274)</f>
        <v/>
      </c>
      <c r="G274" s="50" t="str">
        <f>IF(Coureurs!J274="","",Coureurs!J274)</f>
        <v/>
      </c>
      <c r="H274" s="25"/>
      <c r="I274" s="41"/>
      <c r="J274" s="8" t="str">
        <f>IF(I274="PM","",IF(H274=0," ",I274-HLOOKUP('Course 1'!H274,'tab1'!$C$3:$N$4,2)))</f>
        <v xml:space="preserve"> </v>
      </c>
      <c r="K274" s="23" t="str">
        <f>IF(I274="PM","",IF(H274=0," ",J274/'Règles et points'!$F$23))</f>
        <v xml:space="preserve"> </v>
      </c>
      <c r="L274" s="3" t="str">
        <f>IF(H274=0,"",VLOOKUP(H274,'Règles et points'!$C$5:$AG$19,(HLOOKUP('Course 1'!C274,'Règles et points'!$C$5:$AG$5,1)+1)))</f>
        <v/>
      </c>
      <c r="M274" s="23">
        <f t="shared" si="5"/>
        <v>0</v>
      </c>
      <c r="N274" s="80"/>
      <c r="O274" s="51"/>
      <c r="P274" s="52"/>
    </row>
    <row r="275" spans="2:16" ht="12.75">
      <c r="B275" s="14">
        <v>271</v>
      </c>
      <c r="C275" s="28" t="str">
        <f>IF(Coureurs!C275="","",Coureurs!C275)</f>
        <v/>
      </c>
      <c r="D275" s="131" t="str">
        <f>IF(Coureurs!D275="","",Coureurs!D275)</f>
        <v>70</v>
      </c>
      <c r="E275" s="87" t="str">
        <f>IF(Coureurs!F275="","",Coureurs!F275)</f>
        <v/>
      </c>
      <c r="F275" s="87" t="str">
        <f>IF(Coureurs!G275="","",Coureurs!G275)</f>
        <v/>
      </c>
      <c r="G275" s="50" t="str">
        <f>IF(Coureurs!J275="","",Coureurs!J275)</f>
        <v/>
      </c>
      <c r="H275" s="25"/>
      <c r="I275" s="41"/>
      <c r="J275" s="8" t="str">
        <f>IF(I275="PM","",IF(H275=0," ",I275-HLOOKUP('Course 1'!H275,'tab1'!$C$3:$N$4,2)))</f>
        <v xml:space="preserve"> </v>
      </c>
      <c r="K275" s="23" t="str">
        <f>IF(I275="PM","",IF(H275=0," ",J275/'Règles et points'!$F$23))</f>
        <v xml:space="preserve"> </v>
      </c>
      <c r="L275" s="3" t="str">
        <f>IF(H275=0,"",VLOOKUP(H275,'Règles et points'!$C$5:$AG$19,(HLOOKUP('Course 1'!C275,'Règles et points'!$C$5:$AG$5,1)+1)))</f>
        <v/>
      </c>
      <c r="M275" s="23">
        <f t="shared" si="5"/>
        <v>0</v>
      </c>
      <c r="N275" s="80"/>
      <c r="O275" s="51"/>
      <c r="P275" s="52"/>
    </row>
    <row r="276" spans="2:16" ht="12.75">
      <c r="B276" s="14">
        <v>272</v>
      </c>
      <c r="C276" s="28" t="str">
        <f>IF(Coureurs!C276="","",Coureurs!C276)</f>
        <v/>
      </c>
      <c r="D276" s="131" t="str">
        <f>IF(Coureurs!D276="","",Coureurs!D276)</f>
        <v>70</v>
      </c>
      <c r="E276" s="87" t="str">
        <f>IF(Coureurs!F276="","",Coureurs!F276)</f>
        <v/>
      </c>
      <c r="F276" s="87" t="str">
        <f>IF(Coureurs!G276="","",Coureurs!G276)</f>
        <v/>
      </c>
      <c r="G276" s="50" t="str">
        <f>IF(Coureurs!J276="","",Coureurs!J276)</f>
        <v/>
      </c>
      <c r="H276" s="25"/>
      <c r="I276" s="41"/>
      <c r="J276" s="8" t="str">
        <f>IF(I276="PM","",IF(H276=0," ",I276-HLOOKUP('Course 1'!H276,'tab1'!$C$3:$N$4,2)))</f>
        <v xml:space="preserve"> </v>
      </c>
      <c r="K276" s="23" t="str">
        <f>IF(I276="PM","",IF(H276=0," ",J276/'Règles et points'!$F$23))</f>
        <v xml:space="preserve"> </v>
      </c>
      <c r="L276" s="3" t="str">
        <f>IF(H276=0,"",VLOOKUP(H276,'Règles et points'!$C$5:$AG$19,(HLOOKUP('Course 1'!C276,'Règles et points'!$C$5:$AG$5,1)+1)))</f>
        <v/>
      </c>
      <c r="M276" s="23">
        <f t="shared" si="5"/>
        <v>0</v>
      </c>
      <c r="N276" s="80"/>
      <c r="O276" s="51"/>
      <c r="P276" s="52"/>
    </row>
    <row r="277" spans="2:16" ht="12.75">
      <c r="B277" s="14">
        <v>273</v>
      </c>
      <c r="C277" s="28" t="str">
        <f>IF(Coureurs!C277="","",Coureurs!C277)</f>
        <v/>
      </c>
      <c r="D277" s="131" t="str">
        <f>IF(Coureurs!D277="","",Coureurs!D277)</f>
        <v>70</v>
      </c>
      <c r="E277" s="87" t="str">
        <f>IF(Coureurs!F277="","",Coureurs!F277)</f>
        <v/>
      </c>
      <c r="F277" s="87" t="str">
        <f>IF(Coureurs!G277="","",Coureurs!G277)</f>
        <v/>
      </c>
      <c r="G277" s="50" t="str">
        <f>IF(Coureurs!J277="","",Coureurs!J277)</f>
        <v/>
      </c>
      <c r="H277" s="25"/>
      <c r="I277" s="41"/>
      <c r="J277" s="8" t="str">
        <f>IF(I277="PM","",IF(H277=0," ",I277-HLOOKUP('Course 1'!H277,'tab1'!$C$3:$N$4,2)))</f>
        <v xml:space="preserve"> </v>
      </c>
      <c r="K277" s="23" t="str">
        <f>IF(I277="PM","",IF(H277=0," ",J277/'Règles et points'!$F$23))</f>
        <v xml:space="preserve"> </v>
      </c>
      <c r="L277" s="3" t="str">
        <f>IF(H277=0,"",VLOOKUP(H277,'Règles et points'!$C$5:$AG$19,(HLOOKUP('Course 1'!C277,'Règles et points'!$C$5:$AG$5,1)+1)))</f>
        <v/>
      </c>
      <c r="M277" s="23">
        <f t="shared" si="5"/>
        <v>0</v>
      </c>
      <c r="N277" s="80"/>
      <c r="O277" s="51"/>
      <c r="P277" s="52"/>
    </row>
    <row r="278" spans="2:16" ht="12.75">
      <c r="B278" s="14">
        <v>274</v>
      </c>
      <c r="C278" s="28" t="str">
        <f>IF(Coureurs!C278="","",Coureurs!C278)</f>
        <v/>
      </c>
      <c r="D278" s="131" t="str">
        <f>IF(Coureurs!D278="","",Coureurs!D278)</f>
        <v>70</v>
      </c>
      <c r="E278" s="87" t="str">
        <f>IF(Coureurs!F278="","",Coureurs!F278)</f>
        <v/>
      </c>
      <c r="F278" s="87" t="str">
        <f>IF(Coureurs!G278="","",Coureurs!G278)</f>
        <v/>
      </c>
      <c r="G278" s="50" t="str">
        <f>IF(Coureurs!J278="","",Coureurs!J278)</f>
        <v/>
      </c>
      <c r="H278" s="25"/>
      <c r="I278" s="41"/>
      <c r="J278" s="8" t="str">
        <f>IF(I278="PM","",IF(H278=0," ",I278-HLOOKUP('Course 1'!H278,'tab1'!$C$3:$N$4,2)))</f>
        <v xml:space="preserve"> </v>
      </c>
      <c r="K278" s="23" t="str">
        <f>IF(I278="PM","",IF(H278=0," ",J278/'Règles et points'!$F$23))</f>
        <v xml:space="preserve"> </v>
      </c>
      <c r="L278" s="3" t="str">
        <f>IF(H278=0,"",VLOOKUP(H278,'Règles et points'!$C$5:$AG$19,(HLOOKUP('Course 1'!C278,'Règles et points'!$C$5:$AG$5,1)+1)))</f>
        <v/>
      </c>
      <c r="M278" s="23">
        <f t="shared" si="5"/>
        <v>0</v>
      </c>
      <c r="N278" s="80"/>
      <c r="O278" s="51"/>
      <c r="P278" s="52"/>
    </row>
    <row r="279" spans="2:16" ht="12.75">
      <c r="B279" s="14">
        <v>275</v>
      </c>
      <c r="C279" s="28" t="str">
        <f>IF(Coureurs!C279="","",Coureurs!C279)</f>
        <v/>
      </c>
      <c r="D279" s="131" t="str">
        <f>IF(Coureurs!D279="","",Coureurs!D279)</f>
        <v>70</v>
      </c>
      <c r="E279" s="87" t="str">
        <f>IF(Coureurs!F279="","",Coureurs!F279)</f>
        <v/>
      </c>
      <c r="F279" s="87" t="str">
        <f>IF(Coureurs!G279="","",Coureurs!G279)</f>
        <v/>
      </c>
      <c r="G279" s="50" t="str">
        <f>IF(Coureurs!J279="","",Coureurs!J279)</f>
        <v/>
      </c>
      <c r="H279" s="25"/>
      <c r="I279" s="41"/>
      <c r="J279" s="8" t="str">
        <f>IF(I279="PM","",IF(H279=0," ",I279-HLOOKUP('Course 1'!H279,'tab1'!$C$3:$N$4,2)))</f>
        <v xml:space="preserve"> </v>
      </c>
      <c r="K279" s="23" t="str">
        <f>IF(I279="PM","",IF(H279=0," ",J279/'Règles et points'!$F$23))</f>
        <v xml:space="preserve"> </v>
      </c>
      <c r="L279" s="3" t="str">
        <f>IF(H279=0,"",VLOOKUP(H279,'Règles et points'!$C$5:$AG$19,(HLOOKUP('Course 1'!C279,'Règles et points'!$C$5:$AG$5,1)+1)))</f>
        <v/>
      </c>
      <c r="M279" s="23">
        <f t="shared" si="5"/>
        <v>0</v>
      </c>
      <c r="N279" s="80"/>
      <c r="O279" s="51"/>
      <c r="P279" s="52"/>
    </row>
    <row r="280" spans="2:16" ht="12.75">
      <c r="B280" s="14">
        <v>276</v>
      </c>
      <c r="C280" s="28" t="str">
        <f>IF(Coureurs!C280="","",Coureurs!C280)</f>
        <v/>
      </c>
      <c r="D280" s="131" t="str">
        <f>IF(Coureurs!D280="","",Coureurs!D280)</f>
        <v>70</v>
      </c>
      <c r="E280" s="87" t="str">
        <f>IF(Coureurs!F280="","",Coureurs!F280)</f>
        <v/>
      </c>
      <c r="F280" s="87" t="str">
        <f>IF(Coureurs!G280="","",Coureurs!G280)</f>
        <v/>
      </c>
      <c r="G280" s="50" t="str">
        <f>IF(Coureurs!J280="","",Coureurs!J280)</f>
        <v/>
      </c>
      <c r="H280" s="25"/>
      <c r="I280" s="41"/>
      <c r="J280" s="8" t="str">
        <f>IF(I280="PM","",IF(H280=0," ",I280-HLOOKUP('Course 1'!H280,'tab1'!$C$3:$N$4,2)))</f>
        <v xml:space="preserve"> </v>
      </c>
      <c r="K280" s="23" t="str">
        <f>IF(I280="PM","",IF(H280=0," ",J280/'Règles et points'!$F$23))</f>
        <v xml:space="preserve"> </v>
      </c>
      <c r="L280" s="3" t="str">
        <f>IF(H280=0,"",VLOOKUP(H280,'Règles et points'!$C$5:$AG$19,(HLOOKUP('Course 1'!C280,'Règles et points'!$C$5:$AG$5,1)+1)))</f>
        <v/>
      </c>
      <c r="M280" s="23">
        <f t="shared" si="5"/>
        <v>0</v>
      </c>
      <c r="N280" s="80"/>
      <c r="O280" s="51"/>
      <c r="P280" s="52"/>
    </row>
    <row r="281" spans="2:16" ht="12.75">
      <c r="B281" s="14">
        <v>277</v>
      </c>
      <c r="C281" s="28" t="str">
        <f>IF(Coureurs!C281="","",Coureurs!C281)</f>
        <v/>
      </c>
      <c r="D281" s="131" t="str">
        <f>IF(Coureurs!D281="","",Coureurs!D281)</f>
        <v>70</v>
      </c>
      <c r="E281" s="87" t="str">
        <f>IF(Coureurs!F281="","",Coureurs!F281)</f>
        <v/>
      </c>
      <c r="F281" s="87" t="str">
        <f>IF(Coureurs!G281="","",Coureurs!G281)</f>
        <v/>
      </c>
      <c r="G281" s="50" t="str">
        <f>IF(Coureurs!J281="","",Coureurs!J281)</f>
        <v/>
      </c>
      <c r="H281" s="25"/>
      <c r="I281" s="41"/>
      <c r="J281" s="8" t="str">
        <f>IF(I281="PM","",IF(H281=0," ",I281-HLOOKUP('Course 1'!H281,'tab1'!$C$3:$N$4,2)))</f>
        <v xml:space="preserve"> </v>
      </c>
      <c r="K281" s="23" t="str">
        <f>IF(I281="PM","",IF(H281=0," ",J281/'Règles et points'!$F$23))</f>
        <v xml:space="preserve"> </v>
      </c>
      <c r="L281" s="3" t="str">
        <f>IF(H281=0,"",VLOOKUP(H281,'Règles et points'!$C$5:$AG$19,(HLOOKUP('Course 1'!C281,'Règles et points'!$C$5:$AG$5,1)+1)))</f>
        <v/>
      </c>
      <c r="M281" s="23">
        <f t="shared" si="5"/>
        <v>0</v>
      </c>
      <c r="N281" s="80"/>
      <c r="O281" s="51"/>
      <c r="P281" s="52"/>
    </row>
    <row r="282" spans="2:16" ht="12.75">
      <c r="B282" s="14">
        <v>278</v>
      </c>
      <c r="C282" s="28" t="str">
        <f>IF(Coureurs!C282="","",Coureurs!C282)</f>
        <v/>
      </c>
      <c r="D282" s="131" t="str">
        <f>IF(Coureurs!D282="","",Coureurs!D282)</f>
        <v>70</v>
      </c>
      <c r="E282" s="87" t="str">
        <f>IF(Coureurs!F282="","",Coureurs!F282)</f>
        <v/>
      </c>
      <c r="F282" s="87" t="str">
        <f>IF(Coureurs!G282="","",Coureurs!G282)</f>
        <v/>
      </c>
      <c r="G282" s="50" t="str">
        <f>IF(Coureurs!J282="","",Coureurs!J282)</f>
        <v/>
      </c>
      <c r="H282" s="25"/>
      <c r="I282" s="41"/>
      <c r="J282" s="8" t="str">
        <f>IF(I282="PM","",IF(H282=0," ",I282-HLOOKUP('Course 1'!H282,'tab1'!$C$3:$N$4,2)))</f>
        <v xml:space="preserve"> </v>
      </c>
      <c r="K282" s="23" t="str">
        <f>IF(I282="PM","",IF(H282=0," ",J282/'Règles et points'!$F$23))</f>
        <v xml:space="preserve"> </v>
      </c>
      <c r="L282" s="3" t="str">
        <f>IF(H282=0,"",VLOOKUP(H282,'Règles et points'!$C$5:$AG$19,(HLOOKUP('Course 1'!C282,'Règles et points'!$C$5:$AG$5,1)+1)))</f>
        <v/>
      </c>
      <c r="M282" s="23">
        <f t="shared" si="5"/>
        <v>0</v>
      </c>
      <c r="N282" s="80"/>
      <c r="O282" s="51"/>
      <c r="P282" s="52"/>
    </row>
    <row r="283" spans="2:16" ht="12.75">
      <c r="B283" s="14">
        <v>279</v>
      </c>
      <c r="C283" s="28" t="str">
        <f>IF(Coureurs!C283="","",Coureurs!C283)</f>
        <v/>
      </c>
      <c r="D283" s="131" t="str">
        <f>IF(Coureurs!D283="","",Coureurs!D283)</f>
        <v>70</v>
      </c>
      <c r="E283" s="87" t="str">
        <f>IF(Coureurs!F283="","",Coureurs!F283)</f>
        <v/>
      </c>
      <c r="F283" s="87" t="str">
        <f>IF(Coureurs!G283="","",Coureurs!G283)</f>
        <v/>
      </c>
      <c r="G283" s="50" t="str">
        <f>IF(Coureurs!J283="","",Coureurs!J283)</f>
        <v/>
      </c>
      <c r="H283" s="25"/>
      <c r="I283" s="41"/>
      <c r="J283" s="8" t="str">
        <f>IF(I283="PM","",IF(H283=0," ",I283-HLOOKUP('Course 1'!H283,'tab1'!$C$3:$N$4,2)))</f>
        <v xml:space="preserve"> </v>
      </c>
      <c r="K283" s="23" t="str">
        <f>IF(I283="PM","",IF(H283=0," ",J283/'Règles et points'!$F$23))</f>
        <v xml:space="preserve"> </v>
      </c>
      <c r="L283" s="3" t="str">
        <f>IF(H283=0,"",VLOOKUP(H283,'Règles et points'!$C$5:$AG$19,(HLOOKUP('Course 1'!C283,'Règles et points'!$C$5:$AG$5,1)+1)))</f>
        <v/>
      </c>
      <c r="M283" s="23">
        <f t="shared" si="5"/>
        <v>0</v>
      </c>
      <c r="N283" s="80"/>
      <c r="O283" s="51"/>
      <c r="P283" s="52"/>
    </row>
    <row r="284" spans="2:16" ht="12.75">
      <c r="B284" s="14">
        <v>280</v>
      </c>
      <c r="C284" s="28" t="str">
        <f>IF(Coureurs!C284="","",Coureurs!C284)</f>
        <v/>
      </c>
      <c r="D284" s="131" t="str">
        <f>IF(Coureurs!D284="","",Coureurs!D284)</f>
        <v>70</v>
      </c>
      <c r="E284" s="87" t="str">
        <f>IF(Coureurs!F284="","",Coureurs!F284)</f>
        <v/>
      </c>
      <c r="F284" s="87" t="str">
        <f>IF(Coureurs!G284="","",Coureurs!G284)</f>
        <v/>
      </c>
      <c r="G284" s="50" t="str">
        <f>IF(Coureurs!J284="","",Coureurs!J284)</f>
        <v/>
      </c>
      <c r="H284" s="25"/>
      <c r="I284" s="41"/>
      <c r="J284" s="8" t="str">
        <f>IF(I284="PM","",IF(H284=0," ",I284-HLOOKUP('Course 1'!H284,'tab1'!$C$3:$N$4,2)))</f>
        <v xml:space="preserve"> </v>
      </c>
      <c r="K284" s="23" t="str">
        <f>IF(I284="PM","",IF(H284=0," ",J284/'Règles et points'!$F$23))</f>
        <v xml:space="preserve"> </v>
      </c>
      <c r="L284" s="3" t="str">
        <f>IF(H284=0,"",VLOOKUP(H284,'Règles et points'!$C$5:$AG$19,(HLOOKUP('Course 1'!C284,'Règles et points'!$C$5:$AG$5,1)+1)))</f>
        <v/>
      </c>
      <c r="M284" s="23">
        <f t="shared" si="5"/>
        <v>0</v>
      </c>
      <c r="N284" s="80"/>
      <c r="O284" s="51"/>
      <c r="P284" s="52"/>
    </row>
    <row r="285" spans="2:16" ht="12.75">
      <c r="B285" s="14">
        <v>281</v>
      </c>
      <c r="C285" s="28" t="str">
        <f>IF(Coureurs!C285="","",Coureurs!C285)</f>
        <v/>
      </c>
      <c r="D285" s="131" t="str">
        <f>IF(Coureurs!D285="","",Coureurs!D285)</f>
        <v>70</v>
      </c>
      <c r="E285" s="87" t="str">
        <f>IF(Coureurs!F285="","",Coureurs!F285)</f>
        <v/>
      </c>
      <c r="F285" s="87" t="str">
        <f>IF(Coureurs!G285="","",Coureurs!G285)</f>
        <v/>
      </c>
      <c r="G285" s="50" t="str">
        <f>IF(Coureurs!J285="","",Coureurs!J285)</f>
        <v/>
      </c>
      <c r="H285" s="25"/>
      <c r="I285" s="41"/>
      <c r="J285" s="8" t="str">
        <f>IF(I285="PM","",IF(H285=0," ",I285-HLOOKUP('Course 1'!H285,'tab1'!$C$3:$N$4,2)))</f>
        <v xml:space="preserve"> </v>
      </c>
      <c r="K285" s="23" t="str">
        <f>IF(I285="PM","",IF(H285=0," ",J285/'Règles et points'!$F$23))</f>
        <v xml:space="preserve"> </v>
      </c>
      <c r="L285" s="3" t="str">
        <f>IF(H285=0,"",VLOOKUP(H285,'Règles et points'!$C$5:$AG$19,(HLOOKUP('Course 1'!C285,'Règles et points'!$C$5:$AG$5,1)+1)))</f>
        <v/>
      </c>
      <c r="M285" s="23">
        <f t="shared" si="5"/>
        <v>0</v>
      </c>
      <c r="N285" s="80"/>
      <c r="O285" s="51"/>
      <c r="P285" s="52"/>
    </row>
    <row r="286" spans="2:16" ht="12.75">
      <c r="B286" s="14">
        <v>282</v>
      </c>
      <c r="C286" s="28" t="str">
        <f>IF(Coureurs!C286="","",Coureurs!C286)</f>
        <v/>
      </c>
      <c r="D286" s="131" t="str">
        <f>IF(Coureurs!D286="","",Coureurs!D286)</f>
        <v>70</v>
      </c>
      <c r="E286" s="87" t="str">
        <f>IF(Coureurs!F286="","",Coureurs!F286)</f>
        <v/>
      </c>
      <c r="F286" s="87" t="str">
        <f>IF(Coureurs!G286="","",Coureurs!G286)</f>
        <v/>
      </c>
      <c r="G286" s="50" t="str">
        <f>IF(Coureurs!J286="","",Coureurs!J286)</f>
        <v/>
      </c>
      <c r="H286" s="25"/>
      <c r="I286" s="41"/>
      <c r="J286" s="8" t="str">
        <f>IF(I286="PM","",IF(H286=0," ",I286-HLOOKUP('Course 1'!H286,'tab1'!$C$3:$N$4,2)))</f>
        <v xml:space="preserve"> </v>
      </c>
      <c r="K286" s="23" t="str">
        <f>IF(I286="PM","",IF(H286=0," ",J286/'Règles et points'!$F$23))</f>
        <v xml:space="preserve"> </v>
      </c>
      <c r="L286" s="3" t="str">
        <f>IF(H286=0,"",VLOOKUP(H286,'Règles et points'!$C$5:$AG$19,(HLOOKUP('Course 1'!C286,'Règles et points'!$C$5:$AG$5,1)+1)))</f>
        <v/>
      </c>
      <c r="M286" s="23">
        <f t="shared" si="5"/>
        <v>0</v>
      </c>
      <c r="N286" s="80"/>
      <c r="O286" s="51"/>
      <c r="P286" s="52"/>
    </row>
    <row r="287" spans="2:16" ht="12.75">
      <c r="B287" s="14">
        <v>283</v>
      </c>
      <c r="C287" s="28" t="str">
        <f>IF(Coureurs!C287="","",Coureurs!C287)</f>
        <v/>
      </c>
      <c r="D287" s="131" t="str">
        <f>IF(Coureurs!D287="","",Coureurs!D287)</f>
        <v>70</v>
      </c>
      <c r="E287" s="87" t="str">
        <f>IF(Coureurs!F287="","",Coureurs!F287)</f>
        <v/>
      </c>
      <c r="F287" s="87" t="str">
        <f>IF(Coureurs!G287="","",Coureurs!G287)</f>
        <v/>
      </c>
      <c r="G287" s="50" t="str">
        <f>IF(Coureurs!J287="","",Coureurs!J287)</f>
        <v/>
      </c>
      <c r="H287" s="25"/>
      <c r="I287" s="41"/>
      <c r="J287" s="8" t="str">
        <f>IF(I287="PM","",IF(H287=0," ",I287-HLOOKUP('Course 1'!H287,'tab1'!$C$3:$N$4,2)))</f>
        <v xml:space="preserve"> </v>
      </c>
      <c r="K287" s="23" t="str">
        <f>IF(I287="PM","",IF(H287=0," ",J287/'Règles et points'!$F$23))</f>
        <v xml:space="preserve"> </v>
      </c>
      <c r="L287" s="3" t="str">
        <f>IF(H287=0,"",VLOOKUP(H287,'Règles et points'!$C$5:$AG$19,(HLOOKUP('Course 1'!C287,'Règles et points'!$C$5:$AG$5,1)+1)))</f>
        <v/>
      </c>
      <c r="M287" s="23">
        <f t="shared" si="5"/>
        <v>0</v>
      </c>
      <c r="N287" s="80"/>
      <c r="O287" s="51"/>
      <c r="P287" s="52"/>
    </row>
    <row r="288" spans="2:16" ht="12.75">
      <c r="B288" s="14">
        <v>284</v>
      </c>
      <c r="C288" s="28" t="str">
        <f>IF(Coureurs!C288="","",Coureurs!C288)</f>
        <v/>
      </c>
      <c r="D288" s="131" t="str">
        <f>IF(Coureurs!D288="","",Coureurs!D288)</f>
        <v>70</v>
      </c>
      <c r="E288" s="87" t="str">
        <f>IF(Coureurs!F288="","",Coureurs!F288)</f>
        <v/>
      </c>
      <c r="F288" s="87" t="str">
        <f>IF(Coureurs!G288="","",Coureurs!G288)</f>
        <v/>
      </c>
      <c r="G288" s="50" t="str">
        <f>IF(Coureurs!J288="","",Coureurs!J288)</f>
        <v/>
      </c>
      <c r="H288" s="25"/>
      <c r="I288" s="41"/>
      <c r="J288" s="8" t="str">
        <f>IF(I288="PM","",IF(H288=0," ",I288-HLOOKUP('Course 1'!H288,'tab1'!$C$3:$N$4,2)))</f>
        <v xml:space="preserve"> </v>
      </c>
      <c r="K288" s="23" t="str">
        <f>IF(I288="PM","",IF(H288=0," ",J288/'Règles et points'!$F$23))</f>
        <v xml:space="preserve"> </v>
      </c>
      <c r="L288" s="3" t="str">
        <f>IF(H288=0,"",VLOOKUP(H288,'Règles et points'!$C$5:$AG$19,(HLOOKUP('Course 1'!C288,'Règles et points'!$C$5:$AG$5,1)+1)))</f>
        <v/>
      </c>
      <c r="M288" s="23">
        <f t="shared" si="5"/>
        <v>0</v>
      </c>
      <c r="N288" s="80"/>
      <c r="O288" s="51"/>
      <c r="P288" s="52"/>
    </row>
    <row r="289" spans="2:16" ht="12.75">
      <c r="B289" s="14">
        <v>285</v>
      </c>
      <c r="C289" s="28" t="str">
        <f>IF(Coureurs!C289="","",Coureurs!C289)</f>
        <v/>
      </c>
      <c r="D289" s="131" t="str">
        <f>IF(Coureurs!D289="","",Coureurs!D289)</f>
        <v>70</v>
      </c>
      <c r="E289" s="87" t="str">
        <f>IF(Coureurs!F289="","",Coureurs!F289)</f>
        <v/>
      </c>
      <c r="F289" s="87" t="str">
        <f>IF(Coureurs!G289="","",Coureurs!G289)</f>
        <v/>
      </c>
      <c r="G289" s="50" t="str">
        <f>IF(Coureurs!J289="","",Coureurs!J289)</f>
        <v/>
      </c>
      <c r="H289" s="25"/>
      <c r="I289" s="41"/>
      <c r="J289" s="8" t="str">
        <f>IF(I289="PM","",IF(H289=0," ",I289-HLOOKUP('Course 1'!H289,'tab1'!$C$3:$N$4,2)))</f>
        <v xml:space="preserve"> </v>
      </c>
      <c r="K289" s="23" t="str">
        <f>IF(I289="PM","",IF(H289=0," ",J289/'Règles et points'!$F$23))</f>
        <v xml:space="preserve"> </v>
      </c>
      <c r="L289" s="3" t="str">
        <f>IF(H289=0,"",VLOOKUP(H289,'Règles et points'!$C$5:$AG$19,(HLOOKUP('Course 1'!C289,'Règles et points'!$C$5:$AG$5,1)+1)))</f>
        <v/>
      </c>
      <c r="M289" s="23">
        <f t="shared" si="5"/>
        <v>0</v>
      </c>
      <c r="N289" s="80"/>
      <c r="O289" s="51"/>
      <c r="P289" s="52"/>
    </row>
    <row r="290" spans="2:16" ht="12.75">
      <c r="B290" s="14">
        <v>286</v>
      </c>
      <c r="C290" s="28" t="str">
        <f>IF(Coureurs!C290="","",Coureurs!C290)</f>
        <v/>
      </c>
      <c r="D290" s="131" t="str">
        <f>IF(Coureurs!D290="","",Coureurs!D290)</f>
        <v>70</v>
      </c>
      <c r="E290" s="87" t="str">
        <f>IF(Coureurs!F290="","",Coureurs!F290)</f>
        <v/>
      </c>
      <c r="F290" s="87" t="str">
        <f>IF(Coureurs!G290="","",Coureurs!G290)</f>
        <v/>
      </c>
      <c r="G290" s="50" t="str">
        <f>IF(Coureurs!J290="","",Coureurs!J290)</f>
        <v/>
      </c>
      <c r="H290" s="25"/>
      <c r="I290" s="41"/>
      <c r="J290" s="8" t="str">
        <f>IF(I290="PM","",IF(H290=0," ",I290-HLOOKUP('Course 1'!H290,'tab1'!$C$3:$N$4,2)))</f>
        <v xml:space="preserve"> </v>
      </c>
      <c r="K290" s="23" t="str">
        <f>IF(I290="PM","",IF(H290=0," ",J290/'Règles et points'!$F$23))</f>
        <v xml:space="preserve"> </v>
      </c>
      <c r="L290" s="3" t="str">
        <f>IF(H290=0,"",VLOOKUP(H290,'Règles et points'!$C$5:$AG$19,(HLOOKUP('Course 1'!C290,'Règles et points'!$C$5:$AG$5,1)+1)))</f>
        <v/>
      </c>
      <c r="M290" s="23">
        <f t="shared" si="5"/>
        <v>0</v>
      </c>
      <c r="N290" s="80"/>
      <c r="O290" s="51"/>
      <c r="P290" s="52"/>
    </row>
    <row r="291" spans="2:16" ht="12.75">
      <c r="B291" s="14">
        <v>287</v>
      </c>
      <c r="C291" s="28" t="str">
        <f>IF(Coureurs!C291="","",Coureurs!C291)</f>
        <v/>
      </c>
      <c r="D291" s="131" t="str">
        <f>IF(Coureurs!D291="","",Coureurs!D291)</f>
        <v>70</v>
      </c>
      <c r="E291" s="87" t="str">
        <f>IF(Coureurs!F291="","",Coureurs!F291)</f>
        <v/>
      </c>
      <c r="F291" s="87" t="str">
        <f>IF(Coureurs!G291="","",Coureurs!G291)</f>
        <v/>
      </c>
      <c r="G291" s="50" t="str">
        <f>IF(Coureurs!J291="","",Coureurs!J291)</f>
        <v/>
      </c>
      <c r="H291" s="25"/>
      <c r="I291" s="41"/>
      <c r="J291" s="8" t="str">
        <f>IF(I291="PM","",IF(H291=0," ",I291-HLOOKUP('Course 1'!H291,'tab1'!$C$3:$N$4,2)))</f>
        <v xml:space="preserve"> </v>
      </c>
      <c r="K291" s="23" t="str">
        <f>IF(I291="PM","",IF(H291=0," ",J291/'Règles et points'!$F$23))</f>
        <v xml:space="preserve"> </v>
      </c>
      <c r="L291" s="3" t="str">
        <f>IF(H291=0,"",VLOOKUP(H291,'Règles et points'!$C$5:$AG$19,(HLOOKUP('Course 1'!C291,'Règles et points'!$C$5:$AG$5,1)+1)))</f>
        <v/>
      </c>
      <c r="M291" s="23">
        <f t="shared" si="5"/>
        <v>0</v>
      </c>
      <c r="N291" s="80"/>
      <c r="O291" s="51"/>
      <c r="P291" s="52"/>
    </row>
    <row r="292" spans="2:16" ht="12.75">
      <c r="B292" s="14">
        <v>288</v>
      </c>
      <c r="C292" s="28" t="str">
        <f>IF(Coureurs!C292="","",Coureurs!C292)</f>
        <v/>
      </c>
      <c r="D292" s="131" t="str">
        <f>IF(Coureurs!D292="","",Coureurs!D292)</f>
        <v>70</v>
      </c>
      <c r="E292" s="87" t="str">
        <f>IF(Coureurs!F292="","",Coureurs!F292)</f>
        <v/>
      </c>
      <c r="F292" s="87" t="str">
        <f>IF(Coureurs!G292="","",Coureurs!G292)</f>
        <v/>
      </c>
      <c r="G292" s="50" t="str">
        <f>IF(Coureurs!J292="","",Coureurs!J292)</f>
        <v/>
      </c>
      <c r="H292" s="25"/>
      <c r="I292" s="41"/>
      <c r="J292" s="8" t="str">
        <f>IF(I292="PM","",IF(H292=0," ",I292-HLOOKUP('Course 1'!H292,'tab1'!$C$3:$N$4,2)))</f>
        <v xml:space="preserve"> </v>
      </c>
      <c r="K292" s="23" t="str">
        <f>IF(I292="PM","",IF(H292=0," ",J292/'Règles et points'!$F$23))</f>
        <v xml:space="preserve"> </v>
      </c>
      <c r="L292" s="3" t="str">
        <f>IF(H292=0,"",VLOOKUP(H292,'Règles et points'!$C$5:$AG$19,(HLOOKUP('Course 1'!C292,'Règles et points'!$C$5:$AG$5,1)+1)))</f>
        <v/>
      </c>
      <c r="M292" s="23">
        <f t="shared" si="5"/>
        <v>0</v>
      </c>
      <c r="N292" s="80"/>
      <c r="O292" s="51"/>
      <c r="P292" s="52"/>
    </row>
    <row r="293" spans="2:16" ht="12.75">
      <c r="B293" s="14">
        <v>289</v>
      </c>
      <c r="C293" s="28" t="str">
        <f>IF(Coureurs!C293="","",Coureurs!C293)</f>
        <v/>
      </c>
      <c r="D293" s="131" t="str">
        <f>IF(Coureurs!D293="","",Coureurs!D293)</f>
        <v>70</v>
      </c>
      <c r="E293" s="87" t="str">
        <f>IF(Coureurs!F293="","",Coureurs!F293)</f>
        <v/>
      </c>
      <c r="F293" s="87" t="str">
        <f>IF(Coureurs!G293="","",Coureurs!G293)</f>
        <v/>
      </c>
      <c r="G293" s="50" t="str">
        <f>IF(Coureurs!J293="","",Coureurs!J293)</f>
        <v/>
      </c>
      <c r="H293" s="25"/>
      <c r="I293" s="41"/>
      <c r="J293" s="8" t="str">
        <f>IF(I293="PM","",IF(H293=0," ",I293-HLOOKUP('Course 1'!H293,'tab1'!$C$3:$N$4,2)))</f>
        <v xml:space="preserve"> </v>
      </c>
      <c r="K293" s="23" t="str">
        <f>IF(I293="PM","",IF(H293=0," ",J293/'Règles et points'!$F$23))</f>
        <v xml:space="preserve"> </v>
      </c>
      <c r="L293" s="3" t="str">
        <f>IF(H293=0,"",VLOOKUP(H293,'Règles et points'!$C$5:$AG$19,(HLOOKUP('Course 1'!C293,'Règles et points'!$C$5:$AG$5,1)+1)))</f>
        <v/>
      </c>
      <c r="M293" s="23">
        <f t="shared" si="5"/>
        <v>0</v>
      </c>
      <c r="N293" s="80"/>
      <c r="O293" s="51"/>
      <c r="P293" s="52"/>
    </row>
    <row r="294" spans="2:16" ht="12.75">
      <c r="B294" s="14">
        <v>290</v>
      </c>
      <c r="C294" s="28" t="str">
        <f>IF(Coureurs!C294="","",Coureurs!C294)</f>
        <v/>
      </c>
      <c r="D294" s="131" t="str">
        <f>IF(Coureurs!D294="","",Coureurs!D294)</f>
        <v>70</v>
      </c>
      <c r="E294" s="87" t="str">
        <f>IF(Coureurs!F294="","",Coureurs!F294)</f>
        <v/>
      </c>
      <c r="F294" s="87" t="str">
        <f>IF(Coureurs!G294="","",Coureurs!G294)</f>
        <v/>
      </c>
      <c r="G294" s="50" t="str">
        <f>IF(Coureurs!J294="","",Coureurs!J294)</f>
        <v/>
      </c>
      <c r="H294" s="25"/>
      <c r="I294" s="41"/>
      <c r="J294" s="8" t="str">
        <f>IF(I294="PM","",IF(H294=0," ",I294-HLOOKUP('Course 1'!H294,'tab1'!$C$3:$N$4,2)))</f>
        <v xml:space="preserve"> </v>
      </c>
      <c r="K294" s="23" t="str">
        <f>IF(I294="PM","",IF(H294=0," ",J294/'Règles et points'!$F$23))</f>
        <v xml:space="preserve"> </v>
      </c>
      <c r="L294" s="3" t="str">
        <f>IF(H294=0,"",VLOOKUP(H294,'Règles et points'!$C$5:$AG$19,(HLOOKUP('Course 1'!C294,'Règles et points'!$C$5:$AG$5,1)+1)))</f>
        <v/>
      </c>
      <c r="M294" s="23">
        <f t="shared" si="5"/>
        <v>0</v>
      </c>
      <c r="N294" s="80"/>
      <c r="O294" s="51"/>
      <c r="P294" s="52"/>
    </row>
    <row r="295" spans="2:16" ht="12.75">
      <c r="B295" s="14">
        <v>291</v>
      </c>
      <c r="C295" s="28" t="str">
        <f>IF(Coureurs!C295="","",Coureurs!C295)</f>
        <v/>
      </c>
      <c r="D295" s="131" t="str">
        <f>IF(Coureurs!D295="","",Coureurs!D295)</f>
        <v>70</v>
      </c>
      <c r="E295" s="87" t="str">
        <f>IF(Coureurs!F295="","",Coureurs!F295)</f>
        <v/>
      </c>
      <c r="F295" s="87" t="str">
        <f>IF(Coureurs!G295="","",Coureurs!G295)</f>
        <v/>
      </c>
      <c r="G295" s="50" t="str">
        <f>IF(Coureurs!J295="","",Coureurs!J295)</f>
        <v/>
      </c>
      <c r="H295" s="25"/>
      <c r="I295" s="41"/>
      <c r="J295" s="8" t="str">
        <f>IF(I295="PM","",IF(H295=0," ",I295-HLOOKUP('Course 1'!H295,'tab1'!$C$3:$N$4,2)))</f>
        <v xml:space="preserve"> </v>
      </c>
      <c r="K295" s="23" t="str">
        <f>IF(I295="PM","",IF(H295=0," ",J295/'Règles et points'!$F$23))</f>
        <v xml:space="preserve"> </v>
      </c>
      <c r="L295" s="3" t="str">
        <f>IF(H295=0,"",VLOOKUP(H295,'Règles et points'!$C$5:$AG$19,(HLOOKUP('Course 1'!C295,'Règles et points'!$C$5:$AG$5,1)+1)))</f>
        <v/>
      </c>
      <c r="M295" s="23">
        <f t="shared" si="5"/>
        <v>0</v>
      </c>
      <c r="N295" s="80"/>
      <c r="O295" s="51"/>
      <c r="P295" s="52"/>
    </row>
    <row r="296" spans="2:16" ht="12.75">
      <c r="B296" s="14">
        <v>292</v>
      </c>
      <c r="C296" s="28" t="str">
        <f>IF(Coureurs!C296="","",Coureurs!C296)</f>
        <v/>
      </c>
      <c r="D296" s="131" t="str">
        <f>IF(Coureurs!D296="","",Coureurs!D296)</f>
        <v>70</v>
      </c>
      <c r="E296" s="87" t="str">
        <f>IF(Coureurs!F296="","",Coureurs!F296)</f>
        <v/>
      </c>
      <c r="F296" s="87" t="str">
        <f>IF(Coureurs!G296="","",Coureurs!G296)</f>
        <v/>
      </c>
      <c r="G296" s="50" t="str">
        <f>IF(Coureurs!J296="","",Coureurs!J296)</f>
        <v/>
      </c>
      <c r="H296" s="25"/>
      <c r="I296" s="41"/>
      <c r="J296" s="8" t="str">
        <f>IF(I296="PM","",IF(H296=0," ",I296-HLOOKUP('Course 1'!H296,'tab1'!$C$3:$N$4,2)))</f>
        <v xml:space="preserve"> </v>
      </c>
      <c r="K296" s="23" t="str">
        <f>IF(I296="PM","",IF(H296=0," ",J296/'Règles et points'!$F$23))</f>
        <v xml:space="preserve"> </v>
      </c>
      <c r="L296" s="3" t="str">
        <f>IF(H296=0,"",VLOOKUP(H296,'Règles et points'!$C$5:$AG$19,(HLOOKUP('Course 1'!C296,'Règles et points'!$C$5:$AG$5,1)+1)))</f>
        <v/>
      </c>
      <c r="M296" s="23">
        <f t="shared" si="5"/>
        <v>0</v>
      </c>
      <c r="N296" s="80"/>
      <c r="O296" s="51"/>
      <c r="P296" s="52"/>
    </row>
    <row r="297" spans="2:16" ht="12.75">
      <c r="B297" s="14">
        <v>293</v>
      </c>
      <c r="C297" s="28" t="str">
        <f>IF(Coureurs!C297="","",Coureurs!C297)</f>
        <v/>
      </c>
      <c r="D297" s="131" t="str">
        <f>IF(Coureurs!D297="","",Coureurs!D297)</f>
        <v>70</v>
      </c>
      <c r="E297" s="87" t="str">
        <f>IF(Coureurs!F297="","",Coureurs!F297)</f>
        <v/>
      </c>
      <c r="F297" s="87" t="str">
        <f>IF(Coureurs!G297="","",Coureurs!G297)</f>
        <v/>
      </c>
      <c r="G297" s="50" t="str">
        <f>IF(Coureurs!J297="","",Coureurs!J297)</f>
        <v/>
      </c>
      <c r="H297" s="25"/>
      <c r="I297" s="41"/>
      <c r="J297" s="8" t="str">
        <f>IF(I297="PM","",IF(H297=0," ",I297-HLOOKUP('Course 1'!H297,'tab1'!$C$3:$N$4,2)))</f>
        <v xml:space="preserve"> </v>
      </c>
      <c r="K297" s="23" t="str">
        <f>IF(I297="PM","",IF(H297=0," ",J297/'Règles et points'!$F$23))</f>
        <v xml:space="preserve"> </v>
      </c>
      <c r="L297" s="3" t="str">
        <f>IF(H297=0,"",VLOOKUP(H297,'Règles et points'!$C$5:$AG$19,(HLOOKUP('Course 1'!C297,'Règles et points'!$C$5:$AG$5,1)+1)))</f>
        <v/>
      </c>
      <c r="M297" s="23">
        <f t="shared" si="5"/>
        <v>0</v>
      </c>
      <c r="N297" s="80"/>
      <c r="O297" s="51"/>
      <c r="P297" s="52"/>
    </row>
    <row r="298" spans="2:16" ht="12.75">
      <c r="B298" s="14">
        <v>294</v>
      </c>
      <c r="C298" s="28" t="str">
        <f>IF(Coureurs!C298="","",Coureurs!C298)</f>
        <v/>
      </c>
      <c r="D298" s="131" t="str">
        <f>IF(Coureurs!D298="","",Coureurs!D298)</f>
        <v>70</v>
      </c>
      <c r="E298" s="87" t="str">
        <f>IF(Coureurs!F298="","",Coureurs!F298)</f>
        <v/>
      </c>
      <c r="F298" s="87" t="str">
        <f>IF(Coureurs!G298="","",Coureurs!G298)</f>
        <v/>
      </c>
      <c r="G298" s="50" t="str">
        <f>IF(Coureurs!J298="","",Coureurs!J298)</f>
        <v/>
      </c>
      <c r="H298" s="25"/>
      <c r="I298" s="41"/>
      <c r="J298" s="8" t="str">
        <f>IF(I298="PM","",IF(H298=0," ",I298-HLOOKUP('Course 1'!H298,'tab1'!$C$3:$N$4,2)))</f>
        <v xml:space="preserve"> </v>
      </c>
      <c r="K298" s="23" t="str">
        <f>IF(I298="PM","",IF(H298=0," ",J298/'Règles et points'!$F$23))</f>
        <v xml:space="preserve"> </v>
      </c>
      <c r="L298" s="3" t="str">
        <f>IF(H298=0,"",VLOOKUP(H298,'Règles et points'!$C$5:$AG$19,(HLOOKUP('Course 1'!C298,'Règles et points'!$C$5:$AG$5,1)+1)))</f>
        <v/>
      </c>
      <c r="M298" s="23">
        <f t="shared" si="5"/>
        <v>0</v>
      </c>
      <c r="N298" s="80"/>
      <c r="O298" s="51"/>
      <c r="P298" s="52"/>
    </row>
    <row r="299" spans="2:16" ht="12.75">
      <c r="B299" s="14">
        <v>295</v>
      </c>
      <c r="C299" s="28" t="str">
        <f>IF(Coureurs!C299="","",Coureurs!C299)</f>
        <v/>
      </c>
      <c r="D299" s="131" t="str">
        <f>IF(Coureurs!D299="","",Coureurs!D299)</f>
        <v>70</v>
      </c>
      <c r="E299" s="87" t="str">
        <f>IF(Coureurs!F299="","",Coureurs!F299)</f>
        <v/>
      </c>
      <c r="F299" s="87" t="str">
        <f>IF(Coureurs!G299="","",Coureurs!G299)</f>
        <v/>
      </c>
      <c r="G299" s="50" t="str">
        <f>IF(Coureurs!J299="","",Coureurs!J299)</f>
        <v/>
      </c>
      <c r="H299" s="25"/>
      <c r="I299" s="41"/>
      <c r="J299" s="8" t="str">
        <f>IF(I299="PM","",IF(H299=0," ",I299-HLOOKUP('Course 1'!H299,'tab1'!$C$3:$N$4,2)))</f>
        <v xml:space="preserve"> </v>
      </c>
      <c r="K299" s="23" t="str">
        <f>IF(I299="PM","",IF(H299=0," ",J299/'Règles et points'!$F$23))</f>
        <v xml:space="preserve"> </v>
      </c>
      <c r="L299" s="3" t="str">
        <f>IF(H299=0,"",VLOOKUP(H299,'Règles et points'!$C$5:$AG$19,(HLOOKUP('Course 1'!C299,'Règles et points'!$C$5:$AG$5,1)+1)))</f>
        <v/>
      </c>
      <c r="M299" s="23">
        <f t="shared" si="5"/>
        <v>0</v>
      </c>
      <c r="N299" s="80"/>
      <c r="O299" s="51"/>
      <c r="P299" s="52"/>
    </row>
    <row r="300" spans="2:16" ht="12.75">
      <c r="B300" s="14">
        <v>296</v>
      </c>
      <c r="C300" s="28" t="str">
        <f>IF(Coureurs!C300="","",Coureurs!C300)</f>
        <v/>
      </c>
      <c r="D300" s="131" t="str">
        <f>IF(Coureurs!D300="","",Coureurs!D300)</f>
        <v>70</v>
      </c>
      <c r="E300" s="87" t="str">
        <f>IF(Coureurs!F300="","",Coureurs!F300)</f>
        <v/>
      </c>
      <c r="F300" s="87" t="str">
        <f>IF(Coureurs!G300="","",Coureurs!G300)</f>
        <v/>
      </c>
      <c r="G300" s="50" t="str">
        <f>IF(Coureurs!J300="","",Coureurs!J300)</f>
        <v/>
      </c>
      <c r="H300" s="25"/>
      <c r="I300" s="41"/>
      <c r="J300" s="8" t="str">
        <f>IF(I300="PM","",IF(H300=0," ",I300-HLOOKUP('Course 1'!H300,'tab1'!$C$3:$N$4,2)))</f>
        <v xml:space="preserve"> </v>
      </c>
      <c r="K300" s="23" t="str">
        <f>IF(I300="PM","",IF(H300=0," ",J300/'Règles et points'!$F$23))</f>
        <v xml:space="preserve"> </v>
      </c>
      <c r="L300" s="3" t="str">
        <f>IF(H300=0,"",VLOOKUP(H300,'Règles et points'!$C$5:$AG$19,(HLOOKUP('Course 1'!C300,'Règles et points'!$C$5:$AG$5,1)+1)))</f>
        <v/>
      </c>
      <c r="M300" s="23">
        <f t="shared" si="5"/>
        <v>0</v>
      </c>
      <c r="N300" s="80"/>
      <c r="O300" s="51"/>
      <c r="P300" s="52"/>
    </row>
    <row r="301" spans="2:16" ht="12.75">
      <c r="B301" s="14">
        <v>297</v>
      </c>
      <c r="C301" s="28" t="str">
        <f>IF(Coureurs!C301="","",Coureurs!C301)</f>
        <v/>
      </c>
      <c r="D301" s="131" t="str">
        <f>IF(Coureurs!D301="","",Coureurs!D301)</f>
        <v>70</v>
      </c>
      <c r="E301" s="87" t="str">
        <f>IF(Coureurs!F301="","",Coureurs!F301)</f>
        <v/>
      </c>
      <c r="F301" s="87" t="str">
        <f>IF(Coureurs!G301="","",Coureurs!G301)</f>
        <v/>
      </c>
      <c r="G301" s="50" t="str">
        <f>IF(Coureurs!J301="","",Coureurs!J301)</f>
        <v/>
      </c>
      <c r="H301" s="25"/>
      <c r="I301" s="41"/>
      <c r="J301" s="8" t="str">
        <f>IF(I301="PM","",IF(H301=0," ",I301-HLOOKUP('Course 1'!H301,'tab1'!$C$3:$N$4,2)))</f>
        <v xml:space="preserve"> </v>
      </c>
      <c r="K301" s="23" t="str">
        <f>IF(I301="PM","",IF(H301=0," ",J301/'Règles et points'!$F$23))</f>
        <v xml:space="preserve"> </v>
      </c>
      <c r="L301" s="3" t="str">
        <f>IF(H301=0,"",VLOOKUP(H301,'Règles et points'!$C$5:$AG$19,(HLOOKUP('Course 1'!C301,'Règles et points'!$C$5:$AG$5,1)+1)))</f>
        <v/>
      </c>
      <c r="M301" s="23">
        <f t="shared" si="5"/>
        <v>0</v>
      </c>
      <c r="N301" s="80"/>
      <c r="O301" s="51"/>
      <c r="P301" s="52"/>
    </row>
    <row r="302" spans="2:16" ht="12.75">
      <c r="B302" s="14">
        <v>298</v>
      </c>
      <c r="C302" s="28" t="str">
        <f>IF(Coureurs!C302="","",Coureurs!C302)</f>
        <v/>
      </c>
      <c r="D302" s="131" t="str">
        <f>IF(Coureurs!D302="","",Coureurs!D302)</f>
        <v>70</v>
      </c>
      <c r="E302" s="87" t="str">
        <f>IF(Coureurs!F302="","",Coureurs!F302)</f>
        <v/>
      </c>
      <c r="F302" s="87" t="str">
        <f>IF(Coureurs!G302="","",Coureurs!G302)</f>
        <v/>
      </c>
      <c r="G302" s="50" t="str">
        <f>IF(Coureurs!J302="","",Coureurs!J302)</f>
        <v/>
      </c>
      <c r="H302" s="25"/>
      <c r="I302" s="88"/>
      <c r="J302" s="8" t="str">
        <f>IF(I302="PM","",IF(H302=0," ",I302-HLOOKUP('Course 1'!H302,'tab1'!$C$3:$N$4,2)))</f>
        <v xml:space="preserve"> </v>
      </c>
      <c r="K302" s="23" t="str">
        <f>IF(I302="PM","",IF(H302=0," ",J302/'Règles et points'!$F$23))</f>
        <v xml:space="preserve"> </v>
      </c>
      <c r="L302" s="3" t="str">
        <f>IF(H302=0,"",VLOOKUP(H302,'Règles et points'!$C$5:$AG$19,(HLOOKUP('Course 1'!C302,'Règles et points'!$C$5:$AG$5,1)+1)))</f>
        <v/>
      </c>
      <c r="M302" s="23">
        <f t="shared" si="5"/>
        <v>0</v>
      </c>
      <c r="N302" s="80"/>
      <c r="O302" s="51"/>
      <c r="P302" s="52"/>
    </row>
    <row r="303" spans="2:16" ht="12.75">
      <c r="B303" s="14">
        <v>299</v>
      </c>
      <c r="C303" s="28" t="str">
        <f>IF(Coureurs!C303="","",Coureurs!C303)</f>
        <v/>
      </c>
      <c r="D303" s="131" t="str">
        <f>IF(Coureurs!D303="","",Coureurs!D303)</f>
        <v>70</v>
      </c>
      <c r="E303" s="87" t="str">
        <f>IF(Coureurs!F303="","",Coureurs!F303)</f>
        <v/>
      </c>
      <c r="F303" s="87" t="str">
        <f>IF(Coureurs!G303="","",Coureurs!G303)</f>
        <v/>
      </c>
      <c r="G303" s="50" t="str">
        <f>IF(Coureurs!J303="","",Coureurs!J303)</f>
        <v/>
      </c>
      <c r="H303" s="25"/>
      <c r="I303" s="88"/>
      <c r="J303" s="8" t="str">
        <f>IF(I303="PM","",IF(H303=0," ",I303-HLOOKUP('Course 1'!H303,'tab1'!$C$3:$N$4,2)))</f>
        <v xml:space="preserve"> </v>
      </c>
      <c r="K303" s="23" t="str">
        <f>IF(I303="PM","",IF(H303=0," ",J303/'Règles et points'!$F$23))</f>
        <v xml:space="preserve"> </v>
      </c>
      <c r="L303" s="3" t="str">
        <f>IF(H303=0,"",VLOOKUP(H303,'Règles et points'!$C$5:$AG$19,(HLOOKUP('Course 1'!C303,'Règles et points'!$C$5:$AG$5,1)+1)))</f>
        <v/>
      </c>
      <c r="M303" s="23">
        <f t="shared" si="5"/>
        <v>0</v>
      </c>
      <c r="N303" s="80"/>
      <c r="O303" s="51"/>
      <c r="P303" s="52"/>
    </row>
    <row r="304" spans="2:16" ht="12.75">
      <c r="B304" s="14">
        <v>300</v>
      </c>
      <c r="C304" s="28" t="str">
        <f>IF(Coureurs!C304="","",Coureurs!C304)</f>
        <v/>
      </c>
      <c r="D304" s="131" t="str">
        <f>IF(Coureurs!D304="","",Coureurs!D304)</f>
        <v>70</v>
      </c>
      <c r="E304" s="87" t="str">
        <f>IF(Coureurs!F304="","",Coureurs!F304)</f>
        <v/>
      </c>
      <c r="F304" s="87" t="str">
        <f>IF(Coureurs!G304="","",Coureurs!G304)</f>
        <v/>
      </c>
      <c r="G304" s="50" t="str">
        <f>IF(Coureurs!J304="","",Coureurs!J304)</f>
        <v/>
      </c>
      <c r="H304" s="25"/>
      <c r="I304" s="88"/>
      <c r="J304" s="8" t="str">
        <f>IF(I304="PM","",IF(H304=0," ",I304-HLOOKUP('Course 1'!H304,'tab1'!$C$3:$N$4,2)))</f>
        <v xml:space="preserve"> </v>
      </c>
      <c r="K304" s="23" t="str">
        <f>IF(I304="PM","",IF(H304=0," ",J304/'Règles et points'!$F$23))</f>
        <v xml:space="preserve"> </v>
      </c>
      <c r="L304" s="3" t="str">
        <f>IF(H304=0,"",VLOOKUP(H304,'Règles et points'!$C$5:$AG$19,(HLOOKUP('Course 1'!C304,'Règles et points'!$C$5:$AG$5,1)+1)))</f>
        <v/>
      </c>
      <c r="M304" s="23">
        <f t="shared" si="5"/>
        <v>0</v>
      </c>
      <c r="N304" s="80"/>
      <c r="O304" s="51"/>
      <c r="P304" s="52"/>
    </row>
  </sheetData>
  <sheetProtection password="CFA8" sheet="1" objects="1" scenarios="1" selectLockedCells="1"/>
  <mergeCells count="1">
    <mergeCell ref="D1:P1"/>
  </mergeCells>
  <phoneticPr fontId="0" type="noConversion"/>
  <pageMargins left="3.937007874015748E-2" right="3.937007874015748E-2" top="0.19685039370078741" bottom="0.19685039370078741" header="0.31496062992125984" footer="0.31496062992125984"/>
  <pageSetup paperSize="9" orientation="landscape" horizontalDpi="4294967295" verticalDpi="4294967295"/>
  <headerFooter alignWithMargins="0"/>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Feuil4" enableFormatConditionsCalculation="0"/>
  <dimension ref="B1:S304"/>
  <sheetViews>
    <sheetView workbookViewId="0">
      <pane ySplit="3" topLeftCell="A5" activePane="bottomLeft" state="frozen"/>
      <selection activeCell="C1" sqref="C1"/>
      <selection pane="bottomLeft" activeCell="H5" sqref="H5:I121"/>
    </sheetView>
  </sheetViews>
  <sheetFormatPr baseColWidth="10" defaultRowHeight="15.75"/>
  <cols>
    <col min="1" max="1" width="9.42578125" customWidth="1"/>
    <col min="2" max="2" width="9" hidden="1" customWidth="1"/>
    <col min="3" max="3" width="12.28515625" style="33" hidden="1" customWidth="1"/>
    <col min="4" max="4" width="12.28515625" style="29" customWidth="1"/>
    <col min="5" max="5" width="15.140625" customWidth="1"/>
    <col min="6" max="6" width="11.85546875" customWidth="1"/>
    <col min="7" max="7" width="8.7109375" style="14" customWidth="1"/>
    <col min="8" max="8" width="9.42578125" style="14" customWidth="1"/>
    <col min="9" max="9" width="12.28515625" style="38" customWidth="1"/>
    <col min="10" max="13" width="12.28515625" customWidth="1"/>
    <col min="14" max="14" width="9.42578125" customWidth="1"/>
    <col min="15" max="15" width="9.42578125" style="2" customWidth="1"/>
    <col min="16" max="16" width="21.42578125" customWidth="1"/>
    <col min="17" max="17" width="4.140625" customWidth="1"/>
    <col min="19" max="20" width="10.85546875" customWidth="1"/>
  </cols>
  <sheetData>
    <row r="1" spans="2:19" ht="45" customHeight="1" thickBot="1">
      <c r="D1" s="189" t="s">
        <v>77</v>
      </c>
      <c r="E1" s="189"/>
      <c r="F1" s="189"/>
      <c r="G1" s="189"/>
      <c r="H1" s="189"/>
      <c r="I1" s="189"/>
      <c r="J1" s="189"/>
      <c r="K1" s="189"/>
      <c r="L1" s="189"/>
      <c r="M1" s="189"/>
      <c r="N1" s="189"/>
      <c r="O1" s="189"/>
      <c r="P1" s="189"/>
    </row>
    <row r="2" spans="2:19" ht="65.099999999999994" customHeight="1" thickBot="1">
      <c r="C2" s="128" t="s">
        <v>78</v>
      </c>
      <c r="D2" s="138" t="s">
        <v>1</v>
      </c>
      <c r="E2" s="139" t="s">
        <v>14</v>
      </c>
      <c r="F2" s="139" t="s">
        <v>25</v>
      </c>
      <c r="G2" s="139" t="s">
        <v>16</v>
      </c>
      <c r="H2" s="139" t="s">
        <v>0</v>
      </c>
      <c r="I2" s="135" t="s">
        <v>29</v>
      </c>
      <c r="J2" s="136" t="s">
        <v>22</v>
      </c>
      <c r="K2" s="136" t="s">
        <v>23</v>
      </c>
      <c r="L2" s="135" t="s">
        <v>24</v>
      </c>
      <c r="M2" s="139" t="s">
        <v>15</v>
      </c>
      <c r="N2" s="134" t="s">
        <v>43</v>
      </c>
      <c r="O2" s="137" t="s">
        <v>36</v>
      </c>
      <c r="P2" s="140" t="s">
        <v>37</v>
      </c>
    </row>
    <row r="3" spans="2:19" ht="41.1" customHeight="1" thickBot="1">
      <c r="C3" s="28" t="e">
        <f>IF(Coureurs!#REF!="","",Coureurs!#REF!)</f>
        <v>#REF!</v>
      </c>
      <c r="D3" s="125"/>
      <c r="E3" s="126"/>
      <c r="F3" s="156" t="s">
        <v>75</v>
      </c>
      <c r="G3" s="127"/>
      <c r="H3" s="126"/>
      <c r="I3" s="127"/>
      <c r="J3" s="157"/>
      <c r="K3" s="158"/>
      <c r="L3" s="159"/>
      <c r="M3" s="158"/>
      <c r="N3" s="158"/>
      <c r="O3" s="157"/>
      <c r="P3" s="160"/>
      <c r="S3" s="112"/>
    </row>
    <row r="4" spans="2:19" ht="21" hidden="1" customHeight="1">
      <c r="C4" s="28" t="str">
        <f>IF(Coureurs!C4="","",Coureurs!C4)</f>
        <v/>
      </c>
      <c r="D4" s="130" t="str">
        <f>IF(Coureurs!D4="","",Coureurs!D4)</f>
        <v/>
      </c>
      <c r="E4" s="97" t="str">
        <f>IF(Coureurs!F4="","",Coureurs!F4)</f>
        <v/>
      </c>
      <c r="F4" s="97" t="str">
        <f>IF(Coureurs!G4="","",Coureurs!G4)</f>
        <v/>
      </c>
      <c r="G4" s="96" t="str">
        <f>IF(Coureurs!J4="","",Coureurs!J4)</f>
        <v/>
      </c>
      <c r="H4" s="120"/>
      <c r="I4" s="121"/>
      <c r="J4" s="98" t="str">
        <f>IF(I4="PM","",IF(H4=0," ",I4-HLOOKUP('Course 2'!H4,'tab2'!$C$3:$N$4,2)))</f>
        <v xml:space="preserve"> </v>
      </c>
      <c r="K4" s="99" t="str">
        <f>IF(I4="PM","",IF(H4=0," ",J4/'Règles et points'!$F$23))</f>
        <v xml:space="preserve"> </v>
      </c>
      <c r="L4" s="100" t="str">
        <f>IF(H4=0,"",VLOOKUP(H4,'Règles et points'!$C$5:$AG$19,(HLOOKUP('Course 2'!C4,'Règles et points'!$C$5:$AG$5,1)+1)))</f>
        <v/>
      </c>
      <c r="M4" s="99">
        <f t="shared" ref="M4" si="0">IF(I4="PM",0,IF(H4=0,0,L4-K4))+N4</f>
        <v>0</v>
      </c>
      <c r="N4" s="101"/>
      <c r="O4" s="102"/>
      <c r="P4" s="103"/>
      <c r="S4" s="112"/>
    </row>
    <row r="5" spans="2:19" ht="12.75">
      <c r="B5" s="14">
        <v>1</v>
      </c>
      <c r="C5" s="28">
        <f>IF(Coureurs!C5="","",Coureurs!C5)</f>
        <v>24</v>
      </c>
      <c r="D5" s="131" t="str">
        <f>IF(Coureurs!D5="","",Coureurs!D5)</f>
        <v>H40</v>
      </c>
      <c r="E5" s="87" t="str">
        <f>IF(Coureurs!F5="","",Coureurs!F5)</f>
        <v>GARDEUR</v>
      </c>
      <c r="F5" s="87" t="str">
        <f>IF(Coureurs!G5="","",Coureurs!G5)</f>
        <v>Julien</v>
      </c>
      <c r="G5" s="50">
        <f>IF(Coureurs!J5="","",Coureurs!J5)</f>
        <v>35002</v>
      </c>
      <c r="H5" s="108"/>
      <c r="I5" s="40"/>
      <c r="J5" s="8" t="str">
        <f>IF(I5="PM","",IF(H5=0," ",I5-HLOOKUP('Course 2'!H5,'tab2'!$C$3:$N$4,2)))</f>
        <v xml:space="preserve"> </v>
      </c>
      <c r="K5" s="23" t="str">
        <f>IF(I5="PM","",IF(H5=0," ",J5/'Règles et points'!$F$23))</f>
        <v xml:space="preserve"> </v>
      </c>
      <c r="L5" s="3" t="str">
        <f>IF(H5=0,"",IF(I5="PM",30,VLOOKUP(H5,'Règles et points'!$C$5:$AG$19,(HLOOKUP('Course 2'!C5,'Règles et points'!$C$5:$AG$5,1)+1))))</f>
        <v/>
      </c>
      <c r="M5" s="23">
        <f>IF(I5="PM",30,IF(H5=0,0,L5-K5))+N5</f>
        <v>0</v>
      </c>
      <c r="N5" s="80"/>
      <c r="O5" s="51"/>
      <c r="P5" s="52"/>
    </row>
    <row r="6" spans="2:19" ht="12.75">
      <c r="B6" s="14">
        <v>2</v>
      </c>
      <c r="C6" s="28">
        <f>IF(Coureurs!C6="","",Coureurs!C6)</f>
        <v>26</v>
      </c>
      <c r="D6" s="131" t="str">
        <f>IF(Coureurs!D6="","",Coureurs!D6)</f>
        <v>H50</v>
      </c>
      <c r="E6" s="87" t="str">
        <f>IF(Coureurs!F6="","",Coureurs!F6)</f>
        <v>TOUSSAINT</v>
      </c>
      <c r="F6" s="87" t="str">
        <f>IF(Coureurs!G6="","",Coureurs!G6)</f>
        <v>Stéphane</v>
      </c>
      <c r="G6" s="50">
        <f>IF(Coureurs!J6="","",Coureurs!J6)</f>
        <v>1770314</v>
      </c>
      <c r="H6" s="25"/>
      <c r="I6" s="40"/>
      <c r="J6" s="8" t="str">
        <f>IF(I6="PM","",IF(H6=0," ",I6-HLOOKUP('Course 2'!H6,'tab2'!$C$3:$N$4,2)))</f>
        <v xml:space="preserve"> </v>
      </c>
      <c r="K6" s="23" t="str">
        <f>IF(I6="PM","",IF(H6=0," ",J6/'Règles et points'!$F$23))</f>
        <v xml:space="preserve"> </v>
      </c>
      <c r="L6" s="3" t="str">
        <f>IF(H6=0,"",IF(I6="PM",30,VLOOKUP(H6,'Règles et points'!$C$5:$AG$19,(HLOOKUP('Course 2'!C6,'Règles et points'!$C$5:$AG$5,1)+1))))</f>
        <v/>
      </c>
      <c r="M6" s="23">
        <f t="shared" ref="M6:M69" si="1">IF(I6="PM",30,IF(H6=0,0,L6-K6))+N6</f>
        <v>0</v>
      </c>
      <c r="N6" s="80"/>
      <c r="O6" s="51"/>
      <c r="P6" s="52"/>
    </row>
    <row r="7" spans="2:19" ht="12.75">
      <c r="B7" s="14">
        <v>3</v>
      </c>
      <c r="C7" s="28">
        <f>IF(Coureurs!C7="","",Coureurs!C7)</f>
        <v>25</v>
      </c>
      <c r="D7" s="131" t="str">
        <f>IF(Coureurs!D7="","",Coureurs!D7)</f>
        <v>H45</v>
      </c>
      <c r="E7" s="87" t="str">
        <f>IF(Coureurs!F7="","",Coureurs!F7)</f>
        <v>VANNIER</v>
      </c>
      <c r="F7" s="87" t="str">
        <f>IF(Coureurs!G7="","",Coureurs!G7)</f>
        <v>Fabrice</v>
      </c>
      <c r="G7" s="50">
        <f>IF(Coureurs!J7="","",Coureurs!J7)</f>
        <v>1770320</v>
      </c>
      <c r="H7" s="106"/>
      <c r="I7" s="40"/>
      <c r="J7" s="8" t="str">
        <f>IF(I7="PM","",IF(H7=0," ",I7-HLOOKUP('Course 2'!H7,'tab2'!$C$3:$N$4,2)))</f>
        <v xml:space="preserve"> </v>
      </c>
      <c r="K7" s="23" t="str">
        <f>IF(I7="PM","",IF(H7=0," ",J7/'Règles et points'!$F$23))</f>
        <v xml:space="preserve"> </v>
      </c>
      <c r="L7" s="3" t="str">
        <f>IF(H7=0,"",IF(I7="PM",30,VLOOKUP(H7,'Règles et points'!$C$5:$AG$19,(HLOOKUP('Course 2'!C7,'Règles et points'!$C$5:$AG$5,1)+1))))</f>
        <v/>
      </c>
      <c r="M7" s="23">
        <f t="shared" si="1"/>
        <v>0</v>
      </c>
      <c r="N7" s="80"/>
      <c r="O7" s="51"/>
      <c r="P7" s="52"/>
    </row>
    <row r="8" spans="2:19" ht="12.75">
      <c r="B8" s="14">
        <v>4</v>
      </c>
      <c r="C8" s="28">
        <f>IF(Coureurs!C8="","",Coureurs!C8)</f>
        <v>30</v>
      </c>
      <c r="D8" s="131" t="str">
        <f>IF(Coureurs!D8="","",Coureurs!D8)</f>
        <v>H70</v>
      </c>
      <c r="E8" s="87" t="str">
        <f>IF(Coureurs!F8="","",Coureurs!F8)</f>
        <v>HAMON</v>
      </c>
      <c r="F8" s="87" t="str">
        <f>IF(Coureurs!G8="","",Coureurs!G8)</f>
        <v>Patrick</v>
      </c>
      <c r="G8" s="50">
        <f>IF(Coureurs!J8="","",Coureurs!J8)</f>
        <v>9001020</v>
      </c>
      <c r="H8" s="25"/>
      <c r="I8" s="40"/>
      <c r="J8" s="8" t="str">
        <f>IF(I8="PM","",IF(H8=0," ",I8-HLOOKUP('Course 2'!H8,'tab2'!$C$3:$N$4,2)))</f>
        <v xml:space="preserve"> </v>
      </c>
      <c r="K8" s="23" t="str">
        <f>IF(I8="PM","",IF(H8=0," ",J8/'Règles et points'!$F$23))</f>
        <v xml:space="preserve"> </v>
      </c>
      <c r="L8" s="3" t="str">
        <f>IF(H8=0,"",IF(I8="PM",30,VLOOKUP(H8,'Règles et points'!$C$5:$AG$19,(HLOOKUP('Course 2'!C8,'Règles et points'!$C$5:$AG$5,1)+1))))</f>
        <v/>
      </c>
      <c r="M8" s="23">
        <f t="shared" si="1"/>
        <v>0</v>
      </c>
      <c r="N8" s="80"/>
      <c r="O8" s="40"/>
      <c r="P8" s="52"/>
    </row>
    <row r="9" spans="2:19" ht="12.75">
      <c r="B9" s="14">
        <v>5</v>
      </c>
      <c r="C9" s="28">
        <f>IF(Coureurs!C9="","",Coureurs!C9)</f>
        <v>27</v>
      </c>
      <c r="D9" s="131" t="str">
        <f>IF(Coureurs!D9="","",Coureurs!D9)</f>
        <v>H55</v>
      </c>
      <c r="E9" s="87" t="str">
        <f>IF(Coureurs!F9="","",Coureurs!F9)</f>
        <v>GILLARD</v>
      </c>
      <c r="F9" s="87" t="str">
        <f>IF(Coureurs!G9="","",Coureurs!G9)</f>
        <v>Hugues</v>
      </c>
      <c r="G9" s="50">
        <f>IF(Coureurs!J9="","",Coureurs!J9)</f>
        <v>1000717</v>
      </c>
      <c r="H9" s="106"/>
      <c r="I9" s="40"/>
      <c r="J9" s="8" t="str">
        <f>IF(I9="PM","",IF(H9=0," ",I9-HLOOKUP('Course 2'!H9,'tab2'!$C$3:$N$4,2)))</f>
        <v xml:space="preserve"> </v>
      </c>
      <c r="K9" s="23" t="str">
        <f>IF(I9="PM","",IF(H9=0," ",J9/'Règles et points'!$F$23))</f>
        <v xml:space="preserve"> </v>
      </c>
      <c r="L9" s="3" t="str">
        <f>IF(H9=0,"",IF(I9="PM",30,VLOOKUP(H9,'Règles et points'!$C$5:$AG$19,(HLOOKUP('Course 2'!C9,'Règles et points'!$C$5:$AG$5,1)+1))))</f>
        <v/>
      </c>
      <c r="M9" s="23">
        <f t="shared" si="1"/>
        <v>0</v>
      </c>
      <c r="N9" s="80"/>
      <c r="O9" s="40"/>
      <c r="P9" s="52"/>
      <c r="S9" s="34"/>
    </row>
    <row r="10" spans="2:19" ht="12.75">
      <c r="B10" s="14">
        <v>6</v>
      </c>
      <c r="C10" s="28">
        <f>IF(Coureurs!C10="","",Coureurs!C10)</f>
        <v>11</v>
      </c>
      <c r="D10" s="131" t="str">
        <f>IF(Coureurs!D10="","",Coureurs!D10)</f>
        <v>D50</v>
      </c>
      <c r="E10" s="87" t="str">
        <f>IF(Coureurs!F10="","",Coureurs!F10)</f>
        <v>OLIVIER</v>
      </c>
      <c r="F10" s="87" t="str">
        <f>IF(Coureurs!G10="","",Coureurs!G10)</f>
        <v>Sandra</v>
      </c>
      <c r="G10" s="50">
        <f>IF(Coureurs!J10="","",Coureurs!J10)</f>
        <v>8001980</v>
      </c>
      <c r="H10" s="25"/>
      <c r="I10" s="40"/>
      <c r="J10" s="8" t="str">
        <f>IF(I10="PM","",IF(H10=0," ",I10-HLOOKUP('Course 2'!H10,'tab2'!$C$3:$N$4,2)))</f>
        <v xml:space="preserve"> </v>
      </c>
      <c r="K10" s="23" t="str">
        <f>IF(I10="PM","",IF(H10=0," ",J10/'Règles et points'!$F$23))</f>
        <v xml:space="preserve"> </v>
      </c>
      <c r="L10" s="3" t="str">
        <f>IF(H10=0,"",IF(I10="PM",30,VLOOKUP(H10,'Règles et points'!$C$5:$AG$19,(HLOOKUP('Course 2'!C10,'Règles et points'!$C$5:$AG$5,1)+1))))</f>
        <v/>
      </c>
      <c r="M10" s="23">
        <f t="shared" si="1"/>
        <v>0</v>
      </c>
      <c r="N10" s="80"/>
      <c r="O10" s="51"/>
      <c r="P10" s="52"/>
      <c r="S10" s="34"/>
    </row>
    <row r="11" spans="2:19" ht="12.75">
      <c r="B11" s="14">
        <v>7</v>
      </c>
      <c r="C11" s="28">
        <f>IF(Coureurs!C11="","",Coureurs!C11)</f>
        <v>13</v>
      </c>
      <c r="D11" s="131" t="str">
        <f>IF(Coureurs!D11="","",Coureurs!D11)</f>
        <v>D60</v>
      </c>
      <c r="E11" s="87" t="str">
        <f>IF(Coureurs!F11="","",Coureurs!F11)</f>
        <v>MOLINIER</v>
      </c>
      <c r="F11" s="87" t="str">
        <f>IF(Coureurs!G11="","",Coureurs!G11)</f>
        <v>Frederique</v>
      </c>
      <c r="G11" s="50">
        <f>IF(Coureurs!J11="","",Coureurs!J11)</f>
        <v>1000979</v>
      </c>
      <c r="H11" s="25"/>
      <c r="I11" s="40"/>
      <c r="J11" s="8" t="str">
        <f>IF(I11="PM","",IF(H11=0," ",I11-HLOOKUP('Course 2'!H11,'tab2'!$C$3:$N$4,2)))</f>
        <v xml:space="preserve"> </v>
      </c>
      <c r="K11" s="23" t="str">
        <f>IF(I11="PM","",IF(H11=0," ",J11/'Règles et points'!$F$23))</f>
        <v xml:space="preserve"> </v>
      </c>
      <c r="L11" s="3" t="str">
        <f>IF(H11=0,"",IF(I11="PM",30,VLOOKUP(H11,'Règles et points'!$C$5:$AG$19,(HLOOKUP('Course 2'!C11,'Règles et points'!$C$5:$AG$5,1)+1))))</f>
        <v/>
      </c>
      <c r="M11" s="23">
        <f t="shared" si="1"/>
        <v>0</v>
      </c>
      <c r="N11" s="80"/>
      <c r="O11" s="51"/>
      <c r="P11" s="52"/>
    </row>
    <row r="12" spans="2:19" ht="12.75">
      <c r="B12" s="14">
        <v>8</v>
      </c>
      <c r="C12" s="28">
        <f>IF(Coureurs!C12="","",Coureurs!C12)</f>
        <v>7</v>
      </c>
      <c r="D12" s="131" t="str">
        <f>IF(Coureurs!D12="","",Coureurs!D12)</f>
        <v>D21</v>
      </c>
      <c r="E12" s="87" t="str">
        <f>IF(Coureurs!F12="","",Coureurs!F12)</f>
        <v>MOLINIER</v>
      </c>
      <c r="F12" s="87" t="str">
        <f>IF(Coureurs!G12="","",Coureurs!G12)</f>
        <v>Caroline</v>
      </c>
      <c r="G12" s="50">
        <f>IF(Coureurs!J12="","",Coureurs!J12)</f>
        <v>31320</v>
      </c>
      <c r="H12" s="25"/>
      <c r="I12" s="40"/>
      <c r="J12" s="8" t="str">
        <f>IF(I12="PM","",IF(H12=0," ",I12-HLOOKUP('Course 2'!H12,'tab2'!$C$3:$N$4,2)))</f>
        <v xml:space="preserve"> </v>
      </c>
      <c r="K12" s="23" t="str">
        <f>IF(I12="PM","",IF(H12=0," ",J12/'Règles et points'!$F$23))</f>
        <v xml:space="preserve"> </v>
      </c>
      <c r="L12" s="3" t="str">
        <f>IF(H12=0,"",IF(I12="PM",30,VLOOKUP(H12,'Règles et points'!$C$5:$AG$19,(HLOOKUP('Course 2'!C12,'Règles et points'!$C$5:$AG$5,1)+1))))</f>
        <v/>
      </c>
      <c r="M12" s="23">
        <f t="shared" si="1"/>
        <v>0</v>
      </c>
      <c r="N12" s="80"/>
      <c r="O12" s="51"/>
      <c r="P12" s="52"/>
    </row>
    <row r="13" spans="2:19" ht="12.75">
      <c r="B13" s="14">
        <v>9</v>
      </c>
      <c r="C13" s="28">
        <f>IF(Coureurs!C13="","",Coureurs!C13)</f>
        <v>28</v>
      </c>
      <c r="D13" s="131" t="str">
        <f>IF(Coureurs!D13="","",Coureurs!D13)</f>
        <v>H60</v>
      </c>
      <c r="E13" s="87" t="str">
        <f>IF(Coureurs!F13="","",Coureurs!F13)</f>
        <v>RORA</v>
      </c>
      <c r="F13" s="87" t="str">
        <f>IF(Coureurs!G13="","",Coureurs!G13)</f>
        <v>Jose</v>
      </c>
      <c r="G13" s="50">
        <f>IF(Coureurs!J13="","",Coureurs!J13)</f>
        <v>8077060</v>
      </c>
      <c r="H13" s="25"/>
      <c r="I13" s="40"/>
      <c r="J13" s="8" t="str">
        <f>IF(I13="PM","",IF(H13=0," ",I13-HLOOKUP('Course 2'!H13,'tab2'!$C$3:$N$4,2)))</f>
        <v xml:space="preserve"> </v>
      </c>
      <c r="K13" s="23" t="str">
        <f>IF(I13="PM","",IF(H13=0," ",J13/'Règles et points'!$F$23))</f>
        <v xml:space="preserve"> </v>
      </c>
      <c r="L13" s="3" t="str">
        <f>IF(H13=0,"",IF(I13="PM",30,VLOOKUP(H13,'Règles et points'!$C$5:$AG$19,(HLOOKUP('Course 2'!C13,'Règles et points'!$C$5:$AG$5,1)+1))))</f>
        <v/>
      </c>
      <c r="M13" s="23">
        <f t="shared" si="1"/>
        <v>0</v>
      </c>
      <c r="N13" s="80"/>
      <c r="O13" s="51"/>
      <c r="P13" s="52"/>
    </row>
    <row r="14" spans="2:19" ht="12.75">
      <c r="B14" s="14">
        <v>10</v>
      </c>
      <c r="C14" s="28">
        <f>IF(Coureurs!C14="","",Coureurs!C14)</f>
        <v>12</v>
      </c>
      <c r="D14" s="131" t="str">
        <f>IF(Coureurs!D14="","",Coureurs!D14)</f>
        <v>D55</v>
      </c>
      <c r="E14" s="87" t="str">
        <f>IF(Coureurs!F14="","",Coureurs!F14)</f>
        <v>RORA</v>
      </c>
      <c r="F14" s="87" t="str">
        <f>IF(Coureurs!G14="","",Coureurs!G14)</f>
        <v>Isabelle</v>
      </c>
      <c r="G14" s="50">
        <f>IF(Coureurs!J14="","",Coureurs!J14)</f>
        <v>9771900</v>
      </c>
      <c r="H14" s="25"/>
      <c r="I14" s="40"/>
      <c r="J14" s="8" t="str">
        <f>IF(I14="PM","",IF(H14=0," ",I14-HLOOKUP('Course 2'!H14,'tab2'!$C$3:$N$4,2)))</f>
        <v xml:space="preserve"> </v>
      </c>
      <c r="K14" s="23" t="str">
        <f>IF(I14="PM","",IF(H14=0," ",J14/'Règles et points'!$F$23))</f>
        <v xml:space="preserve"> </v>
      </c>
      <c r="L14" s="3" t="str">
        <f>IF(H14=0,"",IF(I14="PM",30,VLOOKUP(H14,'Règles et points'!$C$5:$AG$19,(HLOOKUP('Course 2'!C14,'Règles et points'!$C$5:$AG$5,1)+1))))</f>
        <v/>
      </c>
      <c r="M14" s="23">
        <f t="shared" si="1"/>
        <v>0</v>
      </c>
      <c r="N14" s="80"/>
      <c r="O14" s="51"/>
      <c r="P14" s="52"/>
    </row>
    <row r="15" spans="2:19" ht="12.75">
      <c r="B15" s="14">
        <v>11</v>
      </c>
      <c r="C15" s="28">
        <f>IF(Coureurs!C15="","",Coureurs!C15)</f>
        <v>29</v>
      </c>
      <c r="D15" s="131" t="str">
        <f>IF(Coureurs!D15="","",Coureurs!D15)</f>
        <v>H65</v>
      </c>
      <c r="E15" s="87" t="str">
        <f>IF(Coureurs!F15="","",Coureurs!F15)</f>
        <v>PERSE</v>
      </c>
      <c r="F15" s="87" t="str">
        <f>IF(Coureurs!G15="","",Coureurs!G15)</f>
        <v>Philippe</v>
      </c>
      <c r="G15" s="50">
        <f>IF(Coureurs!J15="","",Coureurs!J15)</f>
        <v>355162</v>
      </c>
      <c r="H15" s="106"/>
      <c r="I15" s="40"/>
      <c r="J15" s="8" t="str">
        <f>IF(I15="PM","",IF(H15=0," ",I15-HLOOKUP('Course 2'!H15,'tab2'!$C$3:$N$4,2)))</f>
        <v xml:space="preserve"> </v>
      </c>
      <c r="K15" s="23" t="str">
        <f>IF(I15="PM","",IF(H15=0," ",J15/'Règles et points'!$F$23))</f>
        <v xml:space="preserve"> </v>
      </c>
      <c r="L15" s="3" t="str">
        <f>IF(H15=0,"",IF(I15="PM",30,VLOOKUP(H15,'Règles et points'!$C$5:$AG$19,(HLOOKUP('Course 2'!C15,'Règles et points'!$C$5:$AG$5,1)+1))))</f>
        <v/>
      </c>
      <c r="M15" s="23">
        <f t="shared" si="1"/>
        <v>0</v>
      </c>
      <c r="N15" s="80"/>
      <c r="O15" s="51"/>
      <c r="P15" s="52"/>
    </row>
    <row r="16" spans="2:19" ht="12.75">
      <c r="B16" s="14">
        <v>12</v>
      </c>
      <c r="C16" s="28">
        <f>IF(Coureurs!C16="","",Coureurs!C16)</f>
        <v>30</v>
      </c>
      <c r="D16" s="131" t="str">
        <f>IF(Coureurs!D16="","",Coureurs!D16)</f>
        <v>H70</v>
      </c>
      <c r="E16" s="87" t="str">
        <f>IF(Coureurs!F16="","",Coureurs!F16)</f>
        <v>DENIAU</v>
      </c>
      <c r="F16" s="87" t="str">
        <f>IF(Coureurs!G16="","",Coureurs!G16)</f>
        <v>Alain</v>
      </c>
      <c r="G16" s="50">
        <f>IF(Coureurs!J16="","",Coureurs!J16)</f>
        <v>304383</v>
      </c>
      <c r="H16" s="106"/>
      <c r="I16" s="40"/>
      <c r="J16" s="8" t="str">
        <f>IF(I16="PM","",IF(H16=0," ",I16-HLOOKUP('Course 2'!H16,'tab2'!$C$3:$N$4,2)))</f>
        <v xml:space="preserve"> </v>
      </c>
      <c r="K16" s="23" t="str">
        <f>IF(I16="PM","",IF(H16=0," ",J16/'Règles et points'!$F$23))</f>
        <v xml:space="preserve"> </v>
      </c>
      <c r="L16" s="3" t="str">
        <f>IF(H16=0,"",IF(I16="PM",30,VLOOKUP(H16,'Règles et points'!$C$5:$AG$19,(HLOOKUP('Course 2'!C16,'Règles et points'!$C$5:$AG$5,1)+1))))</f>
        <v/>
      </c>
      <c r="M16" s="23">
        <f t="shared" si="1"/>
        <v>0</v>
      </c>
      <c r="N16" s="80"/>
      <c r="O16" s="51"/>
      <c r="P16" s="52"/>
    </row>
    <row r="17" spans="2:16" ht="12.75">
      <c r="B17" s="14">
        <v>13</v>
      </c>
      <c r="C17" s="28">
        <f>IF(Coureurs!C17="","",Coureurs!C17)</f>
        <v>10</v>
      </c>
      <c r="D17" s="131" t="str">
        <f>IF(Coureurs!D17="","",Coureurs!D17)</f>
        <v>D45</v>
      </c>
      <c r="E17" s="87" t="str">
        <f>IF(Coureurs!F17="","",Coureurs!F17)</f>
        <v>LAGRANGE</v>
      </c>
      <c r="F17" s="87" t="str">
        <f>IF(Coureurs!G17="","",Coureurs!G17)</f>
        <v>Florence</v>
      </c>
      <c r="G17" s="50">
        <f>IF(Coureurs!J17="","",Coureurs!J17)</f>
        <v>9877777</v>
      </c>
      <c r="H17" s="25"/>
      <c r="I17" s="40"/>
      <c r="J17" s="8" t="str">
        <f>IF(I17="PM","",IF(H17=0," ",I17-HLOOKUP('Course 2'!H17,'tab2'!$C$3:$N$4,2)))</f>
        <v xml:space="preserve"> </v>
      </c>
      <c r="K17" s="23" t="str">
        <f>IF(I17="PM","",IF(H17=0," ",J17/'Règles et points'!$F$23))</f>
        <v xml:space="preserve"> </v>
      </c>
      <c r="L17" s="3" t="str">
        <f>IF(H17=0,"",IF(I17="PM",30,VLOOKUP(H17,'Règles et points'!$C$5:$AG$19,(HLOOKUP('Course 2'!C17,'Règles et points'!$C$5:$AG$5,1)+1))))</f>
        <v/>
      </c>
      <c r="M17" s="23">
        <f t="shared" si="1"/>
        <v>0</v>
      </c>
      <c r="N17" s="80"/>
      <c r="O17" s="51"/>
      <c r="P17" s="52"/>
    </row>
    <row r="18" spans="2:16" ht="12.75">
      <c r="B18" s="14">
        <v>14</v>
      </c>
      <c r="C18" s="28">
        <f>IF(Coureurs!C18="","",Coureurs!C18)</f>
        <v>27</v>
      </c>
      <c r="D18" s="131" t="str">
        <f>IF(Coureurs!D18="","",Coureurs!D18)</f>
        <v>H55</v>
      </c>
      <c r="E18" s="87" t="str">
        <f>IF(Coureurs!F18="","",Coureurs!F18)</f>
        <v>FINAUD-GUYOT</v>
      </c>
      <c r="F18" s="87" t="str">
        <f>IF(Coureurs!G18="","",Coureurs!G18)</f>
        <v>Lionel</v>
      </c>
      <c r="G18" s="50">
        <f>IF(Coureurs!J18="","",Coureurs!J18)</f>
        <v>229141</v>
      </c>
      <c r="H18" s="25"/>
      <c r="I18" s="40"/>
      <c r="J18" s="8" t="str">
        <f>IF(I18="PM","",IF(H18=0," ",I18-HLOOKUP('Course 2'!H18,'tab2'!$C$3:$N$4,2)))</f>
        <v xml:space="preserve"> </v>
      </c>
      <c r="K18" s="23" t="str">
        <f>IF(I18="PM","",IF(H18=0," ",J18/'Règles et points'!$F$23))</f>
        <v xml:space="preserve"> </v>
      </c>
      <c r="L18" s="3" t="str">
        <f>IF(H18=0,"",IF(I18="PM",30,VLOOKUP(H18,'Règles et points'!$C$5:$AG$19,(HLOOKUP('Course 2'!C18,'Règles et points'!$C$5:$AG$5,1)+1))))</f>
        <v/>
      </c>
      <c r="M18" s="23">
        <f t="shared" si="1"/>
        <v>0</v>
      </c>
      <c r="N18" s="80"/>
      <c r="O18" s="51"/>
      <c r="P18" s="52"/>
    </row>
    <row r="19" spans="2:16" ht="12.75">
      <c r="B19" s="14">
        <v>15</v>
      </c>
      <c r="C19" s="28">
        <f>IF(Coureurs!C19="","",Coureurs!C19)</f>
        <v>28</v>
      </c>
      <c r="D19" s="131" t="str">
        <f>IF(Coureurs!D19="","",Coureurs!D19)</f>
        <v>H60</v>
      </c>
      <c r="E19" s="87" t="str">
        <f>IF(Coureurs!F19="","",Coureurs!F19)</f>
        <v>ADOLPHE</v>
      </c>
      <c r="F19" s="87" t="str">
        <f>IF(Coureurs!G19="","",Coureurs!G19)</f>
        <v>Philippe</v>
      </c>
      <c r="G19" s="50">
        <f>IF(Coureurs!J19="","",Coureurs!J19)</f>
        <v>8091800</v>
      </c>
      <c r="H19" s="106"/>
      <c r="I19" s="40"/>
      <c r="J19" s="8" t="str">
        <f>IF(I19="PM","",IF(H19=0," ",I19-HLOOKUP('Course 2'!H19,'tab2'!$C$3:$N$4,2)))</f>
        <v xml:space="preserve"> </v>
      </c>
      <c r="K19" s="23" t="str">
        <f>IF(I19="PM","",IF(H19=0," ",J19/'Règles et points'!$F$23))</f>
        <v xml:space="preserve"> </v>
      </c>
      <c r="L19" s="3" t="str">
        <f>IF(H19=0,"",IF(I19="PM",30,VLOOKUP(H19,'Règles et points'!$C$5:$AG$19,(HLOOKUP('Course 2'!C19,'Règles et points'!$C$5:$AG$5,1)+1))))</f>
        <v/>
      </c>
      <c r="M19" s="23">
        <f t="shared" si="1"/>
        <v>0</v>
      </c>
      <c r="N19" s="80"/>
      <c r="O19" s="40"/>
      <c r="P19" s="52"/>
    </row>
    <row r="20" spans="2:16" ht="12.75">
      <c r="B20" s="14">
        <v>16</v>
      </c>
      <c r="C20" s="28">
        <f>IF(Coureurs!C20="","",Coureurs!C20)</f>
        <v>28</v>
      </c>
      <c r="D20" s="131" t="str">
        <f>IF(Coureurs!D20="","",Coureurs!D20)</f>
        <v>H60</v>
      </c>
      <c r="E20" s="87" t="str">
        <f>IF(Coureurs!F20="","",Coureurs!F20)</f>
        <v>LECONTE</v>
      </c>
      <c r="F20" s="87" t="str">
        <f>IF(Coureurs!G20="","",Coureurs!G20)</f>
        <v>Gilbert</v>
      </c>
      <c r="G20" s="50">
        <f>IF(Coureurs!J20="","",Coureurs!J20)</f>
        <v>9601555</v>
      </c>
      <c r="H20" s="110"/>
      <c r="I20" s="40"/>
      <c r="J20" s="8" t="str">
        <f>IF(I20="PM","",IF(H20=0," ",I20-HLOOKUP('Course 2'!H20,'tab2'!$C$3:$N$4,2)))</f>
        <v xml:space="preserve"> </v>
      </c>
      <c r="K20" s="23" t="str">
        <f>IF(I20="PM","",IF(H20=0," ",J20/'Règles et points'!$F$23))</f>
        <v xml:space="preserve"> </v>
      </c>
      <c r="L20" s="3" t="str">
        <f>IF(H20=0,"",IF(I20="PM",30,VLOOKUP(H20,'Règles et points'!$C$5:$AG$19,(HLOOKUP('Course 2'!C20,'Règles et points'!$C$5:$AG$5,1)+1))))</f>
        <v/>
      </c>
      <c r="M20" s="23">
        <f t="shared" si="1"/>
        <v>0</v>
      </c>
      <c r="N20" s="80"/>
      <c r="O20" s="51"/>
      <c r="P20" s="52"/>
    </row>
    <row r="21" spans="2:16" ht="12.75">
      <c r="B21" s="14">
        <v>17</v>
      </c>
      <c r="C21" s="28">
        <f>IF(Coureurs!C21="","",Coureurs!C21)</f>
        <v>13</v>
      </c>
      <c r="D21" s="131" t="str">
        <f>IF(Coureurs!D21="","",Coureurs!D21)</f>
        <v>D60</v>
      </c>
      <c r="E21" s="87" t="str">
        <f>IF(Coureurs!F21="","",Coureurs!F21)</f>
        <v>LECONTE</v>
      </c>
      <c r="F21" s="87" t="str">
        <f>IF(Coureurs!G21="","",Coureurs!G21)</f>
        <v>Sylvie</v>
      </c>
      <c r="G21" s="50">
        <f>IF(Coureurs!J21="","",Coureurs!J21)</f>
        <v>1000983</v>
      </c>
      <c r="H21" s="106"/>
      <c r="I21" s="40"/>
      <c r="J21" s="8" t="str">
        <f>IF(I21="PM","",IF(H21=0," ",I21-HLOOKUP('Course 2'!H21,'tab2'!$C$3:$N$4,2)))</f>
        <v xml:space="preserve"> </v>
      </c>
      <c r="K21" s="23" t="str">
        <f>IF(I21="PM","",IF(H21=0," ",J21/'Règles et points'!$F$23))</f>
        <v xml:space="preserve"> </v>
      </c>
      <c r="L21" s="3" t="str">
        <f>IF(H21=0,"",IF(I21="PM",30,VLOOKUP(H21,'Règles et points'!$C$5:$AG$19,(HLOOKUP('Course 2'!C21,'Règles et points'!$C$5:$AG$5,1)+1))))</f>
        <v/>
      </c>
      <c r="M21" s="23">
        <f t="shared" si="1"/>
        <v>0</v>
      </c>
      <c r="N21" s="80"/>
      <c r="O21" s="51"/>
      <c r="P21" s="52"/>
    </row>
    <row r="22" spans="2:16" ht="12.75">
      <c r="B22" s="14">
        <v>18</v>
      </c>
      <c r="C22" s="28">
        <f>IF(Coureurs!C22="","",Coureurs!C22)</f>
        <v>8</v>
      </c>
      <c r="D22" s="131" t="str">
        <f>IF(Coureurs!D22="","",Coureurs!D22)</f>
        <v>D35</v>
      </c>
      <c r="E22" s="87" t="str">
        <f>IF(Coureurs!F22="","",Coureurs!F22)</f>
        <v>MEY</v>
      </c>
      <c r="F22" s="87" t="str">
        <f>IF(Coureurs!G22="","",Coureurs!G22)</f>
        <v>Milena</v>
      </c>
      <c r="G22" s="50">
        <f>IF(Coureurs!J22="","",Coureurs!J22)</f>
        <v>1986217</v>
      </c>
      <c r="H22" s="25"/>
      <c r="I22" s="40"/>
      <c r="J22" s="8" t="str">
        <f>IF(I22="PM","",IF(H22=0," ",I22-HLOOKUP('Course 2'!H22,'tab2'!$C$3:$N$4,2)))</f>
        <v xml:space="preserve"> </v>
      </c>
      <c r="K22" s="23" t="str">
        <f>IF(I22="PM","",IF(H22=0," ",J22/'Règles et points'!$F$23))</f>
        <v xml:space="preserve"> </v>
      </c>
      <c r="L22" s="3" t="str">
        <f>IF(H22=0,"",IF(I22="PM",30,VLOOKUP(H22,'Règles et points'!$C$5:$AG$19,(HLOOKUP('Course 2'!C22,'Règles et points'!$C$5:$AG$5,1)+1))))</f>
        <v/>
      </c>
      <c r="M22" s="23">
        <f t="shared" si="1"/>
        <v>0</v>
      </c>
      <c r="N22" s="80"/>
      <c r="O22" s="51"/>
      <c r="P22" s="52"/>
    </row>
    <row r="23" spans="2:16" ht="12.75">
      <c r="B23" s="14">
        <v>19</v>
      </c>
      <c r="C23" s="28">
        <f>IF(Coureurs!C23="","",Coureurs!C23)</f>
        <v>22</v>
      </c>
      <c r="D23" s="131" t="str">
        <f>IF(Coureurs!D23="","",Coureurs!D23)</f>
        <v>H21</v>
      </c>
      <c r="E23" s="87" t="str">
        <f>IF(Coureurs!F23="","",Coureurs!F23)</f>
        <v>TOUSSAINT</v>
      </c>
      <c r="F23" s="87" t="str">
        <f>IF(Coureurs!G23="","",Coureurs!G23)</f>
        <v>Tom</v>
      </c>
      <c r="G23" s="50">
        <f>IF(Coureurs!J23="","",Coureurs!J23)</f>
        <v>1770313</v>
      </c>
      <c r="H23" s="25"/>
      <c r="I23" s="40"/>
      <c r="J23" s="8" t="str">
        <f>IF(I23="PM","",IF(H23=0," ",I23-HLOOKUP('Course 2'!H23,'tab2'!$C$3:$N$4,2)))</f>
        <v xml:space="preserve"> </v>
      </c>
      <c r="K23" s="23" t="str">
        <f>IF(I23="PM","",IF(H23=0," ",J23/'Règles et points'!$F$23))</f>
        <v xml:space="preserve"> </v>
      </c>
      <c r="L23" s="3" t="str">
        <f>IF(H23=0,"",IF(I23="PM",30,VLOOKUP(H23,'Règles et points'!$C$5:$AG$19,(HLOOKUP('Course 2'!C23,'Règles et points'!$C$5:$AG$5,1)+1))))</f>
        <v/>
      </c>
      <c r="M23" s="23">
        <f t="shared" si="1"/>
        <v>0</v>
      </c>
      <c r="N23" s="80"/>
      <c r="O23" s="51"/>
      <c r="P23" s="52"/>
    </row>
    <row r="24" spans="2:16" ht="12.75">
      <c r="B24" s="14">
        <v>20</v>
      </c>
      <c r="C24" s="28">
        <f>IF(Coureurs!C24="","",Coureurs!C24)</f>
        <v>6</v>
      </c>
      <c r="D24" s="131" t="str">
        <f>IF(Coureurs!D24="","",Coureurs!D24)</f>
        <v>D20</v>
      </c>
      <c r="E24" s="87" t="str">
        <f>IF(Coureurs!F24="","",Coureurs!F24)</f>
        <v>TOUSSAINT</v>
      </c>
      <c r="F24" s="87" t="str">
        <f>IF(Coureurs!G24="","",Coureurs!G24)</f>
        <v>Perrine</v>
      </c>
      <c r="G24" s="50">
        <f>IF(Coureurs!J24="","",Coureurs!J24)</f>
        <v>8002045</v>
      </c>
      <c r="H24" s="106"/>
      <c r="I24" s="40"/>
      <c r="J24" s="8" t="str">
        <f>IF(I24="PM","",IF(H24=0," ",I24-HLOOKUP('Course 2'!H24,'tab2'!$C$3:$N$4,2)))</f>
        <v xml:space="preserve"> </v>
      </c>
      <c r="K24" s="23" t="str">
        <f>IF(I24="PM","",IF(H24=0," ",J24/'Règles et points'!$F$23))</f>
        <v xml:space="preserve"> </v>
      </c>
      <c r="L24" s="3" t="str">
        <f>IF(H24=0,"",IF(I24="PM",30,VLOOKUP(H24,'Règles et points'!$C$5:$AG$19,(HLOOKUP('Course 2'!C24,'Règles et points'!$C$5:$AG$5,1)+1))))</f>
        <v/>
      </c>
      <c r="M24" s="23">
        <f t="shared" si="1"/>
        <v>0</v>
      </c>
      <c r="N24" s="80"/>
      <c r="O24" s="51"/>
      <c r="P24" s="52"/>
    </row>
    <row r="25" spans="2:16" ht="12.75">
      <c r="B25" s="14">
        <v>21</v>
      </c>
      <c r="C25" s="28">
        <f>IF(Coureurs!C25="","",Coureurs!C25)</f>
        <v>20</v>
      </c>
      <c r="D25" s="131" t="str">
        <f>IF(Coureurs!D25="","",Coureurs!D25)</f>
        <v>H18</v>
      </c>
      <c r="E25" s="87" t="str">
        <f>IF(Coureurs!F25="","",Coureurs!F25)</f>
        <v>GILLARD</v>
      </c>
      <c r="F25" s="87" t="str">
        <f>IF(Coureurs!G25="","",Coureurs!G25)</f>
        <v>Lucas</v>
      </c>
      <c r="G25" s="50">
        <f>IF(Coureurs!J25="","",Coureurs!J25)</f>
        <v>1000716</v>
      </c>
      <c r="H25" s="106"/>
      <c r="I25" s="107"/>
      <c r="J25" s="8" t="str">
        <f>IF(I25="PM","",IF(H25=0," ",I25-HLOOKUP('Course 2'!H25,'tab2'!$C$3:$N$4,2)))</f>
        <v xml:space="preserve"> </v>
      </c>
      <c r="K25" s="23" t="str">
        <f>IF(I25="PM","",IF(H25=0," ",J25/'Règles et points'!$F$23))</f>
        <v xml:space="preserve"> </v>
      </c>
      <c r="L25" s="3" t="str">
        <f>IF(H25=0,"",IF(I25="PM",30,VLOOKUP(H25,'Règles et points'!$C$5:$AG$19,(HLOOKUP('Course 2'!C25,'Règles et points'!$C$5:$AG$5,1)+1))))</f>
        <v/>
      </c>
      <c r="M25" s="23">
        <f t="shared" si="1"/>
        <v>0</v>
      </c>
      <c r="N25" s="80"/>
      <c r="O25" s="51"/>
      <c r="P25" s="52"/>
    </row>
    <row r="26" spans="2:16" ht="12.75">
      <c r="B26" s="14">
        <v>22</v>
      </c>
      <c r="C26" s="28">
        <f>IF(Coureurs!C26="","",Coureurs!C26)</f>
        <v>11</v>
      </c>
      <c r="D26" s="131" t="str">
        <f>IF(Coureurs!D26="","",Coureurs!D26)</f>
        <v>D50</v>
      </c>
      <c r="E26" s="87" t="str">
        <f>IF(Coureurs!F26="","",Coureurs!F26)</f>
        <v>LEBLOIS</v>
      </c>
      <c r="F26" s="87" t="str">
        <f>IF(Coureurs!G26="","",Coureurs!G26)</f>
        <v>Delphine</v>
      </c>
      <c r="G26" s="50">
        <f>IF(Coureurs!J26="","",Coureurs!J26)</f>
        <v>2037864</v>
      </c>
      <c r="H26" s="25"/>
      <c r="I26" s="40"/>
      <c r="J26" s="8" t="str">
        <f>IF(I26="PM","",IF(H26=0," ",I26-HLOOKUP('Course 2'!H26,'tab2'!$C$3:$N$4,2)))</f>
        <v xml:space="preserve"> </v>
      </c>
      <c r="K26" s="23" t="str">
        <f>IF(I26="PM","",IF(H26=0," ",J26/'Règles et points'!$F$23))</f>
        <v xml:space="preserve"> </v>
      </c>
      <c r="L26" s="3" t="str">
        <f>IF(H26=0,"",IF(I26="PM",30,VLOOKUP(H26,'Règles et points'!$C$5:$AG$19,(HLOOKUP('Course 2'!C26,'Règles et points'!$C$5:$AG$5,1)+1))))</f>
        <v/>
      </c>
      <c r="M26" s="23">
        <f t="shared" si="1"/>
        <v>0</v>
      </c>
      <c r="N26" s="80"/>
      <c r="O26" s="51"/>
      <c r="P26" s="52"/>
    </row>
    <row r="27" spans="2:16" ht="12.75">
      <c r="B27" s="14">
        <v>23</v>
      </c>
      <c r="C27" s="28">
        <f>IF(Coureurs!C27="","",Coureurs!C27)</f>
        <v>22</v>
      </c>
      <c r="D27" s="131" t="str">
        <f>IF(Coureurs!D27="","",Coureurs!D27)</f>
        <v>H21</v>
      </c>
      <c r="E27" s="87" t="str">
        <f>IF(Coureurs!F27="","",Coureurs!F27)</f>
        <v>FONTAINE</v>
      </c>
      <c r="F27" s="87" t="str">
        <f>IF(Coureurs!G27="","",Coureurs!G27)</f>
        <v>Valentin</v>
      </c>
      <c r="G27" s="50">
        <f>IF(Coureurs!J27="","",Coureurs!J27)</f>
        <v>7005132</v>
      </c>
      <c r="H27" s="106"/>
      <c r="I27" s="40"/>
      <c r="J27" s="8" t="str">
        <f>IF(I27="PM","",IF(H27=0," ",I27-HLOOKUP('Course 2'!H27,'tab2'!$C$3:$N$4,2)))</f>
        <v xml:space="preserve"> </v>
      </c>
      <c r="K27" s="23" t="str">
        <f>IF(I27="PM","",IF(H27=0," ",J27/'Règles et points'!$F$23))</f>
        <v xml:space="preserve"> </v>
      </c>
      <c r="L27" s="3" t="str">
        <f>IF(H27=0,"",IF(I27="PM",30,VLOOKUP(H27,'Règles et points'!$C$5:$AG$19,(HLOOKUP('Course 2'!C27,'Règles et points'!$C$5:$AG$5,1)+1))))</f>
        <v/>
      </c>
      <c r="M27" s="23">
        <f t="shared" si="1"/>
        <v>0</v>
      </c>
      <c r="N27" s="80"/>
      <c r="O27" s="51"/>
      <c r="P27" s="52"/>
    </row>
    <row r="28" spans="2:16" ht="12.75">
      <c r="B28" s="14">
        <v>24</v>
      </c>
      <c r="C28" s="28">
        <f>IF(Coureurs!C28="","",Coureurs!C28)</f>
        <v>12</v>
      </c>
      <c r="D28" s="131" t="str">
        <f>IF(Coureurs!D28="","",Coureurs!D28)</f>
        <v>D55</v>
      </c>
      <c r="E28" s="87" t="str">
        <f>IF(Coureurs!F28="","",Coureurs!F28)</f>
        <v>FOUCHER</v>
      </c>
      <c r="F28" s="87" t="str">
        <f>IF(Coureurs!G28="","",Coureurs!G28)</f>
        <v>Marie</v>
      </c>
      <c r="G28" s="50">
        <f>IF(Coureurs!J28="","",Coureurs!J28)</f>
        <v>2026171</v>
      </c>
      <c r="H28" s="25"/>
      <c r="I28" s="40"/>
      <c r="J28" s="8" t="str">
        <f>IF(I28="PM","",IF(H28=0," ",I28-HLOOKUP('Course 2'!H28,'tab2'!$C$3:$N$4,2)))</f>
        <v xml:space="preserve"> </v>
      </c>
      <c r="K28" s="23" t="str">
        <f>IF(I28="PM","",IF(H28=0," ",J28/'Règles et points'!$F$23))</f>
        <v xml:space="preserve"> </v>
      </c>
      <c r="L28" s="3" t="str">
        <f>IF(H28=0,"",IF(I28="PM",30,VLOOKUP(H28,'Règles et points'!$C$5:$AG$19,(HLOOKUP('Course 2'!C28,'Règles et points'!$C$5:$AG$5,1)+1))))</f>
        <v/>
      </c>
      <c r="M28" s="23">
        <f t="shared" si="1"/>
        <v>0</v>
      </c>
      <c r="N28" s="80"/>
      <c r="O28" s="51"/>
      <c r="P28" s="52"/>
    </row>
    <row r="29" spans="2:16" ht="12.75">
      <c r="B29" s="14">
        <v>25</v>
      </c>
      <c r="C29" s="28">
        <f>IF(Coureurs!C29="","",Coureurs!C29)</f>
        <v>24</v>
      </c>
      <c r="D29" s="131" t="str">
        <f>IF(Coureurs!D29="","",Coureurs!D29)</f>
        <v>H40</v>
      </c>
      <c r="E29" s="87" t="str">
        <f>IF(Coureurs!F29="","",Coureurs!F29)</f>
        <v>GUERIN</v>
      </c>
      <c r="F29" s="87" t="str">
        <f>IF(Coureurs!G29="","",Coureurs!G29)</f>
        <v>Fabien</v>
      </c>
      <c r="G29" s="50">
        <f>IF(Coureurs!J29="","",Coureurs!J29)</f>
        <v>2037868</v>
      </c>
      <c r="H29" s="25"/>
      <c r="I29" s="40"/>
      <c r="J29" s="8" t="str">
        <f>IF(I29="PM","",IF(H29=0," ",I29-HLOOKUP('Course 2'!H29,'tab2'!$C$3:$N$4,2)))</f>
        <v xml:space="preserve"> </v>
      </c>
      <c r="K29" s="23" t="str">
        <f>IF(I29="PM","",IF(H29=0," ",J29/'Règles et points'!$F$23))</f>
        <v xml:space="preserve"> </v>
      </c>
      <c r="L29" s="3" t="str">
        <f>IF(H29=0,"",IF(I29="PM",30,VLOOKUP(H29,'Règles et points'!$C$5:$AG$19,(HLOOKUP('Course 2'!C29,'Règles et points'!$C$5:$AG$5,1)+1))))</f>
        <v/>
      </c>
      <c r="M29" s="23">
        <f t="shared" si="1"/>
        <v>0</v>
      </c>
      <c r="N29" s="80"/>
      <c r="O29" s="51"/>
      <c r="P29" s="52"/>
    </row>
    <row r="30" spans="2:16" ht="12.75">
      <c r="B30" s="14">
        <v>26</v>
      </c>
      <c r="C30" s="28">
        <f>IF(Coureurs!C30="","",Coureurs!C30)</f>
        <v>24</v>
      </c>
      <c r="D30" s="131" t="str">
        <f>IF(Coureurs!D30="","",Coureurs!D30)</f>
        <v>H40</v>
      </c>
      <c r="E30" s="87" t="str">
        <f>IF(Coureurs!F30="","",Coureurs!F30)</f>
        <v>BIARD</v>
      </c>
      <c r="F30" s="87" t="str">
        <f>IF(Coureurs!G30="","",Coureurs!G30)</f>
        <v>Michael</v>
      </c>
      <c r="G30" s="50">
        <f>IF(Coureurs!J30="","",Coureurs!J30)</f>
        <v>1967657</v>
      </c>
      <c r="H30" s="111"/>
      <c r="I30" s="40"/>
      <c r="J30" s="8" t="str">
        <f>IF(I30="PM","",IF(H30=0," ",I30-HLOOKUP('Course 2'!H30,'tab2'!$C$3:$N$4,2)))</f>
        <v xml:space="preserve"> </v>
      </c>
      <c r="K30" s="23" t="str">
        <f>IF(I30="PM","",IF(H30=0," ",J30/'Règles et points'!$F$23))</f>
        <v xml:space="preserve"> </v>
      </c>
      <c r="L30" s="3" t="str">
        <f>IF(H30=0,"",IF(I30="PM",30,VLOOKUP(H30,'Règles et points'!$C$5:$AG$19,(HLOOKUP('Course 2'!C30,'Règles et points'!$C$5:$AG$5,1)+1))))</f>
        <v/>
      </c>
      <c r="M30" s="23">
        <f t="shared" si="1"/>
        <v>0</v>
      </c>
      <c r="N30" s="80"/>
      <c r="O30" s="51"/>
      <c r="P30" s="52"/>
    </row>
    <row r="31" spans="2:16" ht="12.75">
      <c r="B31" s="14">
        <v>27</v>
      </c>
      <c r="C31" s="28">
        <f>IF(Coureurs!C31="","",Coureurs!C31)</f>
        <v>18</v>
      </c>
      <c r="D31" s="131" t="str">
        <f>IF(Coureurs!D31="","",Coureurs!D31)</f>
        <v>H14</v>
      </c>
      <c r="E31" s="87" t="str">
        <f>IF(Coureurs!F31="","",Coureurs!F31)</f>
        <v>GUERINI</v>
      </c>
      <c r="F31" s="87" t="str">
        <f>IF(Coureurs!G31="","",Coureurs!G31)</f>
        <v>Robin</v>
      </c>
      <c r="G31" s="50">
        <f>IF(Coureurs!J31="","",Coureurs!J31)</f>
        <v>1018613</v>
      </c>
      <c r="H31" s="25"/>
      <c r="I31" s="40"/>
      <c r="J31" s="8" t="str">
        <f>IF(I31="PM","",IF(H31=0," ",I31-HLOOKUP('Course 2'!H31,'tab2'!$C$3:$N$4,2)))</f>
        <v xml:space="preserve"> </v>
      </c>
      <c r="K31" s="23" t="str">
        <f>IF(I31="PM","",IF(H31=0," ",J31/'Règles et points'!$F$23))</f>
        <v xml:space="preserve"> </v>
      </c>
      <c r="L31" s="3" t="str">
        <f>IF(H31=0,"",IF(I31="PM",30,VLOOKUP(H31,'Règles et points'!$C$5:$AG$19,(HLOOKUP('Course 2'!C31,'Règles et points'!$C$5:$AG$5,1)+1))))</f>
        <v/>
      </c>
      <c r="M31" s="23">
        <f t="shared" si="1"/>
        <v>0</v>
      </c>
      <c r="N31" s="80"/>
      <c r="O31" s="51"/>
      <c r="P31" s="52"/>
    </row>
    <row r="32" spans="2:16" ht="12.75">
      <c r="B32" s="14">
        <v>28</v>
      </c>
      <c r="C32" s="28">
        <f>IF(Coureurs!C32="","",Coureurs!C32)</f>
        <v>4</v>
      </c>
      <c r="D32" s="131" t="str">
        <f>IF(Coureurs!D32="","",Coureurs!D32)</f>
        <v>D16</v>
      </c>
      <c r="E32" s="87" t="str">
        <f>IF(Coureurs!F32="","",Coureurs!F32)</f>
        <v>GUERINI</v>
      </c>
      <c r="F32" s="87" t="str">
        <f>IF(Coureurs!G32="","",Coureurs!G32)</f>
        <v>Alice</v>
      </c>
      <c r="G32" s="50">
        <f>IF(Coureurs!J32="","",Coureurs!J32)</f>
        <v>1508341</v>
      </c>
      <c r="H32" s="106"/>
      <c r="I32" s="40"/>
      <c r="J32" s="8" t="str">
        <f>IF(I32="PM","",IF(H32=0," ",I32-HLOOKUP('Course 2'!H32,'tab2'!$C$3:$N$4,2)))</f>
        <v xml:space="preserve"> </v>
      </c>
      <c r="K32" s="23" t="str">
        <f>IF(I32="PM","",IF(H32=0," ",J32/'Règles et points'!$F$23))</f>
        <v xml:space="preserve"> </v>
      </c>
      <c r="L32" s="3" t="str">
        <f>IF(H32=0,"",IF(I32="PM",30,VLOOKUP(H32,'Règles et points'!$C$5:$AG$19,(HLOOKUP('Course 2'!C32,'Règles et points'!$C$5:$AG$5,1)+1))))</f>
        <v/>
      </c>
      <c r="M32" s="23">
        <f t="shared" si="1"/>
        <v>0</v>
      </c>
      <c r="N32" s="80"/>
      <c r="O32" s="51"/>
      <c r="P32" s="52"/>
    </row>
    <row r="33" spans="2:18" ht="12.75">
      <c r="B33" s="14">
        <v>29</v>
      </c>
      <c r="C33" s="28">
        <f>IF(Coureurs!C33="","",Coureurs!C33)</f>
        <v>9</v>
      </c>
      <c r="D33" s="131" t="str">
        <f>IF(Coureurs!D33="","",Coureurs!D33)</f>
        <v>D40</v>
      </c>
      <c r="E33" s="87" t="str">
        <f>IF(Coureurs!F33="","",Coureurs!F33)</f>
        <v>RINTJEMA</v>
      </c>
      <c r="F33" s="87" t="str">
        <f>IF(Coureurs!G33="","",Coureurs!G33)</f>
        <v>Carole</v>
      </c>
      <c r="G33" s="50">
        <f>IF(Coureurs!J33="","",Coureurs!J33)</f>
        <v>1017719</v>
      </c>
      <c r="H33" s="25"/>
      <c r="I33" s="40"/>
      <c r="J33" s="8" t="str">
        <f>IF(I33="PM","",IF(H33=0," ",I33-HLOOKUP('Course 2'!H33,'tab2'!$C$3:$N$4,2)))</f>
        <v xml:space="preserve"> </v>
      </c>
      <c r="K33" s="23" t="str">
        <f>IF(I33="PM","",IF(H33=0," ",J33/'Règles et points'!$F$23))</f>
        <v xml:space="preserve"> </v>
      </c>
      <c r="L33" s="3" t="str">
        <f>IF(H33=0,"",IF(I33="PM",30,VLOOKUP(H33,'Règles et points'!$C$5:$AG$19,(HLOOKUP('Course 2'!C33,'Règles et points'!$C$5:$AG$5,1)+1))))</f>
        <v/>
      </c>
      <c r="M33" s="23">
        <f t="shared" si="1"/>
        <v>0</v>
      </c>
      <c r="N33" s="80"/>
      <c r="O33" s="51"/>
      <c r="P33" s="52"/>
    </row>
    <row r="34" spans="2:18" ht="12.75">
      <c r="B34" s="14">
        <v>30</v>
      </c>
      <c r="C34" s="28">
        <f>IF(Coureurs!C34="","",Coureurs!C34)</f>
        <v>19</v>
      </c>
      <c r="D34" s="131" t="str">
        <f>IF(Coureurs!D34="","",Coureurs!D34)</f>
        <v>H16</v>
      </c>
      <c r="E34" s="87" t="str">
        <f>IF(Coureurs!F34="","",Coureurs!F34)</f>
        <v>GARDETTE-POIRIER</v>
      </c>
      <c r="F34" s="87" t="str">
        <f>IF(Coureurs!G34="","",Coureurs!G34)</f>
        <v>Théodore</v>
      </c>
      <c r="G34" s="50" t="str">
        <f>IF(Coureurs!J34="","",Coureurs!J34)</f>
        <v/>
      </c>
      <c r="H34" s="25"/>
      <c r="I34" s="40"/>
      <c r="J34" s="8" t="str">
        <f>IF(I34="PM","",IF(H34=0," ",I34-HLOOKUP('Course 2'!H34,'tab2'!$C$3:$N$4,2)))</f>
        <v xml:space="preserve"> </v>
      </c>
      <c r="K34" s="23" t="str">
        <f>IF(I34="PM","",IF(H34=0," ",J34/'Règles et points'!$F$23))</f>
        <v xml:space="preserve"> </v>
      </c>
      <c r="L34" s="3" t="str">
        <f>IF(H34=0,"",IF(I34="PM",30,VLOOKUP(H34,'Règles et points'!$C$5:$AG$19,(HLOOKUP('Course 2'!C34,'Règles et points'!$C$5:$AG$5,1)+1))))</f>
        <v/>
      </c>
      <c r="M34" s="23">
        <f t="shared" si="1"/>
        <v>0</v>
      </c>
      <c r="N34" s="80"/>
      <c r="O34" s="51"/>
      <c r="P34" s="52"/>
    </row>
    <row r="35" spans="2:18" ht="12.75">
      <c r="B35" s="14">
        <v>31</v>
      </c>
      <c r="C35" s="28">
        <f>IF(Coureurs!C35="","",Coureurs!C35)</f>
        <v>27</v>
      </c>
      <c r="D35" s="131" t="str">
        <f>IF(Coureurs!D35="","",Coureurs!D35)</f>
        <v>H55</v>
      </c>
      <c r="E35" s="87" t="str">
        <f>IF(Coureurs!F35="","",Coureurs!F35)</f>
        <v>ALBERT</v>
      </c>
      <c r="F35" s="87" t="str">
        <f>IF(Coureurs!G35="","",Coureurs!G35)</f>
        <v>Arnault</v>
      </c>
      <c r="G35" s="50" t="str">
        <f>IF(Coureurs!J35="","",Coureurs!J35)</f>
        <v/>
      </c>
      <c r="H35" s="25"/>
      <c r="I35" s="40"/>
      <c r="J35" s="8" t="str">
        <f>IF(I35="PM","",IF(H35=0," ",I35-HLOOKUP('Course 2'!H35,'tab2'!$C$3:$N$4,2)))</f>
        <v xml:space="preserve"> </v>
      </c>
      <c r="K35" s="23" t="str">
        <f>IF(I35="PM","",IF(H35=0," ",J35/'Règles et points'!$F$23))</f>
        <v xml:space="preserve"> </v>
      </c>
      <c r="L35" s="3" t="str">
        <f>IF(H35=0,"",IF(I35="PM",30,VLOOKUP(H35,'Règles et points'!$C$5:$AG$19,(HLOOKUP('Course 2'!C35,'Règles et points'!$C$5:$AG$5,1)+1))))</f>
        <v/>
      </c>
      <c r="M35" s="23">
        <f t="shared" si="1"/>
        <v>0</v>
      </c>
      <c r="N35" s="80"/>
      <c r="O35" s="51"/>
      <c r="P35" s="52"/>
    </row>
    <row r="36" spans="2:18" ht="12.75">
      <c r="B36" s="14">
        <v>32</v>
      </c>
      <c r="C36" s="28">
        <f>IF(Coureurs!C36="","",Coureurs!C36)</f>
        <v>7</v>
      </c>
      <c r="D36" s="131" t="str">
        <f>IF(Coureurs!D36="","",Coureurs!D36)</f>
        <v>D21</v>
      </c>
      <c r="E36" s="87" t="str">
        <f>IF(Coureurs!F36="","",Coureurs!F36)</f>
        <v>AUDEFROY</v>
      </c>
      <c r="F36" s="87" t="str">
        <f>IF(Coureurs!G36="","",Coureurs!G36)</f>
        <v>Elsa</v>
      </c>
      <c r="G36" s="50">
        <f>IF(Coureurs!J36="","",Coureurs!J36)</f>
        <v>1001973</v>
      </c>
      <c r="H36" s="25"/>
      <c r="I36" s="40"/>
      <c r="J36" s="8" t="str">
        <f>IF(I36="PM","",IF(H36=0," ",I36-HLOOKUP('Course 2'!H36,'tab2'!$C$3:$N$4,2)))</f>
        <v xml:space="preserve"> </v>
      </c>
      <c r="K36" s="23" t="str">
        <f>IF(I36="PM","",IF(H36=0," ",J36/'Règles et points'!$F$23))</f>
        <v xml:space="preserve"> </v>
      </c>
      <c r="L36" s="3" t="str">
        <f>IF(H36=0,"",IF(I36="PM",30,VLOOKUP(H36,'Règles et points'!$C$5:$AG$19,(HLOOKUP('Course 2'!C36,'Règles et points'!$C$5:$AG$5,1)+1))))</f>
        <v/>
      </c>
      <c r="M36" s="23">
        <f t="shared" si="1"/>
        <v>0</v>
      </c>
      <c r="N36" s="80"/>
      <c r="O36" s="51"/>
      <c r="P36" s="52"/>
    </row>
    <row r="37" spans="2:18" ht="12.75">
      <c r="B37" s="14">
        <v>33</v>
      </c>
      <c r="C37" s="28">
        <f>IF(Coureurs!C37="","",Coureurs!C37)</f>
        <v>25</v>
      </c>
      <c r="D37" s="131" t="str">
        <f>IF(Coureurs!D37="","",Coureurs!D37)</f>
        <v>H45</v>
      </c>
      <c r="E37" s="87" t="str">
        <f>IF(Coureurs!F37="","",Coureurs!F37)</f>
        <v>COIFFIER</v>
      </c>
      <c r="F37" s="87" t="str">
        <f>IF(Coureurs!G37="","",Coureurs!G37)</f>
        <v>Laurent</v>
      </c>
      <c r="G37" s="50">
        <f>IF(Coureurs!J37="","",Coureurs!J37)</f>
        <v>2800059</v>
      </c>
      <c r="H37" s="106"/>
      <c r="I37" s="40"/>
      <c r="J37" s="8" t="str">
        <f>IF(I37="PM","",IF(H37=0," ",I37-HLOOKUP('Course 2'!H37,'tab2'!$C$3:$N$4,2)))</f>
        <v xml:space="preserve"> </v>
      </c>
      <c r="K37" s="23" t="str">
        <f>IF(I37="PM","",IF(H37=0," ",J37/'Règles et points'!$F$23))</f>
        <v xml:space="preserve"> </v>
      </c>
      <c r="L37" s="3" t="str">
        <f>IF(H37=0,"",IF(I37="PM",30,VLOOKUP(H37,'Règles et points'!$C$5:$AG$19,(HLOOKUP('Course 2'!C37,'Règles et points'!$C$5:$AG$5,1)+1))))</f>
        <v/>
      </c>
      <c r="M37" s="23">
        <f t="shared" si="1"/>
        <v>0</v>
      </c>
      <c r="N37" s="80"/>
      <c r="O37" s="51"/>
      <c r="P37" s="52"/>
    </row>
    <row r="38" spans="2:18" ht="12.75">
      <c r="B38" s="14">
        <v>34</v>
      </c>
      <c r="C38" s="28">
        <f>IF(Coureurs!C38="","",Coureurs!C38)</f>
        <v>18</v>
      </c>
      <c r="D38" s="131" t="str">
        <f>IF(Coureurs!D38="","",Coureurs!D38)</f>
        <v>H14</v>
      </c>
      <c r="E38" s="87" t="str">
        <f>IF(Coureurs!F38="","",Coureurs!F38)</f>
        <v>ANDRIEU-PHELEP</v>
      </c>
      <c r="F38" s="87" t="str">
        <f>IF(Coureurs!G38="","",Coureurs!G38)</f>
        <v>Titouan</v>
      </c>
      <c r="G38" s="50">
        <f>IF(Coureurs!J38="","",Coureurs!J38)</f>
        <v>2109543</v>
      </c>
      <c r="H38" s="25"/>
      <c r="I38" s="40"/>
      <c r="J38" s="8" t="str">
        <f>IF(I38="PM","",IF(H38=0," ",I38-HLOOKUP('Course 2'!H38,'tab2'!$C$3:$N$4,2)))</f>
        <v xml:space="preserve"> </v>
      </c>
      <c r="K38" s="23" t="str">
        <f>IF(I38="PM","",IF(H38=0," ",J38/'Règles et points'!$F$23))</f>
        <v xml:space="preserve"> </v>
      </c>
      <c r="L38" s="3" t="str">
        <f>IF(H38=0,"",IF(I38="PM",30,VLOOKUP(H38,'Règles et points'!$C$5:$AG$19,(HLOOKUP('Course 2'!C38,'Règles et points'!$C$5:$AG$5,1)+1))))</f>
        <v/>
      </c>
      <c r="M38" s="23">
        <f t="shared" si="1"/>
        <v>0</v>
      </c>
      <c r="N38" s="80"/>
      <c r="O38" s="51"/>
      <c r="P38" s="52"/>
    </row>
    <row r="39" spans="2:18" ht="12.75">
      <c r="B39" s="14">
        <v>35</v>
      </c>
      <c r="C39" s="28">
        <f>IF(Coureurs!C39="","",Coureurs!C39)</f>
        <v>19</v>
      </c>
      <c r="D39" s="131" t="str">
        <f>IF(Coureurs!D39="","",Coureurs!D39)</f>
        <v>H16</v>
      </c>
      <c r="E39" s="87" t="str">
        <f>IF(Coureurs!F39="","",Coureurs!F39)</f>
        <v>TONDU</v>
      </c>
      <c r="F39" s="87" t="str">
        <f>IF(Coureurs!G39="","",Coureurs!G39)</f>
        <v>maxime</v>
      </c>
      <c r="G39" s="50">
        <f>IF(Coureurs!J39="","",Coureurs!J39)</f>
        <v>2109547</v>
      </c>
      <c r="H39" s="25"/>
      <c r="I39" s="40"/>
      <c r="J39" s="8" t="str">
        <f>IF(I39="PM","",IF(H39=0," ",I39-HLOOKUP('Course 2'!H39,'tab2'!$C$3:$N$4,2)))</f>
        <v xml:space="preserve"> </v>
      </c>
      <c r="K39" s="23" t="str">
        <f>IF(I39="PM","",IF(H39=0," ",J39/'Règles et points'!$F$23))</f>
        <v xml:space="preserve"> </v>
      </c>
      <c r="L39" s="3" t="str">
        <f>IF(H39=0,"",IF(I39="PM",30,VLOOKUP(H39,'Règles et points'!$C$5:$AG$19,(HLOOKUP('Course 2'!C39,'Règles et points'!$C$5:$AG$5,1)+1))))</f>
        <v/>
      </c>
      <c r="M39" s="23">
        <f t="shared" si="1"/>
        <v>0</v>
      </c>
      <c r="N39" s="80"/>
      <c r="O39" s="51"/>
      <c r="P39" s="52"/>
    </row>
    <row r="40" spans="2:18" ht="12.75">
      <c r="B40" s="14">
        <v>36</v>
      </c>
      <c r="C40" s="28">
        <f>IF(Coureurs!C40="","",Coureurs!C40)</f>
        <v>19</v>
      </c>
      <c r="D40" s="131" t="str">
        <f>IF(Coureurs!D40="","",Coureurs!D40)</f>
        <v>H16</v>
      </c>
      <c r="E40" s="87" t="str">
        <f>IF(Coureurs!F40="","",Coureurs!F40)</f>
        <v>SNELLMAN</v>
      </c>
      <c r="F40" s="87" t="str">
        <f>IF(Coureurs!G40="","",Coureurs!G40)</f>
        <v>Max</v>
      </c>
      <c r="G40" s="50">
        <f>IF(Coureurs!J40="","",Coureurs!J40)</f>
        <v>9977252</v>
      </c>
      <c r="H40" s="106"/>
      <c r="I40" s="40"/>
      <c r="J40" s="8" t="str">
        <f>IF(I40="PM","",IF(H40=0," ",I40-HLOOKUP('Course 2'!H40,'tab2'!$C$3:$N$4,2)))</f>
        <v xml:space="preserve"> </v>
      </c>
      <c r="K40" s="23" t="str">
        <f>IF(I40="PM","",IF(H40=0," ",J40/'Règles et points'!$F$23))</f>
        <v xml:space="preserve"> </v>
      </c>
      <c r="L40" s="3" t="str">
        <f>IF(H40=0,"",IF(I40="PM",30,VLOOKUP(H40,'Règles et points'!$C$5:$AG$19,(HLOOKUP('Course 2'!C40,'Règles et points'!$C$5:$AG$5,1)+1))))</f>
        <v/>
      </c>
      <c r="M40" s="23">
        <f t="shared" si="1"/>
        <v>0</v>
      </c>
      <c r="N40" s="80"/>
      <c r="O40" s="51"/>
      <c r="P40" s="52"/>
    </row>
    <row r="41" spans="2:18" ht="12.75">
      <c r="B41" s="14">
        <v>37</v>
      </c>
      <c r="C41" s="28">
        <f>IF(Coureurs!C41="","",Coureurs!C41)</f>
        <v>17</v>
      </c>
      <c r="D41" s="131" t="str">
        <f>IF(Coureurs!D41="","",Coureurs!D41)</f>
        <v>H12</v>
      </c>
      <c r="E41" s="87" t="str">
        <f>IF(Coureurs!F41="","",Coureurs!F41)</f>
        <v>GARDETTE -POIRIER</v>
      </c>
      <c r="F41" s="87" t="str">
        <f>IF(Coureurs!G41="","",Coureurs!G41)</f>
        <v>Arthur</v>
      </c>
      <c r="G41" s="50" t="str">
        <f>IF(Coureurs!J41="","",Coureurs!J41)</f>
        <v/>
      </c>
      <c r="H41" s="25"/>
      <c r="I41" s="40"/>
      <c r="J41" s="8" t="str">
        <f>IF(I41="PM","",IF(H41=0," ",I41-HLOOKUP('Course 2'!H41,'tab2'!$C$3:$N$4,2)))</f>
        <v xml:space="preserve"> </v>
      </c>
      <c r="K41" s="23" t="str">
        <f>IF(I41="PM","",IF(H41=0," ",J41/'Règles et points'!$F$23))</f>
        <v xml:space="preserve"> </v>
      </c>
      <c r="L41" s="3" t="str">
        <f>IF(H41=0,"",IF(I41="PM",30,VLOOKUP(H41,'Règles et points'!$C$5:$AG$19,(HLOOKUP('Course 2'!C41,'Règles et points'!$C$5:$AG$5,1)+1))))</f>
        <v/>
      </c>
      <c r="M41" s="23">
        <f t="shared" si="1"/>
        <v>0</v>
      </c>
      <c r="N41" s="80"/>
      <c r="O41" s="51"/>
      <c r="P41" s="52"/>
    </row>
    <row r="42" spans="2:18" ht="12.75">
      <c r="B42" s="14">
        <v>38</v>
      </c>
      <c r="C42" s="28">
        <f>IF(Coureurs!C42="","",Coureurs!C42)</f>
        <v>3</v>
      </c>
      <c r="D42" s="131" t="str">
        <f>IF(Coureurs!D42="","",Coureurs!D42)</f>
        <v>D14</v>
      </c>
      <c r="E42" s="87" t="str">
        <f>IF(Coureurs!F42="","",Coureurs!F42)</f>
        <v>BIARD</v>
      </c>
      <c r="F42" s="87" t="str">
        <f>IF(Coureurs!G42="","",Coureurs!G42)</f>
        <v>Loïza</v>
      </c>
      <c r="G42" s="50">
        <f>IF(Coureurs!J42="","",Coureurs!J42)</f>
        <v>209386</v>
      </c>
      <c r="H42" s="106"/>
      <c r="I42" s="40"/>
      <c r="J42" s="8" t="str">
        <f>IF(I42="PM","",IF(H42=0," ",I42-HLOOKUP('Course 2'!H42,'tab2'!$C$3:$N$4,2)))</f>
        <v xml:space="preserve"> </v>
      </c>
      <c r="K42" s="23" t="str">
        <f>IF(I42="PM","",IF(H42=0," ",J42/'Règles et points'!$F$23))</f>
        <v xml:space="preserve"> </v>
      </c>
      <c r="L42" s="3" t="str">
        <f>IF(H42=0,"",IF(I42="PM",30,VLOOKUP(H42,'Règles et points'!$C$5:$AG$19,(HLOOKUP('Course 2'!C42,'Règles et points'!$C$5:$AG$5,1)+1))))</f>
        <v/>
      </c>
      <c r="M42" s="23">
        <f t="shared" si="1"/>
        <v>0</v>
      </c>
      <c r="N42" s="80"/>
      <c r="O42" s="51"/>
      <c r="P42" s="52"/>
    </row>
    <row r="43" spans="2:18" ht="12.75">
      <c r="B43" s="14">
        <v>39</v>
      </c>
      <c r="C43" s="28">
        <f>IF(Coureurs!C43="","",Coureurs!C43)</f>
        <v>10</v>
      </c>
      <c r="D43" s="131" t="str">
        <f>IF(Coureurs!D43="","",Coureurs!D43)</f>
        <v>D45</v>
      </c>
      <c r="E43" s="87" t="str">
        <f>IF(Coureurs!F43="","",Coureurs!F43)</f>
        <v>DERLOT</v>
      </c>
      <c r="F43" s="87" t="str">
        <f>IF(Coureurs!G43="","",Coureurs!G43)</f>
        <v>Stéphanie</v>
      </c>
      <c r="G43" s="50">
        <f>IF(Coureurs!J43="","",Coureurs!J43)</f>
        <v>2109546</v>
      </c>
      <c r="H43" s="25"/>
      <c r="I43" s="40"/>
      <c r="J43" s="8" t="str">
        <f>IF(I43="PM","",IF(H43=0," ",I43-HLOOKUP('Course 2'!H43,'tab2'!$C$3:$N$4,2)))</f>
        <v xml:space="preserve"> </v>
      </c>
      <c r="K43" s="23" t="str">
        <f>IF(I43="PM","",IF(H43=0," ",J43/'Règles et points'!$F$23))</f>
        <v xml:space="preserve"> </v>
      </c>
      <c r="L43" s="3" t="str">
        <f>IF(H43=0,"",IF(I43="PM",30,VLOOKUP(H43,'Règles et points'!$C$5:$AG$19,(HLOOKUP('Course 2'!C43,'Règles et points'!$C$5:$AG$5,1)+1))))</f>
        <v/>
      </c>
      <c r="M43" s="23">
        <f t="shared" si="1"/>
        <v>0</v>
      </c>
      <c r="N43" s="80"/>
      <c r="O43" s="51"/>
      <c r="P43" s="52"/>
    </row>
    <row r="44" spans="2:18" ht="12.75">
      <c r="B44" s="14">
        <v>40</v>
      </c>
      <c r="C44" s="28">
        <f>IF(Coureurs!C44="","",Coureurs!C44)</f>
        <v>25</v>
      </c>
      <c r="D44" s="131" t="str">
        <f>IF(Coureurs!D44="","",Coureurs!D44)</f>
        <v>H45</v>
      </c>
      <c r="E44" s="87" t="str">
        <f>IF(Coureurs!F44="","",Coureurs!F44)</f>
        <v>DERLOT</v>
      </c>
      <c r="F44" s="87" t="str">
        <f>IF(Coureurs!G44="","",Coureurs!G44)</f>
        <v>Damien</v>
      </c>
      <c r="G44" s="50">
        <f>IF(Coureurs!J44="","",Coureurs!J44)</f>
        <v>2420999</v>
      </c>
      <c r="H44" s="25"/>
      <c r="I44" s="40"/>
      <c r="J44" s="8" t="str">
        <f>IF(I44="PM","",IF(H44=0," ",I44-HLOOKUP('Course 2'!H44,'tab2'!$C$3:$N$4,2)))</f>
        <v xml:space="preserve"> </v>
      </c>
      <c r="K44" s="23" t="str">
        <f>IF(I44="PM","",IF(H44=0," ",J44/'Règles et points'!$F$23))</f>
        <v xml:space="preserve"> </v>
      </c>
      <c r="L44" s="3" t="str">
        <f>IF(H44=0,"",IF(I44="PM",30,VLOOKUP(H44,'Règles et points'!$C$5:$AG$19,(HLOOKUP('Course 2'!C44,'Règles et points'!$C$5:$AG$5,1)+1))))</f>
        <v/>
      </c>
      <c r="M44" s="23">
        <f t="shared" si="1"/>
        <v>0</v>
      </c>
      <c r="N44" s="80"/>
      <c r="O44" s="51"/>
      <c r="P44" s="52"/>
    </row>
    <row r="45" spans="2:18" ht="12.75">
      <c r="B45" s="14">
        <v>41</v>
      </c>
      <c r="C45" s="28">
        <f>IF(Coureurs!C45="","",Coureurs!C45)</f>
        <v>3</v>
      </c>
      <c r="D45" s="131" t="str">
        <f>IF(Coureurs!D45="","",Coureurs!D45)</f>
        <v>D14</v>
      </c>
      <c r="E45" s="87" t="str">
        <f>IF(Coureurs!F45="","",Coureurs!F45)</f>
        <v>DERLOT</v>
      </c>
      <c r="F45" s="87" t="str">
        <f>IF(Coureurs!G45="","",Coureurs!G45)</f>
        <v>Lise</v>
      </c>
      <c r="G45" s="50">
        <f>IF(Coureurs!J45="","",Coureurs!J45)</f>
        <v>2144320</v>
      </c>
      <c r="H45" s="25"/>
      <c r="I45" s="40"/>
      <c r="J45" s="8" t="str">
        <f>IF(I45="PM","",IF(H45=0," ",I45-HLOOKUP('Course 2'!H45,'tab2'!$C$3:$N$4,2)))</f>
        <v xml:space="preserve"> </v>
      </c>
      <c r="K45" s="23" t="str">
        <f>IF(I45="PM","",IF(H45=0," ",J45/'Règles et points'!$F$23))</f>
        <v xml:space="preserve"> </v>
      </c>
      <c r="L45" s="3" t="str">
        <f>IF(H45=0,"",IF(I45="PM",30,VLOOKUP(H45,'Règles et points'!$C$5:$AG$19,(HLOOKUP('Course 2'!C45,'Règles et points'!$C$5:$AG$5,1)+1))))</f>
        <v/>
      </c>
      <c r="M45" s="23">
        <f t="shared" si="1"/>
        <v>0</v>
      </c>
      <c r="N45" s="80"/>
      <c r="O45" s="51"/>
      <c r="P45" s="52"/>
    </row>
    <row r="46" spans="2:18" ht="12.75">
      <c r="B46" s="14">
        <v>42</v>
      </c>
      <c r="C46" s="28">
        <f>IF(Coureurs!C46="","",Coureurs!C46)</f>
        <v>27</v>
      </c>
      <c r="D46" s="131" t="str">
        <f>IF(Coureurs!D46="","",Coureurs!D46)</f>
        <v>H55</v>
      </c>
      <c r="E46" s="87" t="str">
        <f>IF(Coureurs!F46="","",Coureurs!F46)</f>
        <v>DE LAMINNE</v>
      </c>
      <c r="F46" s="87" t="str">
        <f>IF(Coureurs!G46="","",Coureurs!G46)</f>
        <v>Gilles</v>
      </c>
      <c r="G46" s="50">
        <f>IF(Coureurs!J46="","",Coureurs!J46)</f>
        <v>2109542</v>
      </c>
      <c r="H46" s="25"/>
      <c r="I46" s="40"/>
      <c r="J46" s="8" t="str">
        <f>IF(I46="PM","",IF(H46=0," ",I46-HLOOKUP('Course 2'!H46,'tab2'!$C$3:$N$4,2)))</f>
        <v xml:space="preserve"> </v>
      </c>
      <c r="K46" s="23" t="str">
        <f>IF(I46="PM","",IF(H46=0," ",J46/'Règles et points'!$F$23))</f>
        <v xml:space="preserve"> </v>
      </c>
      <c r="L46" s="3" t="str">
        <f>IF(H46=0,"",IF(I46="PM",30,VLOOKUP(H46,'Règles et points'!$C$5:$AG$19,(HLOOKUP('Course 2'!C46,'Règles et points'!$C$5:$AG$5,1)+1))))</f>
        <v/>
      </c>
      <c r="M46" s="23">
        <f t="shared" si="1"/>
        <v>0</v>
      </c>
      <c r="N46" s="80"/>
      <c r="O46" s="51"/>
      <c r="P46" s="52"/>
    </row>
    <row r="47" spans="2:18" ht="12.75">
      <c r="B47" s="14">
        <v>43</v>
      </c>
      <c r="C47" s="28">
        <f>IF(Coureurs!C47="","",Coureurs!C47)</f>
        <v>2</v>
      </c>
      <c r="D47" s="131" t="str">
        <f>IF(Coureurs!D47="","",Coureurs!D47)</f>
        <v>D12</v>
      </c>
      <c r="E47" s="87" t="str">
        <f>IF(Coureurs!F47="","",Coureurs!F47)</f>
        <v>LUCAS-VIOU</v>
      </c>
      <c r="F47" s="87" t="str">
        <f>IF(Coureurs!G47="","",Coureurs!G47)</f>
        <v>Charlotte</v>
      </c>
      <c r="G47" s="50">
        <f>IF(Coureurs!J47="","",Coureurs!J47)</f>
        <v>2144318</v>
      </c>
      <c r="H47" s="25"/>
      <c r="I47" s="40"/>
      <c r="J47" s="8" t="str">
        <f>IF(I47="PM","",IF(H47=0," ",I47-HLOOKUP('Course 2'!H47,'tab2'!$C$3:$N$4,2)))</f>
        <v xml:space="preserve"> </v>
      </c>
      <c r="K47" s="23" t="str">
        <f>IF(I47="PM","",IF(H47=0," ",J47/'Règles et points'!$F$23))</f>
        <v xml:space="preserve"> </v>
      </c>
      <c r="L47" s="3" t="str">
        <f>IF(H47=0,"",IF(I47="PM",30,VLOOKUP(H47,'Règles et points'!$C$5:$AG$19,(HLOOKUP('Course 2'!C47,'Règles et points'!$C$5:$AG$5,1)+1))))</f>
        <v/>
      </c>
      <c r="M47" s="23">
        <f t="shared" si="1"/>
        <v>0</v>
      </c>
      <c r="N47" s="80"/>
      <c r="O47" s="51"/>
      <c r="P47" s="52"/>
    </row>
    <row r="48" spans="2:18" ht="12.75">
      <c r="B48" s="14">
        <v>44</v>
      </c>
      <c r="C48" s="28">
        <f>IF(Coureurs!C48="","",Coureurs!C48)</f>
        <v>18</v>
      </c>
      <c r="D48" s="131" t="str">
        <f>IF(Coureurs!D48="","",Coureurs!D48)</f>
        <v>H14</v>
      </c>
      <c r="E48" s="87" t="str">
        <f>IF(Coureurs!F48="","",Coureurs!F48)</f>
        <v>CHAFI</v>
      </c>
      <c r="F48" s="87" t="str">
        <f>IF(Coureurs!G48="","",Coureurs!G48)</f>
        <v>Yanis</v>
      </c>
      <c r="G48" s="50">
        <f>IF(Coureurs!J48="","",Coureurs!J48)</f>
        <v>2144314</v>
      </c>
      <c r="H48" s="25"/>
      <c r="I48" s="40"/>
      <c r="J48" s="8" t="str">
        <f>IF(I48="PM","",IF(H48=0," ",I48-HLOOKUP('Course 2'!H48,'tab2'!$C$3:$N$4,2)))</f>
        <v xml:space="preserve"> </v>
      </c>
      <c r="K48" s="23" t="str">
        <f>IF(I48="PM","",IF(H48=0," ",J48/'Règles et points'!$F$23))</f>
        <v xml:space="preserve"> </v>
      </c>
      <c r="L48" s="3" t="str">
        <f>IF(H48=0,"",IF(I48="PM",30,VLOOKUP(H48,'Règles et points'!$C$5:$AG$19,(HLOOKUP('Course 2'!C48,'Règles et points'!$C$5:$AG$5,1)+1))))</f>
        <v/>
      </c>
      <c r="M48" s="23">
        <f t="shared" si="1"/>
        <v>0</v>
      </c>
      <c r="N48" s="80"/>
      <c r="O48" s="51"/>
      <c r="P48" s="52"/>
      <c r="R48" s="34"/>
    </row>
    <row r="49" spans="2:18" ht="12.75">
      <c r="B49" s="14">
        <v>45</v>
      </c>
      <c r="C49" s="28">
        <f>IF(Coureurs!C49="","",Coureurs!C49)</f>
        <v>17</v>
      </c>
      <c r="D49" s="131" t="str">
        <f>IF(Coureurs!D49="","",Coureurs!D49)</f>
        <v>H12</v>
      </c>
      <c r="E49" s="87" t="str">
        <f>IF(Coureurs!F49="","",Coureurs!F49)</f>
        <v>NONDEDEO</v>
      </c>
      <c r="F49" s="87" t="str">
        <f>IF(Coureurs!G49="","",Coureurs!G49)</f>
        <v>Baptiste</v>
      </c>
      <c r="G49" s="50">
        <f>IF(Coureurs!J49="","",Coureurs!J49)</f>
        <v>2311188</v>
      </c>
      <c r="H49" s="25"/>
      <c r="I49" s="41"/>
      <c r="J49" s="8" t="str">
        <f>IF(I49="PM","",IF(H49=0," ",I49-HLOOKUP('Course 2'!H49,'tab2'!$C$3:$N$4,2)))</f>
        <v xml:space="preserve"> </v>
      </c>
      <c r="K49" s="23" t="str">
        <f>IF(I49="PM","",IF(H49=0," ",J49/'Règles et points'!$F$23))</f>
        <v xml:space="preserve"> </v>
      </c>
      <c r="L49" s="3" t="str">
        <f>IF(H49=0,"",IF(I49="PM",30,VLOOKUP(H49,'Règles et points'!$C$5:$AG$19,(HLOOKUP('Course 2'!C49,'Règles et points'!$C$5:$AG$5,1)+1))))</f>
        <v/>
      </c>
      <c r="M49" s="23">
        <f t="shared" si="1"/>
        <v>0</v>
      </c>
      <c r="N49" s="80"/>
      <c r="O49" s="51"/>
      <c r="P49" s="52"/>
      <c r="R49" s="34"/>
    </row>
    <row r="50" spans="2:18" ht="12.75">
      <c r="B50" s="14">
        <v>46</v>
      </c>
      <c r="C50" s="28">
        <f>IF(Coureurs!C50="","",Coureurs!C50)</f>
        <v>3</v>
      </c>
      <c r="D50" s="131" t="str">
        <f>IF(Coureurs!D50="","",Coureurs!D50)</f>
        <v>D14</v>
      </c>
      <c r="E50" s="109" t="str">
        <f>IF(Coureurs!F50="","",Coureurs!F50)</f>
        <v>LANFRANCHI</v>
      </c>
      <c r="F50" s="87" t="str">
        <f>IF(Coureurs!G50="","",Coureurs!G50)</f>
        <v>lucine</v>
      </c>
      <c r="G50" s="50">
        <f>IF(Coureurs!J50="","",Coureurs!J50)</f>
        <v>1001028</v>
      </c>
      <c r="H50" s="25"/>
      <c r="I50" s="41"/>
      <c r="J50" s="8" t="str">
        <f>IF(I50="PM","",IF(H50=0," ",I50-HLOOKUP('Course 2'!H50,'tab2'!$C$3:$N$4,2)))</f>
        <v xml:space="preserve"> </v>
      </c>
      <c r="K50" s="23" t="str">
        <f>IF(I50="PM","",IF(H50=0," ",J50/'Règles et points'!$F$23))</f>
        <v xml:space="preserve"> </v>
      </c>
      <c r="L50" s="3" t="str">
        <f>IF(H50=0,"",IF(I50="PM",30,VLOOKUP(H50,'Règles et points'!$C$5:$AG$19,(HLOOKUP('Course 2'!C50,'Règles et points'!$C$5:$AG$5,1)+1))))</f>
        <v/>
      </c>
      <c r="M50" s="23">
        <f t="shared" si="1"/>
        <v>0</v>
      </c>
      <c r="N50" s="80"/>
      <c r="O50" s="51"/>
      <c r="P50" s="52"/>
      <c r="R50" s="34"/>
    </row>
    <row r="51" spans="2:18" ht="12.75">
      <c r="B51" s="14">
        <v>47</v>
      </c>
      <c r="C51" s="28">
        <f>IF(Coureurs!C51="","",Coureurs!C51)</f>
        <v>25</v>
      </c>
      <c r="D51" s="131" t="str">
        <f>IF(Coureurs!D51="","",Coureurs!D51)</f>
        <v>H45</v>
      </c>
      <c r="E51" s="109" t="str">
        <f>IF(Coureurs!F51="","",Coureurs!F51)</f>
        <v>PACHER</v>
      </c>
      <c r="F51" s="109" t="str">
        <f>IF(Coureurs!G51="","",Coureurs!G51)</f>
        <v>Vincent</v>
      </c>
      <c r="G51" s="50" t="str">
        <f>IF(Coureurs!J51="","",Coureurs!J51)</f>
        <v/>
      </c>
      <c r="H51" s="25"/>
      <c r="I51" s="40"/>
      <c r="J51" s="8" t="str">
        <f>IF(I51="PM","",IF(H51=0," ",I51-HLOOKUP('Course 2'!H51,'tab2'!$C$3:$N$4,2)))</f>
        <v xml:space="preserve"> </v>
      </c>
      <c r="K51" s="23" t="str">
        <f>IF(I51="PM","",IF(H51=0," ",J51/'Règles et points'!$F$23))</f>
        <v xml:space="preserve"> </v>
      </c>
      <c r="L51" s="3" t="str">
        <f>IF(H51=0,"",IF(I51="PM",30,VLOOKUP(H51,'Règles et points'!$C$5:$AG$19,(HLOOKUP('Course 2'!C51,'Règles et points'!$C$5:$AG$5,1)+1))))</f>
        <v/>
      </c>
      <c r="M51" s="23">
        <f t="shared" si="1"/>
        <v>0</v>
      </c>
      <c r="N51" s="80"/>
      <c r="O51" s="51"/>
      <c r="P51" s="52"/>
    </row>
    <row r="52" spans="2:18" ht="12.75">
      <c r="B52" s="14">
        <v>48</v>
      </c>
      <c r="C52" s="28">
        <f>IF(Coureurs!C52="","",Coureurs!C52)</f>
        <v>3</v>
      </c>
      <c r="D52" s="131" t="str">
        <f>IF(Coureurs!D52="","",Coureurs!D52)</f>
        <v>D14</v>
      </c>
      <c r="E52" s="109" t="str">
        <f>IF(Coureurs!F52="","",Coureurs!F52)</f>
        <v>PACHER</v>
      </c>
      <c r="F52" s="109" t="str">
        <f>IF(Coureurs!G52="","",Coureurs!G52)</f>
        <v>Laetitia</v>
      </c>
      <c r="G52" s="50">
        <f>IF(Coureurs!J52="","",Coureurs!J52)</f>
        <v>2420985</v>
      </c>
      <c r="H52" s="25"/>
      <c r="I52" s="40"/>
      <c r="J52" s="8" t="str">
        <f>IF(I52="PM","",IF(H52=0," ",I52-HLOOKUP('Course 2'!H52,'tab2'!$C$3:$N$4,2)))</f>
        <v xml:space="preserve"> </v>
      </c>
      <c r="K52" s="23" t="str">
        <f>IF(I52="PM","",IF(H52=0," ",J52/'Règles et points'!$F$23))</f>
        <v xml:space="preserve"> </v>
      </c>
      <c r="L52" s="3" t="str">
        <f>IF(H52=0,"",IF(I52="PM",30,VLOOKUP(H52,'Règles et points'!$C$5:$AG$19,(HLOOKUP('Course 2'!C52,'Règles et points'!$C$5:$AG$5,1)+1))))</f>
        <v/>
      </c>
      <c r="M52" s="23">
        <f t="shared" si="1"/>
        <v>0</v>
      </c>
      <c r="N52" s="80"/>
      <c r="O52" s="51"/>
      <c r="P52" s="52"/>
    </row>
    <row r="53" spans="2:18" ht="12.75">
      <c r="B53" s="14">
        <v>49</v>
      </c>
      <c r="C53" s="28">
        <f>IF(Coureurs!C53="","",Coureurs!C53)</f>
        <v>17</v>
      </c>
      <c r="D53" s="131" t="str">
        <f>IF(Coureurs!D53="","",Coureurs!D53)</f>
        <v>H12</v>
      </c>
      <c r="E53" s="87" t="str">
        <f>IF(Coureurs!F53="","",Coureurs!F53)</f>
        <v>PACHER</v>
      </c>
      <c r="F53" s="87" t="str">
        <f>IF(Coureurs!G53="","",Coureurs!G53)</f>
        <v>Alexandre</v>
      </c>
      <c r="G53" s="50" t="str">
        <f>IF(Coureurs!J53="","",Coureurs!J53)</f>
        <v/>
      </c>
      <c r="H53" s="25"/>
      <c r="I53" s="40"/>
      <c r="J53" s="8" t="str">
        <f>IF(I53="PM","",IF(H53=0," ",I53-HLOOKUP('Course 2'!H53,'tab2'!$C$3:$N$4,2)))</f>
        <v xml:space="preserve"> </v>
      </c>
      <c r="K53" s="23" t="str">
        <f>IF(I53="PM","",IF(H53=0," ",J53/'Règles et points'!$F$23))</f>
        <v xml:space="preserve"> </v>
      </c>
      <c r="L53" s="3" t="str">
        <f>IF(H53=0,"",IF(I53="PM",30,VLOOKUP(H53,'Règles et points'!$C$5:$AG$19,(HLOOKUP('Course 2'!C53,'Règles et points'!$C$5:$AG$5,1)+1))))</f>
        <v/>
      </c>
      <c r="M53" s="23">
        <f t="shared" si="1"/>
        <v>0</v>
      </c>
      <c r="N53" s="80"/>
      <c r="O53" s="51"/>
      <c r="P53" s="52"/>
    </row>
    <row r="54" spans="2:18" ht="12.75">
      <c r="B54" s="14">
        <v>50</v>
      </c>
      <c r="C54" s="28">
        <f>IF(Coureurs!C54="","",Coureurs!C54)</f>
        <v>4</v>
      </c>
      <c r="D54" s="131" t="str">
        <f>IF(Coureurs!D54="","",Coureurs!D54)</f>
        <v>D16</v>
      </c>
      <c r="E54" s="87" t="str">
        <f>IF(Coureurs!F54="","",Coureurs!F54)</f>
        <v>PACHER</v>
      </c>
      <c r="F54" s="87" t="str">
        <f>IF(Coureurs!G54="","",Coureurs!G54)</f>
        <v>Maeva</v>
      </c>
      <c r="G54" s="50" t="str">
        <f>IF(Coureurs!J54="","",Coureurs!J54)</f>
        <v/>
      </c>
      <c r="H54" s="25"/>
      <c r="I54" s="41"/>
      <c r="J54" s="8" t="str">
        <f>IF(I54="PM","",IF(H54=0," ",I54-HLOOKUP('Course 2'!H54,'tab2'!$C$3:$N$4,2)))</f>
        <v xml:space="preserve"> </v>
      </c>
      <c r="K54" s="23" t="str">
        <f>IF(I54="PM","",IF(H54=0," ",J54/'Règles et points'!$F$23))</f>
        <v xml:space="preserve"> </v>
      </c>
      <c r="L54" s="3" t="str">
        <f>IF(H54=0,"",IF(I54="PM",30,VLOOKUP(H54,'Règles et points'!$C$5:$AG$19,(HLOOKUP('Course 2'!C54,'Règles et points'!$C$5:$AG$5,1)+1))))</f>
        <v/>
      </c>
      <c r="M54" s="23">
        <f t="shared" si="1"/>
        <v>0</v>
      </c>
      <c r="N54" s="80"/>
      <c r="O54" s="51"/>
      <c r="P54" s="52"/>
    </row>
    <row r="55" spans="2:18" ht="12.75">
      <c r="B55" s="14">
        <v>51</v>
      </c>
      <c r="C55" s="28">
        <f>IF(Coureurs!C55="","",Coureurs!C55)</f>
        <v>9</v>
      </c>
      <c r="D55" s="131" t="str">
        <f>IF(Coureurs!D55="","",Coureurs!D55)</f>
        <v>D40</v>
      </c>
      <c r="E55" s="87" t="str">
        <f>IF(Coureurs!F55="","",Coureurs!F55)</f>
        <v>MONTANDON VARODA</v>
      </c>
      <c r="F55" s="87" t="str">
        <f>IF(Coureurs!G55="","",Coureurs!G55)</f>
        <v>Christine</v>
      </c>
      <c r="G55" s="50">
        <f>IF(Coureurs!J55="","",Coureurs!J55)</f>
        <v>2720992</v>
      </c>
      <c r="H55" s="106"/>
      <c r="I55" s="40"/>
      <c r="J55" s="8" t="str">
        <f>IF(I55="PM","",IF(H55=0," ",I55-HLOOKUP('Course 2'!H55,'tab2'!$C$3:$N$4,2)))</f>
        <v xml:space="preserve"> </v>
      </c>
      <c r="K55" s="23" t="str">
        <f>IF(I55="PM","",IF(H55=0," ",J55/'Règles et points'!$F$23))</f>
        <v xml:space="preserve"> </v>
      </c>
      <c r="L55" s="3" t="str">
        <f>IF(H55=0,"",IF(I55="PM",30,VLOOKUP(H55,'Règles et points'!$C$5:$AG$19,(HLOOKUP('Course 2'!C55,'Règles et points'!$C$5:$AG$5,1)+1))))</f>
        <v/>
      </c>
      <c r="M55" s="23">
        <f t="shared" si="1"/>
        <v>0</v>
      </c>
      <c r="N55" s="80"/>
      <c r="O55" s="51"/>
      <c r="P55" s="52"/>
    </row>
    <row r="56" spans="2:18" ht="12.75">
      <c r="B56" s="14">
        <v>52</v>
      </c>
      <c r="C56" s="28">
        <f>IF(Coureurs!C56="","",Coureurs!C56)</f>
        <v>2</v>
      </c>
      <c r="D56" s="131" t="str">
        <f>IF(Coureurs!D56="","",Coureurs!D56)</f>
        <v>D12</v>
      </c>
      <c r="E56" s="87" t="str">
        <f>IF(Coureurs!F56="","",Coureurs!F56)</f>
        <v>TONDU</v>
      </c>
      <c r="F56" s="87" t="str">
        <f>IF(Coureurs!G56="","",Coureurs!G56)</f>
        <v>Jeanne</v>
      </c>
      <c r="G56" s="50">
        <f>IF(Coureurs!J56="","",Coureurs!J56)</f>
        <v>2420998</v>
      </c>
      <c r="H56" s="25"/>
      <c r="I56" s="40"/>
      <c r="J56" s="8" t="str">
        <f>IF(I56="PM","",IF(H56=0," ",I56-HLOOKUP('Course 2'!H56,'tab2'!$C$3:$N$4,2)))</f>
        <v xml:space="preserve"> </v>
      </c>
      <c r="K56" s="23" t="str">
        <f>IF(I56="PM","",IF(H56=0," ",J56/'Règles et points'!$F$23))</f>
        <v xml:space="preserve"> </v>
      </c>
      <c r="L56" s="3" t="str">
        <f>IF(H56=0,"",IF(I56="PM",30,VLOOKUP(H56,'Règles et points'!$C$5:$AG$19,(HLOOKUP('Course 2'!C56,'Règles et points'!$C$5:$AG$5,1)+1))))</f>
        <v/>
      </c>
      <c r="M56" s="23">
        <f t="shared" si="1"/>
        <v>0</v>
      </c>
      <c r="N56" s="80"/>
      <c r="O56" s="51"/>
      <c r="P56" s="52"/>
    </row>
    <row r="57" spans="2:18" ht="12.75">
      <c r="B57" s="14">
        <v>53</v>
      </c>
      <c r="C57" s="28">
        <f>IF(Coureurs!C57="","",Coureurs!C57)</f>
        <v>10</v>
      </c>
      <c r="D57" s="131" t="str">
        <f>IF(Coureurs!D57="","",Coureurs!D57)</f>
        <v>D45</v>
      </c>
      <c r="E57" s="87" t="str">
        <f>IF(Coureurs!F57="","",Coureurs!F57)</f>
        <v>TONDU</v>
      </c>
      <c r="F57" s="87" t="str">
        <f>IF(Coureurs!G57="","",Coureurs!G57)</f>
        <v>Alexandra</v>
      </c>
      <c r="G57" s="50">
        <f>IF(Coureurs!J57="","",Coureurs!J57)</f>
        <v>2109545</v>
      </c>
      <c r="H57" s="106"/>
      <c r="I57" s="41"/>
      <c r="J57" s="8" t="str">
        <f>IF(I57="PM","",IF(H57=0," ",I57-HLOOKUP('Course 2'!H57,'tab2'!$C$3:$N$4,2)))</f>
        <v xml:space="preserve"> </v>
      </c>
      <c r="K57" s="23" t="str">
        <f>IF(I57="PM","",IF(H57=0," ",J57/'Règles et points'!$F$23))</f>
        <v xml:space="preserve"> </v>
      </c>
      <c r="L57" s="3" t="str">
        <f>IF(H57=0,"",IF(I57="PM",30,VLOOKUP(H57,'Règles et points'!$C$5:$AG$19,(HLOOKUP('Course 2'!C57,'Règles et points'!$C$5:$AG$5,1)+1))))</f>
        <v/>
      </c>
      <c r="M57" s="23">
        <f t="shared" si="1"/>
        <v>0</v>
      </c>
      <c r="N57" s="80"/>
      <c r="O57" s="40"/>
      <c r="P57" s="52"/>
    </row>
    <row r="58" spans="2:18" ht="12.75">
      <c r="B58" s="14">
        <v>54</v>
      </c>
      <c r="C58" s="28">
        <f>IF(Coureurs!C58="","",Coureurs!C58)</f>
        <v>5</v>
      </c>
      <c r="D58" s="131" t="str">
        <f>IF(Coureurs!D58="","",Coureurs!D58)</f>
        <v>D18</v>
      </c>
      <c r="E58" s="87" t="str">
        <f>IF(Coureurs!F58="","",Coureurs!F58)</f>
        <v>CHATAIGNIER</v>
      </c>
      <c r="F58" s="87" t="str">
        <f>IF(Coureurs!G58="","",Coureurs!G58)</f>
        <v>Louise</v>
      </c>
      <c r="G58" s="50">
        <f>IF(Coureurs!J58="","",Coureurs!J58)</f>
        <v>2144319</v>
      </c>
      <c r="H58" s="25"/>
      <c r="I58" s="41"/>
      <c r="J58" s="8" t="str">
        <f>IF(I58="PM","",IF(H58=0," ",I58-HLOOKUP('Course 2'!H58,'tab2'!$C$3:$N$4,2)))</f>
        <v xml:space="preserve"> </v>
      </c>
      <c r="K58" s="23" t="str">
        <f>IF(I58="PM","",IF(H58=0," ",J58/'Règles et points'!$F$23))</f>
        <v xml:space="preserve"> </v>
      </c>
      <c r="L58" s="3" t="str">
        <f>IF(H58=0,"",IF(I58="PM",30,VLOOKUP(H58,'Règles et points'!$C$5:$AG$19,(HLOOKUP('Course 2'!C58,'Règles et points'!$C$5:$AG$5,1)+1))))</f>
        <v/>
      </c>
      <c r="M58" s="23">
        <f t="shared" si="1"/>
        <v>0</v>
      </c>
      <c r="N58" s="80"/>
      <c r="O58" s="51"/>
      <c r="P58" s="52"/>
    </row>
    <row r="59" spans="2:18" ht="12.75">
      <c r="B59" s="14">
        <v>55</v>
      </c>
      <c r="C59" s="28">
        <f>IF(Coureurs!C59="","",Coureurs!C59)</f>
        <v>3</v>
      </c>
      <c r="D59" s="131" t="str">
        <f>IF(Coureurs!D59="","",Coureurs!D59)</f>
        <v>D14</v>
      </c>
      <c r="E59" s="87" t="str">
        <f>IF(Coureurs!F59="","",Coureurs!F59)</f>
        <v>KOEPP</v>
      </c>
      <c r="F59" s="87" t="str">
        <f>IF(Coureurs!G59="","",Coureurs!G59)</f>
        <v>Sonora</v>
      </c>
      <c r="G59" s="50">
        <f>IF(Coureurs!J59="","",Coureurs!J59)</f>
        <v>2113830</v>
      </c>
      <c r="H59" s="25"/>
      <c r="I59" s="41"/>
      <c r="J59" s="8" t="str">
        <f>IF(I59="PM","",IF(H59=0," ",I59-HLOOKUP('Course 2'!H59,'tab2'!$C$3:$N$4,2)))</f>
        <v xml:space="preserve"> </v>
      </c>
      <c r="K59" s="23" t="str">
        <f>IF(I59="PM","",IF(H59=0," ",J59/'Règles et points'!$F$23))</f>
        <v xml:space="preserve"> </v>
      </c>
      <c r="L59" s="3" t="str">
        <f>IF(H59=0,"",IF(I59="PM",30,VLOOKUP(H59,'Règles et points'!$C$5:$AG$19,(HLOOKUP('Course 2'!C59,'Règles et points'!$C$5:$AG$5,1)+1))))</f>
        <v/>
      </c>
      <c r="M59" s="23">
        <f t="shared" si="1"/>
        <v>0</v>
      </c>
      <c r="N59" s="80"/>
      <c r="O59" s="51"/>
      <c r="P59" s="52"/>
    </row>
    <row r="60" spans="2:18" ht="12.75">
      <c r="B60" s="14">
        <v>56</v>
      </c>
      <c r="C60" s="28">
        <f>IF(Coureurs!C60="","",Coureurs!C60)</f>
        <v>18</v>
      </c>
      <c r="D60" s="131" t="str">
        <f>IF(Coureurs!D60="","",Coureurs!D60)</f>
        <v>H14</v>
      </c>
      <c r="E60" s="87" t="str">
        <f>IF(Coureurs!F60="","",Coureurs!F60)</f>
        <v>FRENOY</v>
      </c>
      <c r="F60" s="87" t="str">
        <f>IF(Coureurs!G60="","",Coureurs!G60)</f>
        <v>Anatole</v>
      </c>
      <c r="G60" s="50">
        <f>IF(Coureurs!J60="","",Coureurs!J60)</f>
        <v>2420989</v>
      </c>
      <c r="H60" s="25"/>
      <c r="I60" s="41"/>
      <c r="J60" s="8" t="str">
        <f>IF(I60="PM","",IF(H60=0," ",I60-HLOOKUP('Course 2'!H60,'tab2'!$C$3:$N$4,2)))</f>
        <v xml:space="preserve"> </v>
      </c>
      <c r="K60" s="23" t="str">
        <f>IF(I60="PM","",IF(H60=0," ",J60/'Règles et points'!$F$23))</f>
        <v xml:space="preserve"> </v>
      </c>
      <c r="L60" s="3" t="str">
        <f>IF(H60=0,"",IF(I60="PM",30,VLOOKUP(H60,'Règles et points'!$C$5:$AG$19,(HLOOKUP('Course 2'!C60,'Règles et points'!$C$5:$AG$5,1)+1))))</f>
        <v/>
      </c>
      <c r="M60" s="23">
        <f t="shared" si="1"/>
        <v>0</v>
      </c>
      <c r="N60" s="80"/>
      <c r="O60" s="51"/>
      <c r="P60" s="52"/>
    </row>
    <row r="61" spans="2:18" ht="12.75">
      <c r="B61" s="14">
        <v>57</v>
      </c>
      <c r="C61" s="28">
        <f>IF(Coureurs!C61="","",Coureurs!C61)</f>
        <v>18</v>
      </c>
      <c r="D61" s="131" t="str">
        <f>IF(Coureurs!D61="","",Coureurs!D61)</f>
        <v>H14</v>
      </c>
      <c r="E61" s="87" t="str">
        <f>IF(Coureurs!F61="","",Coureurs!F61)</f>
        <v>BROCHOT</v>
      </c>
      <c r="F61" s="87" t="str">
        <f>IF(Coureurs!G61="","",Coureurs!G61)</f>
        <v>Remi</v>
      </c>
      <c r="G61" s="50">
        <f>IF(Coureurs!J61="","",Coureurs!J61)</f>
        <v>8002209</v>
      </c>
      <c r="H61" s="106"/>
      <c r="I61" s="40"/>
      <c r="J61" s="8" t="str">
        <f>IF(I61="PM","",IF(H61=0," ",I61-HLOOKUP('Course 2'!H61,'tab2'!$C$3:$N$4,2)))</f>
        <v xml:space="preserve"> </v>
      </c>
      <c r="K61" s="23" t="str">
        <f>IF(I61="PM","",IF(H61=0," ",J61/'Règles et points'!$F$23))</f>
        <v xml:space="preserve"> </v>
      </c>
      <c r="L61" s="3" t="str">
        <f>IF(H61=0,"",IF(I61="PM",30,VLOOKUP(H61,'Règles et points'!$C$5:$AG$19,(HLOOKUP('Course 2'!C61,'Règles et points'!$C$5:$AG$5,1)+1))))</f>
        <v/>
      </c>
      <c r="M61" s="23">
        <f t="shared" si="1"/>
        <v>0</v>
      </c>
      <c r="N61" s="80"/>
      <c r="O61" s="51"/>
      <c r="P61" s="52"/>
    </row>
    <row r="62" spans="2:18" ht="12.75">
      <c r="B62" s="14">
        <v>58</v>
      </c>
      <c r="C62" s="28">
        <f>IF(Coureurs!C62="","",Coureurs!C62)</f>
        <v>10</v>
      </c>
      <c r="D62" s="131" t="str">
        <f>IF(Coureurs!D62="","",Coureurs!D62)</f>
        <v>D45</v>
      </c>
      <c r="E62" s="87" t="str">
        <f>IF(Coureurs!F62="","",Coureurs!F62)</f>
        <v>KORZEC</v>
      </c>
      <c r="F62" s="87" t="str">
        <f>IF(Coureurs!G62="","",Coureurs!G62)</f>
        <v>Patricia</v>
      </c>
      <c r="G62" s="50">
        <f>IF(Coureurs!J62="","",Coureurs!J62)</f>
        <v>2420993</v>
      </c>
      <c r="H62" s="25"/>
      <c r="I62" s="41"/>
      <c r="J62" s="8" t="str">
        <f>IF(I62="PM","",IF(H62=0," ",I62-HLOOKUP('Course 2'!H62,'tab2'!$C$3:$N$4,2)))</f>
        <v xml:space="preserve"> </v>
      </c>
      <c r="K62" s="23" t="str">
        <f>IF(I62="PM","",IF(H62=0," ",J62/'Règles et points'!$F$23))</f>
        <v xml:space="preserve"> </v>
      </c>
      <c r="L62" s="3" t="str">
        <f>IF(H62=0,"",IF(I62="PM",30,VLOOKUP(H62,'Règles et points'!$C$5:$AG$19,(HLOOKUP('Course 2'!C62,'Règles et points'!$C$5:$AG$5,1)+1))))</f>
        <v/>
      </c>
      <c r="M62" s="23">
        <f t="shared" si="1"/>
        <v>0</v>
      </c>
      <c r="N62" s="80"/>
      <c r="O62" s="51"/>
      <c r="P62" s="52"/>
    </row>
    <row r="63" spans="2:18" ht="12.75">
      <c r="B63" s="14">
        <v>59</v>
      </c>
      <c r="C63" s="28">
        <f>IF(Coureurs!C63="","",Coureurs!C63)</f>
        <v>4</v>
      </c>
      <c r="D63" s="132" t="str">
        <f>IF(Coureurs!D63="","",Coureurs!D63)</f>
        <v>D16</v>
      </c>
      <c r="E63" s="87" t="str">
        <f>IF(Coureurs!F63="","",Coureurs!F63)</f>
        <v>BOUSQUET</v>
      </c>
      <c r="F63" s="87" t="str">
        <f>IF(Coureurs!G63="","",Coureurs!G63)</f>
        <v>Claire</v>
      </c>
      <c r="G63" s="50">
        <f>IF(Coureurs!J63="","",Coureurs!J63)</f>
        <v>2113811</v>
      </c>
      <c r="H63" s="106"/>
      <c r="I63" s="40"/>
      <c r="J63" s="8" t="str">
        <f>IF(I63="PM","",IF(H63=0," ",I63-HLOOKUP('Course 2'!H63,'tab2'!$C$3:$N$4,2)))</f>
        <v xml:space="preserve"> </v>
      </c>
      <c r="K63" s="23" t="str">
        <f>IF(I63="PM","",IF(H63=0," ",J63/'Règles et points'!$F$23))</f>
        <v xml:space="preserve"> </v>
      </c>
      <c r="L63" s="3" t="str">
        <f>IF(H63=0,"",IF(I63="PM",30,VLOOKUP(H63,'Règles et points'!$C$5:$AG$19,(HLOOKUP('Course 2'!C63,'Règles et points'!$C$5:$AG$5,1)+1))))</f>
        <v/>
      </c>
      <c r="M63" s="23">
        <f t="shared" si="1"/>
        <v>0</v>
      </c>
      <c r="N63" s="80"/>
      <c r="O63" s="40"/>
      <c r="P63" s="52"/>
    </row>
    <row r="64" spans="2:18" ht="12.75">
      <c r="B64" s="14">
        <v>60</v>
      </c>
      <c r="C64" s="28">
        <f>IF(Coureurs!C64="","",Coureurs!C64)</f>
        <v>18</v>
      </c>
      <c r="D64" s="131" t="str">
        <f>IF(Coureurs!D64="","",Coureurs!D64)</f>
        <v>H14</v>
      </c>
      <c r="E64" s="87" t="str">
        <f>IF(Coureurs!F64="","",Coureurs!F64)</f>
        <v>ROGUIEZ</v>
      </c>
      <c r="F64" s="87" t="str">
        <f>IF(Coureurs!G64="","",Coureurs!G64)</f>
        <v>Timéo</v>
      </c>
      <c r="G64" s="50">
        <f>IF(Coureurs!J64="","",Coureurs!J64)</f>
        <v>2082468</v>
      </c>
      <c r="H64" s="25"/>
      <c r="I64" s="40"/>
      <c r="J64" s="8" t="str">
        <f>IF(I64="PM","",IF(H64=0," ",I64-HLOOKUP('Course 2'!H64,'tab2'!$C$3:$N$4,2)))</f>
        <v xml:space="preserve"> </v>
      </c>
      <c r="K64" s="23" t="str">
        <f>IF(I64="PM","",IF(H64=0," ",J64/'Règles et points'!$F$23))</f>
        <v xml:space="preserve"> </v>
      </c>
      <c r="L64" s="3" t="str">
        <f>IF(H64=0,"",IF(I64="PM",30,VLOOKUP(H64,'Règles et points'!$C$5:$AG$19,(HLOOKUP('Course 2'!C64,'Règles et points'!$C$5:$AG$5,1)+1))))</f>
        <v/>
      </c>
      <c r="M64" s="23">
        <f t="shared" si="1"/>
        <v>0</v>
      </c>
      <c r="N64" s="80"/>
      <c r="O64" s="51"/>
      <c r="P64" s="52"/>
    </row>
    <row r="65" spans="2:16" ht="12.75">
      <c r="B65" s="14">
        <v>61</v>
      </c>
      <c r="C65" s="28">
        <f>IF(Coureurs!C65="","",Coureurs!C65)</f>
        <v>1</v>
      </c>
      <c r="D65" s="131" t="str">
        <f>IF(Coureurs!D65="","",Coureurs!D65)</f>
        <v>D10</v>
      </c>
      <c r="E65" s="87" t="str">
        <f>IF(Coureurs!F65="","",Coureurs!F65)</f>
        <v>DERLOT</v>
      </c>
      <c r="F65" s="87" t="str">
        <f>IF(Coureurs!G65="","",Coureurs!G65)</f>
        <v>Alix</v>
      </c>
      <c r="G65" s="50">
        <f>IF(Coureurs!J65="","",Coureurs!J65)</f>
        <v>228368</v>
      </c>
      <c r="H65" s="106"/>
      <c r="I65" s="40"/>
      <c r="J65" s="8" t="str">
        <f>IF(I65="PM","",IF(H65=0," ",I65-HLOOKUP('Course 2'!H65,'tab2'!$C$3:$N$4,2)))</f>
        <v xml:space="preserve"> </v>
      </c>
      <c r="K65" s="23" t="str">
        <f>IF(I65="PM","",IF(H65=0," ",J65/'Règles et points'!$F$23))</f>
        <v xml:space="preserve"> </v>
      </c>
      <c r="L65" s="3" t="str">
        <f>IF(H65=0,"",IF(I65="PM",30,VLOOKUP(H65,'Règles et points'!$C$5:$AG$19,(HLOOKUP('Course 2'!C65,'Règles et points'!$C$5:$AG$5,1)+1))))</f>
        <v/>
      </c>
      <c r="M65" s="23">
        <f t="shared" si="1"/>
        <v>0</v>
      </c>
      <c r="N65" s="80"/>
      <c r="O65" s="51"/>
      <c r="P65" s="52"/>
    </row>
    <row r="66" spans="2:16" ht="12.75">
      <c r="B66" s="14">
        <v>62</v>
      </c>
      <c r="C66" s="28">
        <f>IF(Coureurs!C66="","",Coureurs!C66)</f>
        <v>17</v>
      </c>
      <c r="D66" s="131" t="str">
        <f>IF(Coureurs!D66="","",Coureurs!D66)</f>
        <v>H12</v>
      </c>
      <c r="E66" s="87" t="str">
        <f>IF(Coureurs!F66="","",Coureurs!F66)</f>
        <v>BELLECOURT</v>
      </c>
      <c r="F66" s="87" t="str">
        <f>IF(Coureurs!G66="","",Coureurs!G66)</f>
        <v>Loic</v>
      </c>
      <c r="G66" s="50">
        <f>IF(Coureurs!J66="","",Coureurs!J66)</f>
        <v>2311181</v>
      </c>
      <c r="H66" s="106"/>
      <c r="I66" s="40"/>
      <c r="J66" s="8" t="str">
        <f>IF(I66="PM","",IF(H66=0," ",I66-HLOOKUP('Course 2'!H66,'tab2'!$C$3:$N$4,2)))</f>
        <v xml:space="preserve"> </v>
      </c>
      <c r="K66" s="23" t="str">
        <f>IF(I66="PM","",IF(H66=0," ",J66/'Règles et points'!$F$23))</f>
        <v xml:space="preserve"> </v>
      </c>
      <c r="L66" s="3" t="str">
        <f>IF(H66=0,"",IF(I66="PM",30,VLOOKUP(H66,'Règles et points'!$C$5:$AG$19,(HLOOKUP('Course 2'!C66,'Règles et points'!$C$5:$AG$5,1)+1))))</f>
        <v/>
      </c>
      <c r="M66" s="23">
        <f t="shared" si="1"/>
        <v>0</v>
      </c>
      <c r="N66" s="80"/>
      <c r="O66" s="51"/>
      <c r="P66" s="52"/>
    </row>
    <row r="67" spans="2:16" ht="12.75">
      <c r="B67" s="14">
        <v>63</v>
      </c>
      <c r="C67" s="28">
        <f>IF(Coureurs!C67="","",Coureurs!C67)</f>
        <v>24</v>
      </c>
      <c r="D67" s="131" t="str">
        <f>IF(Coureurs!D67="","",Coureurs!D67)</f>
        <v>H40</v>
      </c>
      <c r="E67" s="87" t="str">
        <f>IF(Coureurs!F67="","",Coureurs!F67)</f>
        <v>KOEPP</v>
      </c>
      <c r="F67" s="87" t="str">
        <f>IF(Coureurs!G67="","",Coureurs!G67)</f>
        <v>Aaron</v>
      </c>
      <c r="G67" s="50" t="str">
        <f>IF(Coureurs!J67="","",Coureurs!J67)</f>
        <v/>
      </c>
      <c r="H67" s="106"/>
      <c r="I67" s="40"/>
      <c r="J67" s="8" t="str">
        <f>IF(I67="PM","",IF(H67=0," ",I67-HLOOKUP('Course 2'!H67,'tab2'!$C$3:$N$4,2)))</f>
        <v xml:space="preserve"> </v>
      </c>
      <c r="K67" s="23" t="str">
        <f>IF(I67="PM","",IF(H67=0," ",J67/'Règles et points'!$F$23))</f>
        <v xml:space="preserve"> </v>
      </c>
      <c r="L67" s="3" t="str">
        <f>IF(H67=0,"",IF(I67="PM",30,VLOOKUP(H67,'Règles et points'!$C$5:$AG$19,(HLOOKUP('Course 2'!C67,'Règles et points'!$C$5:$AG$5,1)+1))))</f>
        <v/>
      </c>
      <c r="M67" s="23">
        <f t="shared" si="1"/>
        <v>0</v>
      </c>
      <c r="N67" s="80"/>
      <c r="O67" s="51"/>
      <c r="P67" s="52"/>
    </row>
    <row r="68" spans="2:16" ht="12.75">
      <c r="B68" s="14">
        <v>64</v>
      </c>
      <c r="C68" s="28">
        <f>IF(Coureurs!C68="","",Coureurs!C68)</f>
        <v>9</v>
      </c>
      <c r="D68" s="131" t="str">
        <f>IF(Coureurs!D68="","",Coureurs!D68)</f>
        <v>D40</v>
      </c>
      <c r="E68" s="87" t="str">
        <f>IF(Coureurs!F68="","",Coureurs!F68)</f>
        <v>KOEPP</v>
      </c>
      <c r="F68" s="87" t="str">
        <f>IF(Coureurs!G68="","",Coureurs!G68)</f>
        <v>Nanette</v>
      </c>
      <c r="G68" s="50" t="str">
        <f>IF(Coureurs!J68="","",Coureurs!J68)</f>
        <v/>
      </c>
      <c r="H68" s="106"/>
      <c r="I68" s="40"/>
      <c r="J68" s="8" t="str">
        <f>IF(I68="PM","",IF(H68=0," ",I68-HLOOKUP('Course 2'!H68,'tab2'!$C$3:$N$4,2)))</f>
        <v xml:space="preserve"> </v>
      </c>
      <c r="K68" s="23" t="str">
        <f>IF(I68="PM","",IF(H68=0," ",J68/'Règles et points'!$F$23))</f>
        <v xml:space="preserve"> </v>
      </c>
      <c r="L68" s="3" t="str">
        <f>IF(H68=0,"",IF(I68="PM",30,VLOOKUP(H68,'Règles et points'!$C$5:$AG$19,(HLOOKUP('Course 2'!C68,'Règles et points'!$C$5:$AG$5,1)+1))))</f>
        <v/>
      </c>
      <c r="M68" s="23">
        <f t="shared" si="1"/>
        <v>0</v>
      </c>
      <c r="N68" s="80"/>
      <c r="O68" s="51"/>
      <c r="P68" s="52"/>
    </row>
    <row r="69" spans="2:16" ht="12.75">
      <c r="B69" s="14">
        <v>65</v>
      </c>
      <c r="C69" s="28">
        <f>IF(Coureurs!C69="","",Coureurs!C69)</f>
        <v>2</v>
      </c>
      <c r="D69" s="131" t="str">
        <f>IF(Coureurs!D69="","",Coureurs!D69)</f>
        <v>D12</v>
      </c>
      <c r="E69" s="87" t="str">
        <f>IF(Coureurs!F69="","",Coureurs!F69)</f>
        <v>KOEPP</v>
      </c>
      <c r="F69" s="87" t="str">
        <f>IF(Coureurs!G69="","",Coureurs!G69)</f>
        <v>Sahara</v>
      </c>
      <c r="G69" s="50">
        <f>IF(Coureurs!J69="","",Coureurs!J69)</f>
        <v>2311187</v>
      </c>
      <c r="H69" s="106"/>
      <c r="I69" s="40"/>
      <c r="J69" s="8" t="str">
        <f>IF(I69="PM","",IF(H69=0," ",I69-HLOOKUP('Course 2'!H69,'tab2'!$C$3:$N$4,2)))</f>
        <v xml:space="preserve"> </v>
      </c>
      <c r="K69" s="23" t="str">
        <f>IF(I69="PM","",IF(H69=0," ",J69/'Règles et points'!$F$23))</f>
        <v xml:space="preserve"> </v>
      </c>
      <c r="L69" s="3" t="str">
        <f>IF(H69=0,"",IF(I69="PM",30,VLOOKUP(H69,'Règles et points'!$C$5:$AG$19,(HLOOKUP('Course 2'!C69,'Règles et points'!$C$5:$AG$5,1)+1))))</f>
        <v/>
      </c>
      <c r="M69" s="23">
        <f t="shared" si="1"/>
        <v>0</v>
      </c>
      <c r="N69" s="80"/>
      <c r="O69" s="51"/>
      <c r="P69" s="52"/>
    </row>
    <row r="70" spans="2:16" ht="12.75">
      <c r="B70" s="14">
        <v>66</v>
      </c>
      <c r="C70" s="28">
        <f>IF(Coureurs!C70="","",Coureurs!C70)</f>
        <v>17</v>
      </c>
      <c r="D70" s="131" t="str">
        <f>IF(Coureurs!D70="","",Coureurs!D70)</f>
        <v>H12</v>
      </c>
      <c r="E70" s="87" t="str">
        <f>IF(Coureurs!F70="","",Coureurs!F70)</f>
        <v>DE LA ROCHE</v>
      </c>
      <c r="F70" s="87" t="str">
        <f>IF(Coureurs!G70="","",Coureurs!G70)</f>
        <v>Paul</v>
      </c>
      <c r="G70" s="50">
        <f>IF(Coureurs!J70="","",Coureurs!J70)</f>
        <v>2311182</v>
      </c>
      <c r="H70" s="25"/>
      <c r="I70" s="40"/>
      <c r="J70" s="8" t="str">
        <f>IF(I70="PM","",IF(H70=0," ",I70-HLOOKUP('Course 2'!H70,'tab2'!$C$3:$N$4,2)))</f>
        <v xml:space="preserve"> </v>
      </c>
      <c r="K70" s="23" t="str">
        <f>IF(I70="PM","",IF(H70=0," ",J70/'Règles et points'!$F$23))</f>
        <v xml:space="preserve"> </v>
      </c>
      <c r="L70" s="3" t="str">
        <f>IF(H70=0,"",IF(I70="PM",30,VLOOKUP(H70,'Règles et points'!$C$5:$AG$19,(HLOOKUP('Course 2'!C70,'Règles et points'!$C$5:$AG$5,1)+1))))</f>
        <v/>
      </c>
      <c r="M70" s="23">
        <f t="shared" ref="M70:M133" si="2">IF(I70="PM",30,IF(H70=0,0,L70-K70))+N70</f>
        <v>0</v>
      </c>
      <c r="N70" s="80"/>
      <c r="O70" s="51"/>
      <c r="P70" s="52"/>
    </row>
    <row r="71" spans="2:16" ht="12.75">
      <c r="B71" s="14">
        <v>67</v>
      </c>
      <c r="C71" s="28">
        <f>IF(Coureurs!C71="","",Coureurs!C71)</f>
        <v>18</v>
      </c>
      <c r="D71" s="131" t="str">
        <f>IF(Coureurs!D71="","",Coureurs!D71)</f>
        <v>H14</v>
      </c>
      <c r="E71" s="87" t="str">
        <f>IF(Coureurs!F71="","",Coureurs!F71)</f>
        <v>DE LA ROCHE</v>
      </c>
      <c r="F71" s="87" t="str">
        <f>IF(Coureurs!G71="","",Coureurs!G71)</f>
        <v>Raphael</v>
      </c>
      <c r="G71" s="50">
        <f>IF(Coureurs!J71="","",Coureurs!J71)</f>
        <v>2311184</v>
      </c>
      <c r="H71" s="106"/>
      <c r="I71" s="40"/>
      <c r="J71" s="8" t="str">
        <f>IF(I71="PM","",IF(H71=0," ",I71-HLOOKUP('Course 2'!H71,'tab2'!$C$3:$N$4,2)))</f>
        <v xml:space="preserve"> </v>
      </c>
      <c r="K71" s="23" t="str">
        <f>IF(I71="PM","",IF(H71=0," ",J71/'Règles et points'!$F$23))</f>
        <v xml:space="preserve"> </v>
      </c>
      <c r="L71" s="3" t="str">
        <f>IF(H71=0,"",IF(I71="PM",30,VLOOKUP(H71,'Règles et points'!$C$5:$AG$19,(HLOOKUP('Course 2'!C71,'Règles et points'!$C$5:$AG$5,1)+1))))</f>
        <v/>
      </c>
      <c r="M71" s="23">
        <f t="shared" si="2"/>
        <v>0</v>
      </c>
      <c r="N71" s="80"/>
      <c r="O71" s="51"/>
      <c r="P71" s="52"/>
    </row>
    <row r="72" spans="2:16" ht="12.75">
      <c r="B72" s="14">
        <v>68</v>
      </c>
      <c r="C72" s="28">
        <f>IF(Coureurs!C72="","",Coureurs!C72)</f>
        <v>2</v>
      </c>
      <c r="D72" s="131" t="str">
        <f>IF(Coureurs!D72="","",Coureurs!D72)</f>
        <v>D12</v>
      </c>
      <c r="E72" s="87" t="str">
        <f>IF(Coureurs!F72="","",Coureurs!F72)</f>
        <v>LAGARDE</v>
      </c>
      <c r="F72" s="87" t="str">
        <f>IF(Coureurs!G72="","",Coureurs!G72)</f>
        <v>Lilia</v>
      </c>
      <c r="G72" s="50">
        <f>IF(Coureurs!J72="","",Coureurs!J72)</f>
        <v>2311185</v>
      </c>
      <c r="H72" s="106"/>
      <c r="I72" s="40"/>
      <c r="J72" s="8" t="str">
        <f>IF(I72="PM","",IF(H72=0," ",I72-HLOOKUP('Course 2'!H72,'tab2'!$C$3:$N$4,2)))</f>
        <v xml:space="preserve"> </v>
      </c>
      <c r="K72" s="23" t="str">
        <f>IF(I72="PM","",IF(H72=0," ",J72/'Règles et points'!$F$23))</f>
        <v xml:space="preserve"> </v>
      </c>
      <c r="L72" s="3" t="str">
        <f>IF(H72=0,"",IF(I72="PM",30,VLOOKUP(H72,'Règles et points'!$C$5:$AG$19,(HLOOKUP('Course 2'!C72,'Règles et points'!$C$5:$AG$5,1)+1))))</f>
        <v/>
      </c>
      <c r="M72" s="23">
        <f t="shared" si="2"/>
        <v>0</v>
      </c>
      <c r="N72" s="80"/>
      <c r="O72" s="51"/>
      <c r="P72" s="52"/>
    </row>
    <row r="73" spans="2:16" ht="12.75">
      <c r="B73" s="14">
        <v>69</v>
      </c>
      <c r="C73" s="28">
        <f>IF(Coureurs!C73="","",Coureurs!C73)</f>
        <v>24</v>
      </c>
      <c r="D73" s="131" t="str">
        <f>IF(Coureurs!D73="","",Coureurs!D73)</f>
        <v>H40</v>
      </c>
      <c r="E73" s="87" t="str">
        <f>IF(Coureurs!F73="","",Coureurs!F73)</f>
        <v>BROCHOT</v>
      </c>
      <c r="F73" s="87" t="str">
        <f>IF(Coureurs!G73="","",Coureurs!G73)</f>
        <v>Vincent</v>
      </c>
      <c r="G73" s="50">
        <f>IF(Coureurs!J73="","",Coureurs!J73)</f>
        <v>8000186</v>
      </c>
      <c r="H73" s="106"/>
      <c r="I73" s="40"/>
      <c r="J73" s="8" t="str">
        <f>IF(I73="PM","",IF(H73=0," ",I73-HLOOKUP('Course 2'!H73,'tab2'!$C$3:$N$4,2)))</f>
        <v xml:space="preserve"> </v>
      </c>
      <c r="K73" s="23" t="str">
        <f>IF(I73="PM","",IF(H73=0," ",J73/'Règles et points'!$F$23))</f>
        <v xml:space="preserve"> </v>
      </c>
      <c r="L73" s="3" t="str">
        <f>IF(H73=0,"",IF(I73="PM",30,VLOOKUP(H73,'Règles et points'!$C$5:$AG$19,(HLOOKUP('Course 2'!C73,'Règles et points'!$C$5:$AG$5,1)+1))))</f>
        <v/>
      </c>
      <c r="M73" s="23">
        <f t="shared" si="2"/>
        <v>0</v>
      </c>
      <c r="N73" s="80"/>
      <c r="O73" s="51"/>
      <c r="P73" s="52"/>
    </row>
    <row r="74" spans="2:16" ht="12.75">
      <c r="B74" s="14">
        <v>70</v>
      </c>
      <c r="C74" s="28">
        <f>IF(Coureurs!C74="","",Coureurs!C74)</f>
        <v>4</v>
      </c>
      <c r="D74" s="131" t="str">
        <f>IF(Coureurs!D74="","",Coureurs!D74)</f>
        <v>D16</v>
      </c>
      <c r="E74" s="87" t="str">
        <f>IF(Coureurs!F74="","",Coureurs!F74)</f>
        <v>PASQUALINI</v>
      </c>
      <c r="F74" s="87" t="str">
        <f>IF(Coureurs!G74="","",Coureurs!G74)</f>
        <v>Hanna</v>
      </c>
      <c r="G74" s="50">
        <f>IF(Coureurs!J74="","",Coureurs!J74)</f>
        <v>2311190</v>
      </c>
      <c r="H74" s="106"/>
      <c r="I74" s="40"/>
      <c r="J74" s="8" t="str">
        <f>IF(I74="PM","",IF(H74=0," ",I74-HLOOKUP('Course 2'!H74,'tab2'!$C$3:$N$4,2)))</f>
        <v xml:space="preserve"> </v>
      </c>
      <c r="K74" s="23" t="str">
        <f>IF(I74="PM","",IF(H74=0," ",J74/'Règles et points'!$F$23))</f>
        <v xml:space="preserve"> </v>
      </c>
      <c r="L74" s="3" t="str">
        <f>IF(H74=0,"",IF(I74="PM",30,VLOOKUP(H74,'Règles et points'!$C$5:$AG$19,(HLOOKUP('Course 2'!C74,'Règles et points'!$C$5:$AG$5,1)+1))))</f>
        <v/>
      </c>
      <c r="M74" s="23">
        <f t="shared" si="2"/>
        <v>0</v>
      </c>
      <c r="N74" s="80"/>
      <c r="O74" s="51"/>
      <c r="P74" s="52"/>
    </row>
    <row r="75" spans="2:16" ht="12.75">
      <c r="B75" s="14">
        <v>71</v>
      </c>
      <c r="C75" s="28">
        <f>IF(Coureurs!C75="","",Coureurs!C75)</f>
        <v>17</v>
      </c>
      <c r="D75" s="131" t="str">
        <f>IF(Coureurs!D75="","",Coureurs!D75)</f>
        <v>H12</v>
      </c>
      <c r="E75" s="87" t="str">
        <f>IF(Coureurs!F75="","",Coureurs!F75)</f>
        <v>LAUDET</v>
      </c>
      <c r="F75" s="87" t="str">
        <f>IF(Coureurs!G75="","",Coureurs!G75)</f>
        <v>Sacha</v>
      </c>
      <c r="G75" s="50">
        <f>IF(Coureurs!J75="","",Coureurs!J75)</f>
        <v>2311183</v>
      </c>
      <c r="H75" s="106"/>
      <c r="I75" s="40"/>
      <c r="J75" s="8" t="str">
        <f>IF(I75="PM","",IF(H75=0," ",I75-HLOOKUP('Course 2'!H75,'tab2'!$C$3:$N$4,2)))</f>
        <v xml:space="preserve"> </v>
      </c>
      <c r="K75" s="23" t="str">
        <f>IF(I75="PM","",IF(H75=0," ",J75/'Règles et points'!$F$23))</f>
        <v xml:space="preserve"> </v>
      </c>
      <c r="L75" s="3" t="str">
        <f>IF(H75=0,"",IF(I75="PM",30,VLOOKUP(H75,'Règles et points'!$C$5:$AG$19,(HLOOKUP('Course 2'!C75,'Règles et points'!$C$5:$AG$5,1)+1))))</f>
        <v/>
      </c>
      <c r="M75" s="23">
        <f t="shared" si="2"/>
        <v>0</v>
      </c>
      <c r="N75" s="80"/>
      <c r="O75" s="51"/>
      <c r="P75" s="52"/>
    </row>
    <row r="76" spans="2:16" ht="12.75">
      <c r="B76" s="14">
        <v>72</v>
      </c>
      <c r="C76" s="28">
        <f>IF(Coureurs!C76="","",Coureurs!C76)</f>
        <v>18</v>
      </c>
      <c r="D76" s="131" t="str">
        <f>IF(Coureurs!D76="","",Coureurs!D76)</f>
        <v>H14</v>
      </c>
      <c r="E76" s="87" t="str">
        <f>IF(Coureurs!F76="","",Coureurs!F76)</f>
        <v>LEFEVRE</v>
      </c>
      <c r="F76" s="87" t="str">
        <f>IF(Coureurs!G76="","",Coureurs!G76)</f>
        <v>Gauthier</v>
      </c>
      <c r="G76" s="50">
        <f>IF(Coureurs!J76="","",Coureurs!J76)</f>
        <v>2420990</v>
      </c>
      <c r="H76" s="106"/>
      <c r="I76" s="40"/>
      <c r="J76" s="8" t="str">
        <f>IF(I76="PM","",IF(H76=0," ",I76-HLOOKUP('Course 2'!H76,'tab2'!$C$3:$N$4,2)))</f>
        <v xml:space="preserve"> </v>
      </c>
      <c r="K76" s="23" t="str">
        <f>IF(I76="PM","",IF(H76=0," ",J76/'Règles et points'!$F$23))</f>
        <v xml:space="preserve"> </v>
      </c>
      <c r="L76" s="3" t="str">
        <f>IF(H76=0,"",IF(I76="PM",30,VLOOKUP(H76,'Règles et points'!$C$5:$AG$19,(HLOOKUP('Course 2'!C76,'Règles et points'!$C$5:$AG$5,1)+1))))</f>
        <v/>
      </c>
      <c r="M76" s="23">
        <f t="shared" si="2"/>
        <v>0</v>
      </c>
      <c r="N76" s="80"/>
      <c r="O76" s="51"/>
      <c r="P76" s="52"/>
    </row>
    <row r="77" spans="2:16" ht="12.75">
      <c r="B77" s="14">
        <v>73</v>
      </c>
      <c r="C77" s="28">
        <f>IF(Coureurs!C77="","",Coureurs!C77)</f>
        <v>3</v>
      </c>
      <c r="D77" s="131" t="str">
        <f>IF(Coureurs!D77="","",Coureurs!D77)</f>
        <v>D14</v>
      </c>
      <c r="E77" s="87" t="str">
        <f>IF(Coureurs!F77="","",Coureurs!F77)</f>
        <v>BENSET</v>
      </c>
      <c r="F77" s="87" t="str">
        <f>IF(Coureurs!G77="","",Coureurs!G77)</f>
        <v>Estelle</v>
      </c>
      <c r="G77" s="50">
        <f>IF(Coureurs!J77="","",Coureurs!J77)</f>
        <v>2150413</v>
      </c>
      <c r="H77" s="106"/>
      <c r="I77" s="40"/>
      <c r="J77" s="8" t="str">
        <f>IF(I77="PM","",IF(H77=0," ",I77-HLOOKUP('Course 2'!H77,'tab2'!$C$3:$N$4,2)))</f>
        <v xml:space="preserve"> </v>
      </c>
      <c r="K77" s="23" t="str">
        <f>IF(I77="PM","",IF(H77=0," ",J77/'Règles et points'!$F$23))</f>
        <v xml:space="preserve"> </v>
      </c>
      <c r="L77" s="3" t="str">
        <f>IF(H77=0,"",IF(I77="PM",30,VLOOKUP(H77,'Règles et points'!$C$5:$AG$19,(HLOOKUP('Course 2'!C77,'Règles et points'!$C$5:$AG$5,1)+1))))</f>
        <v/>
      </c>
      <c r="M77" s="23">
        <f t="shared" si="2"/>
        <v>0</v>
      </c>
      <c r="N77" s="80"/>
      <c r="O77" s="51"/>
      <c r="P77" s="52"/>
    </row>
    <row r="78" spans="2:16" ht="12.75">
      <c r="B78" s="14">
        <v>74</v>
      </c>
      <c r="C78" s="28">
        <f>IF(Coureurs!C78="","",Coureurs!C78)</f>
        <v>27</v>
      </c>
      <c r="D78" s="131" t="str">
        <f>IF(Coureurs!D78="","",Coureurs!D78)</f>
        <v>H55</v>
      </c>
      <c r="E78" s="87" t="str">
        <f>IF(Coureurs!F78="","",Coureurs!F78)</f>
        <v>BOUCHERIE</v>
      </c>
      <c r="F78" s="87" t="str">
        <f>IF(Coureurs!G78="","",Coureurs!G78)</f>
        <v>Pascal</v>
      </c>
      <c r="G78" s="50">
        <f>IF(Coureurs!J78="","",Coureurs!J78)</f>
        <v>2420986</v>
      </c>
      <c r="H78" s="106"/>
      <c r="I78" s="40"/>
      <c r="J78" s="8" t="str">
        <f>IF(I78="PM","",IF(H78=0," ",I78-HLOOKUP('Course 2'!H78,'tab2'!$C$3:$N$4,2)))</f>
        <v xml:space="preserve"> </v>
      </c>
      <c r="K78" s="23" t="str">
        <f>IF(I78="PM","",IF(H78=0," ",J78/'Règles et points'!$F$23))</f>
        <v xml:space="preserve"> </v>
      </c>
      <c r="L78" s="3" t="str">
        <f>IF(H78=0,"",IF(I78="PM",30,VLOOKUP(H78,'Règles et points'!$C$5:$AG$19,(HLOOKUP('Course 2'!C78,'Règles et points'!$C$5:$AG$5,1)+1))))</f>
        <v/>
      </c>
      <c r="M78" s="23">
        <f t="shared" si="2"/>
        <v>0</v>
      </c>
      <c r="N78" s="80"/>
      <c r="O78" s="51"/>
      <c r="P78" s="52"/>
    </row>
    <row r="79" spans="2:16" ht="12.75">
      <c r="B79" s="14">
        <v>75</v>
      </c>
      <c r="C79" s="28">
        <f>IF(Coureurs!C79="","",Coureurs!C79)</f>
        <v>12</v>
      </c>
      <c r="D79" s="131" t="str">
        <f>IF(Coureurs!D79="","",Coureurs!D79)</f>
        <v>D55</v>
      </c>
      <c r="E79" s="87" t="str">
        <f>IF(Coureurs!F79="","",Coureurs!F79)</f>
        <v>BOUCHERIE</v>
      </c>
      <c r="F79" s="87" t="str">
        <f>IF(Coureurs!G79="","",Coureurs!G79)</f>
        <v>caroline</v>
      </c>
      <c r="G79" s="50">
        <f>IF(Coureurs!J79="","",Coureurs!J79)</f>
        <v>2420987</v>
      </c>
      <c r="H79" s="106"/>
      <c r="I79" s="40"/>
      <c r="J79" s="8" t="str">
        <f>IF(I79="PM","",IF(H79=0," ",I79-HLOOKUP('Course 2'!H79,'tab2'!$C$3:$N$4,2)))</f>
        <v xml:space="preserve"> </v>
      </c>
      <c r="K79" s="23" t="str">
        <f>IF(I79="PM","",IF(H79=0," ",J79/'Règles et points'!$F$23))</f>
        <v xml:space="preserve"> </v>
      </c>
      <c r="L79" s="3" t="str">
        <f>IF(H79=0,"",IF(I79="PM",30,VLOOKUP(H79,'Règles et points'!$C$5:$AG$19,(HLOOKUP('Course 2'!C79,'Règles et points'!$C$5:$AG$5,1)+1))))</f>
        <v/>
      </c>
      <c r="M79" s="23">
        <f t="shared" si="2"/>
        <v>0</v>
      </c>
      <c r="N79" s="80"/>
      <c r="O79" s="51"/>
      <c r="P79" s="52"/>
    </row>
    <row r="80" spans="2:16" ht="12.75">
      <c r="B80" s="14">
        <v>76</v>
      </c>
      <c r="C80" s="28">
        <f>IF(Coureurs!C80="","",Coureurs!C80)</f>
        <v>17</v>
      </c>
      <c r="D80" s="131" t="str">
        <f>IF(Coureurs!D80="","",Coureurs!D80)</f>
        <v>H12</v>
      </c>
      <c r="E80" s="87" t="str">
        <f>IF(Coureurs!F80="","",Coureurs!F80)</f>
        <v>BOUCHERIE</v>
      </c>
      <c r="F80" s="87" t="str">
        <f>IF(Coureurs!G80="","",Coureurs!G80)</f>
        <v>Achille</v>
      </c>
      <c r="G80" s="50">
        <f>IF(Coureurs!J80="","",Coureurs!J80)</f>
        <v>2311189</v>
      </c>
      <c r="H80" s="25"/>
      <c r="I80" s="41"/>
      <c r="J80" s="8" t="str">
        <f>IF(I80="PM","",IF(H80=0," ",I80-HLOOKUP('Course 2'!H80,'tab2'!$C$3:$N$4,2)))</f>
        <v xml:space="preserve"> </v>
      </c>
      <c r="K80" s="23" t="str">
        <f>IF(I80="PM","",IF(H80=0," ",J80/'Règles et points'!$F$23))</f>
        <v xml:space="preserve"> </v>
      </c>
      <c r="L80" s="3" t="str">
        <f>IF(H80=0,"",IF(I80="PM",30,VLOOKUP(H80,'Règles et points'!$C$5:$AG$19,(HLOOKUP('Course 2'!C80,'Règles et points'!$C$5:$AG$5,1)+1))))</f>
        <v/>
      </c>
      <c r="M80" s="23">
        <f t="shared" si="2"/>
        <v>0</v>
      </c>
      <c r="N80" s="80"/>
      <c r="O80" s="51"/>
      <c r="P80" s="52"/>
    </row>
    <row r="81" spans="2:16" ht="12.75">
      <c r="B81" s="14">
        <v>77</v>
      </c>
      <c r="C81" s="28">
        <f>IF(Coureurs!C81="","",Coureurs!C81)</f>
        <v>22</v>
      </c>
      <c r="D81" s="131" t="str">
        <f>IF(Coureurs!D81="","",Coureurs!D81)</f>
        <v>H21</v>
      </c>
      <c r="E81" s="87" t="str">
        <f>IF(Coureurs!F81="","",Coureurs!F81)</f>
        <v>BOUCHERIE</v>
      </c>
      <c r="F81" s="87" t="str">
        <f>IF(Coureurs!G81="","",Coureurs!G81)</f>
        <v>jules</v>
      </c>
      <c r="G81" s="50">
        <f>IF(Coureurs!J81="","",Coureurs!J81)</f>
        <v>2150411</v>
      </c>
      <c r="H81" s="25"/>
      <c r="I81" s="41"/>
      <c r="J81" s="8" t="str">
        <f>IF(I81="PM","",IF(H81=0," ",I81-HLOOKUP('Course 2'!H81,'tab2'!$C$3:$N$4,2)))</f>
        <v xml:space="preserve"> </v>
      </c>
      <c r="K81" s="23" t="str">
        <f>IF(I81="PM","",IF(H81=0," ",J81/'Règles et points'!$F$23))</f>
        <v xml:space="preserve"> </v>
      </c>
      <c r="L81" s="3" t="str">
        <f>IF(H81=0,"",IF(I81="PM",30,VLOOKUP(H81,'Règles et points'!$C$5:$AG$19,(HLOOKUP('Course 2'!C81,'Règles et points'!$C$5:$AG$5,1)+1))))</f>
        <v/>
      </c>
      <c r="M81" s="23">
        <f t="shared" si="2"/>
        <v>0</v>
      </c>
      <c r="N81" s="80"/>
      <c r="O81" s="51"/>
      <c r="P81" s="52"/>
    </row>
    <row r="82" spans="2:16" ht="12.75">
      <c r="B82" s="14">
        <v>78</v>
      </c>
      <c r="C82" s="28">
        <f>IF(Coureurs!C82="","",Coureurs!C82)</f>
        <v>22</v>
      </c>
      <c r="D82" s="131" t="str">
        <f>IF(Coureurs!D82="","",Coureurs!D82)</f>
        <v>H21</v>
      </c>
      <c r="E82" s="87" t="str">
        <f>IF(Coureurs!F82="","",Coureurs!F82)</f>
        <v>BOUCHERIE</v>
      </c>
      <c r="F82" s="87" t="str">
        <f>IF(Coureurs!G82="","",Coureurs!G82)</f>
        <v>louis</v>
      </c>
      <c r="G82" s="50">
        <f>IF(Coureurs!J82="","",Coureurs!J82)</f>
        <v>2150412</v>
      </c>
      <c r="H82" s="25"/>
      <c r="I82" s="41"/>
      <c r="J82" s="8" t="str">
        <f>IF(I82="PM","",IF(H82=0," ",I82-HLOOKUP('Course 2'!H82,'tab2'!$C$3:$N$4,2)))</f>
        <v xml:space="preserve"> </v>
      </c>
      <c r="K82" s="23" t="str">
        <f>IF(I82="PM","",IF(H82=0," ",J82/'Règles et points'!$F$23))</f>
        <v xml:space="preserve"> </v>
      </c>
      <c r="L82" s="3" t="str">
        <f>IF(H82=0,"",IF(I82="PM",30,VLOOKUP(H82,'Règles et points'!$C$5:$AG$19,(HLOOKUP('Course 2'!C82,'Règles et points'!$C$5:$AG$5,1)+1))))</f>
        <v/>
      </c>
      <c r="M82" s="23">
        <f t="shared" si="2"/>
        <v>0</v>
      </c>
      <c r="N82" s="80"/>
      <c r="O82" s="51"/>
      <c r="P82" s="52"/>
    </row>
    <row r="83" spans="2:16" ht="12.75">
      <c r="B83" s="14">
        <v>79</v>
      </c>
      <c r="C83" s="28">
        <f>IF(Coureurs!C83="","",Coureurs!C83)</f>
        <v>18</v>
      </c>
      <c r="D83" s="131" t="str">
        <f>IF(Coureurs!D83="","",Coureurs!D83)</f>
        <v>H14</v>
      </c>
      <c r="E83" s="87" t="str">
        <f>IF(Coureurs!F83="","",Coureurs!F83)</f>
        <v>ZHANG</v>
      </c>
      <c r="F83" s="87" t="str">
        <f>IF(Coureurs!G83="","",Coureurs!G83)</f>
        <v>Felix</v>
      </c>
      <c r="G83" s="50">
        <f>IF(Coureurs!J83="","",Coureurs!J83)</f>
        <v>2150416</v>
      </c>
      <c r="H83" s="25"/>
      <c r="I83" s="41"/>
      <c r="J83" s="8" t="str">
        <f>IF(I83="PM","",IF(H83=0," ",I83-HLOOKUP('Course 2'!H83,'tab2'!$C$3:$N$4,2)))</f>
        <v xml:space="preserve"> </v>
      </c>
      <c r="K83" s="23" t="str">
        <f>IF(I83="PM","",IF(H83=0," ",J83/'Règles et points'!$F$23))</f>
        <v xml:space="preserve"> </v>
      </c>
      <c r="L83" s="3" t="str">
        <f>IF(H83=0,"",IF(I83="PM",30,VLOOKUP(H83,'Règles et points'!$C$5:$AG$19,(HLOOKUP('Course 2'!C83,'Règles et points'!$C$5:$AG$5,1)+1))))</f>
        <v/>
      </c>
      <c r="M83" s="23">
        <f t="shared" si="2"/>
        <v>0</v>
      </c>
      <c r="N83" s="80"/>
      <c r="O83" s="51"/>
      <c r="P83" s="52"/>
    </row>
    <row r="84" spans="2:16" ht="12.75">
      <c r="B84" s="14">
        <v>80</v>
      </c>
      <c r="C84" s="28">
        <f>IF(Coureurs!C84="","",Coureurs!C84)</f>
        <v>2</v>
      </c>
      <c r="D84" s="131" t="str">
        <f>IF(Coureurs!D84="","",Coureurs!D84)</f>
        <v>D12</v>
      </c>
      <c r="E84" s="87" t="str">
        <f>IF(Coureurs!F84="","",Coureurs!F84)</f>
        <v>DUSSAIX</v>
      </c>
      <c r="F84" s="87" t="str">
        <f>IF(Coureurs!G84="","",Coureurs!G84)</f>
        <v>Margaux</v>
      </c>
      <c r="G84" s="50">
        <f>IF(Coureurs!J84="","",Coureurs!J84)</f>
        <v>2150414</v>
      </c>
      <c r="H84" s="25"/>
      <c r="I84" s="41"/>
      <c r="J84" s="8" t="str">
        <f>IF(I84="PM","",IF(H84=0," ",I84-HLOOKUP('Course 2'!H84,'tab2'!$C$3:$N$4,2)))</f>
        <v xml:space="preserve"> </v>
      </c>
      <c r="K84" s="23" t="str">
        <f>IF(I84="PM","",IF(H84=0," ",J84/'Règles et points'!$F$23))</f>
        <v xml:space="preserve"> </v>
      </c>
      <c r="L84" s="3" t="str">
        <f>IF(H84=0,"",IF(I84="PM",30,VLOOKUP(H84,'Règles et points'!$C$5:$AG$19,(HLOOKUP('Course 2'!C84,'Règles et points'!$C$5:$AG$5,1)+1))))</f>
        <v/>
      </c>
      <c r="M84" s="23">
        <f t="shared" si="2"/>
        <v>0</v>
      </c>
      <c r="N84" s="80"/>
      <c r="O84" s="51"/>
      <c r="P84" s="52"/>
    </row>
    <row r="85" spans="2:16" ht="12.75">
      <c r="B85" s="14">
        <v>81</v>
      </c>
      <c r="C85" s="28">
        <f>IF(Coureurs!C85="","",Coureurs!C85)</f>
        <v>26</v>
      </c>
      <c r="D85" s="131" t="str">
        <f>IF(Coureurs!D85="","",Coureurs!D85)</f>
        <v>H50</v>
      </c>
      <c r="E85" s="87" t="str">
        <f>IF(Coureurs!F85="","",Coureurs!F85)</f>
        <v>DELABROYE DUCROQ</v>
      </c>
      <c r="F85" s="87" t="str">
        <f>IF(Coureurs!G85="","",Coureurs!G85)</f>
        <v>Arnaud</v>
      </c>
      <c r="G85" s="50" t="str">
        <f>IF(Coureurs!J85="","",Coureurs!J85)</f>
        <v/>
      </c>
      <c r="H85" s="25"/>
      <c r="I85" s="41"/>
      <c r="J85" s="8" t="str">
        <f>IF(I85="PM","",IF(H85=0," ",I85-HLOOKUP('Course 2'!H85,'tab2'!$C$3:$N$4,2)))</f>
        <v xml:space="preserve"> </v>
      </c>
      <c r="K85" s="23" t="str">
        <f>IF(I85="PM","",IF(H85=0," ",J85/'Règles et points'!$F$23))</f>
        <v xml:space="preserve"> </v>
      </c>
      <c r="L85" s="3" t="str">
        <f>IF(H85=0,"",IF(I85="PM",30,VLOOKUP(H85,'Règles et points'!$C$5:$AG$19,(HLOOKUP('Course 2'!C85,'Règles et points'!$C$5:$AG$5,1)+1))))</f>
        <v/>
      </c>
      <c r="M85" s="23">
        <f t="shared" si="2"/>
        <v>0</v>
      </c>
      <c r="N85" s="80"/>
      <c r="O85" s="51"/>
      <c r="P85" s="52"/>
    </row>
    <row r="86" spans="2:16" ht="12.75">
      <c r="B86" s="14">
        <v>82</v>
      </c>
      <c r="C86" s="28">
        <f>IF(Coureurs!C86="","",Coureurs!C86)</f>
        <v>16</v>
      </c>
      <c r="D86" s="131" t="str">
        <f>IF(Coureurs!D86="","",Coureurs!D86)</f>
        <v>H10</v>
      </c>
      <c r="E86" s="87" t="str">
        <f>IF(Coureurs!F86="","",Coureurs!F86)</f>
        <v>DELABROYE DUCROQ</v>
      </c>
      <c r="F86" s="87" t="str">
        <f>IF(Coureurs!G86="","",Coureurs!G86)</f>
        <v>Adam</v>
      </c>
      <c r="G86" s="50" t="str">
        <f>IF(Coureurs!J86="","",Coureurs!J86)</f>
        <v/>
      </c>
      <c r="H86" s="25"/>
      <c r="I86" s="41"/>
      <c r="J86" s="8" t="str">
        <f>IF(I86="PM","",IF(H86=0," ",I86-HLOOKUP('Course 2'!H86,'tab2'!$C$3:$N$4,2)))</f>
        <v xml:space="preserve"> </v>
      </c>
      <c r="K86" s="23" t="str">
        <f>IF(I86="PM","",IF(H86=0," ",J86/'Règles et points'!$F$23))</f>
        <v xml:space="preserve"> </v>
      </c>
      <c r="L86" s="3" t="str">
        <f>IF(H86=0,"",IF(I86="PM",30,VLOOKUP(H86,'Règles et points'!$C$5:$AG$19,(HLOOKUP('Course 2'!C86,'Règles et points'!$C$5:$AG$5,1)+1))))</f>
        <v/>
      </c>
      <c r="M86" s="23">
        <f t="shared" si="2"/>
        <v>0</v>
      </c>
      <c r="N86" s="80"/>
      <c r="O86" s="51"/>
      <c r="P86" s="52"/>
    </row>
    <row r="87" spans="2:16" ht="12.75">
      <c r="B87" s="14">
        <v>83</v>
      </c>
      <c r="C87" s="28">
        <f>IF(Coureurs!C87="","",Coureurs!C87)</f>
        <v>18</v>
      </c>
      <c r="D87" s="131" t="str">
        <f>IF(Coureurs!D87="","",Coureurs!D87)</f>
        <v>H14</v>
      </c>
      <c r="E87" s="87" t="str">
        <f>IF(Coureurs!F87="","",Coureurs!F87)</f>
        <v>RICHARD</v>
      </c>
      <c r="F87" s="87" t="str">
        <f>IF(Coureurs!G87="","",Coureurs!G87)</f>
        <v>Mathis</v>
      </c>
      <c r="G87" s="50">
        <f>IF(Coureurs!J87="","",Coureurs!J87)</f>
        <v>2311186</v>
      </c>
      <c r="H87" s="25"/>
      <c r="I87" s="41"/>
      <c r="J87" s="8" t="str">
        <f>IF(I87="PM","",IF(H87=0," ",I87-HLOOKUP('Course 2'!H87,'tab2'!$C$3:$N$4,2)))</f>
        <v xml:space="preserve"> </v>
      </c>
      <c r="K87" s="23" t="str">
        <f>IF(I87="PM","",IF(H87=0," ",J87/'Règles et points'!$F$23))</f>
        <v xml:space="preserve"> </v>
      </c>
      <c r="L87" s="3" t="str">
        <f>IF(H87=0,"",IF(I87="PM",30,VLOOKUP(H87,'Règles et points'!$C$5:$AG$19,(HLOOKUP('Course 2'!C87,'Règles et points'!$C$5:$AG$5,1)+1))))</f>
        <v/>
      </c>
      <c r="M87" s="23">
        <f t="shared" si="2"/>
        <v>0</v>
      </c>
      <c r="N87" s="80"/>
      <c r="O87" s="51"/>
      <c r="P87" s="52"/>
    </row>
    <row r="88" spans="2:16" ht="12.75">
      <c r="B88" s="14">
        <v>84</v>
      </c>
      <c r="C88" s="28">
        <f>IF(Coureurs!C88="","",Coureurs!C88)</f>
        <v>9</v>
      </c>
      <c r="D88" s="131" t="str">
        <f>IF(Coureurs!D88="","",Coureurs!D88)</f>
        <v>D40</v>
      </c>
      <c r="E88" s="87" t="str">
        <f>IF(Coureurs!F88="","",Coureurs!F88)</f>
        <v>COQUET</v>
      </c>
      <c r="F88" s="87" t="str">
        <f>IF(Coureurs!G88="","",Coureurs!G88)</f>
        <v>Coralie</v>
      </c>
      <c r="G88" s="50" t="str">
        <f>IF(Coureurs!J88="","",Coureurs!J88)</f>
        <v/>
      </c>
      <c r="H88" s="25"/>
      <c r="I88" s="41"/>
      <c r="J88" s="8" t="str">
        <f>IF(I88="PM","",IF(H88=0," ",I88-HLOOKUP('Course 2'!H88,'tab2'!$C$3:$N$4,2)))</f>
        <v xml:space="preserve"> </v>
      </c>
      <c r="K88" s="23" t="str">
        <f>IF(I88="PM","",IF(H88=0," ",J88/'Règles et points'!$F$23))</f>
        <v xml:space="preserve"> </v>
      </c>
      <c r="L88" s="3" t="str">
        <f>IF(H88=0,"",IF(I88="PM",30,VLOOKUP(H88,'Règles et points'!$C$5:$AG$19,(HLOOKUP('Course 2'!C88,'Règles et points'!$C$5:$AG$5,1)+1))))</f>
        <v/>
      </c>
      <c r="M88" s="23">
        <f t="shared" si="2"/>
        <v>0</v>
      </c>
      <c r="N88" s="80"/>
      <c r="O88" s="51"/>
      <c r="P88" s="52"/>
    </row>
    <row r="89" spans="2:16" ht="12.75">
      <c r="B89" s="14">
        <v>85</v>
      </c>
      <c r="C89" s="28">
        <f>IF(Coureurs!C89="","",Coureurs!C89)</f>
        <v>17</v>
      </c>
      <c r="D89" s="131" t="str">
        <f>IF(Coureurs!D89="","",Coureurs!D89)</f>
        <v>H12</v>
      </c>
      <c r="E89" s="87" t="str">
        <f>IF(Coureurs!F89="","",Coureurs!F89)</f>
        <v>MONTACIE</v>
      </c>
      <c r="F89" s="87" t="str">
        <f>IF(Coureurs!G89="","",Coureurs!G89)</f>
        <v>Victor</v>
      </c>
      <c r="G89" s="50">
        <f>IF(Coureurs!J89="","",Coureurs!J89)</f>
        <v>2150417</v>
      </c>
      <c r="H89" s="25"/>
      <c r="I89" s="40"/>
      <c r="J89" s="8" t="str">
        <f>IF(I89="PM","",IF(H89=0," ",I89-HLOOKUP('Course 2'!H89,'tab2'!$C$3:$N$4,2)))</f>
        <v xml:space="preserve"> </v>
      </c>
      <c r="K89" s="23" t="str">
        <f>IF(I89="PM","",IF(H89=0," ",J89/'Règles et points'!$F$23))</f>
        <v xml:space="preserve"> </v>
      </c>
      <c r="L89" s="3" t="str">
        <f>IF(H89=0,"",IF(I89="PM",30,VLOOKUP(H89,'Règles et points'!$C$5:$AG$19,(HLOOKUP('Course 2'!C89,'Règles et points'!$C$5:$AG$5,1)+1))))</f>
        <v/>
      </c>
      <c r="M89" s="23">
        <f t="shared" si="2"/>
        <v>0</v>
      </c>
      <c r="N89" s="80"/>
      <c r="O89" s="51"/>
      <c r="P89" s="52"/>
    </row>
    <row r="90" spans="2:16" ht="12.75">
      <c r="B90" s="14">
        <v>86</v>
      </c>
      <c r="C90" s="28">
        <f>IF(Coureurs!C90="","",Coureurs!C90)</f>
        <v>19</v>
      </c>
      <c r="D90" s="131" t="str">
        <f>IF(Coureurs!D90="","",Coureurs!D90)</f>
        <v>H16</v>
      </c>
      <c r="E90" s="87" t="str">
        <f>IF(Coureurs!F90="","",Coureurs!F90)</f>
        <v>MEUNIER</v>
      </c>
      <c r="F90" s="87" t="str">
        <f>IF(Coureurs!G90="","",Coureurs!G90)</f>
        <v>Hadrien</v>
      </c>
      <c r="G90" s="50">
        <f>IF(Coureurs!J90="","",Coureurs!J90)</f>
        <v>2144316</v>
      </c>
      <c r="H90" s="25"/>
      <c r="I90" s="41"/>
      <c r="J90" s="8" t="str">
        <f>IF(I90="PM","",IF(H90=0," ",I90-HLOOKUP('Course 2'!H90,'tab2'!$C$3:$N$4,2)))</f>
        <v xml:space="preserve"> </v>
      </c>
      <c r="K90" s="23" t="str">
        <f>IF(I90="PM","",IF(H90=0," ",J90/'Règles et points'!$F$23))</f>
        <v xml:space="preserve"> </v>
      </c>
      <c r="L90" s="3" t="str">
        <f>IF(H90=0,"",IF(I90="PM",30,VLOOKUP(H90,'Règles et points'!$C$5:$AG$19,(HLOOKUP('Course 2'!C90,'Règles et points'!$C$5:$AG$5,1)+1))))</f>
        <v/>
      </c>
      <c r="M90" s="23">
        <f t="shared" si="2"/>
        <v>0</v>
      </c>
      <c r="N90" s="80"/>
      <c r="O90" s="51"/>
      <c r="P90" s="52"/>
    </row>
    <row r="91" spans="2:16" ht="12.75">
      <c r="B91" s="14">
        <v>87</v>
      </c>
      <c r="C91" s="28">
        <f>IF(Coureurs!C91="","",Coureurs!C91)</f>
        <v>10</v>
      </c>
      <c r="D91" s="131" t="str">
        <f>IF(Coureurs!D91="","",Coureurs!D91)</f>
        <v>D45</v>
      </c>
      <c r="E91" s="87" t="str">
        <f>IF(Coureurs!F91="","",Coureurs!F91)</f>
        <v>SNELLMAN</v>
      </c>
      <c r="F91" s="87" t="str">
        <f>IF(Coureurs!G91="","",Coureurs!G91)</f>
        <v>Kaisa</v>
      </c>
      <c r="G91" s="50" t="str">
        <f>IF(Coureurs!J91="","",Coureurs!J91)</f>
        <v/>
      </c>
      <c r="H91" s="25"/>
      <c r="I91" s="40"/>
      <c r="J91" s="8" t="str">
        <f>IF(I91="PM","",IF(H91=0," ",I91-HLOOKUP('Course 2'!H91,'tab2'!$C$3:$N$4,2)))</f>
        <v xml:space="preserve"> </v>
      </c>
      <c r="K91" s="23" t="str">
        <f>IF(I91="PM","",IF(H91=0," ",J91/'Règles et points'!$F$23))</f>
        <v xml:space="preserve"> </v>
      </c>
      <c r="L91" s="3" t="str">
        <f>IF(H91=0,"",IF(I91="PM",30,VLOOKUP(H91,'Règles et points'!$C$5:$AG$19,(HLOOKUP('Course 2'!C91,'Règles et points'!$C$5:$AG$5,1)+1))))</f>
        <v/>
      </c>
      <c r="M91" s="23">
        <f t="shared" si="2"/>
        <v>0</v>
      </c>
      <c r="N91" s="80"/>
      <c r="O91" s="51"/>
      <c r="P91" s="52"/>
    </row>
    <row r="92" spans="2:16" ht="12.75">
      <c r="B92" s="14">
        <v>88</v>
      </c>
      <c r="C92" s="28" t="e">
        <f>IF(Coureurs!C92="","",Coureurs!C92)</f>
        <v>#N/A</v>
      </c>
      <c r="D92" s="131" t="str">
        <f>IF(Coureurs!D92="","",Coureurs!D92)</f>
        <v>70</v>
      </c>
      <c r="E92" s="87" t="str">
        <f>IF(Coureurs!F92="","",Coureurs!F92)</f>
        <v/>
      </c>
      <c r="F92" s="87" t="str">
        <f>IF(Coureurs!G92="","",Coureurs!G92)</f>
        <v/>
      </c>
      <c r="G92" s="50" t="str">
        <f>IF(Coureurs!J92="","",Coureurs!J92)</f>
        <v/>
      </c>
      <c r="H92" s="25"/>
      <c r="I92" s="41"/>
      <c r="J92" s="8" t="str">
        <f>IF(I92="PM","",IF(H92=0," ",I92-HLOOKUP('Course 2'!H92,'tab2'!$C$3:$N$4,2)))</f>
        <v xml:space="preserve"> </v>
      </c>
      <c r="K92" s="23" t="str">
        <f>IF(I92="PM","",IF(H92=0," ",J92/'Règles et points'!$F$23))</f>
        <v xml:space="preserve"> </v>
      </c>
      <c r="L92" s="3" t="str">
        <f>IF(H92=0,"",IF(I92="PM",30,VLOOKUP(H92,'Règles et points'!$C$5:$AG$19,(HLOOKUP('Course 2'!C92,'Règles et points'!$C$5:$AG$5,1)+1))))</f>
        <v/>
      </c>
      <c r="M92" s="23">
        <f t="shared" si="2"/>
        <v>0</v>
      </c>
      <c r="N92" s="80"/>
      <c r="O92" s="51"/>
      <c r="P92" s="52"/>
    </row>
    <row r="93" spans="2:16" ht="12.75">
      <c r="B93" s="14">
        <v>89</v>
      </c>
      <c r="C93" s="28" t="e">
        <f>IF(Coureurs!C93="","",Coureurs!C93)</f>
        <v>#N/A</v>
      </c>
      <c r="D93" s="131" t="str">
        <f>IF(Coureurs!D93="","",Coureurs!D93)</f>
        <v>70</v>
      </c>
      <c r="E93" s="87" t="str">
        <f>IF(Coureurs!F93="","",Coureurs!F93)</f>
        <v/>
      </c>
      <c r="F93" s="87" t="str">
        <f>IF(Coureurs!G93="","",Coureurs!G93)</f>
        <v/>
      </c>
      <c r="G93" s="50" t="str">
        <f>IF(Coureurs!J93="","",Coureurs!J93)</f>
        <v/>
      </c>
      <c r="H93" s="25"/>
      <c r="I93" s="41"/>
      <c r="J93" s="8" t="str">
        <f>IF(I93="PM","",IF(H93=0," ",I93-HLOOKUP('Course 2'!H93,'tab2'!$C$3:$N$4,2)))</f>
        <v xml:space="preserve"> </v>
      </c>
      <c r="K93" s="23" t="str">
        <f>IF(I93="PM","",IF(H93=0," ",J93/'Règles et points'!$F$23))</f>
        <v xml:space="preserve"> </v>
      </c>
      <c r="L93" s="3" t="str">
        <f>IF(H93=0,"",IF(I93="PM",30,VLOOKUP(H93,'Règles et points'!$C$5:$AG$19,(HLOOKUP('Course 2'!C93,'Règles et points'!$C$5:$AG$5,1)+1))))</f>
        <v/>
      </c>
      <c r="M93" s="23">
        <f t="shared" si="2"/>
        <v>0</v>
      </c>
      <c r="N93" s="80"/>
      <c r="O93" s="51"/>
      <c r="P93" s="52"/>
    </row>
    <row r="94" spans="2:16" ht="12.75">
      <c r="B94" s="14">
        <v>90</v>
      </c>
      <c r="C94" s="28" t="e">
        <f>IF(Coureurs!C94="","",Coureurs!C94)</f>
        <v>#N/A</v>
      </c>
      <c r="D94" s="131" t="str">
        <f>IF(Coureurs!D94="","",Coureurs!D94)</f>
        <v>70</v>
      </c>
      <c r="E94" s="87" t="str">
        <f>IF(Coureurs!F94="","",Coureurs!F94)</f>
        <v/>
      </c>
      <c r="F94" s="87" t="str">
        <f>IF(Coureurs!G94="","",Coureurs!G94)</f>
        <v/>
      </c>
      <c r="G94" s="50" t="str">
        <f>IF(Coureurs!J94="","",Coureurs!J94)</f>
        <v/>
      </c>
      <c r="H94" s="25"/>
      <c r="I94" s="41"/>
      <c r="J94" s="8" t="str">
        <f>IF(I94="PM","",IF(H94=0," ",I94-HLOOKUP('Course 2'!H94,'tab2'!$C$3:$N$4,2)))</f>
        <v xml:space="preserve"> </v>
      </c>
      <c r="K94" s="23" t="str">
        <f>IF(I94="PM","",IF(H94=0," ",J94/'Règles et points'!$F$23))</f>
        <v xml:space="preserve"> </v>
      </c>
      <c r="L94" s="3" t="str">
        <f>IF(H94=0,"",IF(I94="PM",30,VLOOKUP(H94,'Règles et points'!$C$5:$AG$19,(HLOOKUP('Course 2'!C94,'Règles et points'!$C$5:$AG$5,1)+1))))</f>
        <v/>
      </c>
      <c r="M94" s="23">
        <f t="shared" si="2"/>
        <v>0</v>
      </c>
      <c r="N94" s="80"/>
      <c r="O94" s="51"/>
      <c r="P94" s="52"/>
    </row>
    <row r="95" spans="2:16" ht="12.75">
      <c r="B95" s="14">
        <v>91</v>
      </c>
      <c r="C95" s="28" t="e">
        <f>IF(Coureurs!C95="","",Coureurs!C95)</f>
        <v>#N/A</v>
      </c>
      <c r="D95" s="131" t="str">
        <f>IF(Coureurs!D95="","",Coureurs!D95)</f>
        <v>70</v>
      </c>
      <c r="E95" s="87" t="str">
        <f>IF(Coureurs!F95="","",Coureurs!F95)</f>
        <v/>
      </c>
      <c r="F95" s="87" t="str">
        <f>IF(Coureurs!G95="","",Coureurs!G95)</f>
        <v/>
      </c>
      <c r="G95" s="50" t="str">
        <f>IF(Coureurs!J95="","",Coureurs!J95)</f>
        <v/>
      </c>
      <c r="H95" s="25"/>
      <c r="I95" s="41"/>
      <c r="J95" s="8" t="str">
        <f>IF(I95="PM","",IF(H95=0," ",I95-HLOOKUP('Course 2'!H95,'tab2'!$C$3:$N$4,2)))</f>
        <v xml:space="preserve"> </v>
      </c>
      <c r="K95" s="23" t="str">
        <f>IF(I95="PM","",IF(H95=0," ",J95/'Règles et points'!$F$23))</f>
        <v xml:space="preserve"> </v>
      </c>
      <c r="L95" s="3" t="str">
        <f>IF(H95=0,"",IF(I95="PM",30,VLOOKUP(H95,'Règles et points'!$C$5:$AG$19,(HLOOKUP('Course 2'!C95,'Règles et points'!$C$5:$AG$5,1)+1))))</f>
        <v/>
      </c>
      <c r="M95" s="23">
        <f t="shared" si="2"/>
        <v>0</v>
      </c>
      <c r="N95" s="80"/>
      <c r="O95" s="51"/>
      <c r="P95" s="52"/>
    </row>
    <row r="96" spans="2:16" ht="12.75">
      <c r="B96" s="14">
        <v>92</v>
      </c>
      <c r="C96" s="28" t="e">
        <f>IF(Coureurs!C96="","",Coureurs!C96)</f>
        <v>#N/A</v>
      </c>
      <c r="D96" s="131" t="str">
        <f>IF(Coureurs!D96="","",Coureurs!D96)</f>
        <v>70</v>
      </c>
      <c r="E96" s="87" t="str">
        <f>IF(Coureurs!F96="","",Coureurs!F96)</f>
        <v/>
      </c>
      <c r="F96" s="87" t="str">
        <f>IF(Coureurs!G96="","",Coureurs!G96)</f>
        <v/>
      </c>
      <c r="G96" s="50" t="str">
        <f>IF(Coureurs!J96="","",Coureurs!J96)</f>
        <v/>
      </c>
      <c r="H96" s="25"/>
      <c r="I96" s="41"/>
      <c r="J96" s="8" t="str">
        <f>IF(I96="PM","",IF(H96=0," ",I96-HLOOKUP('Course 2'!H96,'tab2'!$C$3:$N$4,2)))</f>
        <v xml:space="preserve"> </v>
      </c>
      <c r="K96" s="23" t="str">
        <f>IF(I96="PM","",IF(H96=0," ",J96/'Règles et points'!$F$23))</f>
        <v xml:space="preserve"> </v>
      </c>
      <c r="L96" s="3" t="str">
        <f>IF(H96=0,"",IF(I96="PM",30,VLOOKUP(H96,'Règles et points'!$C$5:$AG$19,(HLOOKUP('Course 2'!C96,'Règles et points'!$C$5:$AG$5,1)+1))))</f>
        <v/>
      </c>
      <c r="M96" s="23">
        <f t="shared" si="2"/>
        <v>0</v>
      </c>
      <c r="N96" s="80"/>
      <c r="O96" s="51"/>
      <c r="P96" s="52"/>
    </row>
    <row r="97" spans="2:16" ht="12.75">
      <c r="B97" s="14">
        <v>93</v>
      </c>
      <c r="C97" s="28" t="e">
        <f>IF(Coureurs!C97="","",Coureurs!C97)</f>
        <v>#N/A</v>
      </c>
      <c r="D97" s="131" t="str">
        <f>IF(Coureurs!D97="","",Coureurs!D97)</f>
        <v>70</v>
      </c>
      <c r="E97" s="87" t="str">
        <f>IF(Coureurs!F97="","",Coureurs!F97)</f>
        <v/>
      </c>
      <c r="F97" s="87" t="str">
        <f>IF(Coureurs!G97="","",Coureurs!G97)</f>
        <v/>
      </c>
      <c r="G97" s="50" t="str">
        <f>IF(Coureurs!J97="","",Coureurs!J97)</f>
        <v/>
      </c>
      <c r="H97" s="25"/>
      <c r="I97" s="41"/>
      <c r="J97" s="8" t="str">
        <f>IF(I97="PM","",IF(H97=0," ",I97-HLOOKUP('Course 2'!H97,'tab2'!$C$3:$N$4,2)))</f>
        <v xml:space="preserve"> </v>
      </c>
      <c r="K97" s="23" t="str">
        <f>IF(I97="PM","",IF(H97=0," ",J97/'Règles et points'!$F$23))</f>
        <v xml:space="preserve"> </v>
      </c>
      <c r="L97" s="3" t="str">
        <f>IF(H97=0,"",IF(I97="PM",30,VLOOKUP(H97,'Règles et points'!$C$5:$AG$19,(HLOOKUP('Course 2'!C97,'Règles et points'!$C$5:$AG$5,1)+1))))</f>
        <v/>
      </c>
      <c r="M97" s="23">
        <f t="shared" si="2"/>
        <v>0</v>
      </c>
      <c r="N97" s="80"/>
      <c r="O97" s="51"/>
      <c r="P97" s="52"/>
    </row>
    <row r="98" spans="2:16" ht="12.75">
      <c r="B98" s="14">
        <v>94</v>
      </c>
      <c r="C98" s="28" t="e">
        <f>IF(Coureurs!C98="","",Coureurs!C98)</f>
        <v>#N/A</v>
      </c>
      <c r="D98" s="131" t="str">
        <f>IF(Coureurs!D98="","",Coureurs!D98)</f>
        <v>70</v>
      </c>
      <c r="E98" s="87" t="str">
        <f>IF(Coureurs!F98="","",Coureurs!F98)</f>
        <v/>
      </c>
      <c r="F98" s="87" t="str">
        <f>IF(Coureurs!G98="","",Coureurs!G98)</f>
        <v/>
      </c>
      <c r="G98" s="50" t="str">
        <f>IF(Coureurs!J98="","",Coureurs!J98)</f>
        <v/>
      </c>
      <c r="H98" s="25"/>
      <c r="I98" s="41"/>
      <c r="J98" s="8" t="str">
        <f>IF(I98="PM","",IF(H98=0," ",I98-HLOOKUP('Course 2'!H98,'tab2'!$C$3:$N$4,2)))</f>
        <v xml:space="preserve"> </v>
      </c>
      <c r="K98" s="23" t="str">
        <f>IF(I98="PM","",IF(H98=0," ",J98/'Règles et points'!$F$23))</f>
        <v xml:space="preserve"> </v>
      </c>
      <c r="L98" s="3" t="str">
        <f>IF(H98=0,"",IF(I98="PM",30,VLOOKUP(H98,'Règles et points'!$C$5:$AG$19,(HLOOKUP('Course 2'!C98,'Règles et points'!$C$5:$AG$5,1)+1))))</f>
        <v/>
      </c>
      <c r="M98" s="23">
        <f t="shared" si="2"/>
        <v>0</v>
      </c>
      <c r="N98" s="80"/>
      <c r="O98" s="51"/>
      <c r="P98" s="52"/>
    </row>
    <row r="99" spans="2:16" ht="12.75">
      <c r="B99" s="14">
        <v>95</v>
      </c>
      <c r="C99" s="28" t="e">
        <f>IF(Coureurs!C99="","",Coureurs!C99)</f>
        <v>#N/A</v>
      </c>
      <c r="D99" s="131" t="str">
        <f>IF(Coureurs!D99="","",Coureurs!D99)</f>
        <v>70</v>
      </c>
      <c r="E99" s="87" t="str">
        <f>IF(Coureurs!F99="","",Coureurs!F99)</f>
        <v/>
      </c>
      <c r="F99" s="87" t="str">
        <f>IF(Coureurs!G99="","",Coureurs!G99)</f>
        <v/>
      </c>
      <c r="G99" s="50" t="str">
        <f>IF(Coureurs!J99="","",Coureurs!J99)</f>
        <v/>
      </c>
      <c r="H99" s="25"/>
      <c r="I99" s="41"/>
      <c r="J99" s="8" t="str">
        <f>IF(I99="PM","",IF(H99=0," ",I99-HLOOKUP('Course 2'!H99,'tab2'!$C$3:$N$4,2)))</f>
        <v xml:space="preserve"> </v>
      </c>
      <c r="K99" s="23" t="str">
        <f>IF(I99="PM","",IF(H99=0," ",J99/'Règles et points'!$F$23))</f>
        <v xml:space="preserve"> </v>
      </c>
      <c r="L99" s="3" t="str">
        <f>IF(H99=0,"",IF(I99="PM",30,VLOOKUP(H99,'Règles et points'!$C$5:$AG$19,(HLOOKUP('Course 2'!C99,'Règles et points'!$C$5:$AG$5,1)+1))))</f>
        <v/>
      </c>
      <c r="M99" s="23">
        <f t="shared" si="2"/>
        <v>0</v>
      </c>
      <c r="N99" s="80"/>
      <c r="O99" s="51"/>
      <c r="P99" s="52"/>
    </row>
    <row r="100" spans="2:16" ht="12.75">
      <c r="B100" s="14">
        <v>96</v>
      </c>
      <c r="C100" s="28" t="e">
        <f>IF(Coureurs!C100="","",Coureurs!C100)</f>
        <v>#N/A</v>
      </c>
      <c r="D100" s="131" t="str">
        <f>IF(Coureurs!D100="","",Coureurs!D100)</f>
        <v>70</v>
      </c>
      <c r="E100" s="87" t="str">
        <f>IF(Coureurs!F100="","",Coureurs!F100)</f>
        <v/>
      </c>
      <c r="F100" s="87" t="str">
        <f>IF(Coureurs!G100="","",Coureurs!G100)</f>
        <v/>
      </c>
      <c r="G100" s="50" t="str">
        <f>IF(Coureurs!J100="","",Coureurs!J100)</f>
        <v/>
      </c>
      <c r="H100" s="25"/>
      <c r="I100" s="41"/>
      <c r="J100" s="8" t="str">
        <f>IF(I100="PM","",IF(H100=0," ",I100-HLOOKUP('Course 2'!H100,'tab2'!$C$3:$N$4,2)))</f>
        <v xml:space="preserve"> </v>
      </c>
      <c r="K100" s="23" t="str">
        <f>IF(I100="PM","",IF(H100=0," ",J100/'Règles et points'!$F$23))</f>
        <v xml:space="preserve"> </v>
      </c>
      <c r="L100" s="3" t="str">
        <f>IF(H100=0,"",IF(I100="PM",30,VLOOKUP(H100,'Règles et points'!$C$5:$AG$19,(HLOOKUP('Course 2'!C100,'Règles et points'!$C$5:$AG$5,1)+1))))</f>
        <v/>
      </c>
      <c r="M100" s="23">
        <f t="shared" si="2"/>
        <v>0</v>
      </c>
      <c r="N100" s="80"/>
      <c r="O100" s="51"/>
      <c r="P100" s="52"/>
    </row>
    <row r="101" spans="2:16" ht="12.75">
      <c r="B101" s="14">
        <v>97</v>
      </c>
      <c r="C101" s="28" t="e">
        <f>IF(Coureurs!C101="","",Coureurs!C101)</f>
        <v>#N/A</v>
      </c>
      <c r="D101" s="131" t="str">
        <f>IF(Coureurs!D101="","",Coureurs!D101)</f>
        <v>70</v>
      </c>
      <c r="E101" s="87" t="str">
        <f>IF(Coureurs!F101="","",Coureurs!F101)</f>
        <v/>
      </c>
      <c r="F101" s="87" t="str">
        <f>IF(Coureurs!G101="","",Coureurs!G101)</f>
        <v/>
      </c>
      <c r="G101" s="50" t="str">
        <f>IF(Coureurs!J101="","",Coureurs!J101)</f>
        <v/>
      </c>
      <c r="H101" s="25"/>
      <c r="I101" s="41"/>
      <c r="J101" s="8" t="str">
        <f>IF(I101="PM","",IF(H101=0," ",I101-HLOOKUP('Course 2'!H101,'tab2'!$C$3:$N$4,2)))</f>
        <v xml:space="preserve"> </v>
      </c>
      <c r="K101" s="23" t="str">
        <f>IF(I101="PM","",IF(H101=0," ",J101/'Règles et points'!$F$23))</f>
        <v xml:space="preserve"> </v>
      </c>
      <c r="L101" s="3" t="str">
        <f>IF(H101=0,"",IF(I101="PM",30,VLOOKUP(H101,'Règles et points'!$C$5:$AG$19,(HLOOKUP('Course 2'!C101,'Règles et points'!$C$5:$AG$5,1)+1))))</f>
        <v/>
      </c>
      <c r="M101" s="23">
        <f t="shared" si="2"/>
        <v>0</v>
      </c>
      <c r="N101" s="80"/>
      <c r="O101" s="51"/>
      <c r="P101" s="52"/>
    </row>
    <row r="102" spans="2:16" ht="12.75">
      <c r="B102" s="14">
        <v>98</v>
      </c>
      <c r="C102" s="28" t="e">
        <f>IF(Coureurs!C102="","",Coureurs!C102)</f>
        <v>#N/A</v>
      </c>
      <c r="D102" s="131" t="str">
        <f>IF(Coureurs!D102="","",Coureurs!D102)</f>
        <v>70</v>
      </c>
      <c r="E102" s="87" t="str">
        <f>IF(Coureurs!F102="","",Coureurs!F102)</f>
        <v/>
      </c>
      <c r="F102" s="87" t="str">
        <f>IF(Coureurs!G102="","",Coureurs!G102)</f>
        <v/>
      </c>
      <c r="G102" s="50" t="str">
        <f>IF(Coureurs!J102="","",Coureurs!J102)</f>
        <v/>
      </c>
      <c r="H102" s="25"/>
      <c r="I102" s="41"/>
      <c r="J102" s="8" t="str">
        <f>IF(I102="PM","",IF(H102=0," ",I102-HLOOKUP('Course 2'!H102,'tab2'!$C$3:$N$4,2)))</f>
        <v xml:space="preserve"> </v>
      </c>
      <c r="K102" s="23" t="str">
        <f>IF(I102="PM","",IF(H102=0," ",J102/'Règles et points'!$F$23))</f>
        <v xml:space="preserve"> </v>
      </c>
      <c r="L102" s="3" t="str">
        <f>IF(H102=0,"",IF(I102="PM",30,VLOOKUP(H102,'Règles et points'!$C$5:$AG$19,(HLOOKUP('Course 2'!C102,'Règles et points'!$C$5:$AG$5,1)+1))))</f>
        <v/>
      </c>
      <c r="M102" s="23">
        <f t="shared" si="2"/>
        <v>0</v>
      </c>
      <c r="N102" s="80"/>
      <c r="O102" s="51"/>
      <c r="P102" s="52"/>
    </row>
    <row r="103" spans="2:16" ht="12.75">
      <c r="B103" s="14">
        <v>99</v>
      </c>
      <c r="C103" s="28" t="e">
        <f>IF(Coureurs!C103="","",Coureurs!C103)</f>
        <v>#N/A</v>
      </c>
      <c r="D103" s="131" t="str">
        <f>IF(Coureurs!D103="","",Coureurs!D103)</f>
        <v>70</v>
      </c>
      <c r="E103" s="87" t="str">
        <f>IF(Coureurs!F103="","",Coureurs!F103)</f>
        <v/>
      </c>
      <c r="F103" s="87" t="str">
        <f>IF(Coureurs!G103="","",Coureurs!G103)</f>
        <v/>
      </c>
      <c r="G103" s="50" t="str">
        <f>IF(Coureurs!J103="","",Coureurs!J103)</f>
        <v/>
      </c>
      <c r="H103" s="25"/>
      <c r="I103" s="41"/>
      <c r="J103" s="8" t="str">
        <f>IF(I103="PM","",IF(H103=0," ",I103-HLOOKUP('Course 2'!H103,'tab2'!$C$3:$N$4,2)))</f>
        <v xml:space="preserve"> </v>
      </c>
      <c r="K103" s="23" t="str">
        <f>IF(I103="PM","",IF(H103=0," ",J103/'Règles et points'!$F$23))</f>
        <v xml:space="preserve"> </v>
      </c>
      <c r="L103" s="3" t="str">
        <f>IF(H103=0,"",IF(I103="PM",30,VLOOKUP(H103,'Règles et points'!$C$5:$AG$19,(HLOOKUP('Course 2'!C103,'Règles et points'!$C$5:$AG$5,1)+1))))</f>
        <v/>
      </c>
      <c r="M103" s="23">
        <f t="shared" si="2"/>
        <v>0</v>
      </c>
      <c r="N103" s="80"/>
      <c r="O103" s="51"/>
      <c r="P103" s="52"/>
    </row>
    <row r="104" spans="2:16" ht="12.75">
      <c r="B104" s="14">
        <v>100</v>
      </c>
      <c r="C104" s="28" t="e">
        <f>IF(Coureurs!C104="","",Coureurs!C104)</f>
        <v>#N/A</v>
      </c>
      <c r="D104" s="131" t="str">
        <f>IF(Coureurs!D104="","",Coureurs!D104)</f>
        <v>70</v>
      </c>
      <c r="E104" s="87" t="str">
        <f>IF(Coureurs!F104="","",Coureurs!F104)</f>
        <v/>
      </c>
      <c r="F104" s="87" t="str">
        <f>IF(Coureurs!G104="","",Coureurs!G104)</f>
        <v/>
      </c>
      <c r="G104" s="50" t="str">
        <f>IF(Coureurs!J104="","",Coureurs!J104)</f>
        <v/>
      </c>
      <c r="H104" s="25"/>
      <c r="I104" s="40"/>
      <c r="J104" s="8" t="str">
        <f>IF(I104="PM","",IF(H104=0," ",I104-HLOOKUP('Course 2'!H104,'tab2'!$C$3:$N$4,2)))</f>
        <v xml:space="preserve"> </v>
      </c>
      <c r="K104" s="23" t="str">
        <f>IF(I104="PM","",IF(H104=0," ",J104/'Règles et points'!$F$23))</f>
        <v xml:space="preserve"> </v>
      </c>
      <c r="L104" s="3" t="str">
        <f>IF(H104=0,"",IF(I104="PM",30,VLOOKUP(H104,'Règles et points'!$C$5:$AG$19,(HLOOKUP('Course 2'!C104,'Règles et points'!$C$5:$AG$5,1)+1))))</f>
        <v/>
      </c>
      <c r="M104" s="23">
        <f t="shared" si="2"/>
        <v>0</v>
      </c>
      <c r="N104" s="80"/>
      <c r="O104" s="51"/>
      <c r="P104" s="52"/>
    </row>
    <row r="105" spans="2:16" ht="12.75">
      <c r="B105" s="14">
        <v>101</v>
      </c>
      <c r="C105" s="28" t="e">
        <f>IF(Coureurs!C105="","",Coureurs!C105)</f>
        <v>#N/A</v>
      </c>
      <c r="D105" s="131" t="str">
        <f>IF(Coureurs!D105="","",Coureurs!D105)</f>
        <v>70</v>
      </c>
      <c r="E105" s="87" t="str">
        <f>IF(Coureurs!F105="","",Coureurs!F105)</f>
        <v/>
      </c>
      <c r="F105" s="87" t="str">
        <f>IF(Coureurs!G105="","",Coureurs!G105)</f>
        <v/>
      </c>
      <c r="G105" s="50" t="str">
        <f>IF(Coureurs!J105="","",Coureurs!J105)</f>
        <v/>
      </c>
      <c r="H105" s="25"/>
      <c r="I105" s="41"/>
      <c r="J105" s="8" t="str">
        <f>IF(I105="PM","",IF(H105=0," ",I105-HLOOKUP('Course 2'!H105,'tab2'!$C$3:$N$4,2)))</f>
        <v xml:space="preserve"> </v>
      </c>
      <c r="K105" s="23" t="str">
        <f>IF(I105="PM","",IF(H105=0," ",J105/'Règles et points'!$F$23))</f>
        <v xml:space="preserve"> </v>
      </c>
      <c r="L105" s="3" t="str">
        <f>IF(H105=0,"",IF(I105="PM",30,VLOOKUP(H105,'Règles et points'!$C$5:$AG$19,(HLOOKUP('Course 2'!C105,'Règles et points'!$C$5:$AG$5,1)+1))))</f>
        <v/>
      </c>
      <c r="M105" s="23">
        <f t="shared" si="2"/>
        <v>0</v>
      </c>
      <c r="N105" s="80"/>
      <c r="O105" s="51"/>
      <c r="P105" s="52"/>
    </row>
    <row r="106" spans="2:16" ht="12.75">
      <c r="B106" s="14">
        <v>102</v>
      </c>
      <c r="C106" s="28" t="e">
        <f>IF(Coureurs!C106="","",Coureurs!C106)</f>
        <v>#N/A</v>
      </c>
      <c r="D106" s="131" t="str">
        <f>IF(Coureurs!D106="","",Coureurs!D106)</f>
        <v>70</v>
      </c>
      <c r="E106" s="87" t="str">
        <f>IF(Coureurs!F106="","",Coureurs!F106)</f>
        <v/>
      </c>
      <c r="F106" s="87" t="str">
        <f>IF(Coureurs!G106="","",Coureurs!G106)</f>
        <v/>
      </c>
      <c r="G106" s="50" t="str">
        <f>IF(Coureurs!J106="","",Coureurs!J106)</f>
        <v/>
      </c>
      <c r="H106" s="25"/>
      <c r="I106" s="40"/>
      <c r="J106" s="8" t="str">
        <f>IF(I106="PM","",IF(H106=0," ",I106-HLOOKUP('Course 2'!H106,'tab2'!$C$3:$N$4,2)))</f>
        <v xml:space="preserve"> </v>
      </c>
      <c r="K106" s="23" t="str">
        <f>IF(I106="PM","",IF(H106=0," ",J106/'Règles et points'!$F$23))</f>
        <v xml:space="preserve"> </v>
      </c>
      <c r="L106" s="3" t="str">
        <f>IF(H106=0,"",IF(I106="PM",30,VLOOKUP(H106,'Règles et points'!$C$5:$AG$19,(HLOOKUP('Course 2'!C106,'Règles et points'!$C$5:$AG$5,1)+1))))</f>
        <v/>
      </c>
      <c r="M106" s="23">
        <f t="shared" si="2"/>
        <v>0</v>
      </c>
      <c r="N106" s="80"/>
      <c r="O106" s="51"/>
      <c r="P106" s="52"/>
    </row>
    <row r="107" spans="2:16" ht="12.75">
      <c r="B107" s="14">
        <v>103</v>
      </c>
      <c r="C107" s="28" t="e">
        <f>IF(Coureurs!C107="","",Coureurs!C107)</f>
        <v>#N/A</v>
      </c>
      <c r="D107" s="131" t="str">
        <f>IF(Coureurs!D107="","",Coureurs!D107)</f>
        <v>70</v>
      </c>
      <c r="E107" s="87" t="str">
        <f>IF(Coureurs!F107="","",Coureurs!F107)</f>
        <v/>
      </c>
      <c r="F107" s="87" t="str">
        <f>IF(Coureurs!G107="","",Coureurs!G107)</f>
        <v/>
      </c>
      <c r="G107" s="50" t="str">
        <f>IF(Coureurs!J107="","",Coureurs!J107)</f>
        <v/>
      </c>
      <c r="H107" s="25"/>
      <c r="I107" s="40"/>
      <c r="J107" s="8" t="str">
        <f>IF(I107="PM","",IF(H107=0," ",I107-HLOOKUP('Course 2'!H107,'tab2'!$C$3:$N$4,2)))</f>
        <v xml:space="preserve"> </v>
      </c>
      <c r="K107" s="23" t="str">
        <f>IF(I107="PM","",IF(H107=0," ",J107/'Règles et points'!$F$23))</f>
        <v xml:space="preserve"> </v>
      </c>
      <c r="L107" s="3" t="str">
        <f>IF(H107=0,"",IF(I107="PM",30,VLOOKUP(H107,'Règles et points'!$C$5:$AG$19,(HLOOKUP('Course 2'!C107,'Règles et points'!$C$5:$AG$5,1)+1))))</f>
        <v/>
      </c>
      <c r="M107" s="23">
        <f t="shared" si="2"/>
        <v>0</v>
      </c>
      <c r="N107" s="80"/>
      <c r="O107" s="51"/>
      <c r="P107" s="52"/>
    </row>
    <row r="108" spans="2:16" ht="12.75">
      <c r="B108" s="14">
        <v>104</v>
      </c>
      <c r="C108" s="28" t="e">
        <f>IF(Coureurs!C108="","",Coureurs!C108)</f>
        <v>#N/A</v>
      </c>
      <c r="D108" s="131" t="str">
        <f>IF(Coureurs!D108="","",Coureurs!D108)</f>
        <v>70</v>
      </c>
      <c r="E108" s="87" t="str">
        <f>IF(Coureurs!F108="","",Coureurs!F108)</f>
        <v/>
      </c>
      <c r="F108" s="87" t="str">
        <f>IF(Coureurs!G108="","",Coureurs!G108)</f>
        <v/>
      </c>
      <c r="G108" s="50" t="str">
        <f>IF(Coureurs!J108="","",Coureurs!J108)</f>
        <v/>
      </c>
      <c r="H108" s="25"/>
      <c r="I108" s="41"/>
      <c r="J108" s="8" t="str">
        <f>IF(I108="PM","",IF(H108=0," ",I108-HLOOKUP('Course 2'!H108,'tab2'!$C$3:$N$4,2)))</f>
        <v xml:space="preserve"> </v>
      </c>
      <c r="K108" s="23" t="str">
        <f>IF(I108="PM","",IF(H108=0," ",J108/'Règles et points'!$F$23))</f>
        <v xml:space="preserve"> </v>
      </c>
      <c r="L108" s="3" t="str">
        <f>IF(H108=0,"",IF(I108="PM",30,VLOOKUP(H108,'Règles et points'!$C$5:$AG$19,(HLOOKUP('Course 2'!C108,'Règles et points'!$C$5:$AG$5,1)+1))))</f>
        <v/>
      </c>
      <c r="M108" s="23">
        <f t="shared" si="2"/>
        <v>0</v>
      </c>
      <c r="N108" s="80"/>
      <c r="O108" s="51"/>
      <c r="P108" s="52"/>
    </row>
    <row r="109" spans="2:16" ht="12.75">
      <c r="B109" s="14">
        <v>105</v>
      </c>
      <c r="C109" s="28" t="e">
        <f>IF(Coureurs!C109="","",Coureurs!C109)</f>
        <v>#N/A</v>
      </c>
      <c r="D109" s="131" t="str">
        <f>IF(Coureurs!D109="","",Coureurs!D109)</f>
        <v>70</v>
      </c>
      <c r="E109" s="87" t="str">
        <f>IF(Coureurs!F109="","",Coureurs!F109)</f>
        <v/>
      </c>
      <c r="F109" s="87" t="str">
        <f>IF(Coureurs!G109="","",Coureurs!G109)</f>
        <v/>
      </c>
      <c r="G109" s="50" t="str">
        <f>IF(Coureurs!J109="","",Coureurs!J109)</f>
        <v/>
      </c>
      <c r="H109" s="25"/>
      <c r="I109" s="41"/>
      <c r="J109" s="8" t="str">
        <f>IF(I109="PM","",IF(H109=0," ",I109-HLOOKUP('Course 2'!H109,'tab2'!$C$3:$N$4,2)))</f>
        <v xml:space="preserve"> </v>
      </c>
      <c r="K109" s="23" t="str">
        <f>IF(I109="PM","",IF(H109=0," ",J109/'Règles et points'!$F$23))</f>
        <v xml:space="preserve"> </v>
      </c>
      <c r="L109" s="3" t="str">
        <f>IF(H109=0,"",IF(I109="PM",30,VLOOKUP(H109,'Règles et points'!$C$5:$AG$19,(HLOOKUP('Course 2'!C109,'Règles et points'!$C$5:$AG$5,1)+1))))</f>
        <v/>
      </c>
      <c r="M109" s="23">
        <f t="shared" si="2"/>
        <v>0</v>
      </c>
      <c r="N109" s="80"/>
      <c r="O109" s="51"/>
      <c r="P109" s="52"/>
    </row>
    <row r="110" spans="2:16" ht="12.75">
      <c r="B110" s="14">
        <v>106</v>
      </c>
      <c r="C110" s="28" t="e">
        <f>IF(Coureurs!C110="","",Coureurs!C110)</f>
        <v>#N/A</v>
      </c>
      <c r="D110" s="131" t="str">
        <f>IF(Coureurs!D110="","",Coureurs!D110)</f>
        <v>70</v>
      </c>
      <c r="E110" s="87" t="str">
        <f>IF(Coureurs!F110="","",Coureurs!F110)</f>
        <v/>
      </c>
      <c r="F110" s="87" t="str">
        <f>IF(Coureurs!G110="","",Coureurs!G110)</f>
        <v/>
      </c>
      <c r="G110" s="50" t="str">
        <f>IF(Coureurs!J110="","",Coureurs!J110)</f>
        <v/>
      </c>
      <c r="H110" s="25"/>
      <c r="I110" s="41"/>
      <c r="J110" s="8" t="str">
        <f>IF(I110="PM","",IF(H110=0," ",I110-HLOOKUP('Course 2'!H110,'tab2'!$C$3:$N$4,2)))</f>
        <v xml:space="preserve"> </v>
      </c>
      <c r="K110" s="23" t="str">
        <f>IF(I110="PM","",IF(H110=0," ",J110/'Règles et points'!$F$23))</f>
        <v xml:space="preserve"> </v>
      </c>
      <c r="L110" s="3" t="str">
        <f>IF(H110=0,"",IF(I110="PM",30,VLOOKUP(H110,'Règles et points'!$C$5:$AG$19,(HLOOKUP('Course 2'!C110,'Règles et points'!$C$5:$AG$5,1)+1))))</f>
        <v/>
      </c>
      <c r="M110" s="23">
        <f t="shared" si="2"/>
        <v>0</v>
      </c>
      <c r="N110" s="80"/>
      <c r="O110" s="51"/>
      <c r="P110" s="52"/>
    </row>
    <row r="111" spans="2:16" ht="12.75">
      <c r="B111" s="14">
        <v>107</v>
      </c>
      <c r="C111" s="28" t="e">
        <f>IF(Coureurs!C111="","",Coureurs!C111)</f>
        <v>#N/A</v>
      </c>
      <c r="D111" s="131" t="str">
        <f>IF(Coureurs!D111="","",Coureurs!D111)</f>
        <v>70</v>
      </c>
      <c r="E111" s="87" t="str">
        <f>IF(Coureurs!F111="","",Coureurs!F111)</f>
        <v/>
      </c>
      <c r="F111" s="87" t="str">
        <f>IF(Coureurs!G111="","",Coureurs!G111)</f>
        <v/>
      </c>
      <c r="G111" s="50" t="str">
        <f>IF(Coureurs!J111="","",Coureurs!J111)</f>
        <v/>
      </c>
      <c r="H111" s="25"/>
      <c r="I111" s="41"/>
      <c r="J111" s="8" t="str">
        <f>IF(I111="PM","",IF(H111=0," ",I111-HLOOKUP('Course 2'!H111,'tab2'!$C$3:$N$4,2)))</f>
        <v xml:space="preserve"> </v>
      </c>
      <c r="K111" s="23" t="str">
        <f>IF(I111="PM","",IF(H111=0," ",J111/'Règles et points'!$F$23))</f>
        <v xml:space="preserve"> </v>
      </c>
      <c r="L111" s="3" t="str">
        <f>IF(H111=0,"",IF(I111="PM",30,VLOOKUP(H111,'Règles et points'!$C$5:$AG$19,(HLOOKUP('Course 2'!C111,'Règles et points'!$C$5:$AG$5,1)+1))))</f>
        <v/>
      </c>
      <c r="M111" s="23">
        <f t="shared" si="2"/>
        <v>0</v>
      </c>
      <c r="N111" s="80"/>
      <c r="O111" s="51"/>
      <c r="P111" s="52"/>
    </row>
    <row r="112" spans="2:16" ht="12.75">
      <c r="B112" s="14">
        <v>108</v>
      </c>
      <c r="C112" s="28" t="e">
        <f>IF(Coureurs!C112="","",Coureurs!C112)</f>
        <v>#N/A</v>
      </c>
      <c r="D112" s="131" t="str">
        <f>IF(Coureurs!D112="","",Coureurs!D112)</f>
        <v>70</v>
      </c>
      <c r="E112" s="87" t="str">
        <f>IF(Coureurs!F112="","",Coureurs!F112)</f>
        <v/>
      </c>
      <c r="F112" s="87" t="str">
        <f>IF(Coureurs!G112="","",Coureurs!G112)</f>
        <v/>
      </c>
      <c r="G112" s="50" t="str">
        <f>IF(Coureurs!J112="","",Coureurs!J112)</f>
        <v/>
      </c>
      <c r="H112" s="25"/>
      <c r="I112" s="41"/>
      <c r="J112" s="8" t="str">
        <f>IF(I112="PM","",IF(H112=0," ",I112-HLOOKUP('Course 2'!H112,'tab2'!$C$3:$N$4,2)))</f>
        <v xml:space="preserve"> </v>
      </c>
      <c r="K112" s="23" t="str">
        <f>IF(I112="PM","",IF(H112=0," ",J112/'Règles et points'!$F$23))</f>
        <v xml:space="preserve"> </v>
      </c>
      <c r="L112" s="3" t="str">
        <f>IF(H112=0,"",IF(I112="PM",30,VLOOKUP(H112,'Règles et points'!$C$5:$AG$19,(HLOOKUP('Course 2'!C112,'Règles et points'!$C$5:$AG$5,1)+1))))</f>
        <v/>
      </c>
      <c r="M112" s="23">
        <f t="shared" si="2"/>
        <v>0</v>
      </c>
      <c r="N112" s="80"/>
      <c r="O112" s="51"/>
      <c r="P112" s="52"/>
    </row>
    <row r="113" spans="2:16" ht="12.75">
      <c r="B113" s="14">
        <v>109</v>
      </c>
      <c r="C113" s="28" t="e">
        <f>IF(Coureurs!C113="","",Coureurs!C113)</f>
        <v>#N/A</v>
      </c>
      <c r="D113" s="131" t="str">
        <f>IF(Coureurs!D113="","",Coureurs!D113)</f>
        <v>70</v>
      </c>
      <c r="E113" s="87" t="str">
        <f>IF(Coureurs!F113="","",Coureurs!F113)</f>
        <v/>
      </c>
      <c r="F113" s="87" t="str">
        <f>IF(Coureurs!G113="","",Coureurs!G113)</f>
        <v/>
      </c>
      <c r="G113" s="50" t="str">
        <f>IF(Coureurs!J113="","",Coureurs!J113)</f>
        <v/>
      </c>
      <c r="H113" s="25"/>
      <c r="I113" s="41"/>
      <c r="J113" s="8" t="str">
        <f>IF(I113="PM","",IF(H113=0," ",I113-HLOOKUP('Course 2'!H113,'tab2'!$C$3:$N$4,2)))</f>
        <v xml:space="preserve"> </v>
      </c>
      <c r="K113" s="23" t="str">
        <f>IF(I113="PM","",IF(H113=0," ",J113/'Règles et points'!$F$23))</f>
        <v xml:space="preserve"> </v>
      </c>
      <c r="L113" s="3" t="str">
        <f>IF(H113=0,"",IF(I113="PM",30,VLOOKUP(H113,'Règles et points'!$C$5:$AG$19,(HLOOKUP('Course 2'!C113,'Règles et points'!$C$5:$AG$5,1)+1))))</f>
        <v/>
      </c>
      <c r="M113" s="23">
        <f t="shared" si="2"/>
        <v>0</v>
      </c>
      <c r="N113" s="80"/>
      <c r="O113" s="51"/>
      <c r="P113" s="52"/>
    </row>
    <row r="114" spans="2:16" ht="12.75">
      <c r="B114" s="14">
        <v>110</v>
      </c>
      <c r="C114" s="28" t="e">
        <f>IF(Coureurs!C114="","",Coureurs!C114)</f>
        <v>#N/A</v>
      </c>
      <c r="D114" s="131" t="str">
        <f>IF(Coureurs!D114="","",Coureurs!D114)</f>
        <v>70</v>
      </c>
      <c r="E114" s="87" t="str">
        <f>IF(Coureurs!F114="","",Coureurs!F114)</f>
        <v/>
      </c>
      <c r="F114" s="87" t="str">
        <f>IF(Coureurs!G114="","",Coureurs!G114)</f>
        <v/>
      </c>
      <c r="G114" s="50" t="str">
        <f>IF(Coureurs!J114="","",Coureurs!J114)</f>
        <v/>
      </c>
      <c r="H114" s="25"/>
      <c r="I114" s="41"/>
      <c r="J114" s="8" t="str">
        <f>IF(I114="PM","",IF(H114=0," ",I114-HLOOKUP('Course 2'!H114,'tab2'!$C$3:$N$4,2)))</f>
        <v xml:space="preserve"> </v>
      </c>
      <c r="K114" s="23" t="str">
        <f>IF(I114="PM","",IF(H114=0," ",J114/'Règles et points'!$F$23))</f>
        <v xml:space="preserve"> </v>
      </c>
      <c r="L114" s="3" t="str">
        <f>IF(H114=0,"",IF(I114="PM",30,VLOOKUP(H114,'Règles et points'!$C$5:$AG$19,(HLOOKUP('Course 2'!C114,'Règles et points'!$C$5:$AG$5,1)+1))))</f>
        <v/>
      </c>
      <c r="M114" s="23">
        <f t="shared" si="2"/>
        <v>0</v>
      </c>
      <c r="N114" s="80"/>
      <c r="O114" s="51"/>
      <c r="P114" s="52"/>
    </row>
    <row r="115" spans="2:16" ht="12.75">
      <c r="B115" s="14">
        <v>111</v>
      </c>
      <c r="C115" s="28" t="e">
        <f>IF(Coureurs!C115="","",Coureurs!C115)</f>
        <v>#N/A</v>
      </c>
      <c r="D115" s="131" t="str">
        <f>IF(Coureurs!D115="","",Coureurs!D115)</f>
        <v>70</v>
      </c>
      <c r="E115" s="87" t="str">
        <f>IF(Coureurs!F115="","",Coureurs!F115)</f>
        <v/>
      </c>
      <c r="F115" s="87" t="str">
        <f>IF(Coureurs!G115="","",Coureurs!G115)</f>
        <v/>
      </c>
      <c r="G115" s="50" t="str">
        <f>IF(Coureurs!J115="","",Coureurs!J115)</f>
        <v/>
      </c>
      <c r="H115" s="25"/>
      <c r="I115" s="41"/>
      <c r="J115" s="8" t="str">
        <f>IF(I115="PM","",IF(H115=0," ",I115-HLOOKUP('Course 2'!H115,'tab2'!$C$3:$N$4,2)))</f>
        <v xml:space="preserve"> </v>
      </c>
      <c r="K115" s="23" t="str">
        <f>IF(I115="PM","",IF(H115=0," ",J115/'Règles et points'!$F$23))</f>
        <v xml:space="preserve"> </v>
      </c>
      <c r="L115" s="3" t="str">
        <f>IF(H115=0,"",IF(I115="PM",30,VLOOKUP(H115,'Règles et points'!$C$5:$AG$19,(HLOOKUP('Course 2'!C115,'Règles et points'!$C$5:$AG$5,1)+1))))</f>
        <v/>
      </c>
      <c r="M115" s="23">
        <f t="shared" si="2"/>
        <v>0</v>
      </c>
      <c r="N115" s="80"/>
      <c r="O115" s="51"/>
      <c r="P115" s="52"/>
    </row>
    <row r="116" spans="2:16" ht="12.75">
      <c r="B116" s="14">
        <v>112</v>
      </c>
      <c r="C116" s="28" t="e">
        <f>IF(Coureurs!C116="","",Coureurs!C116)</f>
        <v>#N/A</v>
      </c>
      <c r="D116" s="131" t="str">
        <f>IF(Coureurs!D116="","",Coureurs!D116)</f>
        <v>70</v>
      </c>
      <c r="E116" s="87" t="str">
        <f>IF(Coureurs!F116="","",Coureurs!F116)</f>
        <v/>
      </c>
      <c r="F116" s="87" t="str">
        <f>IF(Coureurs!G116="","",Coureurs!G116)</f>
        <v/>
      </c>
      <c r="G116" s="50" t="str">
        <f>IF(Coureurs!J116="","",Coureurs!J116)</f>
        <v/>
      </c>
      <c r="H116" s="25"/>
      <c r="I116" s="41"/>
      <c r="J116" s="8" t="str">
        <f>IF(I116="PM","",IF(H116=0," ",I116-HLOOKUP('Course 2'!H116,'tab2'!$C$3:$N$4,2)))</f>
        <v xml:space="preserve"> </v>
      </c>
      <c r="K116" s="23" t="str">
        <f>IF(I116="PM","",IF(H116=0," ",J116/'Règles et points'!$F$23))</f>
        <v xml:space="preserve"> </v>
      </c>
      <c r="L116" s="3" t="str">
        <f>IF(H116=0,"",IF(I116="PM",30,VLOOKUP(H116,'Règles et points'!$C$5:$AG$19,(HLOOKUP('Course 2'!C116,'Règles et points'!$C$5:$AG$5,1)+1))))</f>
        <v/>
      </c>
      <c r="M116" s="23">
        <f t="shared" si="2"/>
        <v>0</v>
      </c>
      <c r="N116" s="80"/>
      <c r="O116" s="51"/>
      <c r="P116" s="52"/>
    </row>
    <row r="117" spans="2:16" ht="12.75">
      <c r="B117" s="14">
        <v>113</v>
      </c>
      <c r="C117" s="28" t="e">
        <f>IF(Coureurs!C117="","",Coureurs!C117)</f>
        <v>#N/A</v>
      </c>
      <c r="D117" s="131" t="str">
        <f>IF(Coureurs!D117="","",Coureurs!D117)</f>
        <v>70</v>
      </c>
      <c r="E117" s="87" t="str">
        <f>IF(Coureurs!F117="","",Coureurs!F117)</f>
        <v/>
      </c>
      <c r="F117" s="87" t="str">
        <f>IF(Coureurs!G117="","",Coureurs!G117)</f>
        <v/>
      </c>
      <c r="G117" s="50" t="str">
        <f>IF(Coureurs!J117="","",Coureurs!J117)</f>
        <v/>
      </c>
      <c r="H117" s="25"/>
      <c r="I117" s="41"/>
      <c r="J117" s="8" t="str">
        <f>IF(I117="PM","",IF(H117=0," ",I117-HLOOKUP('Course 2'!H117,'tab2'!$C$3:$N$4,2)))</f>
        <v xml:space="preserve"> </v>
      </c>
      <c r="K117" s="23" t="str">
        <f>IF(I117="PM","",IF(H117=0," ",J117/'Règles et points'!$F$23))</f>
        <v xml:space="preserve"> </v>
      </c>
      <c r="L117" s="3" t="str">
        <f>IF(H117=0,"",IF(I117="PM",30,VLOOKUP(H117,'Règles et points'!$C$5:$AG$19,(HLOOKUP('Course 2'!C117,'Règles et points'!$C$5:$AG$5,1)+1))))</f>
        <v/>
      </c>
      <c r="M117" s="23">
        <f t="shared" si="2"/>
        <v>0</v>
      </c>
      <c r="N117" s="80"/>
      <c r="O117" s="51"/>
      <c r="P117" s="52"/>
    </row>
    <row r="118" spans="2:16" ht="12.75">
      <c r="B118" s="14">
        <v>114</v>
      </c>
      <c r="C118" s="28" t="e">
        <f>IF(Coureurs!C118="","",Coureurs!C118)</f>
        <v>#N/A</v>
      </c>
      <c r="D118" s="131" t="str">
        <f>IF(Coureurs!D118="","",Coureurs!D118)</f>
        <v>70</v>
      </c>
      <c r="E118" s="87" t="str">
        <f>IF(Coureurs!F118="","",Coureurs!F118)</f>
        <v/>
      </c>
      <c r="F118" s="87" t="str">
        <f>IF(Coureurs!G118="","",Coureurs!G118)</f>
        <v/>
      </c>
      <c r="G118" s="50" t="str">
        <f>IF(Coureurs!J118="","",Coureurs!J118)</f>
        <v/>
      </c>
      <c r="H118" s="25"/>
      <c r="I118" s="41"/>
      <c r="J118" s="8" t="str">
        <f>IF(I118="PM","",IF(H118=0," ",I118-HLOOKUP('Course 2'!H118,'tab2'!$C$3:$N$4,2)))</f>
        <v xml:space="preserve"> </v>
      </c>
      <c r="K118" s="23" t="str">
        <f>IF(I118="PM","",IF(H118=0," ",J118/'Règles et points'!$F$23))</f>
        <v xml:space="preserve"> </v>
      </c>
      <c r="L118" s="3" t="str">
        <f>IF(H118=0,"",IF(I118="PM",30,VLOOKUP(H118,'Règles et points'!$C$5:$AG$19,(HLOOKUP('Course 2'!C118,'Règles et points'!$C$5:$AG$5,1)+1))))</f>
        <v/>
      </c>
      <c r="M118" s="23">
        <f t="shared" si="2"/>
        <v>0</v>
      </c>
      <c r="N118" s="80"/>
      <c r="O118" s="51"/>
      <c r="P118" s="52"/>
    </row>
    <row r="119" spans="2:16" ht="12.75">
      <c r="B119" s="14">
        <v>115</v>
      </c>
      <c r="C119" s="28" t="e">
        <f>IF(Coureurs!C119="","",Coureurs!C119)</f>
        <v>#N/A</v>
      </c>
      <c r="D119" s="131" t="str">
        <f>IF(Coureurs!D119="","",Coureurs!D119)</f>
        <v>70</v>
      </c>
      <c r="E119" s="87" t="str">
        <f>IF(Coureurs!F119="","",Coureurs!F119)</f>
        <v/>
      </c>
      <c r="F119" s="87" t="str">
        <f>IF(Coureurs!G119="","",Coureurs!G119)</f>
        <v/>
      </c>
      <c r="G119" s="50" t="str">
        <f>IF(Coureurs!J119="","",Coureurs!J119)</f>
        <v/>
      </c>
      <c r="H119" s="25"/>
      <c r="I119" s="41"/>
      <c r="J119" s="8" t="str">
        <f>IF(I119="PM","",IF(H119=0," ",I119-HLOOKUP('Course 2'!H119,'tab2'!$C$3:$N$4,2)))</f>
        <v xml:space="preserve"> </v>
      </c>
      <c r="K119" s="23" t="str">
        <f>IF(I119="PM","",IF(H119=0," ",J119/'Règles et points'!$F$23))</f>
        <v xml:space="preserve"> </v>
      </c>
      <c r="L119" s="3" t="str">
        <f>IF(H119=0,"",IF(I119="PM",30,VLOOKUP(H119,'Règles et points'!$C$5:$AG$19,(HLOOKUP('Course 2'!C119,'Règles et points'!$C$5:$AG$5,1)+1))))</f>
        <v/>
      </c>
      <c r="M119" s="23">
        <f t="shared" si="2"/>
        <v>0</v>
      </c>
      <c r="N119" s="80"/>
      <c r="O119" s="51"/>
      <c r="P119" s="52"/>
    </row>
    <row r="120" spans="2:16" ht="12.75">
      <c r="B120" s="14">
        <v>116</v>
      </c>
      <c r="C120" s="28" t="e">
        <f>IF(Coureurs!C120="","",Coureurs!C120)</f>
        <v>#N/A</v>
      </c>
      <c r="D120" s="131" t="str">
        <f>IF(Coureurs!D120="","",Coureurs!D120)</f>
        <v>70</v>
      </c>
      <c r="E120" s="87" t="str">
        <f>IF(Coureurs!F120="","",Coureurs!F120)</f>
        <v/>
      </c>
      <c r="F120" s="87" t="str">
        <f>IF(Coureurs!G120="","",Coureurs!G120)</f>
        <v/>
      </c>
      <c r="G120" s="50" t="str">
        <f>IF(Coureurs!J120="","",Coureurs!J120)</f>
        <v/>
      </c>
      <c r="H120" s="25"/>
      <c r="I120" s="41"/>
      <c r="J120" s="8" t="str">
        <f>IF(I120="PM","",IF(H120=0," ",I120-HLOOKUP('Course 2'!H120,'tab2'!$C$3:$N$4,2)))</f>
        <v xml:space="preserve"> </v>
      </c>
      <c r="K120" s="23" t="str">
        <f>IF(I120="PM","",IF(H120=0," ",J120/'Règles et points'!$F$23))</f>
        <v xml:space="preserve"> </v>
      </c>
      <c r="L120" s="3" t="str">
        <f>IF(H120=0,"",IF(I120="PM",30,VLOOKUP(H120,'Règles et points'!$C$5:$AG$19,(HLOOKUP('Course 2'!C120,'Règles et points'!$C$5:$AG$5,1)+1))))</f>
        <v/>
      </c>
      <c r="M120" s="23">
        <f t="shared" si="2"/>
        <v>0</v>
      </c>
      <c r="N120" s="80"/>
      <c r="O120" s="51"/>
      <c r="P120" s="52"/>
    </row>
    <row r="121" spans="2:16" ht="12.75">
      <c r="B121" s="14">
        <v>117</v>
      </c>
      <c r="C121" s="28" t="e">
        <f>IF(Coureurs!C121="","",Coureurs!C121)</f>
        <v>#N/A</v>
      </c>
      <c r="D121" s="131" t="str">
        <f>IF(Coureurs!D121="","",Coureurs!D121)</f>
        <v>70</v>
      </c>
      <c r="E121" s="87" t="str">
        <f>IF(Coureurs!F121="","",Coureurs!F121)</f>
        <v/>
      </c>
      <c r="F121" s="87" t="str">
        <f>IF(Coureurs!G121="","",Coureurs!G121)</f>
        <v/>
      </c>
      <c r="G121" s="50" t="str">
        <f>IF(Coureurs!J121="","",Coureurs!J121)</f>
        <v/>
      </c>
      <c r="H121" s="25"/>
      <c r="I121" s="41"/>
      <c r="J121" s="8" t="str">
        <f>IF(I121="PM","",IF(H121=0," ",I121-HLOOKUP('Course 2'!H121,'tab2'!$C$3:$N$4,2)))</f>
        <v xml:space="preserve"> </v>
      </c>
      <c r="K121" s="23" t="str">
        <f>IF(I121="PM","",IF(H121=0," ",J121/'Règles et points'!$F$23))</f>
        <v xml:space="preserve"> </v>
      </c>
      <c r="L121" s="3" t="str">
        <f>IF(H121=0,"",IF(I121="PM",30,VLOOKUP(H121,'Règles et points'!$C$5:$AG$19,(HLOOKUP('Course 2'!C121,'Règles et points'!$C$5:$AG$5,1)+1))))</f>
        <v/>
      </c>
      <c r="M121" s="23">
        <f t="shared" si="2"/>
        <v>0</v>
      </c>
      <c r="N121" s="80"/>
      <c r="O121" s="51"/>
      <c r="P121" s="52"/>
    </row>
    <row r="122" spans="2:16" ht="12.75">
      <c r="B122" s="14">
        <v>118</v>
      </c>
      <c r="C122" s="28" t="str">
        <f>IF(Coureurs!C122="","",Coureurs!C122)</f>
        <v/>
      </c>
      <c r="D122" s="131" t="str">
        <f>IF(Coureurs!D122="","",Coureurs!D122)</f>
        <v>70</v>
      </c>
      <c r="E122" s="87" t="str">
        <f>IF(Coureurs!F122="","",Coureurs!F122)</f>
        <v/>
      </c>
      <c r="F122" s="87" t="str">
        <f>IF(Coureurs!G122="","",Coureurs!G122)</f>
        <v/>
      </c>
      <c r="G122" s="50" t="str">
        <f>IF(Coureurs!J122="","",Coureurs!J122)</f>
        <v/>
      </c>
      <c r="H122" s="25"/>
      <c r="I122" s="41"/>
      <c r="J122" s="8" t="str">
        <f>IF(I122="PM","",IF(H122=0," ",I122-HLOOKUP('Course 2'!H122,'tab2'!$C$3:$N$4,2)))</f>
        <v xml:space="preserve"> </v>
      </c>
      <c r="K122" s="23" t="str">
        <f>IF(I122="PM","",IF(H122=0," ",J122/'Règles et points'!$F$23))</f>
        <v xml:space="preserve"> </v>
      </c>
      <c r="L122" s="3" t="str">
        <f>IF(H122=0,"",IF(I122="PM",30,VLOOKUP(H122,'Règles et points'!$C$5:$AG$19,(HLOOKUP('Course 2'!C122,'Règles et points'!$C$5:$AG$5,1)+1))))</f>
        <v/>
      </c>
      <c r="M122" s="23">
        <f t="shared" si="2"/>
        <v>0</v>
      </c>
      <c r="N122" s="80"/>
      <c r="O122" s="51"/>
      <c r="P122" s="52"/>
    </row>
    <row r="123" spans="2:16" ht="12.75">
      <c r="B123" s="14">
        <v>119</v>
      </c>
      <c r="C123" s="28" t="str">
        <f>IF(Coureurs!C123="","",Coureurs!C123)</f>
        <v/>
      </c>
      <c r="D123" s="131" t="str">
        <f>IF(Coureurs!D123="","",Coureurs!D123)</f>
        <v>70</v>
      </c>
      <c r="E123" s="87" t="str">
        <f>IF(Coureurs!F123="","",Coureurs!F123)</f>
        <v/>
      </c>
      <c r="F123" s="87" t="str">
        <f>IF(Coureurs!G123="","",Coureurs!G123)</f>
        <v/>
      </c>
      <c r="G123" s="50" t="str">
        <f>IF(Coureurs!J123="","",Coureurs!J123)</f>
        <v/>
      </c>
      <c r="H123" s="25"/>
      <c r="I123" s="41"/>
      <c r="J123" s="8" t="str">
        <f>IF(I123="PM","",IF(H123=0," ",I123-HLOOKUP('Course 2'!H123,'tab2'!$C$3:$N$4,2)))</f>
        <v xml:space="preserve"> </v>
      </c>
      <c r="K123" s="23" t="str">
        <f>IF(I123="PM","",IF(H123=0," ",J123/'Règles et points'!$F$23))</f>
        <v xml:space="preserve"> </v>
      </c>
      <c r="L123" s="3" t="str">
        <f>IF(H123=0,"",IF(I123="PM",30,VLOOKUP(H123,'Règles et points'!$C$5:$AG$19,(HLOOKUP('Course 2'!C123,'Règles et points'!$C$5:$AG$5,1)+1))))</f>
        <v/>
      </c>
      <c r="M123" s="23">
        <f t="shared" si="2"/>
        <v>0</v>
      </c>
      <c r="N123" s="80"/>
      <c r="O123" s="51"/>
      <c r="P123" s="52"/>
    </row>
    <row r="124" spans="2:16" ht="12.75">
      <c r="B124" s="14">
        <v>120</v>
      </c>
      <c r="C124" s="28" t="str">
        <f>IF(Coureurs!C124="","",Coureurs!C124)</f>
        <v/>
      </c>
      <c r="D124" s="131" t="str">
        <f>IF(Coureurs!D124="","",Coureurs!D124)</f>
        <v>70</v>
      </c>
      <c r="E124" s="87" t="str">
        <f>IF(Coureurs!F124="","",Coureurs!F124)</f>
        <v/>
      </c>
      <c r="F124" s="87" t="str">
        <f>IF(Coureurs!G124="","",Coureurs!G124)</f>
        <v/>
      </c>
      <c r="G124" s="50" t="str">
        <f>IF(Coureurs!J124="","",Coureurs!J124)</f>
        <v/>
      </c>
      <c r="H124" s="25"/>
      <c r="I124" s="41"/>
      <c r="J124" s="8" t="str">
        <f>IF(I124="PM","",IF(H124=0," ",I124-HLOOKUP('Course 2'!H124,'tab2'!$C$3:$N$4,2)))</f>
        <v xml:space="preserve"> </v>
      </c>
      <c r="K124" s="23" t="str">
        <f>IF(I124="PM","",IF(H124=0," ",J124/'Règles et points'!$F$23))</f>
        <v xml:space="preserve"> </v>
      </c>
      <c r="L124" s="3" t="str">
        <f>IF(H124=0,"",IF(I124="PM",30,VLOOKUP(H124,'Règles et points'!$C$5:$AG$19,(HLOOKUP('Course 2'!C124,'Règles et points'!$C$5:$AG$5,1)+1))))</f>
        <v/>
      </c>
      <c r="M124" s="23">
        <f t="shared" si="2"/>
        <v>0</v>
      </c>
      <c r="N124" s="80"/>
      <c r="O124" s="51"/>
      <c r="P124" s="52"/>
    </row>
    <row r="125" spans="2:16" ht="12.75">
      <c r="B125" s="14">
        <v>121</v>
      </c>
      <c r="C125" s="28" t="str">
        <f>IF(Coureurs!C125="","",Coureurs!C125)</f>
        <v/>
      </c>
      <c r="D125" s="131" t="str">
        <f>IF(Coureurs!D125="","",Coureurs!D125)</f>
        <v>70</v>
      </c>
      <c r="E125" s="87" t="str">
        <f>IF(Coureurs!F125="","",Coureurs!F125)</f>
        <v/>
      </c>
      <c r="F125" s="87" t="str">
        <f>IF(Coureurs!G125="","",Coureurs!G125)</f>
        <v/>
      </c>
      <c r="G125" s="50" t="str">
        <f>IF(Coureurs!J125="","",Coureurs!J125)</f>
        <v/>
      </c>
      <c r="H125" s="25"/>
      <c r="I125" s="41"/>
      <c r="J125" s="8" t="str">
        <f>IF(I125="PM","",IF(H125=0," ",I125-HLOOKUP('Course 2'!H125,'tab2'!$C$3:$N$4,2)))</f>
        <v xml:space="preserve"> </v>
      </c>
      <c r="K125" s="23" t="str">
        <f>IF(I125="PM","",IF(H125=0," ",J125/'Règles et points'!$F$23))</f>
        <v xml:space="preserve"> </v>
      </c>
      <c r="L125" s="3" t="str">
        <f>IF(H125=0,"",IF(I125="PM",30,VLOOKUP(H125,'Règles et points'!$C$5:$AG$19,(HLOOKUP('Course 2'!C125,'Règles et points'!$C$5:$AG$5,1)+1))))</f>
        <v/>
      </c>
      <c r="M125" s="23">
        <f t="shared" si="2"/>
        <v>0</v>
      </c>
      <c r="N125" s="80"/>
      <c r="O125" s="51"/>
      <c r="P125" s="52"/>
    </row>
    <row r="126" spans="2:16" ht="12.75">
      <c r="B126" s="14">
        <v>122</v>
      </c>
      <c r="C126" s="28" t="str">
        <f>IF(Coureurs!C126="","",Coureurs!C126)</f>
        <v/>
      </c>
      <c r="D126" s="131" t="str">
        <f>IF(Coureurs!D126="","",Coureurs!D126)</f>
        <v>70</v>
      </c>
      <c r="E126" s="87" t="str">
        <f>IF(Coureurs!F126="","",Coureurs!F126)</f>
        <v/>
      </c>
      <c r="F126" s="87" t="str">
        <f>IF(Coureurs!G126="","",Coureurs!G126)</f>
        <v/>
      </c>
      <c r="G126" s="50" t="str">
        <f>IF(Coureurs!J126="","",Coureurs!J126)</f>
        <v/>
      </c>
      <c r="H126" s="25"/>
      <c r="I126" s="41"/>
      <c r="J126" s="8" t="str">
        <f>IF(I126="PM","",IF(H126=0," ",I126-HLOOKUP('Course 2'!H126,'tab2'!$C$3:$N$4,2)))</f>
        <v xml:space="preserve"> </v>
      </c>
      <c r="K126" s="23" t="str">
        <f>IF(I126="PM","",IF(H126=0," ",J126/'Règles et points'!$F$23))</f>
        <v xml:space="preserve"> </v>
      </c>
      <c r="L126" s="3" t="str">
        <f>IF(H126=0,"",IF(I126="PM",30,VLOOKUP(H126,'Règles et points'!$C$5:$AG$19,(HLOOKUP('Course 2'!C126,'Règles et points'!$C$5:$AG$5,1)+1))))</f>
        <v/>
      </c>
      <c r="M126" s="23">
        <f t="shared" si="2"/>
        <v>0</v>
      </c>
      <c r="N126" s="80"/>
      <c r="O126" s="51"/>
      <c r="P126" s="52"/>
    </row>
    <row r="127" spans="2:16" ht="12.75">
      <c r="B127" s="14">
        <v>123</v>
      </c>
      <c r="C127" s="28" t="str">
        <f>IF(Coureurs!C127="","",Coureurs!C127)</f>
        <v/>
      </c>
      <c r="D127" s="131" t="str">
        <f>IF(Coureurs!D127="","",Coureurs!D127)</f>
        <v>70</v>
      </c>
      <c r="E127" s="87" t="str">
        <f>IF(Coureurs!F127="","",Coureurs!F127)</f>
        <v/>
      </c>
      <c r="F127" s="87" t="str">
        <f>IF(Coureurs!G127="","",Coureurs!G127)</f>
        <v/>
      </c>
      <c r="G127" s="50" t="str">
        <f>IF(Coureurs!J127="","",Coureurs!J127)</f>
        <v/>
      </c>
      <c r="H127" s="25"/>
      <c r="I127" s="41"/>
      <c r="J127" s="8" t="str">
        <f>IF(I127="PM","",IF(H127=0," ",I127-HLOOKUP('Course 2'!H127,'tab2'!$C$3:$N$4,2)))</f>
        <v xml:space="preserve"> </v>
      </c>
      <c r="K127" s="23" t="str">
        <f>IF(I127="PM","",IF(H127=0," ",J127/'Règles et points'!$F$23))</f>
        <v xml:space="preserve"> </v>
      </c>
      <c r="L127" s="3" t="str">
        <f>IF(H127=0,"",IF(I127="PM",30,VLOOKUP(H127,'Règles et points'!$C$5:$AG$19,(HLOOKUP('Course 2'!C127,'Règles et points'!$C$5:$AG$5,1)+1))))</f>
        <v/>
      </c>
      <c r="M127" s="23">
        <f t="shared" si="2"/>
        <v>0</v>
      </c>
      <c r="N127" s="80"/>
      <c r="O127" s="51"/>
      <c r="P127" s="52"/>
    </row>
    <row r="128" spans="2:16" ht="12.75">
      <c r="B128" s="14">
        <v>124</v>
      </c>
      <c r="C128" s="28" t="str">
        <f>IF(Coureurs!C128="","",Coureurs!C128)</f>
        <v/>
      </c>
      <c r="D128" s="131" t="str">
        <f>IF(Coureurs!D128="","",Coureurs!D128)</f>
        <v>70</v>
      </c>
      <c r="E128" s="87" t="str">
        <f>IF(Coureurs!F128="","",Coureurs!F128)</f>
        <v/>
      </c>
      <c r="F128" s="87" t="str">
        <f>IF(Coureurs!G128="","",Coureurs!G128)</f>
        <v/>
      </c>
      <c r="G128" s="50" t="str">
        <f>IF(Coureurs!J128="","",Coureurs!J128)</f>
        <v/>
      </c>
      <c r="H128" s="25"/>
      <c r="I128" s="41"/>
      <c r="J128" s="8" t="str">
        <f>IF(I128="PM","",IF(H128=0," ",I128-HLOOKUP('Course 2'!H128,'tab2'!$C$3:$N$4,2)))</f>
        <v xml:space="preserve"> </v>
      </c>
      <c r="K128" s="23" t="str">
        <f>IF(I128="PM","",IF(H128=0," ",J128/'Règles et points'!$F$23))</f>
        <v xml:space="preserve"> </v>
      </c>
      <c r="L128" s="3" t="str">
        <f>IF(H128=0,"",IF(I128="PM",30,VLOOKUP(H128,'Règles et points'!$C$5:$AG$19,(HLOOKUP('Course 2'!C128,'Règles et points'!$C$5:$AG$5,1)+1))))</f>
        <v/>
      </c>
      <c r="M128" s="23">
        <f t="shared" si="2"/>
        <v>0</v>
      </c>
      <c r="N128" s="80"/>
      <c r="O128" s="51"/>
      <c r="P128" s="52"/>
    </row>
    <row r="129" spans="2:16" ht="12.75">
      <c r="B129" s="14">
        <v>125</v>
      </c>
      <c r="C129" s="28" t="str">
        <f>IF(Coureurs!C129="","",Coureurs!C129)</f>
        <v/>
      </c>
      <c r="D129" s="131" t="str">
        <f>IF(Coureurs!D129="","",Coureurs!D129)</f>
        <v>70</v>
      </c>
      <c r="E129" s="87" t="str">
        <f>IF(Coureurs!F129="","",Coureurs!F129)</f>
        <v/>
      </c>
      <c r="F129" s="87" t="str">
        <f>IF(Coureurs!G129="","",Coureurs!G129)</f>
        <v/>
      </c>
      <c r="G129" s="50" t="str">
        <f>IF(Coureurs!J129="","",Coureurs!J129)</f>
        <v/>
      </c>
      <c r="H129" s="25"/>
      <c r="I129" s="41"/>
      <c r="J129" s="8" t="str">
        <f>IF(I129="PM","",IF(H129=0," ",I129-HLOOKUP('Course 2'!H129,'tab2'!$C$3:$N$4,2)))</f>
        <v xml:space="preserve"> </v>
      </c>
      <c r="K129" s="23" t="str">
        <f>IF(I129="PM","",IF(H129=0," ",J129/'Règles et points'!$F$23))</f>
        <v xml:space="preserve"> </v>
      </c>
      <c r="L129" s="3" t="str">
        <f>IF(H129=0,"",IF(I129="PM",30,VLOOKUP(H129,'Règles et points'!$C$5:$AG$19,(HLOOKUP('Course 2'!C129,'Règles et points'!$C$5:$AG$5,1)+1))))</f>
        <v/>
      </c>
      <c r="M129" s="23">
        <f t="shared" si="2"/>
        <v>0</v>
      </c>
      <c r="N129" s="80"/>
      <c r="O129" s="51"/>
      <c r="P129" s="52"/>
    </row>
    <row r="130" spans="2:16" ht="12.75">
      <c r="B130" s="14">
        <v>126</v>
      </c>
      <c r="C130" s="28" t="str">
        <f>IF(Coureurs!C130="","",Coureurs!C130)</f>
        <v/>
      </c>
      <c r="D130" s="131" t="str">
        <f>IF(Coureurs!D130="","",Coureurs!D130)</f>
        <v>70</v>
      </c>
      <c r="E130" s="87" t="str">
        <f>IF(Coureurs!F130="","",Coureurs!F130)</f>
        <v/>
      </c>
      <c r="F130" s="87" t="str">
        <f>IF(Coureurs!G130="","",Coureurs!G130)</f>
        <v/>
      </c>
      <c r="G130" s="50" t="str">
        <f>IF(Coureurs!J130="","",Coureurs!J130)</f>
        <v/>
      </c>
      <c r="H130" s="25"/>
      <c r="I130" s="41"/>
      <c r="J130" s="8" t="str">
        <f>IF(I130="PM","",IF(H130=0," ",I130-HLOOKUP('Course 2'!H130,'tab2'!$C$3:$N$4,2)))</f>
        <v xml:space="preserve"> </v>
      </c>
      <c r="K130" s="23" t="str">
        <f>IF(I130="PM","",IF(H130=0," ",J130/'Règles et points'!$F$23))</f>
        <v xml:space="preserve"> </v>
      </c>
      <c r="L130" s="3" t="str">
        <f>IF(H130=0,"",IF(I130="PM",30,VLOOKUP(H130,'Règles et points'!$C$5:$AG$19,(HLOOKUP('Course 2'!C130,'Règles et points'!$C$5:$AG$5,1)+1))))</f>
        <v/>
      </c>
      <c r="M130" s="23">
        <f t="shared" si="2"/>
        <v>0</v>
      </c>
      <c r="N130" s="80"/>
      <c r="O130" s="51"/>
      <c r="P130" s="52"/>
    </row>
    <row r="131" spans="2:16" ht="12.75">
      <c r="B131" s="14">
        <v>127</v>
      </c>
      <c r="C131" s="28" t="str">
        <f>IF(Coureurs!C131="","",Coureurs!C131)</f>
        <v/>
      </c>
      <c r="D131" s="131" t="str">
        <f>IF(Coureurs!D131="","",Coureurs!D131)</f>
        <v>70</v>
      </c>
      <c r="E131" s="87" t="str">
        <f>IF(Coureurs!F131="","",Coureurs!F131)</f>
        <v/>
      </c>
      <c r="F131" s="87" t="str">
        <f>IF(Coureurs!G131="","",Coureurs!G131)</f>
        <v/>
      </c>
      <c r="G131" s="50" t="str">
        <f>IF(Coureurs!J131="","",Coureurs!J131)</f>
        <v/>
      </c>
      <c r="H131" s="25"/>
      <c r="I131" s="41"/>
      <c r="J131" s="8" t="str">
        <f>IF(I131="PM","",IF(H131=0," ",I131-HLOOKUP('Course 2'!H131,'tab2'!$C$3:$N$4,2)))</f>
        <v xml:space="preserve"> </v>
      </c>
      <c r="K131" s="23" t="str">
        <f>IF(I131="PM","",IF(H131=0," ",J131/'Règles et points'!$F$23))</f>
        <v xml:space="preserve"> </v>
      </c>
      <c r="L131" s="3" t="str">
        <f>IF(H131=0,"",IF(I131="PM",30,VLOOKUP(H131,'Règles et points'!$C$5:$AG$19,(HLOOKUP('Course 2'!C131,'Règles et points'!$C$5:$AG$5,1)+1))))</f>
        <v/>
      </c>
      <c r="M131" s="23">
        <f t="shared" si="2"/>
        <v>0</v>
      </c>
      <c r="N131" s="80"/>
      <c r="O131" s="51"/>
      <c r="P131" s="52"/>
    </row>
    <row r="132" spans="2:16" ht="12.75">
      <c r="B132" s="14">
        <v>128</v>
      </c>
      <c r="C132" s="28" t="str">
        <f>IF(Coureurs!C132="","",Coureurs!C132)</f>
        <v/>
      </c>
      <c r="D132" s="131" t="str">
        <f>IF(Coureurs!D132="","",Coureurs!D132)</f>
        <v>70</v>
      </c>
      <c r="E132" s="87" t="str">
        <f>IF(Coureurs!F132="","",Coureurs!F132)</f>
        <v/>
      </c>
      <c r="F132" s="87" t="str">
        <f>IF(Coureurs!G132="","",Coureurs!G132)</f>
        <v/>
      </c>
      <c r="G132" s="50" t="str">
        <f>IF(Coureurs!J132="","",Coureurs!J132)</f>
        <v/>
      </c>
      <c r="H132" s="25"/>
      <c r="I132" s="41"/>
      <c r="J132" s="8" t="str">
        <f>IF(I132="PM","",IF(H132=0," ",I132-HLOOKUP('Course 2'!H132,'tab2'!$C$3:$N$4,2)))</f>
        <v xml:space="preserve"> </v>
      </c>
      <c r="K132" s="23" t="str">
        <f>IF(I132="PM","",IF(H132=0," ",J132/'Règles et points'!$F$23))</f>
        <v xml:space="preserve"> </v>
      </c>
      <c r="L132" s="3" t="str">
        <f>IF(H132=0,"",IF(I132="PM",30,VLOOKUP(H132,'Règles et points'!$C$5:$AG$19,(HLOOKUP('Course 2'!C132,'Règles et points'!$C$5:$AG$5,1)+1))))</f>
        <v/>
      </c>
      <c r="M132" s="23">
        <f t="shared" si="2"/>
        <v>0</v>
      </c>
      <c r="N132" s="80"/>
      <c r="O132" s="51"/>
      <c r="P132" s="52"/>
    </row>
    <row r="133" spans="2:16" ht="12.75">
      <c r="B133" s="14">
        <v>129</v>
      </c>
      <c r="C133" s="28" t="str">
        <f>IF(Coureurs!C133="","",Coureurs!C133)</f>
        <v/>
      </c>
      <c r="D133" s="131" t="str">
        <f>IF(Coureurs!D133="","",Coureurs!D133)</f>
        <v>70</v>
      </c>
      <c r="E133" s="87" t="str">
        <f>IF(Coureurs!F133="","",Coureurs!F133)</f>
        <v/>
      </c>
      <c r="F133" s="87" t="str">
        <f>IF(Coureurs!G133="","",Coureurs!G133)</f>
        <v/>
      </c>
      <c r="G133" s="50" t="str">
        <f>IF(Coureurs!J133="","",Coureurs!J133)</f>
        <v/>
      </c>
      <c r="H133" s="25"/>
      <c r="I133" s="41"/>
      <c r="J133" s="8" t="str">
        <f>IF(I133="PM","",IF(H133=0," ",I133-HLOOKUP('Course 2'!H133,'tab2'!$C$3:$N$4,2)))</f>
        <v xml:space="preserve"> </v>
      </c>
      <c r="K133" s="23" t="str">
        <f>IF(I133="PM","",IF(H133=0," ",J133/'Règles et points'!$F$23))</f>
        <v xml:space="preserve"> </v>
      </c>
      <c r="L133" s="3" t="str">
        <f>IF(H133=0,"",IF(I133="PM",30,VLOOKUP(H133,'Règles et points'!$C$5:$AG$19,(HLOOKUP('Course 2'!C133,'Règles et points'!$C$5:$AG$5,1)+1))))</f>
        <v/>
      </c>
      <c r="M133" s="23">
        <f t="shared" si="2"/>
        <v>0</v>
      </c>
      <c r="N133" s="80"/>
      <c r="O133" s="51"/>
      <c r="P133" s="52"/>
    </row>
    <row r="134" spans="2:16" ht="12.75">
      <c r="B134" s="14">
        <v>130</v>
      </c>
      <c r="C134" s="28" t="str">
        <f>IF(Coureurs!C134="","",Coureurs!C134)</f>
        <v/>
      </c>
      <c r="D134" s="131" t="str">
        <f>IF(Coureurs!D134="","",Coureurs!D134)</f>
        <v>70</v>
      </c>
      <c r="E134" s="87" t="str">
        <f>IF(Coureurs!F134="","",Coureurs!F134)</f>
        <v/>
      </c>
      <c r="F134" s="87" t="str">
        <f>IF(Coureurs!G134="","",Coureurs!G134)</f>
        <v/>
      </c>
      <c r="G134" s="50" t="str">
        <f>IF(Coureurs!J134="","",Coureurs!J134)</f>
        <v/>
      </c>
      <c r="H134" s="25"/>
      <c r="I134" s="41"/>
      <c r="J134" s="8" t="str">
        <f>IF(I134="PM","",IF(H134=0," ",I134-HLOOKUP('Course 2'!H134,'tab2'!$C$3:$N$4,2)))</f>
        <v xml:space="preserve"> </v>
      </c>
      <c r="K134" s="23" t="str">
        <f>IF(I134="PM","",IF(H134=0," ",J134/'Règles et points'!$F$23))</f>
        <v xml:space="preserve"> </v>
      </c>
      <c r="L134" s="3" t="str">
        <f>IF(H134=0,"",IF(I134="PM",30,VLOOKUP(H134,'Règles et points'!$C$5:$AG$19,(HLOOKUP('Course 2'!C134,'Règles et points'!$C$5:$AG$5,1)+1))))</f>
        <v/>
      </c>
      <c r="M134" s="23">
        <f t="shared" ref="M134:M197" si="3">IF(I134="PM",30,IF(H134=0,0,L134-K134))+N134</f>
        <v>0</v>
      </c>
      <c r="N134" s="80"/>
      <c r="O134" s="51"/>
      <c r="P134" s="52"/>
    </row>
    <row r="135" spans="2:16" ht="12.75">
      <c r="B135" s="14">
        <v>131</v>
      </c>
      <c r="C135" s="28" t="str">
        <f>IF(Coureurs!C135="","",Coureurs!C135)</f>
        <v/>
      </c>
      <c r="D135" s="131" t="str">
        <f>IF(Coureurs!D135="","",Coureurs!D135)</f>
        <v>70</v>
      </c>
      <c r="E135" s="87" t="str">
        <f>IF(Coureurs!F135="","",Coureurs!F135)</f>
        <v/>
      </c>
      <c r="F135" s="87" t="str">
        <f>IF(Coureurs!G135="","",Coureurs!G135)</f>
        <v/>
      </c>
      <c r="G135" s="50" t="str">
        <f>IF(Coureurs!J135="","",Coureurs!J135)</f>
        <v/>
      </c>
      <c r="H135" s="25"/>
      <c r="I135" s="41"/>
      <c r="J135" s="8" t="str">
        <f>IF(I135="PM","",IF(H135=0," ",I135-HLOOKUP('Course 2'!H135,'tab2'!$C$3:$N$4,2)))</f>
        <v xml:space="preserve"> </v>
      </c>
      <c r="K135" s="23" t="str">
        <f>IF(I135="PM","",IF(H135=0," ",J135/'Règles et points'!$F$23))</f>
        <v xml:space="preserve"> </v>
      </c>
      <c r="L135" s="3" t="str">
        <f>IF(H135=0,"",IF(I135="PM",30,VLOOKUP(H135,'Règles et points'!$C$5:$AG$19,(HLOOKUP('Course 2'!C135,'Règles et points'!$C$5:$AG$5,1)+1))))</f>
        <v/>
      </c>
      <c r="M135" s="23">
        <f t="shared" si="3"/>
        <v>0</v>
      </c>
      <c r="N135" s="80"/>
      <c r="O135" s="51"/>
      <c r="P135" s="52"/>
    </row>
    <row r="136" spans="2:16" ht="12.75">
      <c r="B136" s="14">
        <v>132</v>
      </c>
      <c r="C136" s="28" t="str">
        <f>IF(Coureurs!C136="","",Coureurs!C136)</f>
        <v/>
      </c>
      <c r="D136" s="131" t="str">
        <f>IF(Coureurs!D136="","",Coureurs!D136)</f>
        <v>70</v>
      </c>
      <c r="E136" s="87" t="str">
        <f>IF(Coureurs!F136="","",Coureurs!F136)</f>
        <v/>
      </c>
      <c r="F136" s="87" t="str">
        <f>IF(Coureurs!G136="","",Coureurs!G136)</f>
        <v/>
      </c>
      <c r="G136" s="50" t="str">
        <f>IF(Coureurs!J136="","",Coureurs!J136)</f>
        <v/>
      </c>
      <c r="H136" s="25"/>
      <c r="I136" s="41"/>
      <c r="J136" s="8" t="str">
        <f>IF(I136="PM","",IF(H136=0," ",I136-HLOOKUP('Course 2'!H136,'tab2'!$C$3:$N$4,2)))</f>
        <v xml:space="preserve"> </v>
      </c>
      <c r="K136" s="23" t="str">
        <f>IF(I136="PM","",IF(H136=0," ",J136/'Règles et points'!$F$23))</f>
        <v xml:space="preserve"> </v>
      </c>
      <c r="L136" s="3" t="str">
        <f>IF(H136=0,"",IF(I136="PM",30,VLOOKUP(H136,'Règles et points'!$C$5:$AG$19,(HLOOKUP('Course 2'!C136,'Règles et points'!$C$5:$AG$5,1)+1))))</f>
        <v/>
      </c>
      <c r="M136" s="23">
        <f t="shared" si="3"/>
        <v>0</v>
      </c>
      <c r="N136" s="80"/>
      <c r="O136" s="51"/>
      <c r="P136" s="52"/>
    </row>
    <row r="137" spans="2:16" ht="12.75">
      <c r="B137" s="14">
        <v>133</v>
      </c>
      <c r="C137" s="28" t="str">
        <f>IF(Coureurs!C137="","",Coureurs!C137)</f>
        <v/>
      </c>
      <c r="D137" s="131" t="str">
        <f>IF(Coureurs!D137="","",Coureurs!D137)</f>
        <v>70</v>
      </c>
      <c r="E137" s="87" t="str">
        <f>IF(Coureurs!F137="","",Coureurs!F137)</f>
        <v/>
      </c>
      <c r="F137" s="87" t="str">
        <f>IF(Coureurs!G137="","",Coureurs!G137)</f>
        <v/>
      </c>
      <c r="G137" s="50" t="str">
        <f>IF(Coureurs!J137="","",Coureurs!J137)</f>
        <v/>
      </c>
      <c r="H137" s="25"/>
      <c r="I137" s="41"/>
      <c r="J137" s="8" t="str">
        <f>IF(I137="PM","",IF(H137=0," ",I137-HLOOKUP('Course 2'!H137,'tab2'!$C$3:$N$4,2)))</f>
        <v xml:space="preserve"> </v>
      </c>
      <c r="K137" s="23" t="str">
        <f>IF(I137="PM","",IF(H137=0," ",J137/'Règles et points'!$F$23))</f>
        <v xml:space="preserve"> </v>
      </c>
      <c r="L137" s="3" t="str">
        <f>IF(H137=0,"",IF(I137="PM",30,VLOOKUP(H137,'Règles et points'!$C$5:$AG$19,(HLOOKUP('Course 2'!C137,'Règles et points'!$C$5:$AG$5,1)+1))))</f>
        <v/>
      </c>
      <c r="M137" s="23">
        <f t="shared" si="3"/>
        <v>0</v>
      </c>
      <c r="N137" s="80"/>
      <c r="O137" s="51"/>
      <c r="P137" s="52"/>
    </row>
    <row r="138" spans="2:16" ht="12.75">
      <c r="B138" s="14">
        <v>134</v>
      </c>
      <c r="C138" s="28" t="str">
        <f>IF(Coureurs!C138="","",Coureurs!C138)</f>
        <v/>
      </c>
      <c r="D138" s="131" t="str">
        <f>IF(Coureurs!D138="","",Coureurs!D138)</f>
        <v>70</v>
      </c>
      <c r="E138" s="87" t="str">
        <f>IF(Coureurs!F138="","",Coureurs!F138)</f>
        <v/>
      </c>
      <c r="F138" s="87" t="str">
        <f>IF(Coureurs!G138="","",Coureurs!G138)</f>
        <v/>
      </c>
      <c r="G138" s="50" t="str">
        <f>IF(Coureurs!J138="","",Coureurs!J138)</f>
        <v/>
      </c>
      <c r="H138" s="25"/>
      <c r="I138" s="41"/>
      <c r="J138" s="8" t="str">
        <f>IF(I138="PM","",IF(H138=0," ",I138-HLOOKUP('Course 2'!H138,'tab2'!$C$3:$N$4,2)))</f>
        <v xml:space="preserve"> </v>
      </c>
      <c r="K138" s="23" t="str">
        <f>IF(I138="PM","",IF(H138=0," ",J138/'Règles et points'!$F$23))</f>
        <v xml:space="preserve"> </v>
      </c>
      <c r="L138" s="3" t="str">
        <f>IF(H138=0,"",IF(I138="PM",30,VLOOKUP(H138,'Règles et points'!$C$5:$AG$19,(HLOOKUP('Course 2'!C138,'Règles et points'!$C$5:$AG$5,1)+1))))</f>
        <v/>
      </c>
      <c r="M138" s="23">
        <f t="shared" si="3"/>
        <v>0</v>
      </c>
      <c r="N138" s="80"/>
      <c r="O138" s="51"/>
      <c r="P138" s="52"/>
    </row>
    <row r="139" spans="2:16" ht="12.75">
      <c r="B139" s="14">
        <v>135</v>
      </c>
      <c r="C139" s="28" t="str">
        <f>IF(Coureurs!C139="","",Coureurs!C139)</f>
        <v/>
      </c>
      <c r="D139" s="131" t="str">
        <f>IF(Coureurs!D139="","",Coureurs!D139)</f>
        <v>70</v>
      </c>
      <c r="E139" s="87" t="str">
        <f>IF(Coureurs!F139="","",Coureurs!F139)</f>
        <v/>
      </c>
      <c r="F139" s="87" t="str">
        <f>IF(Coureurs!G139="","",Coureurs!G139)</f>
        <v/>
      </c>
      <c r="G139" s="50" t="str">
        <f>IF(Coureurs!J139="","",Coureurs!J139)</f>
        <v/>
      </c>
      <c r="H139" s="25"/>
      <c r="I139" s="41"/>
      <c r="J139" s="8" t="str">
        <f>IF(I139="PM","",IF(H139=0," ",I139-HLOOKUP('Course 2'!H139,'tab2'!$C$3:$N$4,2)))</f>
        <v xml:space="preserve"> </v>
      </c>
      <c r="K139" s="23" t="str">
        <f>IF(I139="PM","",IF(H139=0," ",J139/'Règles et points'!$F$23))</f>
        <v xml:space="preserve"> </v>
      </c>
      <c r="L139" s="3" t="str">
        <f>IF(H139=0,"",IF(I139="PM",30,VLOOKUP(H139,'Règles et points'!$C$5:$AG$19,(HLOOKUP('Course 2'!C139,'Règles et points'!$C$5:$AG$5,1)+1))))</f>
        <v/>
      </c>
      <c r="M139" s="23">
        <f t="shared" si="3"/>
        <v>0</v>
      </c>
      <c r="N139" s="80"/>
      <c r="O139" s="51"/>
      <c r="P139" s="52"/>
    </row>
    <row r="140" spans="2:16" ht="12.75">
      <c r="B140" s="14">
        <v>136</v>
      </c>
      <c r="C140" s="28" t="str">
        <f>IF(Coureurs!C140="","",Coureurs!C140)</f>
        <v/>
      </c>
      <c r="D140" s="131" t="str">
        <f>IF(Coureurs!D140="","",Coureurs!D140)</f>
        <v>70</v>
      </c>
      <c r="E140" s="87" t="str">
        <f>IF(Coureurs!F140="","",Coureurs!F140)</f>
        <v/>
      </c>
      <c r="F140" s="87" t="str">
        <f>IF(Coureurs!G140="","",Coureurs!G140)</f>
        <v/>
      </c>
      <c r="G140" s="50" t="str">
        <f>IF(Coureurs!J140="","",Coureurs!J140)</f>
        <v/>
      </c>
      <c r="H140" s="25"/>
      <c r="I140" s="41"/>
      <c r="J140" s="8" t="str">
        <f>IF(I140="PM","",IF(H140=0," ",I140-HLOOKUP('Course 2'!H140,'tab2'!$C$3:$N$4,2)))</f>
        <v xml:space="preserve"> </v>
      </c>
      <c r="K140" s="23" t="str">
        <f>IF(I140="PM","",IF(H140=0," ",J140/'Règles et points'!$F$23))</f>
        <v xml:space="preserve"> </v>
      </c>
      <c r="L140" s="3" t="str">
        <f>IF(H140=0,"",IF(I140="PM",30,VLOOKUP(H140,'Règles et points'!$C$5:$AG$19,(HLOOKUP('Course 2'!C140,'Règles et points'!$C$5:$AG$5,1)+1))))</f>
        <v/>
      </c>
      <c r="M140" s="23">
        <f t="shared" si="3"/>
        <v>0</v>
      </c>
      <c r="N140" s="80"/>
      <c r="O140" s="51"/>
      <c r="P140" s="52"/>
    </row>
    <row r="141" spans="2:16" ht="12.75">
      <c r="B141" s="14">
        <v>137</v>
      </c>
      <c r="C141" s="28" t="str">
        <f>IF(Coureurs!C141="","",Coureurs!C141)</f>
        <v/>
      </c>
      <c r="D141" s="131" t="str">
        <f>IF(Coureurs!D141="","",Coureurs!D141)</f>
        <v>70</v>
      </c>
      <c r="E141" s="87" t="str">
        <f>IF(Coureurs!F141="","",Coureurs!F141)</f>
        <v/>
      </c>
      <c r="F141" s="87" t="str">
        <f>IF(Coureurs!G141="","",Coureurs!G141)</f>
        <v/>
      </c>
      <c r="G141" s="50" t="str">
        <f>IF(Coureurs!J141="","",Coureurs!J141)</f>
        <v/>
      </c>
      <c r="H141" s="25"/>
      <c r="I141" s="41"/>
      <c r="J141" s="8" t="str">
        <f>IF(I141="PM","",IF(H141=0," ",I141-HLOOKUP('Course 2'!H141,'tab2'!$C$3:$N$4,2)))</f>
        <v xml:space="preserve"> </v>
      </c>
      <c r="K141" s="23" t="str">
        <f>IF(I141="PM","",IF(H141=0," ",J141/'Règles et points'!$F$23))</f>
        <v xml:space="preserve"> </v>
      </c>
      <c r="L141" s="3" t="str">
        <f>IF(H141=0,"",IF(I141="PM",30,VLOOKUP(H141,'Règles et points'!$C$5:$AG$19,(HLOOKUP('Course 2'!C141,'Règles et points'!$C$5:$AG$5,1)+1))))</f>
        <v/>
      </c>
      <c r="M141" s="23">
        <f t="shared" si="3"/>
        <v>0</v>
      </c>
      <c r="N141" s="80"/>
      <c r="O141" s="51"/>
      <c r="P141" s="52"/>
    </row>
    <row r="142" spans="2:16" ht="12.75">
      <c r="B142" s="14">
        <v>138</v>
      </c>
      <c r="C142" s="28" t="str">
        <f>IF(Coureurs!C142="","",Coureurs!C142)</f>
        <v/>
      </c>
      <c r="D142" s="131" t="str">
        <f>IF(Coureurs!D142="","",Coureurs!D142)</f>
        <v>70</v>
      </c>
      <c r="E142" s="87" t="str">
        <f>IF(Coureurs!F142="","",Coureurs!F142)</f>
        <v/>
      </c>
      <c r="F142" s="87" t="str">
        <f>IF(Coureurs!G142="","",Coureurs!G142)</f>
        <v/>
      </c>
      <c r="G142" s="50" t="str">
        <f>IF(Coureurs!J142="","",Coureurs!J142)</f>
        <v/>
      </c>
      <c r="H142" s="25"/>
      <c r="I142" s="41"/>
      <c r="J142" s="8" t="str">
        <f>IF(I142="PM","",IF(H142=0," ",I142-HLOOKUP('Course 2'!H142,'tab2'!$C$3:$N$4,2)))</f>
        <v xml:space="preserve"> </v>
      </c>
      <c r="K142" s="23" t="str">
        <f>IF(I142="PM","",IF(H142=0," ",J142/'Règles et points'!$F$23))</f>
        <v xml:space="preserve"> </v>
      </c>
      <c r="L142" s="3" t="str">
        <f>IF(H142=0,"",IF(I142="PM",30,VLOOKUP(H142,'Règles et points'!$C$5:$AG$19,(HLOOKUP('Course 2'!C142,'Règles et points'!$C$5:$AG$5,1)+1))))</f>
        <v/>
      </c>
      <c r="M142" s="23">
        <f t="shared" si="3"/>
        <v>0</v>
      </c>
      <c r="N142" s="80"/>
      <c r="O142" s="51"/>
      <c r="P142" s="52"/>
    </row>
    <row r="143" spans="2:16" ht="12.75">
      <c r="B143" s="14">
        <v>139</v>
      </c>
      <c r="C143" s="28" t="str">
        <f>IF(Coureurs!C143="","",Coureurs!C143)</f>
        <v/>
      </c>
      <c r="D143" s="131" t="str">
        <f>IF(Coureurs!D143="","",Coureurs!D143)</f>
        <v>70</v>
      </c>
      <c r="E143" s="87" t="str">
        <f>IF(Coureurs!F143="","",Coureurs!F143)</f>
        <v/>
      </c>
      <c r="F143" s="87" t="str">
        <f>IF(Coureurs!G143="","",Coureurs!G143)</f>
        <v/>
      </c>
      <c r="G143" s="50" t="str">
        <f>IF(Coureurs!J143="","",Coureurs!J143)</f>
        <v/>
      </c>
      <c r="H143" s="25"/>
      <c r="I143" s="41"/>
      <c r="J143" s="8" t="str">
        <f>IF(I143="PM","",IF(H143=0," ",I143-HLOOKUP('Course 2'!H143,'tab2'!$C$3:$N$4,2)))</f>
        <v xml:space="preserve"> </v>
      </c>
      <c r="K143" s="23" t="str">
        <f>IF(I143="PM","",IF(H143=0," ",J143/'Règles et points'!$F$23))</f>
        <v xml:space="preserve"> </v>
      </c>
      <c r="L143" s="3" t="str">
        <f>IF(H143=0,"",IF(I143="PM",30,VLOOKUP(H143,'Règles et points'!$C$5:$AG$19,(HLOOKUP('Course 2'!C143,'Règles et points'!$C$5:$AG$5,1)+1))))</f>
        <v/>
      </c>
      <c r="M143" s="23">
        <f t="shared" si="3"/>
        <v>0</v>
      </c>
      <c r="N143" s="80"/>
      <c r="O143" s="51"/>
      <c r="P143" s="52"/>
    </row>
    <row r="144" spans="2:16" ht="12.75">
      <c r="B144" s="14">
        <v>140</v>
      </c>
      <c r="C144" s="28" t="str">
        <f>IF(Coureurs!C144="","",Coureurs!C144)</f>
        <v/>
      </c>
      <c r="D144" s="131" t="str">
        <f>IF(Coureurs!D144="","",Coureurs!D144)</f>
        <v>70</v>
      </c>
      <c r="E144" s="87" t="str">
        <f>IF(Coureurs!F144="","",Coureurs!F144)</f>
        <v/>
      </c>
      <c r="F144" s="87" t="str">
        <f>IF(Coureurs!G144="","",Coureurs!G144)</f>
        <v/>
      </c>
      <c r="G144" s="50" t="str">
        <f>IF(Coureurs!J144="","",Coureurs!J144)</f>
        <v/>
      </c>
      <c r="H144" s="25"/>
      <c r="I144" s="41"/>
      <c r="J144" s="8" t="str">
        <f>IF(I144="PM","",IF(H144=0," ",I144-HLOOKUP('Course 2'!H144,'tab2'!$C$3:$N$4,2)))</f>
        <v xml:space="preserve"> </v>
      </c>
      <c r="K144" s="23" t="str">
        <f>IF(I144="PM","",IF(H144=0," ",J144/'Règles et points'!$F$23))</f>
        <v xml:space="preserve"> </v>
      </c>
      <c r="L144" s="3" t="str">
        <f>IF(H144=0,"",IF(I144="PM",30,VLOOKUP(H144,'Règles et points'!$C$5:$AG$19,(HLOOKUP('Course 2'!C144,'Règles et points'!$C$5:$AG$5,1)+1))))</f>
        <v/>
      </c>
      <c r="M144" s="23">
        <f t="shared" si="3"/>
        <v>0</v>
      </c>
      <c r="N144" s="80"/>
      <c r="O144" s="51"/>
      <c r="P144" s="52"/>
    </row>
    <row r="145" spans="2:16" ht="12.75">
      <c r="B145" s="14">
        <v>141</v>
      </c>
      <c r="C145" s="28" t="str">
        <f>IF(Coureurs!C145="","",Coureurs!C145)</f>
        <v/>
      </c>
      <c r="D145" s="131" t="str">
        <f>IF(Coureurs!D145="","",Coureurs!D145)</f>
        <v>70</v>
      </c>
      <c r="E145" s="87" t="str">
        <f>IF(Coureurs!F145="","",Coureurs!F145)</f>
        <v/>
      </c>
      <c r="F145" s="87" t="str">
        <f>IF(Coureurs!G145="","",Coureurs!G145)</f>
        <v/>
      </c>
      <c r="G145" s="50" t="str">
        <f>IF(Coureurs!J145="","",Coureurs!J145)</f>
        <v/>
      </c>
      <c r="H145" s="25"/>
      <c r="I145" s="41"/>
      <c r="J145" s="8" t="str">
        <f>IF(I145="PM","",IF(H145=0," ",I145-HLOOKUP('Course 2'!H145,'tab2'!$C$3:$N$4,2)))</f>
        <v xml:space="preserve"> </v>
      </c>
      <c r="K145" s="23" t="str">
        <f>IF(I145="PM","",IF(H145=0," ",J145/'Règles et points'!$F$23))</f>
        <v xml:space="preserve"> </v>
      </c>
      <c r="L145" s="3" t="str">
        <f>IF(H145=0,"",IF(I145="PM",30,VLOOKUP(H145,'Règles et points'!$C$5:$AG$19,(HLOOKUP('Course 2'!C145,'Règles et points'!$C$5:$AG$5,1)+1))))</f>
        <v/>
      </c>
      <c r="M145" s="23">
        <f t="shared" si="3"/>
        <v>0</v>
      </c>
      <c r="N145" s="80"/>
      <c r="O145" s="51"/>
      <c r="P145" s="52"/>
    </row>
    <row r="146" spans="2:16" ht="12.75">
      <c r="B146" s="14">
        <v>142</v>
      </c>
      <c r="C146" s="28" t="str">
        <f>IF(Coureurs!C146="","",Coureurs!C146)</f>
        <v/>
      </c>
      <c r="D146" s="131" t="str">
        <f>IF(Coureurs!D146="","",Coureurs!D146)</f>
        <v>70</v>
      </c>
      <c r="E146" s="87" t="str">
        <f>IF(Coureurs!F146="","",Coureurs!F146)</f>
        <v/>
      </c>
      <c r="F146" s="87" t="str">
        <f>IF(Coureurs!G146="","",Coureurs!G146)</f>
        <v/>
      </c>
      <c r="G146" s="50" t="str">
        <f>IF(Coureurs!J146="","",Coureurs!J146)</f>
        <v/>
      </c>
      <c r="H146" s="25"/>
      <c r="I146" s="41"/>
      <c r="J146" s="8" t="str">
        <f>IF(I146="PM","",IF(H146=0," ",I146-HLOOKUP('Course 2'!H146,'tab2'!$C$3:$N$4,2)))</f>
        <v xml:space="preserve"> </v>
      </c>
      <c r="K146" s="23" t="str">
        <f>IF(I146="PM","",IF(H146=0," ",J146/'Règles et points'!$F$23))</f>
        <v xml:space="preserve"> </v>
      </c>
      <c r="L146" s="3" t="str">
        <f>IF(H146=0,"",IF(I146="PM",30,VLOOKUP(H146,'Règles et points'!$C$5:$AG$19,(HLOOKUP('Course 2'!C146,'Règles et points'!$C$5:$AG$5,1)+1))))</f>
        <v/>
      </c>
      <c r="M146" s="23">
        <f t="shared" si="3"/>
        <v>0</v>
      </c>
      <c r="N146" s="80"/>
      <c r="O146" s="51"/>
      <c r="P146" s="52"/>
    </row>
    <row r="147" spans="2:16" ht="12.75">
      <c r="B147" s="14">
        <v>143</v>
      </c>
      <c r="C147" s="28" t="str">
        <f>IF(Coureurs!C147="","",Coureurs!C147)</f>
        <v/>
      </c>
      <c r="D147" s="131" t="str">
        <f>IF(Coureurs!D147="","",Coureurs!D147)</f>
        <v>70</v>
      </c>
      <c r="E147" s="87" t="str">
        <f>IF(Coureurs!F147="","",Coureurs!F147)</f>
        <v/>
      </c>
      <c r="F147" s="87" t="str">
        <f>IF(Coureurs!G147="","",Coureurs!G147)</f>
        <v/>
      </c>
      <c r="G147" s="50" t="str">
        <f>IF(Coureurs!J147="","",Coureurs!J147)</f>
        <v/>
      </c>
      <c r="H147" s="25"/>
      <c r="I147" s="41"/>
      <c r="J147" s="8" t="str">
        <f>IF(I147="PM","",IF(H147=0," ",I147-HLOOKUP('Course 2'!H147,'tab2'!$C$3:$N$4,2)))</f>
        <v xml:space="preserve"> </v>
      </c>
      <c r="K147" s="23" t="str">
        <f>IF(I147="PM","",IF(H147=0," ",J147/'Règles et points'!$F$23))</f>
        <v xml:space="preserve"> </v>
      </c>
      <c r="L147" s="3" t="str">
        <f>IF(H147=0,"",IF(I147="PM",30,VLOOKUP(H147,'Règles et points'!$C$5:$AG$19,(HLOOKUP('Course 2'!C147,'Règles et points'!$C$5:$AG$5,1)+1))))</f>
        <v/>
      </c>
      <c r="M147" s="23">
        <f t="shared" si="3"/>
        <v>0</v>
      </c>
      <c r="N147" s="80"/>
      <c r="O147" s="51"/>
      <c r="P147" s="52"/>
    </row>
    <row r="148" spans="2:16" ht="12.75">
      <c r="B148" s="14">
        <v>144</v>
      </c>
      <c r="C148" s="28" t="str">
        <f>IF(Coureurs!C148="","",Coureurs!C148)</f>
        <v/>
      </c>
      <c r="D148" s="131" t="str">
        <f>IF(Coureurs!D148="","",Coureurs!D148)</f>
        <v>70</v>
      </c>
      <c r="E148" s="87" t="str">
        <f>IF(Coureurs!F148="","",Coureurs!F148)</f>
        <v/>
      </c>
      <c r="F148" s="87" t="str">
        <f>IF(Coureurs!G148="","",Coureurs!G148)</f>
        <v/>
      </c>
      <c r="G148" s="50" t="str">
        <f>IF(Coureurs!J148="","",Coureurs!J148)</f>
        <v/>
      </c>
      <c r="H148" s="25"/>
      <c r="I148" s="41"/>
      <c r="J148" s="8" t="str">
        <f>IF(I148="PM","",IF(H148=0," ",I148-HLOOKUP('Course 2'!H148,'tab2'!$C$3:$N$4,2)))</f>
        <v xml:space="preserve"> </v>
      </c>
      <c r="K148" s="23" t="str">
        <f>IF(I148="PM","",IF(H148=0," ",J148/'Règles et points'!$F$23))</f>
        <v xml:space="preserve"> </v>
      </c>
      <c r="L148" s="3" t="str">
        <f>IF(H148=0,"",IF(I148="PM",30,VLOOKUP(H148,'Règles et points'!$C$5:$AG$19,(HLOOKUP('Course 2'!C148,'Règles et points'!$C$5:$AG$5,1)+1))))</f>
        <v/>
      </c>
      <c r="M148" s="23">
        <f t="shared" si="3"/>
        <v>0</v>
      </c>
      <c r="N148" s="80"/>
      <c r="O148" s="51"/>
      <c r="P148" s="52"/>
    </row>
    <row r="149" spans="2:16" ht="12.75">
      <c r="B149" s="14">
        <v>145</v>
      </c>
      <c r="C149" s="28" t="str">
        <f>IF(Coureurs!C149="","",Coureurs!C149)</f>
        <v/>
      </c>
      <c r="D149" s="131" t="str">
        <f>IF(Coureurs!D149="","",Coureurs!D149)</f>
        <v>70</v>
      </c>
      <c r="E149" s="87" t="str">
        <f>IF(Coureurs!F149="","",Coureurs!F149)</f>
        <v/>
      </c>
      <c r="F149" s="87" t="str">
        <f>IF(Coureurs!G149="","",Coureurs!G149)</f>
        <v/>
      </c>
      <c r="G149" s="50" t="str">
        <f>IF(Coureurs!J149="","",Coureurs!J149)</f>
        <v/>
      </c>
      <c r="H149" s="25"/>
      <c r="I149" s="41"/>
      <c r="J149" s="8" t="str">
        <f>IF(I149="PM","",IF(H149=0," ",I149-HLOOKUP('Course 2'!H149,'tab2'!$C$3:$N$4,2)))</f>
        <v xml:space="preserve"> </v>
      </c>
      <c r="K149" s="23" t="str">
        <f>IF(I149="PM","",IF(H149=0," ",J149/'Règles et points'!$F$23))</f>
        <v xml:space="preserve"> </v>
      </c>
      <c r="L149" s="3" t="str">
        <f>IF(H149=0,"",IF(I149="PM",30,VLOOKUP(H149,'Règles et points'!$C$5:$AG$19,(HLOOKUP('Course 2'!C149,'Règles et points'!$C$5:$AG$5,1)+1))))</f>
        <v/>
      </c>
      <c r="M149" s="23">
        <f t="shared" si="3"/>
        <v>0</v>
      </c>
      <c r="N149" s="80"/>
      <c r="O149" s="51"/>
      <c r="P149" s="52"/>
    </row>
    <row r="150" spans="2:16" ht="12.75">
      <c r="B150" s="14">
        <v>146</v>
      </c>
      <c r="C150" s="28" t="str">
        <f>IF(Coureurs!C150="","",Coureurs!C150)</f>
        <v/>
      </c>
      <c r="D150" s="131" t="str">
        <f>IF(Coureurs!D150="","",Coureurs!D150)</f>
        <v>70</v>
      </c>
      <c r="E150" s="87" t="str">
        <f>IF(Coureurs!F150="","",Coureurs!F150)</f>
        <v/>
      </c>
      <c r="F150" s="87" t="str">
        <f>IF(Coureurs!G150="","",Coureurs!G150)</f>
        <v/>
      </c>
      <c r="G150" s="50" t="str">
        <f>IF(Coureurs!J150="","",Coureurs!J150)</f>
        <v/>
      </c>
      <c r="H150" s="25"/>
      <c r="I150" s="41"/>
      <c r="J150" s="8" t="str">
        <f>IF(I150="PM","",IF(H150=0," ",I150-HLOOKUP('Course 2'!H150,'tab2'!$C$3:$N$4,2)))</f>
        <v xml:space="preserve"> </v>
      </c>
      <c r="K150" s="23" t="str">
        <f>IF(I150="PM","",IF(H150=0," ",J150/'Règles et points'!$F$23))</f>
        <v xml:space="preserve"> </v>
      </c>
      <c r="L150" s="3" t="str">
        <f>IF(H150=0,"",IF(I150="PM",30,VLOOKUP(H150,'Règles et points'!$C$5:$AG$19,(HLOOKUP('Course 2'!C150,'Règles et points'!$C$5:$AG$5,1)+1))))</f>
        <v/>
      </c>
      <c r="M150" s="23">
        <f t="shared" si="3"/>
        <v>0</v>
      </c>
      <c r="N150" s="80"/>
      <c r="O150" s="51"/>
      <c r="P150" s="52"/>
    </row>
    <row r="151" spans="2:16" ht="12.75">
      <c r="B151" s="14">
        <v>147</v>
      </c>
      <c r="C151" s="28" t="str">
        <f>IF(Coureurs!C151="","",Coureurs!C151)</f>
        <v/>
      </c>
      <c r="D151" s="131" t="str">
        <f>IF(Coureurs!D151="","",Coureurs!D151)</f>
        <v>70</v>
      </c>
      <c r="E151" s="87" t="str">
        <f>IF(Coureurs!F151="","",Coureurs!F151)</f>
        <v/>
      </c>
      <c r="F151" s="87" t="str">
        <f>IF(Coureurs!G151="","",Coureurs!G151)</f>
        <v/>
      </c>
      <c r="G151" s="50" t="str">
        <f>IF(Coureurs!J151="","",Coureurs!J151)</f>
        <v/>
      </c>
      <c r="H151" s="25"/>
      <c r="I151" s="41"/>
      <c r="J151" s="8" t="str">
        <f>IF(I151="PM","",IF(H151=0," ",I151-HLOOKUP('Course 2'!H151,'tab2'!$C$3:$N$4,2)))</f>
        <v xml:space="preserve"> </v>
      </c>
      <c r="K151" s="23" t="str">
        <f>IF(I151="PM","",IF(H151=0," ",J151/'Règles et points'!$F$23))</f>
        <v xml:space="preserve"> </v>
      </c>
      <c r="L151" s="3" t="str">
        <f>IF(H151=0,"",IF(I151="PM",30,VLOOKUP(H151,'Règles et points'!$C$5:$AG$19,(HLOOKUP('Course 2'!C151,'Règles et points'!$C$5:$AG$5,1)+1))))</f>
        <v/>
      </c>
      <c r="M151" s="23">
        <f t="shared" si="3"/>
        <v>0</v>
      </c>
      <c r="N151" s="80"/>
      <c r="O151" s="51"/>
      <c r="P151" s="52"/>
    </row>
    <row r="152" spans="2:16" ht="12.75">
      <c r="B152" s="14">
        <v>148</v>
      </c>
      <c r="C152" s="28" t="str">
        <f>IF(Coureurs!C152="","",Coureurs!C152)</f>
        <v/>
      </c>
      <c r="D152" s="131" t="str">
        <f>IF(Coureurs!D152="","",Coureurs!D152)</f>
        <v>70</v>
      </c>
      <c r="E152" s="87" t="str">
        <f>IF(Coureurs!F152="","",Coureurs!F152)</f>
        <v/>
      </c>
      <c r="F152" s="87" t="str">
        <f>IF(Coureurs!G152="","",Coureurs!G152)</f>
        <v/>
      </c>
      <c r="G152" s="50" t="str">
        <f>IF(Coureurs!J152="","",Coureurs!J152)</f>
        <v/>
      </c>
      <c r="H152" s="25"/>
      <c r="I152" s="41"/>
      <c r="J152" s="8" t="str">
        <f>IF(I152="PM","",IF(H152=0," ",I152-HLOOKUP('Course 2'!H152,'tab2'!$C$3:$N$4,2)))</f>
        <v xml:space="preserve"> </v>
      </c>
      <c r="K152" s="23" t="str">
        <f>IF(I152="PM","",IF(H152=0," ",J152/'Règles et points'!$F$23))</f>
        <v xml:space="preserve"> </v>
      </c>
      <c r="L152" s="3" t="str">
        <f>IF(H152=0,"",IF(I152="PM",30,VLOOKUP(H152,'Règles et points'!$C$5:$AG$19,(HLOOKUP('Course 2'!C152,'Règles et points'!$C$5:$AG$5,1)+1))))</f>
        <v/>
      </c>
      <c r="M152" s="23">
        <f t="shared" si="3"/>
        <v>0</v>
      </c>
      <c r="N152" s="80"/>
      <c r="O152" s="51"/>
      <c r="P152" s="52"/>
    </row>
    <row r="153" spans="2:16" ht="12.75">
      <c r="B153" s="14">
        <v>149</v>
      </c>
      <c r="C153" s="28" t="str">
        <f>IF(Coureurs!C153="","",Coureurs!C153)</f>
        <v/>
      </c>
      <c r="D153" s="131" t="str">
        <f>IF(Coureurs!D153="","",Coureurs!D153)</f>
        <v>70</v>
      </c>
      <c r="E153" s="87" t="str">
        <f>IF(Coureurs!F153="","",Coureurs!F153)</f>
        <v/>
      </c>
      <c r="F153" s="87" t="str">
        <f>IF(Coureurs!G153="","",Coureurs!G153)</f>
        <v/>
      </c>
      <c r="G153" s="50" t="str">
        <f>IF(Coureurs!J153="","",Coureurs!J153)</f>
        <v/>
      </c>
      <c r="H153" s="25"/>
      <c r="I153" s="41"/>
      <c r="J153" s="8" t="str">
        <f>IF(I153="PM","",IF(H153=0," ",I153-HLOOKUP('Course 2'!H153,'tab2'!$C$3:$N$4,2)))</f>
        <v xml:space="preserve"> </v>
      </c>
      <c r="K153" s="23" t="str">
        <f>IF(I153="PM","",IF(H153=0," ",J153/'Règles et points'!$F$23))</f>
        <v xml:space="preserve"> </v>
      </c>
      <c r="L153" s="3" t="str">
        <f>IF(H153=0,"",IF(I153="PM",30,VLOOKUP(H153,'Règles et points'!$C$5:$AG$19,(HLOOKUP('Course 2'!C153,'Règles et points'!$C$5:$AG$5,1)+1))))</f>
        <v/>
      </c>
      <c r="M153" s="23">
        <f t="shared" si="3"/>
        <v>0</v>
      </c>
      <c r="N153" s="80"/>
      <c r="O153" s="51"/>
      <c r="P153" s="52"/>
    </row>
    <row r="154" spans="2:16" ht="12.75">
      <c r="B154" s="14">
        <v>150</v>
      </c>
      <c r="C154" s="28" t="str">
        <f>IF(Coureurs!C154="","",Coureurs!C154)</f>
        <v/>
      </c>
      <c r="D154" s="131" t="str">
        <f>IF(Coureurs!D154="","",Coureurs!D154)</f>
        <v>70</v>
      </c>
      <c r="E154" s="87" t="str">
        <f>IF(Coureurs!F154="","",Coureurs!F154)</f>
        <v/>
      </c>
      <c r="F154" s="87" t="str">
        <f>IF(Coureurs!G154="","",Coureurs!G154)</f>
        <v/>
      </c>
      <c r="G154" s="50" t="str">
        <f>IF(Coureurs!J154="","",Coureurs!J154)</f>
        <v/>
      </c>
      <c r="H154" s="25"/>
      <c r="I154" s="41"/>
      <c r="J154" s="8" t="str">
        <f>IF(I154="PM","",IF(H154=0," ",I154-HLOOKUP('Course 2'!H154,'tab2'!$C$3:$N$4,2)))</f>
        <v xml:space="preserve"> </v>
      </c>
      <c r="K154" s="23" t="str">
        <f>IF(I154="PM","",IF(H154=0," ",J154/'Règles et points'!$F$23))</f>
        <v xml:space="preserve"> </v>
      </c>
      <c r="L154" s="3" t="str">
        <f>IF(H154=0,"",IF(I154="PM",30,VLOOKUP(H154,'Règles et points'!$C$5:$AG$19,(HLOOKUP('Course 2'!C154,'Règles et points'!$C$5:$AG$5,1)+1))))</f>
        <v/>
      </c>
      <c r="M154" s="23">
        <f t="shared" si="3"/>
        <v>0</v>
      </c>
      <c r="N154" s="80"/>
      <c r="O154" s="51"/>
      <c r="P154" s="52"/>
    </row>
    <row r="155" spans="2:16" ht="12.75">
      <c r="B155" s="14">
        <v>151</v>
      </c>
      <c r="C155" s="28" t="str">
        <f>IF(Coureurs!C155="","",Coureurs!C155)</f>
        <v/>
      </c>
      <c r="D155" s="131" t="str">
        <f>IF(Coureurs!D155="","",Coureurs!D155)</f>
        <v>70</v>
      </c>
      <c r="E155" s="87" t="str">
        <f>IF(Coureurs!F155="","",Coureurs!F155)</f>
        <v/>
      </c>
      <c r="F155" s="87" t="str">
        <f>IF(Coureurs!G155="","",Coureurs!G155)</f>
        <v/>
      </c>
      <c r="G155" s="50" t="str">
        <f>IF(Coureurs!J155="","",Coureurs!J155)</f>
        <v/>
      </c>
      <c r="H155" s="25"/>
      <c r="I155" s="41"/>
      <c r="J155" s="8" t="str">
        <f>IF(I155="PM","",IF(H155=0," ",I155-HLOOKUP('Course 2'!H155,'tab2'!$C$3:$N$4,2)))</f>
        <v xml:space="preserve"> </v>
      </c>
      <c r="K155" s="23" t="str">
        <f>IF(I155="PM","",IF(H155=0," ",J155/'Règles et points'!$F$23))</f>
        <v xml:space="preserve"> </v>
      </c>
      <c r="L155" s="3" t="str">
        <f>IF(H155=0,"",IF(I155="PM",30,VLOOKUP(H155,'Règles et points'!$C$5:$AG$19,(HLOOKUP('Course 2'!C155,'Règles et points'!$C$5:$AG$5,1)+1))))</f>
        <v/>
      </c>
      <c r="M155" s="23">
        <f t="shared" si="3"/>
        <v>0</v>
      </c>
      <c r="N155" s="80"/>
      <c r="O155" s="51"/>
      <c r="P155" s="52"/>
    </row>
    <row r="156" spans="2:16" ht="12.75">
      <c r="B156" s="14">
        <v>152</v>
      </c>
      <c r="C156" s="28" t="str">
        <f>IF(Coureurs!C156="","",Coureurs!C156)</f>
        <v/>
      </c>
      <c r="D156" s="131" t="str">
        <f>IF(Coureurs!D156="","",Coureurs!D156)</f>
        <v>70</v>
      </c>
      <c r="E156" s="87" t="str">
        <f>IF(Coureurs!F156="","",Coureurs!F156)</f>
        <v/>
      </c>
      <c r="F156" s="87" t="str">
        <f>IF(Coureurs!G156="","",Coureurs!G156)</f>
        <v/>
      </c>
      <c r="G156" s="50" t="str">
        <f>IF(Coureurs!J156="","",Coureurs!J156)</f>
        <v/>
      </c>
      <c r="H156" s="25"/>
      <c r="I156" s="41"/>
      <c r="J156" s="8" t="str">
        <f>IF(I156="PM","",IF(H156=0," ",I156-HLOOKUP('Course 2'!H156,'tab2'!$C$3:$N$4,2)))</f>
        <v xml:space="preserve"> </v>
      </c>
      <c r="K156" s="23" t="str">
        <f>IF(I156="PM","",IF(H156=0," ",J156/'Règles et points'!$F$23))</f>
        <v xml:space="preserve"> </v>
      </c>
      <c r="L156" s="3" t="str">
        <f>IF(H156=0,"",IF(I156="PM",30,VLOOKUP(H156,'Règles et points'!$C$5:$AG$19,(HLOOKUP('Course 2'!C156,'Règles et points'!$C$5:$AG$5,1)+1))))</f>
        <v/>
      </c>
      <c r="M156" s="23">
        <f t="shared" si="3"/>
        <v>0</v>
      </c>
      <c r="N156" s="80"/>
      <c r="O156" s="51"/>
      <c r="P156" s="52"/>
    </row>
    <row r="157" spans="2:16" ht="12.75">
      <c r="B157" s="14">
        <v>153</v>
      </c>
      <c r="C157" s="28" t="str">
        <f>IF(Coureurs!C157="","",Coureurs!C157)</f>
        <v/>
      </c>
      <c r="D157" s="131" t="str">
        <f>IF(Coureurs!D157="","",Coureurs!D157)</f>
        <v>70</v>
      </c>
      <c r="E157" s="87" t="str">
        <f>IF(Coureurs!F157="","",Coureurs!F157)</f>
        <v/>
      </c>
      <c r="F157" s="87" t="str">
        <f>IF(Coureurs!G157="","",Coureurs!G157)</f>
        <v/>
      </c>
      <c r="G157" s="50" t="str">
        <f>IF(Coureurs!J157="","",Coureurs!J157)</f>
        <v/>
      </c>
      <c r="H157" s="25"/>
      <c r="I157" s="41"/>
      <c r="J157" s="8" t="str">
        <f>IF(I157="PM","",IF(H157=0," ",I157-HLOOKUP('Course 2'!H157,'tab2'!$C$3:$N$4,2)))</f>
        <v xml:space="preserve"> </v>
      </c>
      <c r="K157" s="23" t="str">
        <f>IF(I157="PM","",IF(H157=0," ",J157/'Règles et points'!$F$23))</f>
        <v xml:space="preserve"> </v>
      </c>
      <c r="L157" s="3" t="str">
        <f>IF(H157=0,"",IF(I157="PM",30,VLOOKUP(H157,'Règles et points'!$C$5:$AG$19,(HLOOKUP('Course 2'!C157,'Règles et points'!$C$5:$AG$5,1)+1))))</f>
        <v/>
      </c>
      <c r="M157" s="23">
        <f t="shared" si="3"/>
        <v>0</v>
      </c>
      <c r="N157" s="80"/>
      <c r="O157" s="51"/>
      <c r="P157" s="52"/>
    </row>
    <row r="158" spans="2:16" ht="12.75">
      <c r="B158" s="14">
        <v>154</v>
      </c>
      <c r="C158" s="28" t="str">
        <f>IF(Coureurs!C158="","",Coureurs!C158)</f>
        <v/>
      </c>
      <c r="D158" s="131" t="str">
        <f>IF(Coureurs!D158="","",Coureurs!D158)</f>
        <v>70</v>
      </c>
      <c r="E158" s="87" t="str">
        <f>IF(Coureurs!F158="","",Coureurs!F158)</f>
        <v/>
      </c>
      <c r="F158" s="87" t="str">
        <f>IF(Coureurs!G158="","",Coureurs!G158)</f>
        <v/>
      </c>
      <c r="G158" s="50" t="str">
        <f>IF(Coureurs!J158="","",Coureurs!J158)</f>
        <v/>
      </c>
      <c r="H158" s="25"/>
      <c r="I158" s="41"/>
      <c r="J158" s="8" t="str">
        <f>IF(I158="PM","",IF(H158=0," ",I158-HLOOKUP('Course 2'!H158,'tab2'!$C$3:$N$4,2)))</f>
        <v xml:space="preserve"> </v>
      </c>
      <c r="K158" s="23" t="str">
        <f>IF(I158="PM","",IF(H158=0," ",J158/'Règles et points'!$F$23))</f>
        <v xml:space="preserve"> </v>
      </c>
      <c r="L158" s="3" t="str">
        <f>IF(H158=0,"",IF(I158="PM",30,VLOOKUP(H158,'Règles et points'!$C$5:$AG$19,(HLOOKUP('Course 2'!C158,'Règles et points'!$C$5:$AG$5,1)+1))))</f>
        <v/>
      </c>
      <c r="M158" s="23">
        <f t="shared" si="3"/>
        <v>0</v>
      </c>
      <c r="N158" s="80"/>
      <c r="O158" s="51"/>
      <c r="P158" s="52"/>
    </row>
    <row r="159" spans="2:16" ht="12.75">
      <c r="B159" s="14">
        <v>155</v>
      </c>
      <c r="C159" s="28" t="str">
        <f>IF(Coureurs!C159="","",Coureurs!C159)</f>
        <v/>
      </c>
      <c r="D159" s="131" t="str">
        <f>IF(Coureurs!D159="","",Coureurs!D159)</f>
        <v>70</v>
      </c>
      <c r="E159" s="87" t="str">
        <f>IF(Coureurs!F159="","",Coureurs!F159)</f>
        <v/>
      </c>
      <c r="F159" s="87" t="str">
        <f>IF(Coureurs!G159="","",Coureurs!G159)</f>
        <v/>
      </c>
      <c r="G159" s="50" t="str">
        <f>IF(Coureurs!J159="","",Coureurs!J159)</f>
        <v/>
      </c>
      <c r="H159" s="25"/>
      <c r="I159" s="41"/>
      <c r="J159" s="8" t="str">
        <f>IF(I159="PM","",IF(H159=0," ",I159-HLOOKUP('Course 2'!H159,'tab2'!$C$3:$N$4,2)))</f>
        <v xml:space="preserve"> </v>
      </c>
      <c r="K159" s="23" t="str">
        <f>IF(I159="PM","",IF(H159=0," ",J159/'Règles et points'!$F$23))</f>
        <v xml:space="preserve"> </v>
      </c>
      <c r="L159" s="3" t="str">
        <f>IF(H159=0,"",IF(I159="PM",30,VLOOKUP(H159,'Règles et points'!$C$5:$AG$19,(HLOOKUP('Course 2'!C159,'Règles et points'!$C$5:$AG$5,1)+1))))</f>
        <v/>
      </c>
      <c r="M159" s="23">
        <f t="shared" si="3"/>
        <v>0</v>
      </c>
      <c r="N159" s="80"/>
      <c r="O159" s="51"/>
      <c r="P159" s="52"/>
    </row>
    <row r="160" spans="2:16" ht="12.75">
      <c r="B160" s="14">
        <v>156</v>
      </c>
      <c r="C160" s="28" t="str">
        <f>IF(Coureurs!C160="","",Coureurs!C160)</f>
        <v/>
      </c>
      <c r="D160" s="131" t="str">
        <f>IF(Coureurs!D160="","",Coureurs!D160)</f>
        <v>70</v>
      </c>
      <c r="E160" s="87" t="str">
        <f>IF(Coureurs!F160="","",Coureurs!F160)</f>
        <v/>
      </c>
      <c r="F160" s="87" t="str">
        <f>IF(Coureurs!G160="","",Coureurs!G160)</f>
        <v/>
      </c>
      <c r="G160" s="50" t="str">
        <f>IF(Coureurs!J160="","",Coureurs!J160)</f>
        <v/>
      </c>
      <c r="H160" s="25"/>
      <c r="I160" s="41"/>
      <c r="J160" s="8" t="str">
        <f>IF(I160="PM","",IF(H160=0," ",I160-HLOOKUP('Course 2'!H160,'tab2'!$C$3:$N$4,2)))</f>
        <v xml:space="preserve"> </v>
      </c>
      <c r="K160" s="23" t="str">
        <f>IF(I160="PM","",IF(H160=0," ",J160/'Règles et points'!$F$23))</f>
        <v xml:space="preserve"> </v>
      </c>
      <c r="L160" s="3" t="str">
        <f>IF(H160=0,"",IF(I160="PM",30,VLOOKUP(H160,'Règles et points'!$C$5:$AG$19,(HLOOKUP('Course 2'!C160,'Règles et points'!$C$5:$AG$5,1)+1))))</f>
        <v/>
      </c>
      <c r="M160" s="23">
        <f t="shared" si="3"/>
        <v>0</v>
      </c>
      <c r="N160" s="80"/>
      <c r="O160" s="51"/>
      <c r="P160" s="52"/>
    </row>
    <row r="161" spans="2:16" ht="12.75">
      <c r="B161" s="14">
        <v>157</v>
      </c>
      <c r="C161" s="28" t="str">
        <f>IF(Coureurs!C161="","",Coureurs!C161)</f>
        <v/>
      </c>
      <c r="D161" s="131" t="str">
        <f>IF(Coureurs!D161="","",Coureurs!D161)</f>
        <v>70</v>
      </c>
      <c r="E161" s="87" t="str">
        <f>IF(Coureurs!F161="","",Coureurs!F161)</f>
        <v/>
      </c>
      <c r="F161" s="87" t="str">
        <f>IF(Coureurs!G161="","",Coureurs!G161)</f>
        <v/>
      </c>
      <c r="G161" s="50" t="str">
        <f>IF(Coureurs!J161="","",Coureurs!J161)</f>
        <v/>
      </c>
      <c r="H161" s="25"/>
      <c r="I161" s="41"/>
      <c r="J161" s="8" t="str">
        <f>IF(I161="PM","",IF(H161=0," ",I161-HLOOKUP('Course 2'!H161,'tab2'!$C$3:$N$4,2)))</f>
        <v xml:space="preserve"> </v>
      </c>
      <c r="K161" s="23" t="str">
        <f>IF(I161="PM","",IF(H161=0," ",J161/'Règles et points'!$F$23))</f>
        <v xml:space="preserve"> </v>
      </c>
      <c r="L161" s="3" t="str">
        <f>IF(H161=0,"",IF(I161="PM",30,VLOOKUP(H161,'Règles et points'!$C$5:$AG$19,(HLOOKUP('Course 2'!C161,'Règles et points'!$C$5:$AG$5,1)+1))))</f>
        <v/>
      </c>
      <c r="M161" s="23">
        <f t="shared" si="3"/>
        <v>0</v>
      </c>
      <c r="N161" s="80"/>
      <c r="O161" s="51"/>
      <c r="P161" s="52"/>
    </row>
    <row r="162" spans="2:16" ht="12.75">
      <c r="B162" s="14">
        <v>158</v>
      </c>
      <c r="C162" s="28" t="str">
        <f>IF(Coureurs!C162="","",Coureurs!C162)</f>
        <v/>
      </c>
      <c r="D162" s="131" t="str">
        <f>IF(Coureurs!D162="","",Coureurs!D162)</f>
        <v>70</v>
      </c>
      <c r="E162" s="87" t="str">
        <f>IF(Coureurs!F162="","",Coureurs!F162)</f>
        <v/>
      </c>
      <c r="F162" s="87" t="str">
        <f>IF(Coureurs!G162="","",Coureurs!G162)</f>
        <v/>
      </c>
      <c r="G162" s="50" t="str">
        <f>IF(Coureurs!J162="","",Coureurs!J162)</f>
        <v/>
      </c>
      <c r="H162" s="25"/>
      <c r="I162" s="41"/>
      <c r="J162" s="8" t="str">
        <f>IF(I162="PM","",IF(H162=0," ",I162-HLOOKUP('Course 2'!H162,'tab2'!$C$3:$N$4,2)))</f>
        <v xml:space="preserve"> </v>
      </c>
      <c r="K162" s="23" t="str">
        <f>IF(I162="PM","",IF(H162=0," ",J162/'Règles et points'!$F$23))</f>
        <v xml:space="preserve"> </v>
      </c>
      <c r="L162" s="3" t="str">
        <f>IF(H162=0,"",IF(I162="PM",30,VLOOKUP(H162,'Règles et points'!$C$5:$AG$19,(HLOOKUP('Course 2'!C162,'Règles et points'!$C$5:$AG$5,1)+1))))</f>
        <v/>
      </c>
      <c r="M162" s="23">
        <f t="shared" si="3"/>
        <v>0</v>
      </c>
      <c r="N162" s="80"/>
      <c r="O162" s="51"/>
      <c r="P162" s="52"/>
    </row>
    <row r="163" spans="2:16" ht="12.75">
      <c r="B163" s="14">
        <v>159</v>
      </c>
      <c r="C163" s="28" t="str">
        <f>IF(Coureurs!C163="","",Coureurs!C163)</f>
        <v/>
      </c>
      <c r="D163" s="131" t="str">
        <f>IF(Coureurs!D163="","",Coureurs!D163)</f>
        <v>70</v>
      </c>
      <c r="E163" s="87" t="str">
        <f>IF(Coureurs!F163="","",Coureurs!F163)</f>
        <v/>
      </c>
      <c r="F163" s="87" t="str">
        <f>IF(Coureurs!G163="","",Coureurs!G163)</f>
        <v/>
      </c>
      <c r="G163" s="50" t="str">
        <f>IF(Coureurs!J163="","",Coureurs!J163)</f>
        <v/>
      </c>
      <c r="H163" s="25"/>
      <c r="I163" s="41"/>
      <c r="J163" s="8" t="str">
        <f>IF(I163="PM","",IF(H163=0," ",I163-HLOOKUP('Course 2'!H163,'tab2'!$C$3:$N$4,2)))</f>
        <v xml:space="preserve"> </v>
      </c>
      <c r="K163" s="23" t="str">
        <f>IF(I163="PM","",IF(H163=0," ",J163/'Règles et points'!$F$23))</f>
        <v xml:space="preserve"> </v>
      </c>
      <c r="L163" s="3" t="str">
        <f>IF(H163=0,"",IF(I163="PM",30,VLOOKUP(H163,'Règles et points'!$C$5:$AG$19,(HLOOKUP('Course 2'!C163,'Règles et points'!$C$5:$AG$5,1)+1))))</f>
        <v/>
      </c>
      <c r="M163" s="23">
        <f t="shared" si="3"/>
        <v>0</v>
      </c>
      <c r="N163" s="80"/>
      <c r="O163" s="51"/>
      <c r="P163" s="52"/>
    </row>
    <row r="164" spans="2:16" ht="12.75">
      <c r="B164" s="14">
        <v>160</v>
      </c>
      <c r="C164" s="28" t="str">
        <f>IF(Coureurs!C164="","",Coureurs!C164)</f>
        <v/>
      </c>
      <c r="D164" s="131" t="str">
        <f>IF(Coureurs!D164="","",Coureurs!D164)</f>
        <v>70</v>
      </c>
      <c r="E164" s="87" t="str">
        <f>IF(Coureurs!F164="","",Coureurs!F164)</f>
        <v/>
      </c>
      <c r="F164" s="87" t="str">
        <f>IF(Coureurs!G164="","",Coureurs!G164)</f>
        <v/>
      </c>
      <c r="G164" s="50" t="str">
        <f>IF(Coureurs!J164="","",Coureurs!J164)</f>
        <v/>
      </c>
      <c r="H164" s="25"/>
      <c r="I164" s="41"/>
      <c r="J164" s="8" t="str">
        <f>IF(I164="PM","",IF(H164=0," ",I164-HLOOKUP('Course 2'!H164,'tab2'!$C$3:$N$4,2)))</f>
        <v xml:space="preserve"> </v>
      </c>
      <c r="K164" s="23" t="str">
        <f>IF(I164="PM","",IF(H164=0," ",J164/'Règles et points'!$F$23))</f>
        <v xml:space="preserve"> </v>
      </c>
      <c r="L164" s="3" t="str">
        <f>IF(H164=0,"",IF(I164="PM",30,VLOOKUP(H164,'Règles et points'!$C$5:$AG$19,(HLOOKUP('Course 2'!C164,'Règles et points'!$C$5:$AG$5,1)+1))))</f>
        <v/>
      </c>
      <c r="M164" s="23">
        <f t="shared" si="3"/>
        <v>0</v>
      </c>
      <c r="N164" s="80"/>
      <c r="O164" s="51"/>
      <c r="P164" s="52"/>
    </row>
    <row r="165" spans="2:16" ht="12.75">
      <c r="B165" s="14">
        <v>161</v>
      </c>
      <c r="C165" s="28" t="str">
        <f>IF(Coureurs!C165="","",Coureurs!C165)</f>
        <v/>
      </c>
      <c r="D165" s="131" t="str">
        <f>IF(Coureurs!D165="","",Coureurs!D165)</f>
        <v>70</v>
      </c>
      <c r="E165" s="87" t="str">
        <f>IF(Coureurs!F165="","",Coureurs!F165)</f>
        <v/>
      </c>
      <c r="F165" s="87" t="str">
        <f>IF(Coureurs!G165="","",Coureurs!G165)</f>
        <v/>
      </c>
      <c r="G165" s="50" t="str">
        <f>IF(Coureurs!J165="","",Coureurs!J165)</f>
        <v/>
      </c>
      <c r="H165" s="25"/>
      <c r="I165" s="41"/>
      <c r="J165" s="8" t="str">
        <f>IF(I165="PM","",IF(H165=0," ",I165-HLOOKUP('Course 2'!H165,'tab2'!$C$3:$N$4,2)))</f>
        <v xml:space="preserve"> </v>
      </c>
      <c r="K165" s="23" t="str">
        <f>IF(I165="PM","",IF(H165=0," ",J165/'Règles et points'!$F$23))</f>
        <v xml:space="preserve"> </v>
      </c>
      <c r="L165" s="3" t="str">
        <f>IF(H165=0,"",IF(I165="PM",30,VLOOKUP(H165,'Règles et points'!$C$5:$AG$19,(HLOOKUP('Course 2'!C165,'Règles et points'!$C$5:$AG$5,1)+1))))</f>
        <v/>
      </c>
      <c r="M165" s="23">
        <f t="shared" si="3"/>
        <v>0</v>
      </c>
      <c r="N165" s="80"/>
      <c r="O165" s="51"/>
      <c r="P165" s="52"/>
    </row>
    <row r="166" spans="2:16" ht="12.75">
      <c r="B166" s="14">
        <v>162</v>
      </c>
      <c r="C166" s="28" t="str">
        <f>IF(Coureurs!C166="","",Coureurs!C166)</f>
        <v/>
      </c>
      <c r="D166" s="131" t="str">
        <f>IF(Coureurs!D166="","",Coureurs!D166)</f>
        <v>70</v>
      </c>
      <c r="E166" s="87" t="str">
        <f>IF(Coureurs!F166="","",Coureurs!F166)</f>
        <v/>
      </c>
      <c r="F166" s="87" t="str">
        <f>IF(Coureurs!G166="","",Coureurs!G166)</f>
        <v/>
      </c>
      <c r="G166" s="50" t="str">
        <f>IF(Coureurs!J166="","",Coureurs!J166)</f>
        <v/>
      </c>
      <c r="H166" s="25"/>
      <c r="I166" s="41"/>
      <c r="J166" s="8" t="str">
        <f>IF(I166="PM","",IF(H166=0," ",I166-HLOOKUP('Course 2'!H166,'tab2'!$C$3:$N$4,2)))</f>
        <v xml:space="preserve"> </v>
      </c>
      <c r="K166" s="23" t="str">
        <f>IF(I166="PM","",IF(H166=0," ",J166/'Règles et points'!$F$23))</f>
        <v xml:space="preserve"> </v>
      </c>
      <c r="L166" s="3" t="str">
        <f>IF(H166=0,"",IF(I166="PM",30,VLOOKUP(H166,'Règles et points'!$C$5:$AG$19,(HLOOKUP('Course 2'!C166,'Règles et points'!$C$5:$AG$5,1)+1))))</f>
        <v/>
      </c>
      <c r="M166" s="23">
        <f t="shared" si="3"/>
        <v>0</v>
      </c>
      <c r="N166" s="80"/>
      <c r="O166" s="51"/>
      <c r="P166" s="52"/>
    </row>
    <row r="167" spans="2:16" ht="12.75">
      <c r="B167" s="14">
        <v>163</v>
      </c>
      <c r="C167" s="28" t="str">
        <f>IF(Coureurs!C167="","",Coureurs!C167)</f>
        <v/>
      </c>
      <c r="D167" s="131" t="str">
        <f>IF(Coureurs!D167="","",Coureurs!D167)</f>
        <v>70</v>
      </c>
      <c r="E167" s="87" t="str">
        <f>IF(Coureurs!F167="","",Coureurs!F167)</f>
        <v/>
      </c>
      <c r="F167" s="87" t="str">
        <f>IF(Coureurs!G167="","",Coureurs!G167)</f>
        <v/>
      </c>
      <c r="G167" s="50" t="str">
        <f>IF(Coureurs!J167="","",Coureurs!J167)</f>
        <v/>
      </c>
      <c r="H167" s="25"/>
      <c r="I167" s="41"/>
      <c r="J167" s="8" t="str">
        <f>IF(I167="PM","",IF(H167=0," ",I167-HLOOKUP('Course 2'!H167,'tab2'!$C$3:$N$4,2)))</f>
        <v xml:space="preserve"> </v>
      </c>
      <c r="K167" s="23" t="str">
        <f>IF(I167="PM","",IF(H167=0," ",J167/'Règles et points'!$F$23))</f>
        <v xml:space="preserve"> </v>
      </c>
      <c r="L167" s="3" t="str">
        <f>IF(H167=0,"",IF(I167="PM",30,VLOOKUP(H167,'Règles et points'!$C$5:$AG$19,(HLOOKUP('Course 2'!C167,'Règles et points'!$C$5:$AG$5,1)+1))))</f>
        <v/>
      </c>
      <c r="M167" s="23">
        <f t="shared" si="3"/>
        <v>0</v>
      </c>
      <c r="N167" s="80"/>
      <c r="O167" s="51"/>
      <c r="P167" s="52"/>
    </row>
    <row r="168" spans="2:16" ht="12.75">
      <c r="B168" s="14">
        <v>164</v>
      </c>
      <c r="C168" s="28" t="str">
        <f>IF(Coureurs!C168="","",Coureurs!C168)</f>
        <v/>
      </c>
      <c r="D168" s="131" t="str">
        <f>IF(Coureurs!D168="","",Coureurs!D168)</f>
        <v>70</v>
      </c>
      <c r="E168" s="87" t="str">
        <f>IF(Coureurs!F168="","",Coureurs!F168)</f>
        <v/>
      </c>
      <c r="F168" s="87" t="str">
        <f>IF(Coureurs!G168="","",Coureurs!G168)</f>
        <v/>
      </c>
      <c r="G168" s="50" t="str">
        <f>IF(Coureurs!J168="","",Coureurs!J168)</f>
        <v/>
      </c>
      <c r="H168" s="25"/>
      <c r="I168" s="41"/>
      <c r="J168" s="8" t="str">
        <f>IF(I168="PM","",IF(H168=0," ",I168-HLOOKUP('Course 2'!H168,'tab2'!$C$3:$N$4,2)))</f>
        <v xml:space="preserve"> </v>
      </c>
      <c r="K168" s="23" t="str">
        <f>IF(I168="PM","",IF(H168=0," ",J168/'Règles et points'!$F$23))</f>
        <v xml:space="preserve"> </v>
      </c>
      <c r="L168" s="3" t="str">
        <f>IF(H168=0,"",IF(I168="PM",30,VLOOKUP(H168,'Règles et points'!$C$5:$AG$19,(HLOOKUP('Course 2'!C168,'Règles et points'!$C$5:$AG$5,1)+1))))</f>
        <v/>
      </c>
      <c r="M168" s="23">
        <f t="shared" si="3"/>
        <v>0</v>
      </c>
      <c r="N168" s="80"/>
      <c r="O168" s="51"/>
      <c r="P168" s="52"/>
    </row>
    <row r="169" spans="2:16" ht="12.75">
      <c r="B169" s="14">
        <v>165</v>
      </c>
      <c r="C169" s="28" t="str">
        <f>IF(Coureurs!C169="","",Coureurs!C169)</f>
        <v/>
      </c>
      <c r="D169" s="131" t="str">
        <f>IF(Coureurs!D169="","",Coureurs!D169)</f>
        <v>70</v>
      </c>
      <c r="E169" s="87" t="str">
        <f>IF(Coureurs!F169="","",Coureurs!F169)</f>
        <v/>
      </c>
      <c r="F169" s="87" t="str">
        <f>IF(Coureurs!G169="","",Coureurs!G169)</f>
        <v/>
      </c>
      <c r="G169" s="50" t="str">
        <f>IF(Coureurs!J169="","",Coureurs!J169)</f>
        <v/>
      </c>
      <c r="H169" s="25"/>
      <c r="I169" s="41"/>
      <c r="J169" s="8" t="str">
        <f>IF(I169="PM","",IF(H169=0," ",I169-HLOOKUP('Course 2'!H169,'tab2'!$C$3:$N$4,2)))</f>
        <v xml:space="preserve"> </v>
      </c>
      <c r="K169" s="23" t="str">
        <f>IF(I169="PM","",IF(H169=0," ",J169/'Règles et points'!$F$23))</f>
        <v xml:space="preserve"> </v>
      </c>
      <c r="L169" s="3" t="str">
        <f>IF(H169=0,"",IF(I169="PM",30,VLOOKUP(H169,'Règles et points'!$C$5:$AG$19,(HLOOKUP('Course 2'!C169,'Règles et points'!$C$5:$AG$5,1)+1))))</f>
        <v/>
      </c>
      <c r="M169" s="23">
        <f t="shared" si="3"/>
        <v>0</v>
      </c>
      <c r="N169" s="80"/>
      <c r="O169" s="51"/>
      <c r="P169" s="52"/>
    </row>
    <row r="170" spans="2:16" ht="12.75">
      <c r="B170" s="14">
        <v>166</v>
      </c>
      <c r="C170" s="28" t="str">
        <f>IF(Coureurs!C170="","",Coureurs!C170)</f>
        <v/>
      </c>
      <c r="D170" s="131" t="str">
        <f>IF(Coureurs!D170="","",Coureurs!D170)</f>
        <v>70</v>
      </c>
      <c r="E170" s="87" t="str">
        <f>IF(Coureurs!F170="","",Coureurs!F170)</f>
        <v/>
      </c>
      <c r="F170" s="87" t="str">
        <f>IF(Coureurs!G170="","",Coureurs!G170)</f>
        <v/>
      </c>
      <c r="G170" s="50" t="str">
        <f>IF(Coureurs!J170="","",Coureurs!J170)</f>
        <v/>
      </c>
      <c r="H170" s="25"/>
      <c r="I170" s="41"/>
      <c r="J170" s="8" t="str">
        <f>IF(I170="PM","",IF(H170=0," ",I170-HLOOKUP('Course 2'!H170,'tab2'!$C$3:$N$4,2)))</f>
        <v xml:space="preserve"> </v>
      </c>
      <c r="K170" s="23" t="str">
        <f>IF(I170="PM","",IF(H170=0," ",J170/'Règles et points'!$F$23))</f>
        <v xml:space="preserve"> </v>
      </c>
      <c r="L170" s="3" t="str">
        <f>IF(H170=0,"",IF(I170="PM",30,VLOOKUP(H170,'Règles et points'!$C$5:$AG$19,(HLOOKUP('Course 2'!C170,'Règles et points'!$C$5:$AG$5,1)+1))))</f>
        <v/>
      </c>
      <c r="M170" s="23">
        <f t="shared" si="3"/>
        <v>0</v>
      </c>
      <c r="N170" s="80"/>
      <c r="O170" s="51"/>
      <c r="P170" s="52"/>
    </row>
    <row r="171" spans="2:16" ht="12.75">
      <c r="B171" s="14">
        <v>167</v>
      </c>
      <c r="C171" s="28" t="str">
        <f>IF(Coureurs!C171="","",Coureurs!C171)</f>
        <v/>
      </c>
      <c r="D171" s="131" t="str">
        <f>IF(Coureurs!D171="","",Coureurs!D171)</f>
        <v>70</v>
      </c>
      <c r="E171" s="87" t="str">
        <f>IF(Coureurs!F171="","",Coureurs!F171)</f>
        <v/>
      </c>
      <c r="F171" s="87" t="str">
        <f>IF(Coureurs!G171="","",Coureurs!G171)</f>
        <v/>
      </c>
      <c r="G171" s="50" t="str">
        <f>IF(Coureurs!J171="","",Coureurs!J171)</f>
        <v/>
      </c>
      <c r="H171" s="25"/>
      <c r="I171" s="41"/>
      <c r="J171" s="8" t="str">
        <f>IF(I171="PM","",IF(H171=0," ",I171-HLOOKUP('Course 2'!H171,'tab2'!$C$3:$N$4,2)))</f>
        <v xml:space="preserve"> </v>
      </c>
      <c r="K171" s="23" t="str">
        <f>IF(I171="PM","",IF(H171=0," ",J171/'Règles et points'!$F$23))</f>
        <v xml:space="preserve"> </v>
      </c>
      <c r="L171" s="3" t="str">
        <f>IF(H171=0,"",IF(I171="PM",30,VLOOKUP(H171,'Règles et points'!$C$5:$AG$19,(HLOOKUP('Course 2'!C171,'Règles et points'!$C$5:$AG$5,1)+1))))</f>
        <v/>
      </c>
      <c r="M171" s="23">
        <f t="shared" si="3"/>
        <v>0</v>
      </c>
      <c r="N171" s="80"/>
      <c r="O171" s="51"/>
      <c r="P171" s="52"/>
    </row>
    <row r="172" spans="2:16" ht="12.75">
      <c r="B172" s="14">
        <v>168</v>
      </c>
      <c r="C172" s="28" t="str">
        <f>IF(Coureurs!C172="","",Coureurs!C172)</f>
        <v/>
      </c>
      <c r="D172" s="131" t="str">
        <f>IF(Coureurs!D172="","",Coureurs!D172)</f>
        <v>70</v>
      </c>
      <c r="E172" s="87" t="str">
        <f>IF(Coureurs!F172="","",Coureurs!F172)</f>
        <v/>
      </c>
      <c r="F172" s="87" t="str">
        <f>IF(Coureurs!G172="","",Coureurs!G172)</f>
        <v/>
      </c>
      <c r="G172" s="50" t="str">
        <f>IF(Coureurs!J172="","",Coureurs!J172)</f>
        <v/>
      </c>
      <c r="H172" s="25"/>
      <c r="I172" s="41"/>
      <c r="J172" s="8" t="str">
        <f>IF(I172="PM","",IF(H172=0," ",I172-HLOOKUP('Course 2'!H172,'tab2'!$C$3:$N$4,2)))</f>
        <v xml:space="preserve"> </v>
      </c>
      <c r="K172" s="23" t="str">
        <f>IF(I172="PM","",IF(H172=0," ",J172/'Règles et points'!$F$23))</f>
        <v xml:space="preserve"> </v>
      </c>
      <c r="L172" s="3" t="str">
        <f>IF(H172=0,"",IF(I172="PM",30,VLOOKUP(H172,'Règles et points'!$C$5:$AG$19,(HLOOKUP('Course 2'!C172,'Règles et points'!$C$5:$AG$5,1)+1))))</f>
        <v/>
      </c>
      <c r="M172" s="23">
        <f t="shared" si="3"/>
        <v>0</v>
      </c>
      <c r="N172" s="80"/>
      <c r="O172" s="51"/>
      <c r="P172" s="52"/>
    </row>
    <row r="173" spans="2:16" ht="12.75">
      <c r="B173" s="14">
        <v>169</v>
      </c>
      <c r="C173" s="28" t="str">
        <f>IF(Coureurs!C173="","",Coureurs!C173)</f>
        <v/>
      </c>
      <c r="D173" s="131" t="str">
        <f>IF(Coureurs!D173="","",Coureurs!D173)</f>
        <v>70</v>
      </c>
      <c r="E173" s="87" t="str">
        <f>IF(Coureurs!F173="","",Coureurs!F173)</f>
        <v/>
      </c>
      <c r="F173" s="87" t="str">
        <f>IF(Coureurs!G173="","",Coureurs!G173)</f>
        <v/>
      </c>
      <c r="G173" s="50" t="str">
        <f>IF(Coureurs!J173="","",Coureurs!J173)</f>
        <v/>
      </c>
      <c r="H173" s="25"/>
      <c r="I173" s="41"/>
      <c r="J173" s="8" t="str">
        <f>IF(I173="PM","",IF(H173=0," ",I173-HLOOKUP('Course 2'!H173,'tab2'!$C$3:$N$4,2)))</f>
        <v xml:space="preserve"> </v>
      </c>
      <c r="K173" s="23" t="str">
        <f>IF(I173="PM","",IF(H173=0," ",J173/'Règles et points'!$F$23))</f>
        <v xml:space="preserve"> </v>
      </c>
      <c r="L173" s="3" t="str">
        <f>IF(H173=0,"",IF(I173="PM",30,VLOOKUP(H173,'Règles et points'!$C$5:$AG$19,(HLOOKUP('Course 2'!C173,'Règles et points'!$C$5:$AG$5,1)+1))))</f>
        <v/>
      </c>
      <c r="M173" s="23">
        <f t="shared" si="3"/>
        <v>0</v>
      </c>
      <c r="N173" s="80"/>
      <c r="O173" s="51"/>
      <c r="P173" s="52"/>
    </row>
    <row r="174" spans="2:16" ht="12.75">
      <c r="B174" s="14">
        <v>170</v>
      </c>
      <c r="C174" s="28" t="str">
        <f>IF(Coureurs!C174="","",Coureurs!C174)</f>
        <v/>
      </c>
      <c r="D174" s="131" t="str">
        <f>IF(Coureurs!D174="","",Coureurs!D174)</f>
        <v>70</v>
      </c>
      <c r="E174" s="87" t="str">
        <f>IF(Coureurs!F174="","",Coureurs!F174)</f>
        <v/>
      </c>
      <c r="F174" s="87" t="str">
        <f>IF(Coureurs!G174="","",Coureurs!G174)</f>
        <v/>
      </c>
      <c r="G174" s="50" t="str">
        <f>IF(Coureurs!J174="","",Coureurs!J174)</f>
        <v/>
      </c>
      <c r="H174" s="25"/>
      <c r="I174" s="41"/>
      <c r="J174" s="8" t="str">
        <f>IF(I174="PM","",IF(H174=0," ",I174-HLOOKUP('Course 2'!H174,'tab2'!$C$3:$N$4,2)))</f>
        <v xml:space="preserve"> </v>
      </c>
      <c r="K174" s="23" t="str">
        <f>IF(I174="PM","",IF(H174=0," ",J174/'Règles et points'!$F$23))</f>
        <v xml:space="preserve"> </v>
      </c>
      <c r="L174" s="3" t="str">
        <f>IF(H174=0,"",IF(I174="PM",30,VLOOKUP(H174,'Règles et points'!$C$5:$AG$19,(HLOOKUP('Course 2'!C174,'Règles et points'!$C$5:$AG$5,1)+1))))</f>
        <v/>
      </c>
      <c r="M174" s="23">
        <f t="shared" si="3"/>
        <v>0</v>
      </c>
      <c r="N174" s="80"/>
      <c r="O174" s="51"/>
      <c r="P174" s="52"/>
    </row>
    <row r="175" spans="2:16" ht="12.75">
      <c r="B175" s="14">
        <v>171</v>
      </c>
      <c r="C175" s="28" t="str">
        <f>IF(Coureurs!C175="","",Coureurs!C175)</f>
        <v/>
      </c>
      <c r="D175" s="131" t="str">
        <f>IF(Coureurs!D175="","",Coureurs!D175)</f>
        <v>70</v>
      </c>
      <c r="E175" s="87" t="str">
        <f>IF(Coureurs!F175="","",Coureurs!F175)</f>
        <v/>
      </c>
      <c r="F175" s="87" t="str">
        <f>IF(Coureurs!G175="","",Coureurs!G175)</f>
        <v/>
      </c>
      <c r="G175" s="50" t="str">
        <f>IF(Coureurs!J175="","",Coureurs!J175)</f>
        <v/>
      </c>
      <c r="H175" s="25"/>
      <c r="I175" s="41"/>
      <c r="J175" s="8" t="str">
        <f>IF(I175="PM","",IF(H175=0," ",I175-HLOOKUP('Course 2'!H175,'tab2'!$C$3:$N$4,2)))</f>
        <v xml:space="preserve"> </v>
      </c>
      <c r="K175" s="23" t="str">
        <f>IF(I175="PM","",IF(H175=0," ",J175/'Règles et points'!$F$23))</f>
        <v xml:space="preserve"> </v>
      </c>
      <c r="L175" s="3" t="str">
        <f>IF(H175=0,"",IF(I175="PM",30,VLOOKUP(H175,'Règles et points'!$C$5:$AG$19,(HLOOKUP('Course 2'!C175,'Règles et points'!$C$5:$AG$5,1)+1))))</f>
        <v/>
      </c>
      <c r="M175" s="23">
        <f t="shared" si="3"/>
        <v>0</v>
      </c>
      <c r="N175" s="80"/>
      <c r="O175" s="51"/>
      <c r="P175" s="52"/>
    </row>
    <row r="176" spans="2:16" ht="12.75">
      <c r="B176" s="14">
        <v>172</v>
      </c>
      <c r="C176" s="28" t="str">
        <f>IF(Coureurs!C176="","",Coureurs!C176)</f>
        <v/>
      </c>
      <c r="D176" s="131" t="str">
        <f>IF(Coureurs!D176="","",Coureurs!D176)</f>
        <v>70</v>
      </c>
      <c r="E176" s="87" t="str">
        <f>IF(Coureurs!F176="","",Coureurs!F176)</f>
        <v/>
      </c>
      <c r="F176" s="87" t="str">
        <f>IF(Coureurs!G176="","",Coureurs!G176)</f>
        <v/>
      </c>
      <c r="G176" s="50" t="str">
        <f>IF(Coureurs!J176="","",Coureurs!J176)</f>
        <v/>
      </c>
      <c r="H176" s="25"/>
      <c r="I176" s="41"/>
      <c r="J176" s="8" t="str">
        <f>IF(I176="PM","",IF(H176=0," ",I176-HLOOKUP('Course 2'!H176,'tab2'!$C$3:$N$4,2)))</f>
        <v xml:space="preserve"> </v>
      </c>
      <c r="K176" s="23" t="str">
        <f>IF(I176="PM","",IF(H176=0," ",J176/'Règles et points'!$F$23))</f>
        <v xml:space="preserve"> </v>
      </c>
      <c r="L176" s="3" t="str">
        <f>IF(H176=0,"",IF(I176="PM",30,VLOOKUP(H176,'Règles et points'!$C$5:$AG$19,(HLOOKUP('Course 2'!C176,'Règles et points'!$C$5:$AG$5,1)+1))))</f>
        <v/>
      </c>
      <c r="M176" s="23">
        <f t="shared" si="3"/>
        <v>0</v>
      </c>
      <c r="N176" s="80"/>
      <c r="O176" s="51"/>
      <c r="P176" s="52"/>
    </row>
    <row r="177" spans="2:16" ht="12.75">
      <c r="B177" s="14">
        <v>173</v>
      </c>
      <c r="C177" s="28" t="str">
        <f>IF(Coureurs!C177="","",Coureurs!C177)</f>
        <v/>
      </c>
      <c r="D177" s="131" t="str">
        <f>IF(Coureurs!D177="","",Coureurs!D177)</f>
        <v>70</v>
      </c>
      <c r="E177" s="87" t="str">
        <f>IF(Coureurs!F177="","",Coureurs!F177)</f>
        <v/>
      </c>
      <c r="F177" s="87" t="str">
        <f>IF(Coureurs!G177="","",Coureurs!G177)</f>
        <v/>
      </c>
      <c r="G177" s="50" t="str">
        <f>IF(Coureurs!J177="","",Coureurs!J177)</f>
        <v/>
      </c>
      <c r="H177" s="25"/>
      <c r="I177" s="41"/>
      <c r="J177" s="8" t="str">
        <f>IF(I177="PM","",IF(H177=0," ",I177-HLOOKUP('Course 2'!H177,'tab2'!$C$3:$N$4,2)))</f>
        <v xml:space="preserve"> </v>
      </c>
      <c r="K177" s="23" t="str">
        <f>IF(I177="PM","",IF(H177=0," ",J177/'Règles et points'!$F$23))</f>
        <v xml:space="preserve"> </v>
      </c>
      <c r="L177" s="3" t="str">
        <f>IF(H177=0,"",IF(I177="PM",30,VLOOKUP(H177,'Règles et points'!$C$5:$AG$19,(HLOOKUP('Course 2'!C177,'Règles et points'!$C$5:$AG$5,1)+1))))</f>
        <v/>
      </c>
      <c r="M177" s="23">
        <f t="shared" si="3"/>
        <v>0</v>
      </c>
      <c r="N177" s="80"/>
      <c r="O177" s="51"/>
      <c r="P177" s="52"/>
    </row>
    <row r="178" spans="2:16" ht="12.75">
      <c r="B178" s="14">
        <v>174</v>
      </c>
      <c r="C178" s="28" t="str">
        <f>IF(Coureurs!C178="","",Coureurs!C178)</f>
        <v/>
      </c>
      <c r="D178" s="131" t="str">
        <f>IF(Coureurs!D178="","",Coureurs!D178)</f>
        <v>70</v>
      </c>
      <c r="E178" s="87" t="str">
        <f>IF(Coureurs!F178="","",Coureurs!F178)</f>
        <v/>
      </c>
      <c r="F178" s="87" t="str">
        <f>IF(Coureurs!G178="","",Coureurs!G178)</f>
        <v/>
      </c>
      <c r="G178" s="50" t="str">
        <f>IF(Coureurs!J178="","",Coureurs!J178)</f>
        <v/>
      </c>
      <c r="H178" s="25"/>
      <c r="I178" s="41"/>
      <c r="J178" s="8" t="str">
        <f>IF(I178="PM","",IF(H178=0," ",I178-HLOOKUP('Course 2'!H178,'tab2'!$C$3:$N$4,2)))</f>
        <v xml:space="preserve"> </v>
      </c>
      <c r="K178" s="23" t="str">
        <f>IF(I178="PM","",IF(H178=0," ",J178/'Règles et points'!$F$23))</f>
        <v xml:space="preserve"> </v>
      </c>
      <c r="L178" s="3" t="str">
        <f>IF(H178=0,"",IF(I178="PM",30,VLOOKUP(H178,'Règles et points'!$C$5:$AG$19,(HLOOKUP('Course 2'!C178,'Règles et points'!$C$5:$AG$5,1)+1))))</f>
        <v/>
      </c>
      <c r="M178" s="23">
        <f t="shared" si="3"/>
        <v>0</v>
      </c>
      <c r="N178" s="80"/>
      <c r="O178" s="51"/>
      <c r="P178" s="52"/>
    </row>
    <row r="179" spans="2:16" ht="12.75">
      <c r="B179" s="14">
        <v>175</v>
      </c>
      <c r="C179" s="28" t="str">
        <f>IF(Coureurs!C179="","",Coureurs!C179)</f>
        <v/>
      </c>
      <c r="D179" s="131" t="str">
        <f>IF(Coureurs!D179="","",Coureurs!D179)</f>
        <v>70</v>
      </c>
      <c r="E179" s="87" t="str">
        <f>IF(Coureurs!F179="","",Coureurs!F179)</f>
        <v/>
      </c>
      <c r="F179" s="87" t="str">
        <f>IF(Coureurs!G179="","",Coureurs!G179)</f>
        <v/>
      </c>
      <c r="G179" s="50" t="str">
        <f>IF(Coureurs!J179="","",Coureurs!J179)</f>
        <v/>
      </c>
      <c r="H179" s="25"/>
      <c r="I179" s="41"/>
      <c r="J179" s="8" t="str">
        <f>IF(I179="PM","",IF(H179=0," ",I179-HLOOKUP('Course 2'!H179,'tab2'!$C$3:$N$4,2)))</f>
        <v xml:space="preserve"> </v>
      </c>
      <c r="K179" s="23" t="str">
        <f>IF(I179="PM","",IF(H179=0," ",J179/'Règles et points'!$F$23))</f>
        <v xml:space="preserve"> </v>
      </c>
      <c r="L179" s="3" t="str">
        <f>IF(H179=0,"",IF(I179="PM",30,VLOOKUP(H179,'Règles et points'!$C$5:$AG$19,(HLOOKUP('Course 2'!C179,'Règles et points'!$C$5:$AG$5,1)+1))))</f>
        <v/>
      </c>
      <c r="M179" s="23">
        <f t="shared" si="3"/>
        <v>0</v>
      </c>
      <c r="N179" s="80"/>
      <c r="O179" s="51"/>
      <c r="P179" s="52"/>
    </row>
    <row r="180" spans="2:16" ht="12.75">
      <c r="B180" s="14">
        <v>176</v>
      </c>
      <c r="C180" s="28" t="str">
        <f>IF(Coureurs!C180="","",Coureurs!C180)</f>
        <v/>
      </c>
      <c r="D180" s="131" t="str">
        <f>IF(Coureurs!D180="","",Coureurs!D180)</f>
        <v>70</v>
      </c>
      <c r="E180" s="87" t="str">
        <f>IF(Coureurs!F180="","",Coureurs!F180)</f>
        <v/>
      </c>
      <c r="F180" s="87" t="str">
        <f>IF(Coureurs!G180="","",Coureurs!G180)</f>
        <v/>
      </c>
      <c r="G180" s="50" t="str">
        <f>IF(Coureurs!J180="","",Coureurs!J180)</f>
        <v/>
      </c>
      <c r="H180" s="25"/>
      <c r="I180" s="41"/>
      <c r="J180" s="8" t="str">
        <f>IF(I180="PM","",IF(H180=0," ",I180-HLOOKUP('Course 2'!H180,'tab2'!$C$3:$N$4,2)))</f>
        <v xml:space="preserve"> </v>
      </c>
      <c r="K180" s="23" t="str">
        <f>IF(I180="PM","",IF(H180=0," ",J180/'Règles et points'!$F$23))</f>
        <v xml:space="preserve"> </v>
      </c>
      <c r="L180" s="3" t="str">
        <f>IF(H180=0,"",IF(I180="PM",30,VLOOKUP(H180,'Règles et points'!$C$5:$AG$19,(HLOOKUP('Course 2'!C180,'Règles et points'!$C$5:$AG$5,1)+1))))</f>
        <v/>
      </c>
      <c r="M180" s="23">
        <f t="shared" si="3"/>
        <v>0</v>
      </c>
      <c r="N180" s="80"/>
      <c r="O180" s="51"/>
      <c r="P180" s="52"/>
    </row>
    <row r="181" spans="2:16" ht="12.75">
      <c r="B181" s="14">
        <v>177</v>
      </c>
      <c r="C181" s="28" t="str">
        <f>IF(Coureurs!C181="","",Coureurs!C181)</f>
        <v/>
      </c>
      <c r="D181" s="131" t="str">
        <f>IF(Coureurs!D181="","",Coureurs!D181)</f>
        <v>70</v>
      </c>
      <c r="E181" s="87" t="str">
        <f>IF(Coureurs!F181="","",Coureurs!F181)</f>
        <v/>
      </c>
      <c r="F181" s="87" t="str">
        <f>IF(Coureurs!G181="","",Coureurs!G181)</f>
        <v/>
      </c>
      <c r="G181" s="50" t="str">
        <f>IF(Coureurs!J181="","",Coureurs!J181)</f>
        <v/>
      </c>
      <c r="H181" s="25"/>
      <c r="I181" s="41"/>
      <c r="J181" s="8" t="str">
        <f>IF(I181="PM","",IF(H181=0," ",I181-HLOOKUP('Course 2'!H181,'tab2'!$C$3:$N$4,2)))</f>
        <v xml:space="preserve"> </v>
      </c>
      <c r="K181" s="23" t="str">
        <f>IF(I181="PM","",IF(H181=0," ",J181/'Règles et points'!$F$23))</f>
        <v xml:space="preserve"> </v>
      </c>
      <c r="L181" s="3" t="str">
        <f>IF(H181=0,"",IF(I181="PM",30,VLOOKUP(H181,'Règles et points'!$C$5:$AG$19,(HLOOKUP('Course 2'!C181,'Règles et points'!$C$5:$AG$5,1)+1))))</f>
        <v/>
      </c>
      <c r="M181" s="23">
        <f t="shared" si="3"/>
        <v>0</v>
      </c>
      <c r="N181" s="80"/>
      <c r="O181" s="51"/>
      <c r="P181" s="52"/>
    </row>
    <row r="182" spans="2:16" ht="12.75">
      <c r="B182" s="14">
        <v>178</v>
      </c>
      <c r="C182" s="28" t="str">
        <f>IF(Coureurs!C182="","",Coureurs!C182)</f>
        <v/>
      </c>
      <c r="D182" s="131" t="str">
        <f>IF(Coureurs!D182="","",Coureurs!D182)</f>
        <v>70</v>
      </c>
      <c r="E182" s="87" t="str">
        <f>IF(Coureurs!F182="","",Coureurs!F182)</f>
        <v/>
      </c>
      <c r="F182" s="87" t="str">
        <f>IF(Coureurs!G182="","",Coureurs!G182)</f>
        <v/>
      </c>
      <c r="G182" s="50" t="str">
        <f>IF(Coureurs!J182="","",Coureurs!J182)</f>
        <v/>
      </c>
      <c r="H182" s="25"/>
      <c r="I182" s="41"/>
      <c r="J182" s="8" t="str">
        <f>IF(I182="PM","",IF(H182=0," ",I182-HLOOKUP('Course 2'!H182,'tab2'!$C$3:$N$4,2)))</f>
        <v xml:space="preserve"> </v>
      </c>
      <c r="K182" s="23" t="str">
        <f>IF(I182="PM","",IF(H182=0," ",J182/'Règles et points'!$F$23))</f>
        <v xml:space="preserve"> </v>
      </c>
      <c r="L182" s="3" t="str">
        <f>IF(H182=0,"",IF(I182="PM",30,VLOOKUP(H182,'Règles et points'!$C$5:$AG$19,(HLOOKUP('Course 2'!C182,'Règles et points'!$C$5:$AG$5,1)+1))))</f>
        <v/>
      </c>
      <c r="M182" s="23">
        <f t="shared" si="3"/>
        <v>0</v>
      </c>
      <c r="N182" s="80"/>
      <c r="O182" s="51"/>
      <c r="P182" s="52"/>
    </row>
    <row r="183" spans="2:16" ht="12.75">
      <c r="B183" s="14">
        <v>179</v>
      </c>
      <c r="C183" s="28" t="str">
        <f>IF(Coureurs!C183="","",Coureurs!C183)</f>
        <v/>
      </c>
      <c r="D183" s="131" t="str">
        <f>IF(Coureurs!D183="","",Coureurs!D183)</f>
        <v>70</v>
      </c>
      <c r="E183" s="87" t="str">
        <f>IF(Coureurs!F183="","",Coureurs!F183)</f>
        <v/>
      </c>
      <c r="F183" s="87" t="str">
        <f>IF(Coureurs!G183="","",Coureurs!G183)</f>
        <v/>
      </c>
      <c r="G183" s="50" t="str">
        <f>IF(Coureurs!J183="","",Coureurs!J183)</f>
        <v/>
      </c>
      <c r="H183" s="25"/>
      <c r="I183" s="41"/>
      <c r="J183" s="8" t="str">
        <f>IF(I183="PM","",IF(H183=0," ",I183-HLOOKUP('Course 2'!H183,'tab2'!$C$3:$N$4,2)))</f>
        <v xml:space="preserve"> </v>
      </c>
      <c r="K183" s="23" t="str">
        <f>IF(I183="PM","",IF(H183=0," ",J183/'Règles et points'!$F$23))</f>
        <v xml:space="preserve"> </v>
      </c>
      <c r="L183" s="3" t="str">
        <f>IF(H183=0,"",IF(I183="PM",30,VLOOKUP(H183,'Règles et points'!$C$5:$AG$19,(HLOOKUP('Course 2'!C183,'Règles et points'!$C$5:$AG$5,1)+1))))</f>
        <v/>
      </c>
      <c r="M183" s="23">
        <f t="shared" si="3"/>
        <v>0</v>
      </c>
      <c r="N183" s="80"/>
      <c r="O183" s="51"/>
      <c r="P183" s="52"/>
    </row>
    <row r="184" spans="2:16" ht="12.75">
      <c r="B184" s="14">
        <v>180</v>
      </c>
      <c r="C184" s="28" t="str">
        <f>IF(Coureurs!C184="","",Coureurs!C184)</f>
        <v/>
      </c>
      <c r="D184" s="131" t="str">
        <f>IF(Coureurs!D184="","",Coureurs!D184)</f>
        <v>70</v>
      </c>
      <c r="E184" s="87" t="str">
        <f>IF(Coureurs!F184="","",Coureurs!F184)</f>
        <v/>
      </c>
      <c r="F184" s="87" t="str">
        <f>IF(Coureurs!G184="","",Coureurs!G184)</f>
        <v/>
      </c>
      <c r="G184" s="50" t="str">
        <f>IF(Coureurs!J184="","",Coureurs!J184)</f>
        <v/>
      </c>
      <c r="H184" s="25"/>
      <c r="I184" s="41"/>
      <c r="J184" s="8" t="str">
        <f>IF(I184="PM","",IF(H184=0," ",I184-HLOOKUP('Course 2'!H184,'tab2'!$C$3:$N$4,2)))</f>
        <v xml:space="preserve"> </v>
      </c>
      <c r="K184" s="23" t="str">
        <f>IF(I184="PM","",IF(H184=0," ",J184/'Règles et points'!$F$23))</f>
        <v xml:space="preserve"> </v>
      </c>
      <c r="L184" s="3" t="str">
        <f>IF(H184=0,"",IF(I184="PM",30,VLOOKUP(H184,'Règles et points'!$C$5:$AG$19,(HLOOKUP('Course 2'!C184,'Règles et points'!$C$5:$AG$5,1)+1))))</f>
        <v/>
      </c>
      <c r="M184" s="23">
        <f t="shared" si="3"/>
        <v>0</v>
      </c>
      <c r="N184" s="80"/>
      <c r="O184" s="51"/>
      <c r="P184" s="52"/>
    </row>
    <row r="185" spans="2:16" ht="12.75">
      <c r="B185" s="14">
        <v>181</v>
      </c>
      <c r="C185" s="28" t="str">
        <f>IF(Coureurs!C185="","",Coureurs!C185)</f>
        <v/>
      </c>
      <c r="D185" s="131" t="str">
        <f>IF(Coureurs!D185="","",Coureurs!D185)</f>
        <v>70</v>
      </c>
      <c r="E185" s="87" t="str">
        <f>IF(Coureurs!F185="","",Coureurs!F185)</f>
        <v/>
      </c>
      <c r="F185" s="87" t="str">
        <f>IF(Coureurs!G185="","",Coureurs!G185)</f>
        <v/>
      </c>
      <c r="G185" s="50" t="str">
        <f>IF(Coureurs!J185="","",Coureurs!J185)</f>
        <v/>
      </c>
      <c r="H185" s="25"/>
      <c r="I185" s="41"/>
      <c r="J185" s="8" t="str">
        <f>IF(I185="PM","",IF(H185=0," ",I185-HLOOKUP('Course 2'!H185,'tab2'!$C$3:$N$4,2)))</f>
        <v xml:space="preserve"> </v>
      </c>
      <c r="K185" s="23" t="str">
        <f>IF(I185="PM","",IF(H185=0," ",J185/'Règles et points'!$F$23))</f>
        <v xml:space="preserve"> </v>
      </c>
      <c r="L185" s="3" t="str">
        <f>IF(H185=0,"",IF(I185="PM",30,VLOOKUP(H185,'Règles et points'!$C$5:$AG$19,(HLOOKUP('Course 2'!C185,'Règles et points'!$C$5:$AG$5,1)+1))))</f>
        <v/>
      </c>
      <c r="M185" s="23">
        <f t="shared" si="3"/>
        <v>0</v>
      </c>
      <c r="N185" s="80"/>
      <c r="O185" s="51"/>
      <c r="P185" s="52"/>
    </row>
    <row r="186" spans="2:16" ht="12.75">
      <c r="B186" s="14">
        <v>182</v>
      </c>
      <c r="C186" s="28" t="str">
        <f>IF(Coureurs!C186="","",Coureurs!C186)</f>
        <v/>
      </c>
      <c r="D186" s="131" t="str">
        <f>IF(Coureurs!D186="","",Coureurs!D186)</f>
        <v>70</v>
      </c>
      <c r="E186" s="87" t="str">
        <f>IF(Coureurs!F186="","",Coureurs!F186)</f>
        <v/>
      </c>
      <c r="F186" s="87" t="str">
        <f>IF(Coureurs!G186="","",Coureurs!G186)</f>
        <v/>
      </c>
      <c r="G186" s="50" t="str">
        <f>IF(Coureurs!J186="","",Coureurs!J186)</f>
        <v/>
      </c>
      <c r="H186" s="25"/>
      <c r="I186" s="41"/>
      <c r="J186" s="8" t="str">
        <f>IF(I186="PM","",IF(H186=0," ",I186-HLOOKUP('Course 2'!H186,'tab2'!$C$3:$N$4,2)))</f>
        <v xml:space="preserve"> </v>
      </c>
      <c r="K186" s="23" t="str">
        <f>IF(I186="PM","",IF(H186=0," ",J186/'Règles et points'!$F$23))</f>
        <v xml:space="preserve"> </v>
      </c>
      <c r="L186" s="3" t="str">
        <f>IF(H186=0,"",IF(I186="PM",30,VLOOKUP(H186,'Règles et points'!$C$5:$AG$19,(HLOOKUP('Course 2'!C186,'Règles et points'!$C$5:$AG$5,1)+1))))</f>
        <v/>
      </c>
      <c r="M186" s="23">
        <f t="shared" si="3"/>
        <v>0</v>
      </c>
      <c r="N186" s="80"/>
      <c r="O186" s="51"/>
      <c r="P186" s="52"/>
    </row>
    <row r="187" spans="2:16" ht="12.75">
      <c r="B187" s="14">
        <v>183</v>
      </c>
      <c r="C187" s="28" t="str">
        <f>IF(Coureurs!C187="","",Coureurs!C187)</f>
        <v/>
      </c>
      <c r="D187" s="131" t="str">
        <f>IF(Coureurs!D187="","",Coureurs!D187)</f>
        <v>70</v>
      </c>
      <c r="E187" s="87" t="str">
        <f>IF(Coureurs!F187="","",Coureurs!F187)</f>
        <v/>
      </c>
      <c r="F187" s="87" t="str">
        <f>IF(Coureurs!G187="","",Coureurs!G187)</f>
        <v/>
      </c>
      <c r="G187" s="50" t="str">
        <f>IF(Coureurs!J187="","",Coureurs!J187)</f>
        <v/>
      </c>
      <c r="H187" s="25"/>
      <c r="I187" s="41"/>
      <c r="J187" s="8" t="str">
        <f>IF(I187="PM","",IF(H187=0," ",I187-HLOOKUP('Course 2'!H187,'tab2'!$C$3:$N$4,2)))</f>
        <v xml:space="preserve"> </v>
      </c>
      <c r="K187" s="23" t="str">
        <f>IF(I187="PM","",IF(H187=0," ",J187/'Règles et points'!$F$23))</f>
        <v xml:space="preserve"> </v>
      </c>
      <c r="L187" s="3" t="str">
        <f>IF(H187=0,"",IF(I187="PM",30,VLOOKUP(H187,'Règles et points'!$C$5:$AG$19,(HLOOKUP('Course 2'!C187,'Règles et points'!$C$5:$AG$5,1)+1))))</f>
        <v/>
      </c>
      <c r="M187" s="23">
        <f t="shared" si="3"/>
        <v>0</v>
      </c>
      <c r="N187" s="80"/>
      <c r="O187" s="51"/>
      <c r="P187" s="52"/>
    </row>
    <row r="188" spans="2:16" ht="12.75">
      <c r="B188" s="14">
        <v>184</v>
      </c>
      <c r="C188" s="28" t="str">
        <f>IF(Coureurs!C188="","",Coureurs!C188)</f>
        <v/>
      </c>
      <c r="D188" s="131" t="str">
        <f>IF(Coureurs!D188="","",Coureurs!D188)</f>
        <v>70</v>
      </c>
      <c r="E188" s="87" t="str">
        <f>IF(Coureurs!F188="","",Coureurs!F188)</f>
        <v/>
      </c>
      <c r="F188" s="87" t="str">
        <f>IF(Coureurs!G188="","",Coureurs!G188)</f>
        <v/>
      </c>
      <c r="G188" s="50" t="str">
        <f>IF(Coureurs!J188="","",Coureurs!J188)</f>
        <v/>
      </c>
      <c r="H188" s="25"/>
      <c r="I188" s="41"/>
      <c r="J188" s="8" t="str">
        <f>IF(I188="PM","",IF(H188=0," ",I188-HLOOKUP('Course 2'!H188,'tab2'!$C$3:$N$4,2)))</f>
        <v xml:space="preserve"> </v>
      </c>
      <c r="K188" s="23" t="str">
        <f>IF(I188="PM","",IF(H188=0," ",J188/'Règles et points'!$F$23))</f>
        <v xml:space="preserve"> </v>
      </c>
      <c r="L188" s="3" t="str">
        <f>IF(H188=0,"",IF(I188="PM",30,VLOOKUP(H188,'Règles et points'!$C$5:$AG$19,(HLOOKUP('Course 2'!C188,'Règles et points'!$C$5:$AG$5,1)+1))))</f>
        <v/>
      </c>
      <c r="M188" s="23">
        <f t="shared" si="3"/>
        <v>0</v>
      </c>
      <c r="N188" s="80"/>
      <c r="O188" s="51"/>
      <c r="P188" s="52"/>
    </row>
    <row r="189" spans="2:16" ht="12.75">
      <c r="B189" s="14">
        <v>185</v>
      </c>
      <c r="C189" s="28" t="str">
        <f>IF(Coureurs!C189="","",Coureurs!C189)</f>
        <v/>
      </c>
      <c r="D189" s="131" t="str">
        <f>IF(Coureurs!D189="","",Coureurs!D189)</f>
        <v>70</v>
      </c>
      <c r="E189" s="87" t="str">
        <f>IF(Coureurs!F189="","",Coureurs!F189)</f>
        <v/>
      </c>
      <c r="F189" s="87" t="str">
        <f>IF(Coureurs!G189="","",Coureurs!G189)</f>
        <v/>
      </c>
      <c r="G189" s="50" t="str">
        <f>IF(Coureurs!J189="","",Coureurs!J189)</f>
        <v/>
      </c>
      <c r="H189" s="25"/>
      <c r="I189" s="41"/>
      <c r="J189" s="8" t="str">
        <f>IF(I189="PM","",IF(H189=0," ",I189-HLOOKUP('Course 2'!H189,'tab2'!$C$3:$N$4,2)))</f>
        <v xml:space="preserve"> </v>
      </c>
      <c r="K189" s="23" t="str">
        <f>IF(I189="PM","",IF(H189=0," ",J189/'Règles et points'!$F$23))</f>
        <v xml:space="preserve"> </v>
      </c>
      <c r="L189" s="3" t="str">
        <f>IF(H189=0,"",IF(I189="PM",30,VLOOKUP(H189,'Règles et points'!$C$5:$AG$19,(HLOOKUP('Course 2'!C189,'Règles et points'!$C$5:$AG$5,1)+1))))</f>
        <v/>
      </c>
      <c r="M189" s="23">
        <f t="shared" si="3"/>
        <v>0</v>
      </c>
      <c r="N189" s="80"/>
      <c r="O189" s="51"/>
      <c r="P189" s="52"/>
    </row>
    <row r="190" spans="2:16" ht="12.75">
      <c r="B190" s="14">
        <v>186</v>
      </c>
      <c r="C190" s="28" t="str">
        <f>IF(Coureurs!C190="","",Coureurs!C190)</f>
        <v/>
      </c>
      <c r="D190" s="131" t="str">
        <f>IF(Coureurs!D190="","",Coureurs!D190)</f>
        <v>70</v>
      </c>
      <c r="E190" s="87" t="str">
        <f>IF(Coureurs!F190="","",Coureurs!F190)</f>
        <v/>
      </c>
      <c r="F190" s="87" t="str">
        <f>IF(Coureurs!G190="","",Coureurs!G190)</f>
        <v/>
      </c>
      <c r="G190" s="50" t="str">
        <f>IF(Coureurs!J190="","",Coureurs!J190)</f>
        <v/>
      </c>
      <c r="H190" s="25"/>
      <c r="I190" s="41"/>
      <c r="J190" s="8" t="str">
        <f>IF(I190="PM","",IF(H190=0," ",I190-HLOOKUP('Course 2'!H190,'tab2'!$C$3:$N$4,2)))</f>
        <v xml:space="preserve"> </v>
      </c>
      <c r="K190" s="23" t="str">
        <f>IF(I190="PM","",IF(H190=0," ",J190/'Règles et points'!$F$23))</f>
        <v xml:space="preserve"> </v>
      </c>
      <c r="L190" s="3" t="str">
        <f>IF(H190=0,"",IF(I190="PM",30,VLOOKUP(H190,'Règles et points'!$C$5:$AG$19,(HLOOKUP('Course 2'!C190,'Règles et points'!$C$5:$AG$5,1)+1))))</f>
        <v/>
      </c>
      <c r="M190" s="23">
        <f t="shared" si="3"/>
        <v>0</v>
      </c>
      <c r="N190" s="80"/>
      <c r="O190" s="51"/>
      <c r="P190" s="52"/>
    </row>
    <row r="191" spans="2:16" ht="12.75">
      <c r="B191" s="14">
        <v>187</v>
      </c>
      <c r="C191" s="28" t="str">
        <f>IF(Coureurs!C191="","",Coureurs!C191)</f>
        <v/>
      </c>
      <c r="D191" s="131" t="str">
        <f>IF(Coureurs!D191="","",Coureurs!D191)</f>
        <v>70</v>
      </c>
      <c r="E191" s="87" t="str">
        <f>IF(Coureurs!F191="","",Coureurs!F191)</f>
        <v/>
      </c>
      <c r="F191" s="87" t="str">
        <f>IF(Coureurs!G191="","",Coureurs!G191)</f>
        <v/>
      </c>
      <c r="G191" s="50" t="str">
        <f>IF(Coureurs!J191="","",Coureurs!J191)</f>
        <v/>
      </c>
      <c r="H191" s="25"/>
      <c r="I191" s="41"/>
      <c r="J191" s="8" t="str">
        <f>IF(I191="PM","",IF(H191=0," ",I191-HLOOKUP('Course 2'!H191,'tab2'!$C$3:$N$4,2)))</f>
        <v xml:space="preserve"> </v>
      </c>
      <c r="K191" s="23" t="str">
        <f>IF(I191="PM","",IF(H191=0," ",J191/'Règles et points'!$F$23))</f>
        <v xml:space="preserve"> </v>
      </c>
      <c r="L191" s="3" t="str">
        <f>IF(H191=0,"",IF(I191="PM",30,VLOOKUP(H191,'Règles et points'!$C$5:$AG$19,(HLOOKUP('Course 2'!C191,'Règles et points'!$C$5:$AG$5,1)+1))))</f>
        <v/>
      </c>
      <c r="M191" s="23">
        <f t="shared" si="3"/>
        <v>0</v>
      </c>
      <c r="N191" s="80"/>
      <c r="O191" s="51"/>
      <c r="P191" s="52"/>
    </row>
    <row r="192" spans="2:16" ht="12.75">
      <c r="B192" s="14">
        <v>188</v>
      </c>
      <c r="C192" s="28" t="str">
        <f>IF(Coureurs!C192="","",Coureurs!C192)</f>
        <v/>
      </c>
      <c r="D192" s="131" t="str">
        <f>IF(Coureurs!D192="","",Coureurs!D192)</f>
        <v>70</v>
      </c>
      <c r="E192" s="87" t="str">
        <f>IF(Coureurs!F192="","",Coureurs!F192)</f>
        <v/>
      </c>
      <c r="F192" s="87" t="str">
        <f>IF(Coureurs!G192="","",Coureurs!G192)</f>
        <v/>
      </c>
      <c r="G192" s="50" t="str">
        <f>IF(Coureurs!J192="","",Coureurs!J192)</f>
        <v/>
      </c>
      <c r="H192" s="25"/>
      <c r="I192" s="41"/>
      <c r="J192" s="8" t="str">
        <f>IF(I192="PM","",IF(H192=0," ",I192-HLOOKUP('Course 2'!H192,'tab2'!$C$3:$N$4,2)))</f>
        <v xml:space="preserve"> </v>
      </c>
      <c r="K192" s="23" t="str">
        <f>IF(I192="PM","",IF(H192=0," ",J192/'Règles et points'!$F$23))</f>
        <v xml:space="preserve"> </v>
      </c>
      <c r="L192" s="3" t="str">
        <f>IF(H192=0,"",IF(I192="PM",30,VLOOKUP(H192,'Règles et points'!$C$5:$AG$19,(HLOOKUP('Course 2'!C192,'Règles et points'!$C$5:$AG$5,1)+1))))</f>
        <v/>
      </c>
      <c r="M192" s="23">
        <f t="shared" si="3"/>
        <v>0</v>
      </c>
      <c r="N192" s="80"/>
      <c r="O192" s="51"/>
      <c r="P192" s="52"/>
    </row>
    <row r="193" spans="2:16" ht="12.75">
      <c r="B193" s="14">
        <v>189</v>
      </c>
      <c r="C193" s="28" t="str">
        <f>IF(Coureurs!C193="","",Coureurs!C193)</f>
        <v/>
      </c>
      <c r="D193" s="131" t="str">
        <f>IF(Coureurs!D193="","",Coureurs!D193)</f>
        <v>70</v>
      </c>
      <c r="E193" s="87" t="str">
        <f>IF(Coureurs!F193="","",Coureurs!F193)</f>
        <v/>
      </c>
      <c r="F193" s="87" t="str">
        <f>IF(Coureurs!G193="","",Coureurs!G193)</f>
        <v/>
      </c>
      <c r="G193" s="50" t="str">
        <f>IF(Coureurs!J193="","",Coureurs!J193)</f>
        <v/>
      </c>
      <c r="H193" s="25"/>
      <c r="I193" s="41"/>
      <c r="J193" s="8" t="str">
        <f>IF(I193="PM","",IF(H193=0," ",I193-HLOOKUP('Course 2'!H193,'tab2'!$C$3:$N$4,2)))</f>
        <v xml:space="preserve"> </v>
      </c>
      <c r="K193" s="23" t="str">
        <f>IF(I193="PM","",IF(H193=0," ",J193/'Règles et points'!$F$23))</f>
        <v xml:space="preserve"> </v>
      </c>
      <c r="L193" s="3" t="str">
        <f>IF(H193=0,"",IF(I193="PM",30,VLOOKUP(H193,'Règles et points'!$C$5:$AG$19,(HLOOKUP('Course 2'!C193,'Règles et points'!$C$5:$AG$5,1)+1))))</f>
        <v/>
      </c>
      <c r="M193" s="23">
        <f t="shared" si="3"/>
        <v>0</v>
      </c>
      <c r="N193" s="80"/>
      <c r="O193" s="51"/>
      <c r="P193" s="52"/>
    </row>
    <row r="194" spans="2:16" ht="12.75">
      <c r="B194" s="14">
        <v>190</v>
      </c>
      <c r="C194" s="28" t="str">
        <f>IF(Coureurs!C194="","",Coureurs!C194)</f>
        <v/>
      </c>
      <c r="D194" s="131" t="str">
        <f>IF(Coureurs!D194="","",Coureurs!D194)</f>
        <v>70</v>
      </c>
      <c r="E194" s="87" t="str">
        <f>IF(Coureurs!F194="","",Coureurs!F194)</f>
        <v/>
      </c>
      <c r="F194" s="87" t="str">
        <f>IF(Coureurs!G194="","",Coureurs!G194)</f>
        <v/>
      </c>
      <c r="G194" s="50" t="str">
        <f>IF(Coureurs!J194="","",Coureurs!J194)</f>
        <v/>
      </c>
      <c r="H194" s="25"/>
      <c r="I194" s="41"/>
      <c r="J194" s="8" t="str">
        <f>IF(I194="PM","",IF(H194=0," ",I194-HLOOKUP('Course 2'!H194,'tab2'!$C$3:$N$4,2)))</f>
        <v xml:space="preserve"> </v>
      </c>
      <c r="K194" s="23" t="str">
        <f>IF(I194="PM","",IF(H194=0," ",J194/'Règles et points'!$F$23))</f>
        <v xml:space="preserve"> </v>
      </c>
      <c r="L194" s="3" t="str">
        <f>IF(H194=0,"",IF(I194="PM",30,VLOOKUP(H194,'Règles et points'!$C$5:$AG$19,(HLOOKUP('Course 2'!C194,'Règles et points'!$C$5:$AG$5,1)+1))))</f>
        <v/>
      </c>
      <c r="M194" s="23">
        <f t="shared" si="3"/>
        <v>0</v>
      </c>
      <c r="N194" s="80"/>
      <c r="O194" s="51"/>
      <c r="P194" s="52"/>
    </row>
    <row r="195" spans="2:16" ht="12.75">
      <c r="B195" s="14">
        <v>191</v>
      </c>
      <c r="C195" s="28" t="str">
        <f>IF(Coureurs!C195="","",Coureurs!C195)</f>
        <v/>
      </c>
      <c r="D195" s="131" t="str">
        <f>IF(Coureurs!D195="","",Coureurs!D195)</f>
        <v>70</v>
      </c>
      <c r="E195" s="87" t="str">
        <f>IF(Coureurs!F195="","",Coureurs!F195)</f>
        <v/>
      </c>
      <c r="F195" s="87" t="str">
        <f>IF(Coureurs!G195="","",Coureurs!G195)</f>
        <v/>
      </c>
      <c r="G195" s="50" t="str">
        <f>IF(Coureurs!J195="","",Coureurs!J195)</f>
        <v/>
      </c>
      <c r="H195" s="25"/>
      <c r="I195" s="41"/>
      <c r="J195" s="8" t="str">
        <f>IF(I195="PM","",IF(H195=0," ",I195-HLOOKUP('Course 2'!H195,'tab2'!$C$3:$N$4,2)))</f>
        <v xml:space="preserve"> </v>
      </c>
      <c r="K195" s="23" t="str">
        <f>IF(I195="PM","",IF(H195=0," ",J195/'Règles et points'!$F$23))</f>
        <v xml:space="preserve"> </v>
      </c>
      <c r="L195" s="3" t="str">
        <f>IF(H195=0,"",IF(I195="PM",30,VLOOKUP(H195,'Règles et points'!$C$5:$AG$19,(HLOOKUP('Course 2'!C195,'Règles et points'!$C$5:$AG$5,1)+1))))</f>
        <v/>
      </c>
      <c r="M195" s="23">
        <f t="shared" si="3"/>
        <v>0</v>
      </c>
      <c r="N195" s="80"/>
      <c r="O195" s="51"/>
      <c r="P195" s="52"/>
    </row>
    <row r="196" spans="2:16" ht="12.75">
      <c r="B196" s="14">
        <v>192</v>
      </c>
      <c r="C196" s="28" t="str">
        <f>IF(Coureurs!C196="","",Coureurs!C196)</f>
        <v/>
      </c>
      <c r="D196" s="131" t="str">
        <f>IF(Coureurs!D196="","",Coureurs!D196)</f>
        <v>70</v>
      </c>
      <c r="E196" s="87" t="str">
        <f>IF(Coureurs!F196="","",Coureurs!F196)</f>
        <v/>
      </c>
      <c r="F196" s="87" t="str">
        <f>IF(Coureurs!G196="","",Coureurs!G196)</f>
        <v/>
      </c>
      <c r="G196" s="50" t="str">
        <f>IF(Coureurs!J196="","",Coureurs!J196)</f>
        <v/>
      </c>
      <c r="H196" s="25"/>
      <c r="I196" s="41"/>
      <c r="J196" s="8" t="str">
        <f>IF(I196="PM","",IF(H196=0," ",I196-HLOOKUP('Course 2'!H196,'tab2'!$C$3:$N$4,2)))</f>
        <v xml:space="preserve"> </v>
      </c>
      <c r="K196" s="23" t="str">
        <f>IF(I196="PM","",IF(H196=0," ",J196/'Règles et points'!$F$23))</f>
        <v xml:space="preserve"> </v>
      </c>
      <c r="L196" s="3" t="str">
        <f>IF(H196=0,"",IF(I196="PM",30,VLOOKUP(H196,'Règles et points'!$C$5:$AG$19,(HLOOKUP('Course 2'!C196,'Règles et points'!$C$5:$AG$5,1)+1))))</f>
        <v/>
      </c>
      <c r="M196" s="23">
        <f t="shared" si="3"/>
        <v>0</v>
      </c>
      <c r="N196" s="80"/>
      <c r="O196" s="51"/>
      <c r="P196" s="52"/>
    </row>
    <row r="197" spans="2:16" ht="12.75">
      <c r="B197" s="14">
        <v>193</v>
      </c>
      <c r="C197" s="28" t="str">
        <f>IF(Coureurs!C197="","",Coureurs!C197)</f>
        <v/>
      </c>
      <c r="D197" s="131" t="str">
        <f>IF(Coureurs!D197="","",Coureurs!D197)</f>
        <v>70</v>
      </c>
      <c r="E197" s="87" t="str">
        <f>IF(Coureurs!F197="","",Coureurs!F197)</f>
        <v/>
      </c>
      <c r="F197" s="87" t="str">
        <f>IF(Coureurs!G197="","",Coureurs!G197)</f>
        <v/>
      </c>
      <c r="G197" s="50" t="str">
        <f>IF(Coureurs!J197="","",Coureurs!J197)</f>
        <v/>
      </c>
      <c r="H197" s="25"/>
      <c r="I197" s="41"/>
      <c r="J197" s="8" t="str">
        <f>IF(I197="PM","",IF(H197=0," ",I197-HLOOKUP('Course 2'!H197,'tab2'!$C$3:$N$4,2)))</f>
        <v xml:space="preserve"> </v>
      </c>
      <c r="K197" s="23" t="str">
        <f>IF(I197="PM","",IF(H197=0," ",J197/'Règles et points'!$F$23))</f>
        <v xml:space="preserve"> </v>
      </c>
      <c r="L197" s="3" t="str">
        <f>IF(H197=0,"",IF(I197="PM",30,VLOOKUP(H197,'Règles et points'!$C$5:$AG$19,(HLOOKUP('Course 2'!C197,'Règles et points'!$C$5:$AG$5,1)+1))))</f>
        <v/>
      </c>
      <c r="M197" s="23">
        <f t="shared" si="3"/>
        <v>0</v>
      </c>
      <c r="N197" s="80"/>
      <c r="O197" s="51"/>
      <c r="P197" s="52"/>
    </row>
    <row r="198" spans="2:16" ht="12.75">
      <c r="B198" s="14">
        <v>194</v>
      </c>
      <c r="C198" s="28" t="str">
        <f>IF(Coureurs!C198="","",Coureurs!C198)</f>
        <v/>
      </c>
      <c r="D198" s="131" t="str">
        <f>IF(Coureurs!D198="","",Coureurs!D198)</f>
        <v>70</v>
      </c>
      <c r="E198" s="87" t="str">
        <f>IF(Coureurs!F198="","",Coureurs!F198)</f>
        <v/>
      </c>
      <c r="F198" s="87" t="str">
        <f>IF(Coureurs!G198="","",Coureurs!G198)</f>
        <v/>
      </c>
      <c r="G198" s="50" t="str">
        <f>IF(Coureurs!J198="","",Coureurs!J198)</f>
        <v/>
      </c>
      <c r="H198" s="25"/>
      <c r="I198" s="41"/>
      <c r="J198" s="8" t="str">
        <f>IF(I198="PM","",IF(H198=0," ",I198-HLOOKUP('Course 2'!H198,'tab2'!$C$3:$N$4,2)))</f>
        <v xml:space="preserve"> </v>
      </c>
      <c r="K198" s="23" t="str">
        <f>IF(I198="PM","",IF(H198=0," ",J198/'Règles et points'!$F$23))</f>
        <v xml:space="preserve"> </v>
      </c>
      <c r="L198" s="3" t="str">
        <f>IF(H198=0,"",IF(I198="PM",30,VLOOKUP(H198,'Règles et points'!$C$5:$AG$19,(HLOOKUP('Course 2'!C198,'Règles et points'!$C$5:$AG$5,1)+1))))</f>
        <v/>
      </c>
      <c r="M198" s="23">
        <f t="shared" ref="M198:M261" si="4">IF(I198="PM",30,IF(H198=0,0,L198-K198))+N198</f>
        <v>0</v>
      </c>
      <c r="N198" s="80"/>
      <c r="O198" s="51"/>
      <c r="P198" s="52"/>
    </row>
    <row r="199" spans="2:16" ht="12.75">
      <c r="B199" s="14">
        <v>195</v>
      </c>
      <c r="C199" s="28" t="str">
        <f>IF(Coureurs!C199="","",Coureurs!C199)</f>
        <v/>
      </c>
      <c r="D199" s="131" t="str">
        <f>IF(Coureurs!D199="","",Coureurs!D199)</f>
        <v>70</v>
      </c>
      <c r="E199" s="87" t="str">
        <f>IF(Coureurs!F199="","",Coureurs!F199)</f>
        <v/>
      </c>
      <c r="F199" s="87" t="str">
        <f>IF(Coureurs!G199="","",Coureurs!G199)</f>
        <v/>
      </c>
      <c r="G199" s="50" t="str">
        <f>IF(Coureurs!J199="","",Coureurs!J199)</f>
        <v/>
      </c>
      <c r="H199" s="25"/>
      <c r="I199" s="41"/>
      <c r="J199" s="8" t="str">
        <f>IF(I199="PM","",IF(H199=0," ",I199-HLOOKUP('Course 2'!H199,'tab2'!$C$3:$N$4,2)))</f>
        <v xml:space="preserve"> </v>
      </c>
      <c r="K199" s="23" t="str">
        <f>IF(I199="PM","",IF(H199=0," ",J199/'Règles et points'!$F$23))</f>
        <v xml:space="preserve"> </v>
      </c>
      <c r="L199" s="3" t="str">
        <f>IF(H199=0,"",IF(I199="PM",30,VLOOKUP(H199,'Règles et points'!$C$5:$AG$19,(HLOOKUP('Course 2'!C199,'Règles et points'!$C$5:$AG$5,1)+1))))</f>
        <v/>
      </c>
      <c r="M199" s="23">
        <f t="shared" si="4"/>
        <v>0</v>
      </c>
      <c r="N199" s="80"/>
      <c r="O199" s="51"/>
      <c r="P199" s="52"/>
    </row>
    <row r="200" spans="2:16" ht="12.75">
      <c r="B200" s="14">
        <v>196</v>
      </c>
      <c r="C200" s="28" t="str">
        <f>IF(Coureurs!C200="","",Coureurs!C200)</f>
        <v/>
      </c>
      <c r="D200" s="131" t="str">
        <f>IF(Coureurs!D200="","",Coureurs!D200)</f>
        <v>70</v>
      </c>
      <c r="E200" s="87" t="str">
        <f>IF(Coureurs!F200="","",Coureurs!F200)</f>
        <v/>
      </c>
      <c r="F200" s="87" t="str">
        <f>IF(Coureurs!G200="","",Coureurs!G200)</f>
        <v/>
      </c>
      <c r="G200" s="50" t="str">
        <f>IF(Coureurs!J200="","",Coureurs!J200)</f>
        <v/>
      </c>
      <c r="H200" s="25"/>
      <c r="I200" s="41"/>
      <c r="J200" s="8" t="str">
        <f>IF(I200="PM","",IF(H200=0," ",I200-HLOOKUP('Course 2'!H200,'tab2'!$C$3:$N$4,2)))</f>
        <v xml:space="preserve"> </v>
      </c>
      <c r="K200" s="23" t="str">
        <f>IF(I200="PM","",IF(H200=0," ",J200/'Règles et points'!$F$23))</f>
        <v xml:space="preserve"> </v>
      </c>
      <c r="L200" s="3" t="str">
        <f>IF(H200=0,"",IF(I200="PM",30,VLOOKUP(H200,'Règles et points'!$C$5:$AG$19,(HLOOKUP('Course 2'!C200,'Règles et points'!$C$5:$AG$5,1)+1))))</f>
        <v/>
      </c>
      <c r="M200" s="23">
        <f t="shared" si="4"/>
        <v>0</v>
      </c>
      <c r="N200" s="80"/>
      <c r="O200" s="51"/>
      <c r="P200" s="52"/>
    </row>
    <row r="201" spans="2:16" ht="12.75">
      <c r="B201" s="14">
        <v>197</v>
      </c>
      <c r="C201" s="28" t="str">
        <f>IF(Coureurs!C201="","",Coureurs!C201)</f>
        <v/>
      </c>
      <c r="D201" s="131" t="str">
        <f>IF(Coureurs!D201="","",Coureurs!D201)</f>
        <v>70</v>
      </c>
      <c r="E201" s="87" t="str">
        <f>IF(Coureurs!F201="","",Coureurs!F201)</f>
        <v/>
      </c>
      <c r="F201" s="87" t="str">
        <f>IF(Coureurs!G201="","",Coureurs!G201)</f>
        <v/>
      </c>
      <c r="G201" s="50" t="str">
        <f>IF(Coureurs!J201="","",Coureurs!J201)</f>
        <v/>
      </c>
      <c r="H201" s="25"/>
      <c r="I201" s="41"/>
      <c r="J201" s="8" t="str">
        <f>IF(I201="PM","",IF(H201=0," ",I201-HLOOKUP('Course 2'!H201,'tab2'!$C$3:$N$4,2)))</f>
        <v xml:space="preserve"> </v>
      </c>
      <c r="K201" s="23" t="str">
        <f>IF(I201="PM","",IF(H201=0," ",J201/'Règles et points'!$F$23))</f>
        <v xml:space="preserve"> </v>
      </c>
      <c r="L201" s="3" t="str">
        <f>IF(H201=0,"",IF(I201="PM",30,VLOOKUP(H201,'Règles et points'!$C$5:$AG$19,(HLOOKUP('Course 2'!C201,'Règles et points'!$C$5:$AG$5,1)+1))))</f>
        <v/>
      </c>
      <c r="M201" s="23">
        <f t="shared" si="4"/>
        <v>0</v>
      </c>
      <c r="N201" s="80"/>
      <c r="O201" s="51"/>
      <c r="P201" s="52"/>
    </row>
    <row r="202" spans="2:16" ht="12.75">
      <c r="B202" s="14">
        <v>198</v>
      </c>
      <c r="C202" s="28" t="str">
        <f>IF(Coureurs!C202="","",Coureurs!C202)</f>
        <v/>
      </c>
      <c r="D202" s="131" t="str">
        <f>IF(Coureurs!D202="","",Coureurs!D202)</f>
        <v>70</v>
      </c>
      <c r="E202" s="87" t="str">
        <f>IF(Coureurs!F202="","",Coureurs!F202)</f>
        <v/>
      </c>
      <c r="F202" s="87" t="str">
        <f>IF(Coureurs!G202="","",Coureurs!G202)</f>
        <v/>
      </c>
      <c r="G202" s="50" t="str">
        <f>IF(Coureurs!J202="","",Coureurs!J202)</f>
        <v/>
      </c>
      <c r="H202" s="25"/>
      <c r="I202" s="41"/>
      <c r="J202" s="8" t="str">
        <f>IF(I202="PM","",IF(H202=0," ",I202-HLOOKUP('Course 2'!H202,'tab2'!$C$3:$N$4,2)))</f>
        <v xml:space="preserve"> </v>
      </c>
      <c r="K202" s="23" t="str">
        <f>IF(I202="PM","",IF(H202=0," ",J202/'Règles et points'!$F$23))</f>
        <v xml:space="preserve"> </v>
      </c>
      <c r="L202" s="3" t="str">
        <f>IF(H202=0,"",IF(I202="PM",30,VLOOKUP(H202,'Règles et points'!$C$5:$AG$19,(HLOOKUP('Course 2'!C202,'Règles et points'!$C$5:$AG$5,1)+1))))</f>
        <v/>
      </c>
      <c r="M202" s="23">
        <f t="shared" si="4"/>
        <v>0</v>
      </c>
      <c r="N202" s="80"/>
      <c r="O202" s="51"/>
      <c r="P202" s="52"/>
    </row>
    <row r="203" spans="2:16" ht="12.75">
      <c r="B203" s="14">
        <v>199</v>
      </c>
      <c r="C203" s="28" t="str">
        <f>IF(Coureurs!C203="","",Coureurs!C203)</f>
        <v/>
      </c>
      <c r="D203" s="131" t="str">
        <f>IF(Coureurs!D203="","",Coureurs!D203)</f>
        <v>70</v>
      </c>
      <c r="E203" s="87" t="str">
        <f>IF(Coureurs!F203="","",Coureurs!F203)</f>
        <v/>
      </c>
      <c r="F203" s="87" t="str">
        <f>IF(Coureurs!G203="","",Coureurs!G203)</f>
        <v/>
      </c>
      <c r="G203" s="50" t="str">
        <f>IF(Coureurs!J203="","",Coureurs!J203)</f>
        <v/>
      </c>
      <c r="H203" s="25"/>
      <c r="I203" s="41"/>
      <c r="J203" s="8" t="str">
        <f>IF(I203="PM","",IF(H203=0," ",I203-HLOOKUP('Course 2'!H203,'tab2'!$C$3:$N$4,2)))</f>
        <v xml:space="preserve"> </v>
      </c>
      <c r="K203" s="23" t="str">
        <f>IF(I203="PM","",IF(H203=0," ",J203/'Règles et points'!$F$23))</f>
        <v xml:space="preserve"> </v>
      </c>
      <c r="L203" s="3" t="str">
        <f>IF(H203=0,"",IF(I203="PM",30,VLOOKUP(H203,'Règles et points'!$C$5:$AG$19,(HLOOKUP('Course 2'!C203,'Règles et points'!$C$5:$AG$5,1)+1))))</f>
        <v/>
      </c>
      <c r="M203" s="23">
        <f t="shared" si="4"/>
        <v>0</v>
      </c>
      <c r="N203" s="80"/>
      <c r="O203" s="51"/>
      <c r="P203" s="52"/>
    </row>
    <row r="204" spans="2:16" ht="12.75">
      <c r="B204" s="14">
        <v>200</v>
      </c>
      <c r="C204" s="28" t="str">
        <f>IF(Coureurs!C204="","",Coureurs!C204)</f>
        <v/>
      </c>
      <c r="D204" s="131" t="str">
        <f>IF(Coureurs!D204="","",Coureurs!D204)</f>
        <v>70</v>
      </c>
      <c r="E204" s="87" t="str">
        <f>IF(Coureurs!F204="","",Coureurs!F204)</f>
        <v/>
      </c>
      <c r="F204" s="87" t="str">
        <f>IF(Coureurs!G204="","",Coureurs!G204)</f>
        <v/>
      </c>
      <c r="G204" s="50" t="str">
        <f>IF(Coureurs!J204="","",Coureurs!J204)</f>
        <v/>
      </c>
      <c r="H204" s="25"/>
      <c r="I204" s="41"/>
      <c r="J204" s="8" t="str">
        <f>IF(I204="PM","",IF(H204=0," ",I204-HLOOKUP('Course 2'!H204,'tab2'!$C$3:$N$4,2)))</f>
        <v xml:space="preserve"> </v>
      </c>
      <c r="K204" s="23" t="str">
        <f>IF(I204="PM","",IF(H204=0," ",J204/'Règles et points'!$F$23))</f>
        <v xml:space="preserve"> </v>
      </c>
      <c r="L204" s="3" t="str">
        <f>IF(H204=0,"",IF(I204="PM",30,VLOOKUP(H204,'Règles et points'!$C$5:$AG$19,(HLOOKUP('Course 2'!C204,'Règles et points'!$C$5:$AG$5,1)+1))))</f>
        <v/>
      </c>
      <c r="M204" s="23">
        <f t="shared" si="4"/>
        <v>0</v>
      </c>
      <c r="N204" s="80"/>
      <c r="O204" s="51"/>
      <c r="P204" s="52"/>
    </row>
    <row r="205" spans="2:16" ht="12.75">
      <c r="B205" s="14">
        <v>201</v>
      </c>
      <c r="C205" s="28" t="str">
        <f>IF(Coureurs!C205="","",Coureurs!C205)</f>
        <v/>
      </c>
      <c r="D205" s="131" t="str">
        <f>IF(Coureurs!D205="","",Coureurs!D205)</f>
        <v>70</v>
      </c>
      <c r="E205" s="87" t="str">
        <f>IF(Coureurs!F205="","",Coureurs!F205)</f>
        <v/>
      </c>
      <c r="F205" s="87" t="str">
        <f>IF(Coureurs!G205="","",Coureurs!G205)</f>
        <v/>
      </c>
      <c r="G205" s="50" t="str">
        <f>IF(Coureurs!J205="","",Coureurs!J205)</f>
        <v/>
      </c>
      <c r="H205" s="25"/>
      <c r="I205" s="41"/>
      <c r="J205" s="8" t="str">
        <f>IF(I205="PM","",IF(H205=0," ",I205-HLOOKUP('Course 2'!H205,'tab2'!$C$3:$N$4,2)))</f>
        <v xml:space="preserve"> </v>
      </c>
      <c r="K205" s="23" t="str">
        <f>IF(I205="PM","",IF(H205=0," ",J205/'Règles et points'!$F$23))</f>
        <v xml:space="preserve"> </v>
      </c>
      <c r="L205" s="3" t="str">
        <f>IF(H205=0,"",IF(I205="PM",30,VLOOKUP(H205,'Règles et points'!$C$5:$AG$19,(HLOOKUP('Course 2'!C205,'Règles et points'!$C$5:$AG$5,1)+1))))</f>
        <v/>
      </c>
      <c r="M205" s="23">
        <f t="shared" si="4"/>
        <v>0</v>
      </c>
      <c r="N205" s="80"/>
      <c r="O205" s="51"/>
      <c r="P205" s="52"/>
    </row>
    <row r="206" spans="2:16" ht="12.75">
      <c r="B206" s="14">
        <v>202</v>
      </c>
      <c r="C206" s="28" t="str">
        <f>IF(Coureurs!C206="","",Coureurs!C206)</f>
        <v/>
      </c>
      <c r="D206" s="131" t="str">
        <f>IF(Coureurs!D206="","",Coureurs!D206)</f>
        <v>70</v>
      </c>
      <c r="E206" s="87" t="str">
        <f>IF(Coureurs!F206="","",Coureurs!F206)</f>
        <v/>
      </c>
      <c r="F206" s="87" t="str">
        <f>IF(Coureurs!G206="","",Coureurs!G206)</f>
        <v/>
      </c>
      <c r="G206" s="50" t="str">
        <f>IF(Coureurs!J206="","",Coureurs!J206)</f>
        <v/>
      </c>
      <c r="H206" s="25"/>
      <c r="I206" s="41"/>
      <c r="J206" s="8" t="str">
        <f>IF(I206="PM","",IF(H206=0," ",I206-HLOOKUP('Course 2'!H206,'tab2'!$C$3:$N$4,2)))</f>
        <v xml:space="preserve"> </v>
      </c>
      <c r="K206" s="23" t="str">
        <f>IF(I206="PM","",IF(H206=0," ",J206/'Règles et points'!$F$23))</f>
        <v xml:space="preserve"> </v>
      </c>
      <c r="L206" s="3" t="str">
        <f>IF(H206=0,"",IF(I206="PM",30,VLOOKUP(H206,'Règles et points'!$C$5:$AG$19,(HLOOKUP('Course 2'!C206,'Règles et points'!$C$5:$AG$5,1)+1))))</f>
        <v/>
      </c>
      <c r="M206" s="23">
        <f t="shared" si="4"/>
        <v>0</v>
      </c>
      <c r="N206" s="80"/>
      <c r="O206" s="51"/>
      <c r="P206" s="52"/>
    </row>
    <row r="207" spans="2:16" ht="12.75">
      <c r="B207" s="14">
        <v>203</v>
      </c>
      <c r="C207" s="28" t="str">
        <f>IF(Coureurs!C207="","",Coureurs!C207)</f>
        <v/>
      </c>
      <c r="D207" s="131" t="str">
        <f>IF(Coureurs!D207="","",Coureurs!D207)</f>
        <v>70</v>
      </c>
      <c r="E207" s="87" t="str">
        <f>IF(Coureurs!F207="","",Coureurs!F207)</f>
        <v/>
      </c>
      <c r="F207" s="87" t="str">
        <f>IF(Coureurs!G207="","",Coureurs!G207)</f>
        <v/>
      </c>
      <c r="G207" s="50" t="str">
        <f>IF(Coureurs!J207="","",Coureurs!J207)</f>
        <v/>
      </c>
      <c r="H207" s="25"/>
      <c r="I207" s="41"/>
      <c r="J207" s="8" t="str">
        <f>IF(I207="PM","",IF(H207=0," ",I207-HLOOKUP('Course 2'!H207,'tab2'!$C$3:$N$4,2)))</f>
        <v xml:space="preserve"> </v>
      </c>
      <c r="K207" s="23" t="str">
        <f>IF(I207="PM","",IF(H207=0," ",J207/'Règles et points'!$F$23))</f>
        <v xml:space="preserve"> </v>
      </c>
      <c r="L207" s="3" t="str">
        <f>IF(H207=0,"",IF(I207="PM",30,VLOOKUP(H207,'Règles et points'!$C$5:$AG$19,(HLOOKUP('Course 2'!C207,'Règles et points'!$C$5:$AG$5,1)+1))))</f>
        <v/>
      </c>
      <c r="M207" s="23">
        <f t="shared" si="4"/>
        <v>0</v>
      </c>
      <c r="N207" s="80"/>
      <c r="O207" s="51"/>
      <c r="P207" s="52"/>
    </row>
    <row r="208" spans="2:16" ht="12.75">
      <c r="B208" s="14">
        <v>204</v>
      </c>
      <c r="C208" s="28" t="str">
        <f>IF(Coureurs!C208="","",Coureurs!C208)</f>
        <v/>
      </c>
      <c r="D208" s="131" t="str">
        <f>IF(Coureurs!D208="","",Coureurs!D208)</f>
        <v>70</v>
      </c>
      <c r="E208" s="87" t="str">
        <f>IF(Coureurs!F208="","",Coureurs!F208)</f>
        <v/>
      </c>
      <c r="F208" s="87" t="str">
        <f>IF(Coureurs!G208="","",Coureurs!G208)</f>
        <v/>
      </c>
      <c r="G208" s="50" t="str">
        <f>IF(Coureurs!J208="","",Coureurs!J208)</f>
        <v/>
      </c>
      <c r="H208" s="25"/>
      <c r="I208" s="41"/>
      <c r="J208" s="8" t="str">
        <f>IF(I208="PM","",IF(H208=0," ",I208-HLOOKUP('Course 2'!H208,'tab2'!$C$3:$N$4,2)))</f>
        <v xml:space="preserve"> </v>
      </c>
      <c r="K208" s="23" t="str">
        <f>IF(I208="PM","",IF(H208=0," ",J208/'Règles et points'!$F$23))</f>
        <v xml:space="preserve"> </v>
      </c>
      <c r="L208" s="3" t="str">
        <f>IF(H208=0,"",IF(I208="PM",30,VLOOKUP(H208,'Règles et points'!$C$5:$AG$19,(HLOOKUP('Course 2'!C208,'Règles et points'!$C$5:$AG$5,1)+1))))</f>
        <v/>
      </c>
      <c r="M208" s="23">
        <f t="shared" si="4"/>
        <v>0</v>
      </c>
      <c r="N208" s="80"/>
      <c r="O208" s="51"/>
      <c r="P208" s="52"/>
    </row>
    <row r="209" spans="2:16" ht="12.75">
      <c r="B209" s="14">
        <v>205</v>
      </c>
      <c r="C209" s="28" t="str">
        <f>IF(Coureurs!C209="","",Coureurs!C209)</f>
        <v/>
      </c>
      <c r="D209" s="131" t="str">
        <f>IF(Coureurs!D209="","",Coureurs!D209)</f>
        <v>70</v>
      </c>
      <c r="E209" s="87" t="str">
        <f>IF(Coureurs!F209="","",Coureurs!F209)</f>
        <v/>
      </c>
      <c r="F209" s="87" t="str">
        <f>IF(Coureurs!G209="","",Coureurs!G209)</f>
        <v/>
      </c>
      <c r="G209" s="50" t="str">
        <f>IF(Coureurs!J209="","",Coureurs!J209)</f>
        <v/>
      </c>
      <c r="H209" s="25"/>
      <c r="I209" s="41"/>
      <c r="J209" s="8" t="str">
        <f>IF(I209="PM","",IF(H209=0," ",I209-HLOOKUP('Course 2'!H209,'tab2'!$C$3:$N$4,2)))</f>
        <v xml:space="preserve"> </v>
      </c>
      <c r="K209" s="23" t="str">
        <f>IF(I209="PM","",IF(H209=0," ",J209/'Règles et points'!$F$23))</f>
        <v xml:space="preserve"> </v>
      </c>
      <c r="L209" s="3" t="str">
        <f>IF(H209=0,"",IF(I209="PM",30,VLOOKUP(H209,'Règles et points'!$C$5:$AG$19,(HLOOKUP('Course 2'!C209,'Règles et points'!$C$5:$AG$5,1)+1))))</f>
        <v/>
      </c>
      <c r="M209" s="23">
        <f t="shared" si="4"/>
        <v>0</v>
      </c>
      <c r="N209" s="80"/>
      <c r="O209" s="51"/>
      <c r="P209" s="52"/>
    </row>
    <row r="210" spans="2:16" ht="12.75">
      <c r="B210" s="14">
        <v>206</v>
      </c>
      <c r="C210" s="28" t="str">
        <f>IF(Coureurs!C210="","",Coureurs!C210)</f>
        <v/>
      </c>
      <c r="D210" s="131" t="str">
        <f>IF(Coureurs!D210="","",Coureurs!D210)</f>
        <v>70</v>
      </c>
      <c r="E210" s="87" t="str">
        <f>IF(Coureurs!F210="","",Coureurs!F210)</f>
        <v/>
      </c>
      <c r="F210" s="87" t="str">
        <f>IF(Coureurs!G210="","",Coureurs!G210)</f>
        <v/>
      </c>
      <c r="G210" s="50" t="str">
        <f>IF(Coureurs!J210="","",Coureurs!J210)</f>
        <v/>
      </c>
      <c r="H210" s="25"/>
      <c r="I210" s="41"/>
      <c r="J210" s="8" t="str">
        <f>IF(I210="PM","",IF(H210=0," ",I210-HLOOKUP('Course 2'!H210,'tab2'!$C$3:$N$4,2)))</f>
        <v xml:space="preserve"> </v>
      </c>
      <c r="K210" s="23" t="str">
        <f>IF(I210="PM","",IF(H210=0," ",J210/'Règles et points'!$F$23))</f>
        <v xml:space="preserve"> </v>
      </c>
      <c r="L210" s="3" t="str">
        <f>IF(H210=0,"",IF(I210="PM",30,VLOOKUP(H210,'Règles et points'!$C$5:$AG$19,(HLOOKUP('Course 2'!C210,'Règles et points'!$C$5:$AG$5,1)+1))))</f>
        <v/>
      </c>
      <c r="M210" s="23">
        <f t="shared" si="4"/>
        <v>0</v>
      </c>
      <c r="N210" s="80"/>
      <c r="O210" s="51"/>
      <c r="P210" s="52"/>
    </row>
    <row r="211" spans="2:16" ht="12.75">
      <c r="B211" s="14">
        <v>207</v>
      </c>
      <c r="C211" s="28" t="str">
        <f>IF(Coureurs!C211="","",Coureurs!C211)</f>
        <v/>
      </c>
      <c r="D211" s="131" t="str">
        <f>IF(Coureurs!D211="","",Coureurs!D211)</f>
        <v>70</v>
      </c>
      <c r="E211" s="87" t="str">
        <f>IF(Coureurs!F211="","",Coureurs!F211)</f>
        <v/>
      </c>
      <c r="F211" s="87" t="str">
        <f>IF(Coureurs!G211="","",Coureurs!G211)</f>
        <v/>
      </c>
      <c r="G211" s="50" t="str">
        <f>IF(Coureurs!J211="","",Coureurs!J211)</f>
        <v/>
      </c>
      <c r="H211" s="25"/>
      <c r="I211" s="41"/>
      <c r="J211" s="8" t="str">
        <f>IF(I211="PM","",IF(H211=0," ",I211-HLOOKUP('Course 2'!H211,'tab2'!$C$3:$N$4,2)))</f>
        <v xml:space="preserve"> </v>
      </c>
      <c r="K211" s="23" t="str">
        <f>IF(I211="PM","",IF(H211=0," ",J211/'Règles et points'!$F$23))</f>
        <v xml:space="preserve"> </v>
      </c>
      <c r="L211" s="3" t="str">
        <f>IF(H211=0,"",IF(I211="PM",30,VLOOKUP(H211,'Règles et points'!$C$5:$AG$19,(HLOOKUP('Course 2'!C211,'Règles et points'!$C$5:$AG$5,1)+1))))</f>
        <v/>
      </c>
      <c r="M211" s="23">
        <f t="shared" si="4"/>
        <v>0</v>
      </c>
      <c r="N211" s="80"/>
      <c r="O211" s="51"/>
      <c r="P211" s="52"/>
    </row>
    <row r="212" spans="2:16" ht="12.75">
      <c r="B212" s="14">
        <v>208</v>
      </c>
      <c r="C212" s="28" t="str">
        <f>IF(Coureurs!C212="","",Coureurs!C212)</f>
        <v/>
      </c>
      <c r="D212" s="131" t="str">
        <f>IF(Coureurs!D212="","",Coureurs!D212)</f>
        <v>70</v>
      </c>
      <c r="E212" s="87" t="str">
        <f>IF(Coureurs!F212="","",Coureurs!F212)</f>
        <v/>
      </c>
      <c r="F212" s="87" t="str">
        <f>IF(Coureurs!G212="","",Coureurs!G212)</f>
        <v/>
      </c>
      <c r="G212" s="50" t="str">
        <f>IF(Coureurs!J212="","",Coureurs!J212)</f>
        <v/>
      </c>
      <c r="H212" s="25"/>
      <c r="I212" s="41"/>
      <c r="J212" s="8" t="str">
        <f>IF(I212="PM","",IF(H212=0," ",I212-HLOOKUP('Course 2'!H212,'tab2'!$C$3:$N$4,2)))</f>
        <v xml:space="preserve"> </v>
      </c>
      <c r="K212" s="23" t="str">
        <f>IF(I212="PM","",IF(H212=0," ",J212/'Règles et points'!$F$23))</f>
        <v xml:space="preserve"> </v>
      </c>
      <c r="L212" s="3" t="str">
        <f>IF(H212=0,"",IF(I212="PM",30,VLOOKUP(H212,'Règles et points'!$C$5:$AG$19,(HLOOKUP('Course 2'!C212,'Règles et points'!$C$5:$AG$5,1)+1))))</f>
        <v/>
      </c>
      <c r="M212" s="23">
        <f t="shared" si="4"/>
        <v>0</v>
      </c>
      <c r="N212" s="80"/>
      <c r="O212" s="51"/>
      <c r="P212" s="52"/>
    </row>
    <row r="213" spans="2:16" ht="12.75">
      <c r="B213" s="14">
        <v>209</v>
      </c>
      <c r="C213" s="28" t="str">
        <f>IF(Coureurs!C213="","",Coureurs!C213)</f>
        <v/>
      </c>
      <c r="D213" s="131" t="str">
        <f>IF(Coureurs!D213="","",Coureurs!D213)</f>
        <v>70</v>
      </c>
      <c r="E213" s="87" t="str">
        <f>IF(Coureurs!F213="","",Coureurs!F213)</f>
        <v/>
      </c>
      <c r="F213" s="87" t="str">
        <f>IF(Coureurs!G213="","",Coureurs!G213)</f>
        <v/>
      </c>
      <c r="G213" s="50" t="str">
        <f>IF(Coureurs!J213="","",Coureurs!J213)</f>
        <v/>
      </c>
      <c r="H213" s="25"/>
      <c r="I213" s="41"/>
      <c r="J213" s="8" t="str">
        <f>IF(I213="PM","",IF(H213=0," ",I213-HLOOKUP('Course 2'!H213,'tab2'!$C$3:$N$4,2)))</f>
        <v xml:space="preserve"> </v>
      </c>
      <c r="K213" s="23" t="str">
        <f>IF(I213="PM","",IF(H213=0," ",J213/'Règles et points'!$F$23))</f>
        <v xml:space="preserve"> </v>
      </c>
      <c r="L213" s="3" t="str">
        <f>IF(H213=0,"",IF(I213="PM",30,VLOOKUP(H213,'Règles et points'!$C$5:$AG$19,(HLOOKUP('Course 2'!C213,'Règles et points'!$C$5:$AG$5,1)+1))))</f>
        <v/>
      </c>
      <c r="M213" s="23">
        <f t="shared" si="4"/>
        <v>0</v>
      </c>
      <c r="N213" s="80"/>
      <c r="O213" s="51"/>
      <c r="P213" s="52"/>
    </row>
    <row r="214" spans="2:16" ht="12.75">
      <c r="B214" s="14">
        <v>210</v>
      </c>
      <c r="C214" s="28" t="str">
        <f>IF(Coureurs!C214="","",Coureurs!C214)</f>
        <v/>
      </c>
      <c r="D214" s="131" t="str">
        <f>IF(Coureurs!D214="","",Coureurs!D214)</f>
        <v>70</v>
      </c>
      <c r="E214" s="87" t="str">
        <f>IF(Coureurs!F214="","",Coureurs!F214)</f>
        <v/>
      </c>
      <c r="F214" s="87" t="str">
        <f>IF(Coureurs!G214="","",Coureurs!G214)</f>
        <v/>
      </c>
      <c r="G214" s="50" t="str">
        <f>IF(Coureurs!J214="","",Coureurs!J214)</f>
        <v/>
      </c>
      <c r="H214" s="25"/>
      <c r="I214" s="41"/>
      <c r="J214" s="8" t="str">
        <f>IF(I214="PM","",IF(H214=0," ",I214-HLOOKUP('Course 2'!H214,'tab2'!$C$3:$N$4,2)))</f>
        <v xml:space="preserve"> </v>
      </c>
      <c r="K214" s="23" t="str">
        <f>IF(I214="PM","",IF(H214=0," ",J214/'Règles et points'!$F$23))</f>
        <v xml:space="preserve"> </v>
      </c>
      <c r="L214" s="3" t="str">
        <f>IF(H214=0,"",IF(I214="PM",30,VLOOKUP(H214,'Règles et points'!$C$5:$AG$19,(HLOOKUP('Course 2'!C214,'Règles et points'!$C$5:$AG$5,1)+1))))</f>
        <v/>
      </c>
      <c r="M214" s="23">
        <f t="shared" si="4"/>
        <v>0</v>
      </c>
      <c r="N214" s="80"/>
      <c r="O214" s="51"/>
      <c r="P214" s="52"/>
    </row>
    <row r="215" spans="2:16" ht="12.75">
      <c r="B215" s="14">
        <v>211</v>
      </c>
      <c r="C215" s="28" t="str">
        <f>IF(Coureurs!C215="","",Coureurs!C215)</f>
        <v/>
      </c>
      <c r="D215" s="131" t="str">
        <f>IF(Coureurs!D215="","",Coureurs!D215)</f>
        <v>70</v>
      </c>
      <c r="E215" s="87" t="str">
        <f>IF(Coureurs!F215="","",Coureurs!F215)</f>
        <v/>
      </c>
      <c r="F215" s="87" t="str">
        <f>IF(Coureurs!G215="","",Coureurs!G215)</f>
        <v/>
      </c>
      <c r="G215" s="50" t="str">
        <f>IF(Coureurs!J215="","",Coureurs!J215)</f>
        <v/>
      </c>
      <c r="H215" s="25"/>
      <c r="I215" s="41"/>
      <c r="J215" s="8" t="str">
        <f>IF(I215="PM","",IF(H215=0," ",I215-HLOOKUP('Course 2'!H215,'tab2'!$C$3:$N$4,2)))</f>
        <v xml:space="preserve"> </v>
      </c>
      <c r="K215" s="23" t="str">
        <f>IF(I215="PM","",IF(H215=0," ",J215/'Règles et points'!$F$23))</f>
        <v xml:space="preserve"> </v>
      </c>
      <c r="L215" s="3" t="str">
        <f>IF(H215=0,"",IF(I215="PM",30,VLOOKUP(H215,'Règles et points'!$C$5:$AG$19,(HLOOKUP('Course 2'!C215,'Règles et points'!$C$5:$AG$5,1)+1))))</f>
        <v/>
      </c>
      <c r="M215" s="23">
        <f t="shared" si="4"/>
        <v>0</v>
      </c>
      <c r="N215" s="80"/>
      <c r="O215" s="51"/>
      <c r="P215" s="52"/>
    </row>
    <row r="216" spans="2:16" ht="12.75">
      <c r="B216" s="14">
        <v>212</v>
      </c>
      <c r="C216" s="28" t="str">
        <f>IF(Coureurs!C216="","",Coureurs!C216)</f>
        <v/>
      </c>
      <c r="D216" s="131" t="str">
        <f>IF(Coureurs!D216="","",Coureurs!D216)</f>
        <v>70</v>
      </c>
      <c r="E216" s="87" t="str">
        <f>IF(Coureurs!F216="","",Coureurs!F216)</f>
        <v/>
      </c>
      <c r="F216" s="87" t="str">
        <f>IF(Coureurs!G216="","",Coureurs!G216)</f>
        <v/>
      </c>
      <c r="G216" s="50" t="str">
        <f>IF(Coureurs!J216="","",Coureurs!J216)</f>
        <v/>
      </c>
      <c r="H216" s="25"/>
      <c r="I216" s="41"/>
      <c r="J216" s="8" t="str">
        <f>IF(I216="PM","",IF(H216=0," ",I216-HLOOKUP('Course 2'!H216,'tab2'!$C$3:$N$4,2)))</f>
        <v xml:space="preserve"> </v>
      </c>
      <c r="K216" s="23" t="str">
        <f>IF(I216="PM","",IF(H216=0," ",J216/'Règles et points'!$F$23))</f>
        <v xml:space="preserve"> </v>
      </c>
      <c r="L216" s="3" t="str">
        <f>IF(H216=0,"",IF(I216="PM",30,VLOOKUP(H216,'Règles et points'!$C$5:$AG$19,(HLOOKUP('Course 2'!C216,'Règles et points'!$C$5:$AG$5,1)+1))))</f>
        <v/>
      </c>
      <c r="M216" s="23">
        <f t="shared" si="4"/>
        <v>0</v>
      </c>
      <c r="N216" s="80"/>
      <c r="O216" s="51"/>
      <c r="P216" s="52"/>
    </row>
    <row r="217" spans="2:16" ht="12.75">
      <c r="B217" s="14">
        <v>213</v>
      </c>
      <c r="C217" s="28" t="str">
        <f>IF(Coureurs!C217="","",Coureurs!C217)</f>
        <v/>
      </c>
      <c r="D217" s="131" t="str">
        <f>IF(Coureurs!D217="","",Coureurs!D217)</f>
        <v>70</v>
      </c>
      <c r="E217" s="87" t="str">
        <f>IF(Coureurs!F217="","",Coureurs!F217)</f>
        <v/>
      </c>
      <c r="F217" s="87" t="str">
        <f>IF(Coureurs!G217="","",Coureurs!G217)</f>
        <v/>
      </c>
      <c r="G217" s="50" t="str">
        <f>IF(Coureurs!J217="","",Coureurs!J217)</f>
        <v/>
      </c>
      <c r="H217" s="25"/>
      <c r="I217" s="41"/>
      <c r="J217" s="8" t="str">
        <f>IF(I217="PM","",IF(H217=0," ",I217-HLOOKUP('Course 2'!H217,'tab2'!$C$3:$N$4,2)))</f>
        <v xml:space="preserve"> </v>
      </c>
      <c r="K217" s="23" t="str">
        <f>IF(I217="PM","",IF(H217=0," ",J217/'Règles et points'!$F$23))</f>
        <v xml:space="preserve"> </v>
      </c>
      <c r="L217" s="3" t="str">
        <f>IF(H217=0,"",IF(I217="PM",30,VLOOKUP(H217,'Règles et points'!$C$5:$AG$19,(HLOOKUP('Course 2'!C217,'Règles et points'!$C$5:$AG$5,1)+1))))</f>
        <v/>
      </c>
      <c r="M217" s="23">
        <f t="shared" si="4"/>
        <v>0</v>
      </c>
      <c r="N217" s="80"/>
      <c r="O217" s="51"/>
      <c r="P217" s="52"/>
    </row>
    <row r="218" spans="2:16" ht="12.75">
      <c r="B218" s="14">
        <v>214</v>
      </c>
      <c r="C218" s="28" t="str">
        <f>IF(Coureurs!C218="","",Coureurs!C218)</f>
        <v/>
      </c>
      <c r="D218" s="131" t="str">
        <f>IF(Coureurs!D218="","",Coureurs!D218)</f>
        <v>70</v>
      </c>
      <c r="E218" s="87" t="str">
        <f>IF(Coureurs!F218="","",Coureurs!F218)</f>
        <v/>
      </c>
      <c r="F218" s="87" t="str">
        <f>IF(Coureurs!G218="","",Coureurs!G218)</f>
        <v/>
      </c>
      <c r="G218" s="50" t="str">
        <f>IF(Coureurs!J218="","",Coureurs!J218)</f>
        <v/>
      </c>
      <c r="H218" s="25"/>
      <c r="I218" s="41"/>
      <c r="J218" s="8" t="str">
        <f>IF(I218="PM","",IF(H218=0," ",I218-HLOOKUP('Course 2'!H218,'tab2'!$C$3:$N$4,2)))</f>
        <v xml:space="preserve"> </v>
      </c>
      <c r="K218" s="23" t="str">
        <f>IF(I218="PM","",IF(H218=0," ",J218/'Règles et points'!$F$23))</f>
        <v xml:space="preserve"> </v>
      </c>
      <c r="L218" s="3" t="str">
        <f>IF(H218=0,"",IF(I218="PM",30,VLOOKUP(H218,'Règles et points'!$C$5:$AG$19,(HLOOKUP('Course 2'!C218,'Règles et points'!$C$5:$AG$5,1)+1))))</f>
        <v/>
      </c>
      <c r="M218" s="23">
        <f t="shared" si="4"/>
        <v>0</v>
      </c>
      <c r="N218" s="80"/>
      <c r="O218" s="51"/>
      <c r="P218" s="52"/>
    </row>
    <row r="219" spans="2:16" ht="12.75">
      <c r="B219" s="14">
        <v>215</v>
      </c>
      <c r="C219" s="28" t="str">
        <f>IF(Coureurs!C219="","",Coureurs!C219)</f>
        <v/>
      </c>
      <c r="D219" s="131" t="str">
        <f>IF(Coureurs!D219="","",Coureurs!D219)</f>
        <v>70</v>
      </c>
      <c r="E219" s="87" t="str">
        <f>IF(Coureurs!F219="","",Coureurs!F219)</f>
        <v/>
      </c>
      <c r="F219" s="87" t="str">
        <f>IF(Coureurs!G219="","",Coureurs!G219)</f>
        <v/>
      </c>
      <c r="G219" s="50" t="str">
        <f>IF(Coureurs!J219="","",Coureurs!J219)</f>
        <v/>
      </c>
      <c r="H219" s="25"/>
      <c r="I219" s="41"/>
      <c r="J219" s="8" t="str">
        <f>IF(I219="PM","",IF(H219=0," ",I219-HLOOKUP('Course 2'!H219,'tab2'!$C$3:$N$4,2)))</f>
        <v xml:space="preserve"> </v>
      </c>
      <c r="K219" s="23" t="str">
        <f>IF(I219="PM","",IF(H219=0," ",J219/'Règles et points'!$F$23))</f>
        <v xml:space="preserve"> </v>
      </c>
      <c r="L219" s="3" t="str">
        <f>IF(H219=0,"",IF(I219="PM",30,VLOOKUP(H219,'Règles et points'!$C$5:$AG$19,(HLOOKUP('Course 2'!C219,'Règles et points'!$C$5:$AG$5,1)+1))))</f>
        <v/>
      </c>
      <c r="M219" s="23">
        <f t="shared" si="4"/>
        <v>0</v>
      </c>
      <c r="N219" s="80"/>
      <c r="O219" s="51"/>
      <c r="P219" s="52"/>
    </row>
    <row r="220" spans="2:16" ht="12.75">
      <c r="B220" s="14">
        <v>216</v>
      </c>
      <c r="C220" s="28" t="str">
        <f>IF(Coureurs!C220="","",Coureurs!C220)</f>
        <v/>
      </c>
      <c r="D220" s="131" t="str">
        <f>IF(Coureurs!D220="","",Coureurs!D220)</f>
        <v>70</v>
      </c>
      <c r="E220" s="87" t="str">
        <f>IF(Coureurs!F220="","",Coureurs!F220)</f>
        <v/>
      </c>
      <c r="F220" s="87" t="str">
        <f>IF(Coureurs!G220="","",Coureurs!G220)</f>
        <v/>
      </c>
      <c r="G220" s="50" t="str">
        <f>IF(Coureurs!J220="","",Coureurs!J220)</f>
        <v/>
      </c>
      <c r="H220" s="25"/>
      <c r="I220" s="41"/>
      <c r="J220" s="8" t="str">
        <f>IF(I220="PM","",IF(H220=0," ",I220-HLOOKUP('Course 2'!H220,'tab2'!$C$3:$N$4,2)))</f>
        <v xml:space="preserve"> </v>
      </c>
      <c r="K220" s="23" t="str">
        <f>IF(I220="PM","",IF(H220=0," ",J220/'Règles et points'!$F$23))</f>
        <v xml:space="preserve"> </v>
      </c>
      <c r="L220" s="3" t="str">
        <f>IF(H220=0,"",IF(I220="PM",30,VLOOKUP(H220,'Règles et points'!$C$5:$AG$19,(HLOOKUP('Course 2'!C220,'Règles et points'!$C$5:$AG$5,1)+1))))</f>
        <v/>
      </c>
      <c r="M220" s="23">
        <f t="shared" si="4"/>
        <v>0</v>
      </c>
      <c r="N220" s="80"/>
      <c r="O220" s="51"/>
      <c r="P220" s="52"/>
    </row>
    <row r="221" spans="2:16" ht="12.75">
      <c r="B221" s="14">
        <v>217</v>
      </c>
      <c r="C221" s="28" t="str">
        <f>IF(Coureurs!C221="","",Coureurs!C221)</f>
        <v/>
      </c>
      <c r="D221" s="131" t="str">
        <f>IF(Coureurs!D221="","",Coureurs!D221)</f>
        <v>70</v>
      </c>
      <c r="E221" s="87" t="str">
        <f>IF(Coureurs!F221="","",Coureurs!F221)</f>
        <v/>
      </c>
      <c r="F221" s="87" t="str">
        <f>IF(Coureurs!G221="","",Coureurs!G221)</f>
        <v/>
      </c>
      <c r="G221" s="50" t="str">
        <f>IF(Coureurs!J221="","",Coureurs!J221)</f>
        <v/>
      </c>
      <c r="H221" s="25"/>
      <c r="I221" s="41"/>
      <c r="J221" s="8" t="str">
        <f>IF(I221="PM","",IF(H221=0," ",I221-HLOOKUP('Course 2'!H221,'tab2'!$C$3:$N$4,2)))</f>
        <v xml:space="preserve"> </v>
      </c>
      <c r="K221" s="23" t="str">
        <f>IF(I221="PM","",IF(H221=0," ",J221/'Règles et points'!$F$23))</f>
        <v xml:space="preserve"> </v>
      </c>
      <c r="L221" s="3" t="str">
        <f>IF(H221=0,"",IF(I221="PM",30,VLOOKUP(H221,'Règles et points'!$C$5:$AG$19,(HLOOKUP('Course 2'!C221,'Règles et points'!$C$5:$AG$5,1)+1))))</f>
        <v/>
      </c>
      <c r="M221" s="23">
        <f t="shared" si="4"/>
        <v>0</v>
      </c>
      <c r="N221" s="80"/>
      <c r="O221" s="51"/>
      <c r="P221" s="52"/>
    </row>
    <row r="222" spans="2:16" ht="12.75">
      <c r="B222" s="14">
        <v>218</v>
      </c>
      <c r="C222" s="28" t="str">
        <f>IF(Coureurs!C222="","",Coureurs!C222)</f>
        <v/>
      </c>
      <c r="D222" s="131" t="str">
        <f>IF(Coureurs!D222="","",Coureurs!D222)</f>
        <v>70</v>
      </c>
      <c r="E222" s="87" t="str">
        <f>IF(Coureurs!F222="","",Coureurs!F222)</f>
        <v/>
      </c>
      <c r="F222" s="87" t="str">
        <f>IF(Coureurs!G222="","",Coureurs!G222)</f>
        <v/>
      </c>
      <c r="G222" s="50" t="str">
        <f>IF(Coureurs!J222="","",Coureurs!J222)</f>
        <v/>
      </c>
      <c r="H222" s="25"/>
      <c r="I222" s="41"/>
      <c r="J222" s="8" t="str">
        <f>IF(I222="PM","",IF(H222=0," ",I222-HLOOKUP('Course 2'!H222,'tab2'!$C$3:$N$4,2)))</f>
        <v xml:space="preserve"> </v>
      </c>
      <c r="K222" s="23" t="str">
        <f>IF(I222="PM","",IF(H222=0," ",J222/'Règles et points'!$F$23))</f>
        <v xml:space="preserve"> </v>
      </c>
      <c r="L222" s="3" t="str">
        <f>IF(H222=0,"",IF(I222="PM",30,VLOOKUP(H222,'Règles et points'!$C$5:$AG$19,(HLOOKUP('Course 2'!C222,'Règles et points'!$C$5:$AG$5,1)+1))))</f>
        <v/>
      </c>
      <c r="M222" s="23">
        <f t="shared" si="4"/>
        <v>0</v>
      </c>
      <c r="N222" s="80"/>
      <c r="O222" s="51"/>
      <c r="P222" s="52"/>
    </row>
    <row r="223" spans="2:16" ht="12.75">
      <c r="B223" s="14">
        <v>219</v>
      </c>
      <c r="C223" s="28" t="str">
        <f>IF(Coureurs!C223="","",Coureurs!C223)</f>
        <v/>
      </c>
      <c r="D223" s="131" t="str">
        <f>IF(Coureurs!D223="","",Coureurs!D223)</f>
        <v>70</v>
      </c>
      <c r="E223" s="87" t="str">
        <f>IF(Coureurs!F223="","",Coureurs!F223)</f>
        <v/>
      </c>
      <c r="F223" s="87" t="str">
        <f>IF(Coureurs!G223="","",Coureurs!G223)</f>
        <v/>
      </c>
      <c r="G223" s="50" t="str">
        <f>IF(Coureurs!J223="","",Coureurs!J223)</f>
        <v/>
      </c>
      <c r="H223" s="25"/>
      <c r="I223" s="41"/>
      <c r="J223" s="8" t="str">
        <f>IF(I223="PM","",IF(H223=0," ",I223-HLOOKUP('Course 2'!H223,'tab2'!$C$3:$N$4,2)))</f>
        <v xml:space="preserve"> </v>
      </c>
      <c r="K223" s="23" t="str">
        <f>IF(I223="PM","",IF(H223=0," ",J223/'Règles et points'!$F$23))</f>
        <v xml:space="preserve"> </v>
      </c>
      <c r="L223" s="3" t="str">
        <f>IF(H223=0,"",IF(I223="PM",30,VLOOKUP(H223,'Règles et points'!$C$5:$AG$19,(HLOOKUP('Course 2'!C223,'Règles et points'!$C$5:$AG$5,1)+1))))</f>
        <v/>
      </c>
      <c r="M223" s="23">
        <f t="shared" si="4"/>
        <v>0</v>
      </c>
      <c r="N223" s="80"/>
      <c r="O223" s="51"/>
      <c r="P223" s="52"/>
    </row>
    <row r="224" spans="2:16" ht="12.75">
      <c r="B224" s="14">
        <v>220</v>
      </c>
      <c r="C224" s="28" t="str">
        <f>IF(Coureurs!C224="","",Coureurs!C224)</f>
        <v/>
      </c>
      <c r="D224" s="131" t="str">
        <f>IF(Coureurs!D224="","",Coureurs!D224)</f>
        <v>70</v>
      </c>
      <c r="E224" s="87" t="str">
        <f>IF(Coureurs!F224="","",Coureurs!F224)</f>
        <v/>
      </c>
      <c r="F224" s="87" t="str">
        <f>IF(Coureurs!G224="","",Coureurs!G224)</f>
        <v/>
      </c>
      <c r="G224" s="50" t="str">
        <f>IF(Coureurs!J224="","",Coureurs!J224)</f>
        <v/>
      </c>
      <c r="H224" s="25"/>
      <c r="I224" s="41"/>
      <c r="J224" s="8" t="str">
        <f>IF(I224="PM","",IF(H224=0," ",I224-HLOOKUP('Course 2'!H224,'tab2'!$C$3:$N$4,2)))</f>
        <v xml:space="preserve"> </v>
      </c>
      <c r="K224" s="23" t="str">
        <f>IF(I224="PM","",IF(H224=0," ",J224/'Règles et points'!$F$23))</f>
        <v xml:space="preserve"> </v>
      </c>
      <c r="L224" s="3" t="str">
        <f>IF(H224=0,"",IF(I224="PM",30,VLOOKUP(H224,'Règles et points'!$C$5:$AG$19,(HLOOKUP('Course 2'!C224,'Règles et points'!$C$5:$AG$5,1)+1))))</f>
        <v/>
      </c>
      <c r="M224" s="23">
        <f t="shared" si="4"/>
        <v>0</v>
      </c>
      <c r="N224" s="80"/>
      <c r="O224" s="51"/>
      <c r="P224" s="52"/>
    </row>
    <row r="225" spans="2:16" ht="12.75">
      <c r="B225" s="14">
        <v>221</v>
      </c>
      <c r="C225" s="28" t="str">
        <f>IF(Coureurs!C225="","",Coureurs!C225)</f>
        <v/>
      </c>
      <c r="D225" s="131" t="str">
        <f>IF(Coureurs!D225="","",Coureurs!D225)</f>
        <v>70</v>
      </c>
      <c r="E225" s="87" t="str">
        <f>IF(Coureurs!F225="","",Coureurs!F225)</f>
        <v/>
      </c>
      <c r="F225" s="87" t="str">
        <f>IF(Coureurs!G225="","",Coureurs!G225)</f>
        <v/>
      </c>
      <c r="G225" s="50" t="str">
        <f>IF(Coureurs!J225="","",Coureurs!J225)</f>
        <v/>
      </c>
      <c r="H225" s="25"/>
      <c r="I225" s="41"/>
      <c r="J225" s="8" t="str">
        <f>IF(I225="PM","",IF(H225=0," ",I225-HLOOKUP('Course 2'!H225,'tab2'!$C$3:$N$4,2)))</f>
        <v xml:space="preserve"> </v>
      </c>
      <c r="K225" s="23" t="str">
        <f>IF(I225="PM","",IF(H225=0," ",J225/'Règles et points'!$F$23))</f>
        <v xml:space="preserve"> </v>
      </c>
      <c r="L225" s="3" t="str">
        <f>IF(H225=0,"",IF(I225="PM",30,VLOOKUP(H225,'Règles et points'!$C$5:$AG$19,(HLOOKUP('Course 2'!C225,'Règles et points'!$C$5:$AG$5,1)+1))))</f>
        <v/>
      </c>
      <c r="M225" s="23">
        <f t="shared" si="4"/>
        <v>0</v>
      </c>
      <c r="N225" s="80"/>
      <c r="O225" s="51"/>
      <c r="P225" s="52"/>
    </row>
    <row r="226" spans="2:16" ht="12.75">
      <c r="B226" s="14">
        <v>222</v>
      </c>
      <c r="C226" s="28" t="str">
        <f>IF(Coureurs!C226="","",Coureurs!C226)</f>
        <v/>
      </c>
      <c r="D226" s="131" t="str">
        <f>IF(Coureurs!D226="","",Coureurs!D226)</f>
        <v>70</v>
      </c>
      <c r="E226" s="87" t="str">
        <f>IF(Coureurs!F226="","",Coureurs!F226)</f>
        <v/>
      </c>
      <c r="F226" s="87" t="str">
        <f>IF(Coureurs!G226="","",Coureurs!G226)</f>
        <v/>
      </c>
      <c r="G226" s="50" t="str">
        <f>IF(Coureurs!J226="","",Coureurs!J226)</f>
        <v/>
      </c>
      <c r="H226" s="25"/>
      <c r="I226" s="41"/>
      <c r="J226" s="8" t="str">
        <f>IF(I226="PM","",IF(H226=0," ",I226-HLOOKUP('Course 2'!H226,'tab2'!$C$3:$N$4,2)))</f>
        <v xml:space="preserve"> </v>
      </c>
      <c r="K226" s="23" t="str">
        <f>IF(I226="PM","",IF(H226=0," ",J226/'Règles et points'!$F$23))</f>
        <v xml:space="preserve"> </v>
      </c>
      <c r="L226" s="3" t="str">
        <f>IF(H226=0,"",IF(I226="PM",30,VLOOKUP(H226,'Règles et points'!$C$5:$AG$19,(HLOOKUP('Course 2'!C226,'Règles et points'!$C$5:$AG$5,1)+1))))</f>
        <v/>
      </c>
      <c r="M226" s="23">
        <f t="shared" si="4"/>
        <v>0</v>
      </c>
      <c r="N226" s="80"/>
      <c r="O226" s="51"/>
      <c r="P226" s="52"/>
    </row>
    <row r="227" spans="2:16" ht="12.75">
      <c r="B227" s="14">
        <v>223</v>
      </c>
      <c r="C227" s="28" t="str">
        <f>IF(Coureurs!C227="","",Coureurs!C227)</f>
        <v/>
      </c>
      <c r="D227" s="131" t="str">
        <f>IF(Coureurs!D227="","",Coureurs!D227)</f>
        <v>70</v>
      </c>
      <c r="E227" s="87" t="str">
        <f>IF(Coureurs!F227="","",Coureurs!F227)</f>
        <v/>
      </c>
      <c r="F227" s="87" t="str">
        <f>IF(Coureurs!G227="","",Coureurs!G227)</f>
        <v/>
      </c>
      <c r="G227" s="50" t="str">
        <f>IF(Coureurs!J227="","",Coureurs!J227)</f>
        <v/>
      </c>
      <c r="H227" s="25"/>
      <c r="I227" s="41"/>
      <c r="J227" s="8" t="str">
        <f>IF(I227="PM","",IF(H227=0," ",I227-HLOOKUP('Course 2'!H227,'tab2'!$C$3:$N$4,2)))</f>
        <v xml:space="preserve"> </v>
      </c>
      <c r="K227" s="23" t="str">
        <f>IF(I227="PM","",IF(H227=0," ",J227/'Règles et points'!$F$23))</f>
        <v xml:space="preserve"> </v>
      </c>
      <c r="L227" s="3" t="str">
        <f>IF(H227=0,"",IF(I227="PM",30,VLOOKUP(H227,'Règles et points'!$C$5:$AG$19,(HLOOKUP('Course 2'!C227,'Règles et points'!$C$5:$AG$5,1)+1))))</f>
        <v/>
      </c>
      <c r="M227" s="23">
        <f t="shared" si="4"/>
        <v>0</v>
      </c>
      <c r="N227" s="80"/>
      <c r="O227" s="51"/>
      <c r="P227" s="52"/>
    </row>
    <row r="228" spans="2:16" ht="12.75">
      <c r="B228" s="14">
        <v>224</v>
      </c>
      <c r="C228" s="28" t="str">
        <f>IF(Coureurs!C228="","",Coureurs!C228)</f>
        <v/>
      </c>
      <c r="D228" s="131" t="str">
        <f>IF(Coureurs!D228="","",Coureurs!D228)</f>
        <v>70</v>
      </c>
      <c r="E228" s="87" t="str">
        <f>IF(Coureurs!F228="","",Coureurs!F228)</f>
        <v/>
      </c>
      <c r="F228" s="87" t="str">
        <f>IF(Coureurs!G228="","",Coureurs!G228)</f>
        <v/>
      </c>
      <c r="G228" s="50" t="str">
        <f>IF(Coureurs!J228="","",Coureurs!J228)</f>
        <v/>
      </c>
      <c r="H228" s="25"/>
      <c r="I228" s="41"/>
      <c r="J228" s="8" t="str">
        <f>IF(I228="PM","",IF(H228=0," ",I228-HLOOKUP('Course 2'!H228,'tab2'!$C$3:$N$4,2)))</f>
        <v xml:space="preserve"> </v>
      </c>
      <c r="K228" s="23" t="str">
        <f>IF(I228="PM","",IF(H228=0," ",J228/'Règles et points'!$F$23))</f>
        <v xml:space="preserve"> </v>
      </c>
      <c r="L228" s="3" t="str">
        <f>IF(H228=0,"",IF(I228="PM",30,VLOOKUP(H228,'Règles et points'!$C$5:$AG$19,(HLOOKUP('Course 2'!C228,'Règles et points'!$C$5:$AG$5,1)+1))))</f>
        <v/>
      </c>
      <c r="M228" s="23">
        <f t="shared" si="4"/>
        <v>0</v>
      </c>
      <c r="N228" s="80"/>
      <c r="O228" s="51"/>
      <c r="P228" s="52"/>
    </row>
    <row r="229" spans="2:16" ht="12.75">
      <c r="B229" s="14">
        <v>225</v>
      </c>
      <c r="C229" s="28" t="str">
        <f>IF(Coureurs!C229="","",Coureurs!C229)</f>
        <v/>
      </c>
      <c r="D229" s="131" t="str">
        <f>IF(Coureurs!D229="","",Coureurs!D229)</f>
        <v>70</v>
      </c>
      <c r="E229" s="87" t="str">
        <f>IF(Coureurs!F229="","",Coureurs!F229)</f>
        <v/>
      </c>
      <c r="F229" s="87" t="str">
        <f>IF(Coureurs!G229="","",Coureurs!G229)</f>
        <v/>
      </c>
      <c r="G229" s="50" t="str">
        <f>IF(Coureurs!J229="","",Coureurs!J229)</f>
        <v/>
      </c>
      <c r="H229" s="25"/>
      <c r="I229" s="41"/>
      <c r="J229" s="8" t="str">
        <f>IF(I229="PM","",IF(H229=0," ",I229-HLOOKUP('Course 2'!H229,'tab2'!$C$3:$N$4,2)))</f>
        <v xml:space="preserve"> </v>
      </c>
      <c r="K229" s="23" t="str">
        <f>IF(I229="PM","",IF(H229=0," ",J229/'Règles et points'!$F$23))</f>
        <v xml:space="preserve"> </v>
      </c>
      <c r="L229" s="3" t="str">
        <f>IF(H229=0,"",IF(I229="PM",30,VLOOKUP(H229,'Règles et points'!$C$5:$AG$19,(HLOOKUP('Course 2'!C229,'Règles et points'!$C$5:$AG$5,1)+1))))</f>
        <v/>
      </c>
      <c r="M229" s="23">
        <f t="shared" si="4"/>
        <v>0</v>
      </c>
      <c r="N229" s="80"/>
      <c r="O229" s="51"/>
      <c r="P229" s="52"/>
    </row>
    <row r="230" spans="2:16" ht="12.75">
      <c r="B230" s="14">
        <v>226</v>
      </c>
      <c r="C230" s="28" t="str">
        <f>IF(Coureurs!C230="","",Coureurs!C230)</f>
        <v/>
      </c>
      <c r="D230" s="131" t="str">
        <f>IF(Coureurs!D230="","",Coureurs!D230)</f>
        <v>70</v>
      </c>
      <c r="E230" s="87" t="str">
        <f>IF(Coureurs!F230="","",Coureurs!F230)</f>
        <v/>
      </c>
      <c r="F230" s="87" t="str">
        <f>IF(Coureurs!G230="","",Coureurs!G230)</f>
        <v/>
      </c>
      <c r="G230" s="50" t="str">
        <f>IF(Coureurs!J230="","",Coureurs!J230)</f>
        <v/>
      </c>
      <c r="H230" s="25"/>
      <c r="I230" s="41"/>
      <c r="J230" s="8" t="str">
        <f>IF(I230="PM","",IF(H230=0," ",I230-HLOOKUP('Course 2'!H230,'tab2'!$C$3:$N$4,2)))</f>
        <v xml:space="preserve"> </v>
      </c>
      <c r="K230" s="23" t="str">
        <f>IF(I230="PM","",IF(H230=0," ",J230/'Règles et points'!$F$23))</f>
        <v xml:space="preserve"> </v>
      </c>
      <c r="L230" s="3" t="str">
        <f>IF(H230=0,"",IF(I230="PM",30,VLOOKUP(H230,'Règles et points'!$C$5:$AG$19,(HLOOKUP('Course 2'!C230,'Règles et points'!$C$5:$AG$5,1)+1))))</f>
        <v/>
      </c>
      <c r="M230" s="23">
        <f t="shared" si="4"/>
        <v>0</v>
      </c>
      <c r="N230" s="80"/>
      <c r="O230" s="51"/>
      <c r="P230" s="52"/>
    </row>
    <row r="231" spans="2:16" ht="12.75">
      <c r="B231" s="14">
        <v>227</v>
      </c>
      <c r="C231" s="28" t="str">
        <f>IF(Coureurs!C231="","",Coureurs!C231)</f>
        <v/>
      </c>
      <c r="D231" s="131" t="str">
        <f>IF(Coureurs!D231="","",Coureurs!D231)</f>
        <v>70</v>
      </c>
      <c r="E231" s="87" t="str">
        <f>IF(Coureurs!F231="","",Coureurs!F231)</f>
        <v/>
      </c>
      <c r="F231" s="87" t="str">
        <f>IF(Coureurs!G231="","",Coureurs!G231)</f>
        <v/>
      </c>
      <c r="G231" s="50" t="str">
        <f>IF(Coureurs!J231="","",Coureurs!J231)</f>
        <v/>
      </c>
      <c r="H231" s="25"/>
      <c r="I231" s="41"/>
      <c r="J231" s="8" t="str">
        <f>IF(I231="PM","",IF(H231=0," ",I231-HLOOKUP('Course 2'!H231,'tab2'!$C$3:$N$4,2)))</f>
        <v xml:space="preserve"> </v>
      </c>
      <c r="K231" s="23" t="str">
        <f>IF(I231="PM","",IF(H231=0," ",J231/'Règles et points'!$F$23))</f>
        <v xml:space="preserve"> </v>
      </c>
      <c r="L231" s="3" t="str">
        <f>IF(H231=0,"",IF(I231="PM",30,VLOOKUP(H231,'Règles et points'!$C$5:$AG$19,(HLOOKUP('Course 2'!C231,'Règles et points'!$C$5:$AG$5,1)+1))))</f>
        <v/>
      </c>
      <c r="M231" s="23">
        <f t="shared" si="4"/>
        <v>0</v>
      </c>
      <c r="N231" s="80"/>
      <c r="O231" s="51"/>
      <c r="P231" s="52"/>
    </row>
    <row r="232" spans="2:16" ht="12.75">
      <c r="B232" s="14">
        <v>228</v>
      </c>
      <c r="C232" s="28" t="str">
        <f>IF(Coureurs!C232="","",Coureurs!C232)</f>
        <v/>
      </c>
      <c r="D232" s="131" t="str">
        <f>IF(Coureurs!D232="","",Coureurs!D232)</f>
        <v>70</v>
      </c>
      <c r="E232" s="87" t="str">
        <f>IF(Coureurs!F232="","",Coureurs!F232)</f>
        <v/>
      </c>
      <c r="F232" s="87" t="str">
        <f>IF(Coureurs!G232="","",Coureurs!G232)</f>
        <v/>
      </c>
      <c r="G232" s="50" t="str">
        <f>IF(Coureurs!J232="","",Coureurs!J232)</f>
        <v/>
      </c>
      <c r="H232" s="25"/>
      <c r="I232" s="41"/>
      <c r="J232" s="8" t="str">
        <f>IF(I232="PM","",IF(H232=0," ",I232-HLOOKUP('Course 2'!H232,'tab2'!$C$3:$N$4,2)))</f>
        <v xml:space="preserve"> </v>
      </c>
      <c r="K232" s="23" t="str">
        <f>IF(I232="PM","",IF(H232=0," ",J232/'Règles et points'!$F$23))</f>
        <v xml:space="preserve"> </v>
      </c>
      <c r="L232" s="3" t="str">
        <f>IF(H232=0,"",IF(I232="PM",30,VLOOKUP(H232,'Règles et points'!$C$5:$AG$19,(HLOOKUP('Course 2'!C232,'Règles et points'!$C$5:$AG$5,1)+1))))</f>
        <v/>
      </c>
      <c r="M232" s="23">
        <f t="shared" si="4"/>
        <v>0</v>
      </c>
      <c r="N232" s="80"/>
      <c r="O232" s="51"/>
      <c r="P232" s="52"/>
    </row>
    <row r="233" spans="2:16" ht="12.75">
      <c r="B233" s="14">
        <v>229</v>
      </c>
      <c r="C233" s="28" t="str">
        <f>IF(Coureurs!C233="","",Coureurs!C233)</f>
        <v/>
      </c>
      <c r="D233" s="131" t="str">
        <f>IF(Coureurs!D233="","",Coureurs!D233)</f>
        <v>70</v>
      </c>
      <c r="E233" s="87" t="str">
        <f>IF(Coureurs!F233="","",Coureurs!F233)</f>
        <v/>
      </c>
      <c r="F233" s="87" t="str">
        <f>IF(Coureurs!G233="","",Coureurs!G233)</f>
        <v/>
      </c>
      <c r="G233" s="50" t="str">
        <f>IF(Coureurs!J233="","",Coureurs!J233)</f>
        <v/>
      </c>
      <c r="H233" s="25"/>
      <c r="I233" s="41"/>
      <c r="J233" s="8" t="str">
        <f>IF(I233="PM","",IF(H233=0," ",I233-HLOOKUP('Course 2'!H233,'tab2'!$C$3:$N$4,2)))</f>
        <v xml:space="preserve"> </v>
      </c>
      <c r="K233" s="23" t="str">
        <f>IF(I233="PM","",IF(H233=0," ",J233/'Règles et points'!$F$23))</f>
        <v xml:space="preserve"> </v>
      </c>
      <c r="L233" s="3" t="str">
        <f>IF(H233=0,"",IF(I233="PM",30,VLOOKUP(H233,'Règles et points'!$C$5:$AG$19,(HLOOKUP('Course 2'!C233,'Règles et points'!$C$5:$AG$5,1)+1))))</f>
        <v/>
      </c>
      <c r="M233" s="23">
        <f t="shared" si="4"/>
        <v>0</v>
      </c>
      <c r="N233" s="80"/>
      <c r="O233" s="51"/>
      <c r="P233" s="52"/>
    </row>
    <row r="234" spans="2:16" ht="12.75">
      <c r="B234" s="14">
        <v>230</v>
      </c>
      <c r="C234" s="28" t="str">
        <f>IF(Coureurs!C234="","",Coureurs!C234)</f>
        <v/>
      </c>
      <c r="D234" s="131" t="str">
        <f>IF(Coureurs!D234="","",Coureurs!D234)</f>
        <v>70</v>
      </c>
      <c r="E234" s="87" t="str">
        <f>IF(Coureurs!F234="","",Coureurs!F234)</f>
        <v/>
      </c>
      <c r="F234" s="87" t="str">
        <f>IF(Coureurs!G234="","",Coureurs!G234)</f>
        <v/>
      </c>
      <c r="G234" s="50" t="str">
        <f>IF(Coureurs!J234="","",Coureurs!J234)</f>
        <v/>
      </c>
      <c r="H234" s="25"/>
      <c r="I234" s="41"/>
      <c r="J234" s="8" t="str">
        <f>IF(I234="PM","",IF(H234=0," ",I234-HLOOKUP('Course 2'!H234,'tab2'!$C$3:$N$4,2)))</f>
        <v xml:space="preserve"> </v>
      </c>
      <c r="K234" s="23" t="str">
        <f>IF(I234="PM","",IF(H234=0," ",J234/'Règles et points'!$F$23))</f>
        <v xml:space="preserve"> </v>
      </c>
      <c r="L234" s="3" t="str">
        <f>IF(H234=0,"",IF(I234="PM",30,VLOOKUP(H234,'Règles et points'!$C$5:$AG$19,(HLOOKUP('Course 2'!C234,'Règles et points'!$C$5:$AG$5,1)+1))))</f>
        <v/>
      </c>
      <c r="M234" s="23">
        <f t="shared" si="4"/>
        <v>0</v>
      </c>
      <c r="N234" s="80"/>
      <c r="O234" s="51"/>
      <c r="P234" s="52"/>
    </row>
    <row r="235" spans="2:16" ht="12.75">
      <c r="B235" s="14">
        <v>231</v>
      </c>
      <c r="C235" s="28" t="str">
        <f>IF(Coureurs!C235="","",Coureurs!C235)</f>
        <v/>
      </c>
      <c r="D235" s="131" t="str">
        <f>IF(Coureurs!D235="","",Coureurs!D235)</f>
        <v>70</v>
      </c>
      <c r="E235" s="87" t="str">
        <f>IF(Coureurs!F235="","",Coureurs!F235)</f>
        <v/>
      </c>
      <c r="F235" s="87" t="str">
        <f>IF(Coureurs!G235="","",Coureurs!G235)</f>
        <v/>
      </c>
      <c r="G235" s="50" t="str">
        <f>IF(Coureurs!J235="","",Coureurs!J235)</f>
        <v/>
      </c>
      <c r="H235" s="25"/>
      <c r="I235" s="41"/>
      <c r="J235" s="8" t="str">
        <f>IF(I235="PM","",IF(H235=0," ",I235-HLOOKUP('Course 2'!H235,'tab2'!$C$3:$N$4,2)))</f>
        <v xml:space="preserve"> </v>
      </c>
      <c r="K235" s="23" t="str">
        <f>IF(I235="PM","",IF(H235=0," ",J235/'Règles et points'!$F$23))</f>
        <v xml:space="preserve"> </v>
      </c>
      <c r="L235" s="3" t="str">
        <f>IF(H235=0,"",IF(I235="PM",30,VLOOKUP(H235,'Règles et points'!$C$5:$AG$19,(HLOOKUP('Course 2'!C235,'Règles et points'!$C$5:$AG$5,1)+1))))</f>
        <v/>
      </c>
      <c r="M235" s="23">
        <f t="shared" si="4"/>
        <v>0</v>
      </c>
      <c r="N235" s="80"/>
      <c r="O235" s="51"/>
      <c r="P235" s="52"/>
    </row>
    <row r="236" spans="2:16" ht="12.75">
      <c r="B236" s="14">
        <v>232</v>
      </c>
      <c r="C236" s="28" t="str">
        <f>IF(Coureurs!C236="","",Coureurs!C236)</f>
        <v/>
      </c>
      <c r="D236" s="131" t="str">
        <f>IF(Coureurs!D236="","",Coureurs!D236)</f>
        <v>70</v>
      </c>
      <c r="E236" s="87" t="str">
        <f>IF(Coureurs!F236="","",Coureurs!F236)</f>
        <v/>
      </c>
      <c r="F236" s="87" t="str">
        <f>IF(Coureurs!G236="","",Coureurs!G236)</f>
        <v/>
      </c>
      <c r="G236" s="50" t="str">
        <f>IF(Coureurs!J236="","",Coureurs!J236)</f>
        <v/>
      </c>
      <c r="H236" s="25"/>
      <c r="I236" s="41"/>
      <c r="J236" s="8" t="str">
        <f>IF(I236="PM","",IF(H236=0," ",I236-HLOOKUP('Course 2'!H236,'tab2'!$C$3:$N$4,2)))</f>
        <v xml:space="preserve"> </v>
      </c>
      <c r="K236" s="23" t="str">
        <f>IF(I236="PM","",IF(H236=0," ",J236/'Règles et points'!$F$23))</f>
        <v xml:space="preserve"> </v>
      </c>
      <c r="L236" s="3" t="str">
        <f>IF(H236=0,"",IF(I236="PM",30,VLOOKUP(H236,'Règles et points'!$C$5:$AG$19,(HLOOKUP('Course 2'!C236,'Règles et points'!$C$5:$AG$5,1)+1))))</f>
        <v/>
      </c>
      <c r="M236" s="23">
        <f t="shared" si="4"/>
        <v>0</v>
      </c>
      <c r="N236" s="80"/>
      <c r="O236" s="51"/>
      <c r="P236" s="52"/>
    </row>
    <row r="237" spans="2:16" ht="12.75">
      <c r="B237" s="14">
        <v>233</v>
      </c>
      <c r="C237" s="28" t="str">
        <f>IF(Coureurs!C237="","",Coureurs!C237)</f>
        <v/>
      </c>
      <c r="D237" s="131" t="str">
        <f>IF(Coureurs!D237="","",Coureurs!D237)</f>
        <v>70</v>
      </c>
      <c r="E237" s="87" t="str">
        <f>IF(Coureurs!F237="","",Coureurs!F237)</f>
        <v/>
      </c>
      <c r="F237" s="87" t="str">
        <f>IF(Coureurs!G237="","",Coureurs!G237)</f>
        <v/>
      </c>
      <c r="G237" s="50" t="str">
        <f>IF(Coureurs!J237="","",Coureurs!J237)</f>
        <v/>
      </c>
      <c r="H237" s="25"/>
      <c r="I237" s="41"/>
      <c r="J237" s="8" t="str">
        <f>IF(I237="PM","",IF(H237=0," ",I237-HLOOKUP('Course 2'!H237,'tab2'!$C$3:$N$4,2)))</f>
        <v xml:space="preserve"> </v>
      </c>
      <c r="K237" s="23" t="str">
        <f>IF(I237="PM","",IF(H237=0," ",J237/'Règles et points'!$F$23))</f>
        <v xml:space="preserve"> </v>
      </c>
      <c r="L237" s="3" t="str">
        <f>IF(H237=0,"",IF(I237="PM",30,VLOOKUP(H237,'Règles et points'!$C$5:$AG$19,(HLOOKUP('Course 2'!C237,'Règles et points'!$C$5:$AG$5,1)+1))))</f>
        <v/>
      </c>
      <c r="M237" s="23">
        <f t="shared" si="4"/>
        <v>0</v>
      </c>
      <c r="N237" s="80"/>
      <c r="O237" s="51"/>
      <c r="P237" s="52"/>
    </row>
    <row r="238" spans="2:16" ht="12.75">
      <c r="B238" s="14">
        <v>234</v>
      </c>
      <c r="C238" s="28" t="str">
        <f>IF(Coureurs!C238="","",Coureurs!C238)</f>
        <v/>
      </c>
      <c r="D238" s="131" t="str">
        <f>IF(Coureurs!D238="","",Coureurs!D238)</f>
        <v>70</v>
      </c>
      <c r="E238" s="87" t="str">
        <f>IF(Coureurs!F238="","",Coureurs!F238)</f>
        <v/>
      </c>
      <c r="F238" s="87" t="str">
        <f>IF(Coureurs!G238="","",Coureurs!G238)</f>
        <v/>
      </c>
      <c r="G238" s="50" t="str">
        <f>IF(Coureurs!J238="","",Coureurs!J238)</f>
        <v/>
      </c>
      <c r="H238" s="25"/>
      <c r="I238" s="41"/>
      <c r="J238" s="8" t="str">
        <f>IF(I238="PM","",IF(H238=0," ",I238-HLOOKUP('Course 2'!H238,'tab2'!$C$3:$N$4,2)))</f>
        <v xml:space="preserve"> </v>
      </c>
      <c r="K238" s="23" t="str">
        <f>IF(I238="PM","",IF(H238=0," ",J238/'Règles et points'!$F$23))</f>
        <v xml:space="preserve"> </v>
      </c>
      <c r="L238" s="3" t="str">
        <f>IF(H238=0,"",IF(I238="PM",30,VLOOKUP(H238,'Règles et points'!$C$5:$AG$19,(HLOOKUP('Course 2'!C238,'Règles et points'!$C$5:$AG$5,1)+1))))</f>
        <v/>
      </c>
      <c r="M238" s="23">
        <f t="shared" si="4"/>
        <v>0</v>
      </c>
      <c r="N238" s="80"/>
      <c r="O238" s="51"/>
      <c r="P238" s="52"/>
    </row>
    <row r="239" spans="2:16" ht="12.75">
      <c r="B239" s="14">
        <v>235</v>
      </c>
      <c r="C239" s="28" t="str">
        <f>IF(Coureurs!C239="","",Coureurs!C239)</f>
        <v/>
      </c>
      <c r="D239" s="131" t="str">
        <f>IF(Coureurs!D239="","",Coureurs!D239)</f>
        <v>70</v>
      </c>
      <c r="E239" s="87" t="str">
        <f>IF(Coureurs!F239="","",Coureurs!F239)</f>
        <v/>
      </c>
      <c r="F239" s="87" t="str">
        <f>IF(Coureurs!G239="","",Coureurs!G239)</f>
        <v/>
      </c>
      <c r="G239" s="50" t="str">
        <f>IF(Coureurs!J239="","",Coureurs!J239)</f>
        <v/>
      </c>
      <c r="H239" s="25"/>
      <c r="I239" s="41"/>
      <c r="J239" s="8" t="str">
        <f>IF(I239="PM","",IF(H239=0," ",I239-HLOOKUP('Course 2'!H239,'tab2'!$C$3:$N$4,2)))</f>
        <v xml:space="preserve"> </v>
      </c>
      <c r="K239" s="23" t="str">
        <f>IF(I239="PM","",IF(H239=0," ",J239/'Règles et points'!$F$23))</f>
        <v xml:space="preserve"> </v>
      </c>
      <c r="L239" s="3" t="str">
        <f>IF(H239=0,"",IF(I239="PM",30,VLOOKUP(H239,'Règles et points'!$C$5:$AG$19,(HLOOKUP('Course 2'!C239,'Règles et points'!$C$5:$AG$5,1)+1))))</f>
        <v/>
      </c>
      <c r="M239" s="23">
        <f t="shared" si="4"/>
        <v>0</v>
      </c>
      <c r="N239" s="80"/>
      <c r="O239" s="51"/>
      <c r="P239" s="52"/>
    </row>
    <row r="240" spans="2:16" ht="12.75">
      <c r="B240" s="14">
        <v>236</v>
      </c>
      <c r="C240" s="28" t="str">
        <f>IF(Coureurs!C240="","",Coureurs!C240)</f>
        <v/>
      </c>
      <c r="D240" s="131" t="str">
        <f>IF(Coureurs!D240="","",Coureurs!D240)</f>
        <v>70</v>
      </c>
      <c r="E240" s="87" t="str">
        <f>IF(Coureurs!F240="","",Coureurs!F240)</f>
        <v/>
      </c>
      <c r="F240" s="87" t="str">
        <f>IF(Coureurs!G240="","",Coureurs!G240)</f>
        <v/>
      </c>
      <c r="G240" s="50" t="str">
        <f>IF(Coureurs!J240="","",Coureurs!J240)</f>
        <v/>
      </c>
      <c r="H240" s="25"/>
      <c r="I240" s="41"/>
      <c r="J240" s="8" t="str">
        <f>IF(I240="PM","",IF(H240=0," ",I240-HLOOKUP('Course 2'!H240,'tab2'!$C$3:$N$4,2)))</f>
        <v xml:space="preserve"> </v>
      </c>
      <c r="K240" s="23" t="str">
        <f>IF(I240="PM","",IF(H240=0," ",J240/'Règles et points'!$F$23))</f>
        <v xml:space="preserve"> </v>
      </c>
      <c r="L240" s="3" t="str">
        <f>IF(H240=0,"",IF(I240="PM",30,VLOOKUP(H240,'Règles et points'!$C$5:$AG$19,(HLOOKUP('Course 2'!C240,'Règles et points'!$C$5:$AG$5,1)+1))))</f>
        <v/>
      </c>
      <c r="M240" s="23">
        <f t="shared" si="4"/>
        <v>0</v>
      </c>
      <c r="N240" s="80"/>
      <c r="O240" s="51"/>
      <c r="P240" s="52"/>
    </row>
    <row r="241" spans="2:16" ht="12.75">
      <c r="B241" s="14">
        <v>237</v>
      </c>
      <c r="C241" s="28" t="str">
        <f>IF(Coureurs!C241="","",Coureurs!C241)</f>
        <v/>
      </c>
      <c r="D241" s="131" t="str">
        <f>IF(Coureurs!D241="","",Coureurs!D241)</f>
        <v>70</v>
      </c>
      <c r="E241" s="87" t="str">
        <f>IF(Coureurs!F241="","",Coureurs!F241)</f>
        <v/>
      </c>
      <c r="F241" s="87" t="str">
        <f>IF(Coureurs!G241="","",Coureurs!G241)</f>
        <v/>
      </c>
      <c r="G241" s="50" t="str">
        <f>IF(Coureurs!J241="","",Coureurs!J241)</f>
        <v/>
      </c>
      <c r="H241" s="25"/>
      <c r="I241" s="41"/>
      <c r="J241" s="8" t="str">
        <f>IF(I241="PM","",IF(H241=0," ",I241-HLOOKUP('Course 2'!H241,'tab2'!$C$3:$N$4,2)))</f>
        <v xml:space="preserve"> </v>
      </c>
      <c r="K241" s="23" t="str">
        <f>IF(I241="PM","",IF(H241=0," ",J241/'Règles et points'!$F$23))</f>
        <v xml:space="preserve"> </v>
      </c>
      <c r="L241" s="3" t="str">
        <f>IF(H241=0,"",IF(I241="PM",30,VLOOKUP(H241,'Règles et points'!$C$5:$AG$19,(HLOOKUP('Course 2'!C241,'Règles et points'!$C$5:$AG$5,1)+1))))</f>
        <v/>
      </c>
      <c r="M241" s="23">
        <f t="shared" si="4"/>
        <v>0</v>
      </c>
      <c r="N241" s="80"/>
      <c r="O241" s="51"/>
      <c r="P241" s="52"/>
    </row>
    <row r="242" spans="2:16" ht="12.75">
      <c r="B242" s="14">
        <v>238</v>
      </c>
      <c r="C242" s="28" t="str">
        <f>IF(Coureurs!C242="","",Coureurs!C242)</f>
        <v/>
      </c>
      <c r="D242" s="131" t="str">
        <f>IF(Coureurs!D242="","",Coureurs!D242)</f>
        <v>70</v>
      </c>
      <c r="E242" s="87" t="str">
        <f>IF(Coureurs!F242="","",Coureurs!F242)</f>
        <v/>
      </c>
      <c r="F242" s="87" t="str">
        <f>IF(Coureurs!G242="","",Coureurs!G242)</f>
        <v/>
      </c>
      <c r="G242" s="50" t="str">
        <f>IF(Coureurs!J242="","",Coureurs!J242)</f>
        <v/>
      </c>
      <c r="H242" s="25"/>
      <c r="I242" s="41"/>
      <c r="J242" s="8" t="str">
        <f>IF(I242="PM","",IF(H242=0," ",I242-HLOOKUP('Course 2'!H242,'tab2'!$C$3:$N$4,2)))</f>
        <v xml:space="preserve"> </v>
      </c>
      <c r="K242" s="23" t="str">
        <f>IF(I242="PM","",IF(H242=0," ",J242/'Règles et points'!$F$23))</f>
        <v xml:space="preserve"> </v>
      </c>
      <c r="L242" s="3" t="str">
        <f>IF(H242=0,"",IF(I242="PM",30,VLOOKUP(H242,'Règles et points'!$C$5:$AG$19,(HLOOKUP('Course 2'!C242,'Règles et points'!$C$5:$AG$5,1)+1))))</f>
        <v/>
      </c>
      <c r="M242" s="23">
        <f t="shared" si="4"/>
        <v>0</v>
      </c>
      <c r="N242" s="80"/>
      <c r="O242" s="51"/>
      <c r="P242" s="52"/>
    </row>
    <row r="243" spans="2:16" ht="12.75">
      <c r="B243" s="14">
        <v>239</v>
      </c>
      <c r="C243" s="28" t="str">
        <f>IF(Coureurs!C243="","",Coureurs!C243)</f>
        <v/>
      </c>
      <c r="D243" s="131" t="str">
        <f>IF(Coureurs!D243="","",Coureurs!D243)</f>
        <v>70</v>
      </c>
      <c r="E243" s="87" t="str">
        <f>IF(Coureurs!F243="","",Coureurs!F243)</f>
        <v/>
      </c>
      <c r="F243" s="87" t="str">
        <f>IF(Coureurs!G243="","",Coureurs!G243)</f>
        <v/>
      </c>
      <c r="G243" s="50" t="str">
        <f>IF(Coureurs!J243="","",Coureurs!J243)</f>
        <v/>
      </c>
      <c r="H243" s="25"/>
      <c r="I243" s="41"/>
      <c r="J243" s="8" t="str">
        <f>IF(I243="PM","",IF(H243=0," ",I243-HLOOKUP('Course 2'!H243,'tab2'!$C$3:$N$4,2)))</f>
        <v xml:space="preserve"> </v>
      </c>
      <c r="K243" s="23" t="str">
        <f>IF(I243="PM","",IF(H243=0," ",J243/'Règles et points'!$F$23))</f>
        <v xml:space="preserve"> </v>
      </c>
      <c r="L243" s="3" t="str">
        <f>IF(H243=0,"",IF(I243="PM",30,VLOOKUP(H243,'Règles et points'!$C$5:$AG$19,(HLOOKUP('Course 2'!C243,'Règles et points'!$C$5:$AG$5,1)+1))))</f>
        <v/>
      </c>
      <c r="M243" s="23">
        <f t="shared" si="4"/>
        <v>0</v>
      </c>
      <c r="N243" s="80"/>
      <c r="O243" s="51"/>
      <c r="P243" s="52"/>
    </row>
    <row r="244" spans="2:16" ht="12.75">
      <c r="B244" s="14">
        <v>240</v>
      </c>
      <c r="C244" s="28" t="str">
        <f>IF(Coureurs!C244="","",Coureurs!C244)</f>
        <v/>
      </c>
      <c r="D244" s="131" t="str">
        <f>IF(Coureurs!D244="","",Coureurs!D244)</f>
        <v>70</v>
      </c>
      <c r="E244" s="87" t="str">
        <f>IF(Coureurs!F244="","",Coureurs!F244)</f>
        <v/>
      </c>
      <c r="F244" s="87" t="str">
        <f>IF(Coureurs!G244="","",Coureurs!G244)</f>
        <v/>
      </c>
      <c r="G244" s="50" t="str">
        <f>IF(Coureurs!J244="","",Coureurs!J244)</f>
        <v/>
      </c>
      <c r="H244" s="25"/>
      <c r="I244" s="41"/>
      <c r="J244" s="8" t="str">
        <f>IF(I244="PM","",IF(H244=0," ",I244-HLOOKUP('Course 2'!H244,'tab2'!$C$3:$N$4,2)))</f>
        <v xml:space="preserve"> </v>
      </c>
      <c r="K244" s="23" t="str">
        <f>IF(I244="PM","",IF(H244=0," ",J244/'Règles et points'!$F$23))</f>
        <v xml:space="preserve"> </v>
      </c>
      <c r="L244" s="3" t="str">
        <f>IF(H244=0,"",IF(I244="PM",30,VLOOKUP(H244,'Règles et points'!$C$5:$AG$19,(HLOOKUP('Course 2'!C244,'Règles et points'!$C$5:$AG$5,1)+1))))</f>
        <v/>
      </c>
      <c r="M244" s="23">
        <f t="shared" si="4"/>
        <v>0</v>
      </c>
      <c r="N244" s="80"/>
      <c r="O244" s="51"/>
      <c r="P244" s="52"/>
    </row>
    <row r="245" spans="2:16" ht="12.75">
      <c r="B245" s="14">
        <v>241</v>
      </c>
      <c r="C245" s="28" t="str">
        <f>IF(Coureurs!C245="","",Coureurs!C245)</f>
        <v/>
      </c>
      <c r="D245" s="131" t="str">
        <f>IF(Coureurs!D245="","",Coureurs!D245)</f>
        <v>70</v>
      </c>
      <c r="E245" s="87" t="str">
        <f>IF(Coureurs!F245="","",Coureurs!F245)</f>
        <v/>
      </c>
      <c r="F245" s="87" t="str">
        <f>IF(Coureurs!G245="","",Coureurs!G245)</f>
        <v/>
      </c>
      <c r="G245" s="50" t="str">
        <f>IF(Coureurs!J245="","",Coureurs!J245)</f>
        <v/>
      </c>
      <c r="H245" s="25"/>
      <c r="I245" s="41"/>
      <c r="J245" s="8" t="str">
        <f>IF(I245="PM","",IF(H245=0," ",I245-HLOOKUP('Course 2'!H245,'tab2'!$C$3:$N$4,2)))</f>
        <v xml:space="preserve"> </v>
      </c>
      <c r="K245" s="23" t="str">
        <f>IF(I245="PM","",IF(H245=0," ",J245/'Règles et points'!$F$23))</f>
        <v xml:space="preserve"> </v>
      </c>
      <c r="L245" s="3" t="str">
        <f>IF(H245=0,"",IF(I245="PM",30,VLOOKUP(H245,'Règles et points'!$C$5:$AG$19,(HLOOKUP('Course 2'!C245,'Règles et points'!$C$5:$AG$5,1)+1))))</f>
        <v/>
      </c>
      <c r="M245" s="23">
        <f t="shared" si="4"/>
        <v>0</v>
      </c>
      <c r="N245" s="80"/>
      <c r="O245" s="51"/>
      <c r="P245" s="52"/>
    </row>
    <row r="246" spans="2:16" ht="12.75">
      <c r="B246" s="14">
        <v>242</v>
      </c>
      <c r="C246" s="28" t="str">
        <f>IF(Coureurs!C246="","",Coureurs!C246)</f>
        <v/>
      </c>
      <c r="D246" s="131" t="str">
        <f>IF(Coureurs!D246="","",Coureurs!D246)</f>
        <v>70</v>
      </c>
      <c r="E246" s="87" t="str">
        <f>IF(Coureurs!F246="","",Coureurs!F246)</f>
        <v/>
      </c>
      <c r="F246" s="87" t="str">
        <f>IF(Coureurs!G246="","",Coureurs!G246)</f>
        <v/>
      </c>
      <c r="G246" s="50" t="str">
        <f>IF(Coureurs!J246="","",Coureurs!J246)</f>
        <v/>
      </c>
      <c r="H246" s="25"/>
      <c r="I246" s="41"/>
      <c r="J246" s="8" t="str">
        <f>IF(I246="PM","",IF(H246=0," ",I246-HLOOKUP('Course 2'!H246,'tab2'!$C$3:$N$4,2)))</f>
        <v xml:space="preserve"> </v>
      </c>
      <c r="K246" s="23" t="str">
        <f>IF(I246="PM","",IF(H246=0," ",J246/'Règles et points'!$F$23))</f>
        <v xml:space="preserve"> </v>
      </c>
      <c r="L246" s="3" t="str">
        <f>IF(H246=0,"",IF(I246="PM",30,VLOOKUP(H246,'Règles et points'!$C$5:$AG$19,(HLOOKUP('Course 2'!C246,'Règles et points'!$C$5:$AG$5,1)+1))))</f>
        <v/>
      </c>
      <c r="M246" s="23">
        <f t="shared" si="4"/>
        <v>0</v>
      </c>
      <c r="N246" s="80"/>
      <c r="O246" s="51"/>
      <c r="P246" s="52"/>
    </row>
    <row r="247" spans="2:16" ht="12.75">
      <c r="B247" s="14">
        <v>243</v>
      </c>
      <c r="C247" s="28" t="str">
        <f>IF(Coureurs!C247="","",Coureurs!C247)</f>
        <v/>
      </c>
      <c r="D247" s="131" t="str">
        <f>IF(Coureurs!D247="","",Coureurs!D247)</f>
        <v>70</v>
      </c>
      <c r="E247" s="87" t="str">
        <f>IF(Coureurs!F247="","",Coureurs!F247)</f>
        <v/>
      </c>
      <c r="F247" s="87" t="str">
        <f>IF(Coureurs!G247="","",Coureurs!G247)</f>
        <v/>
      </c>
      <c r="G247" s="50" t="str">
        <f>IF(Coureurs!J247="","",Coureurs!J247)</f>
        <v/>
      </c>
      <c r="H247" s="25"/>
      <c r="I247" s="41"/>
      <c r="J247" s="8" t="str">
        <f>IF(I247="PM","",IF(H247=0," ",I247-HLOOKUP('Course 2'!H247,'tab2'!$C$3:$N$4,2)))</f>
        <v xml:space="preserve"> </v>
      </c>
      <c r="K247" s="23" t="str">
        <f>IF(I247="PM","",IF(H247=0," ",J247/'Règles et points'!$F$23))</f>
        <v xml:space="preserve"> </v>
      </c>
      <c r="L247" s="3" t="str">
        <f>IF(H247=0,"",IF(I247="PM",30,VLOOKUP(H247,'Règles et points'!$C$5:$AG$19,(HLOOKUP('Course 2'!C247,'Règles et points'!$C$5:$AG$5,1)+1))))</f>
        <v/>
      </c>
      <c r="M247" s="23">
        <f t="shared" si="4"/>
        <v>0</v>
      </c>
      <c r="N247" s="80"/>
      <c r="O247" s="51"/>
      <c r="P247" s="52"/>
    </row>
    <row r="248" spans="2:16" ht="12.75">
      <c r="B248" s="14">
        <v>244</v>
      </c>
      <c r="C248" s="28" t="str">
        <f>IF(Coureurs!C248="","",Coureurs!C248)</f>
        <v/>
      </c>
      <c r="D248" s="131" t="str">
        <f>IF(Coureurs!D248="","",Coureurs!D248)</f>
        <v>70</v>
      </c>
      <c r="E248" s="87" t="str">
        <f>IF(Coureurs!F248="","",Coureurs!F248)</f>
        <v/>
      </c>
      <c r="F248" s="87" t="str">
        <f>IF(Coureurs!G248="","",Coureurs!G248)</f>
        <v/>
      </c>
      <c r="G248" s="50" t="str">
        <f>IF(Coureurs!J248="","",Coureurs!J248)</f>
        <v/>
      </c>
      <c r="H248" s="25"/>
      <c r="I248" s="41"/>
      <c r="J248" s="8" t="str">
        <f>IF(I248="PM","",IF(H248=0," ",I248-HLOOKUP('Course 2'!H248,'tab2'!$C$3:$N$4,2)))</f>
        <v xml:space="preserve"> </v>
      </c>
      <c r="K248" s="23" t="str">
        <f>IF(I248="PM","",IF(H248=0," ",J248/'Règles et points'!$F$23))</f>
        <v xml:space="preserve"> </v>
      </c>
      <c r="L248" s="3" t="str">
        <f>IF(H248=0,"",IF(I248="PM",30,VLOOKUP(H248,'Règles et points'!$C$5:$AG$19,(HLOOKUP('Course 2'!C248,'Règles et points'!$C$5:$AG$5,1)+1))))</f>
        <v/>
      </c>
      <c r="M248" s="23">
        <f t="shared" si="4"/>
        <v>0</v>
      </c>
      <c r="N248" s="80"/>
      <c r="O248" s="51"/>
      <c r="P248" s="52"/>
    </row>
    <row r="249" spans="2:16" ht="12.75">
      <c r="B249" s="14">
        <v>245</v>
      </c>
      <c r="C249" s="28" t="str">
        <f>IF(Coureurs!C249="","",Coureurs!C249)</f>
        <v/>
      </c>
      <c r="D249" s="131" t="str">
        <f>IF(Coureurs!D249="","",Coureurs!D249)</f>
        <v>70</v>
      </c>
      <c r="E249" s="87" t="str">
        <f>IF(Coureurs!F249="","",Coureurs!F249)</f>
        <v/>
      </c>
      <c r="F249" s="87" t="str">
        <f>IF(Coureurs!G249="","",Coureurs!G249)</f>
        <v/>
      </c>
      <c r="G249" s="50" t="str">
        <f>IF(Coureurs!J249="","",Coureurs!J249)</f>
        <v/>
      </c>
      <c r="H249" s="25"/>
      <c r="I249" s="41"/>
      <c r="J249" s="8" t="str">
        <f>IF(I249="PM","",IF(H249=0," ",I249-HLOOKUP('Course 2'!H249,'tab2'!$C$3:$N$4,2)))</f>
        <v xml:space="preserve"> </v>
      </c>
      <c r="K249" s="23" t="str">
        <f>IF(I249="PM","",IF(H249=0," ",J249/'Règles et points'!$F$23))</f>
        <v xml:space="preserve"> </v>
      </c>
      <c r="L249" s="3" t="str">
        <f>IF(H249=0,"",IF(I249="PM",30,VLOOKUP(H249,'Règles et points'!$C$5:$AG$19,(HLOOKUP('Course 2'!C249,'Règles et points'!$C$5:$AG$5,1)+1))))</f>
        <v/>
      </c>
      <c r="M249" s="23">
        <f t="shared" si="4"/>
        <v>0</v>
      </c>
      <c r="N249" s="80"/>
      <c r="O249" s="51"/>
      <c r="P249" s="52"/>
    </row>
    <row r="250" spans="2:16" ht="12.75">
      <c r="B250" s="14">
        <v>246</v>
      </c>
      <c r="C250" s="28" t="str">
        <f>IF(Coureurs!C250="","",Coureurs!C250)</f>
        <v/>
      </c>
      <c r="D250" s="131" t="str">
        <f>IF(Coureurs!D250="","",Coureurs!D250)</f>
        <v>70</v>
      </c>
      <c r="E250" s="87" t="str">
        <f>IF(Coureurs!F250="","",Coureurs!F250)</f>
        <v/>
      </c>
      <c r="F250" s="87" t="str">
        <f>IF(Coureurs!G250="","",Coureurs!G250)</f>
        <v/>
      </c>
      <c r="G250" s="50" t="str">
        <f>IF(Coureurs!J250="","",Coureurs!J250)</f>
        <v/>
      </c>
      <c r="H250" s="25"/>
      <c r="I250" s="41"/>
      <c r="J250" s="8" t="str">
        <f>IF(I250="PM","",IF(H250=0," ",I250-HLOOKUP('Course 2'!H250,'tab2'!$C$3:$N$4,2)))</f>
        <v xml:space="preserve"> </v>
      </c>
      <c r="K250" s="23" t="str">
        <f>IF(I250="PM","",IF(H250=0," ",J250/'Règles et points'!$F$23))</f>
        <v xml:space="preserve"> </v>
      </c>
      <c r="L250" s="3" t="str">
        <f>IF(H250=0,"",IF(I250="PM",30,VLOOKUP(H250,'Règles et points'!$C$5:$AG$19,(HLOOKUP('Course 2'!C250,'Règles et points'!$C$5:$AG$5,1)+1))))</f>
        <v/>
      </c>
      <c r="M250" s="23">
        <f t="shared" si="4"/>
        <v>0</v>
      </c>
      <c r="N250" s="80"/>
      <c r="O250" s="51"/>
      <c r="P250" s="52"/>
    </row>
    <row r="251" spans="2:16" ht="12.75">
      <c r="B251" s="14">
        <v>247</v>
      </c>
      <c r="C251" s="28" t="str">
        <f>IF(Coureurs!C251="","",Coureurs!C251)</f>
        <v/>
      </c>
      <c r="D251" s="131" t="str">
        <f>IF(Coureurs!D251="","",Coureurs!D251)</f>
        <v>70</v>
      </c>
      <c r="E251" s="87" t="str">
        <f>IF(Coureurs!F251="","",Coureurs!F251)</f>
        <v/>
      </c>
      <c r="F251" s="87" t="str">
        <f>IF(Coureurs!G251="","",Coureurs!G251)</f>
        <v/>
      </c>
      <c r="G251" s="50" t="str">
        <f>IF(Coureurs!J251="","",Coureurs!J251)</f>
        <v/>
      </c>
      <c r="H251" s="25"/>
      <c r="I251" s="41"/>
      <c r="J251" s="8" t="str">
        <f>IF(I251="PM","",IF(H251=0," ",I251-HLOOKUP('Course 2'!H251,'tab2'!$C$3:$N$4,2)))</f>
        <v xml:space="preserve"> </v>
      </c>
      <c r="K251" s="23" t="str">
        <f>IF(I251="PM","",IF(H251=0," ",J251/'Règles et points'!$F$23))</f>
        <v xml:space="preserve"> </v>
      </c>
      <c r="L251" s="3" t="str">
        <f>IF(H251=0,"",IF(I251="PM",30,VLOOKUP(H251,'Règles et points'!$C$5:$AG$19,(HLOOKUP('Course 2'!C251,'Règles et points'!$C$5:$AG$5,1)+1))))</f>
        <v/>
      </c>
      <c r="M251" s="23">
        <f t="shared" si="4"/>
        <v>0</v>
      </c>
      <c r="N251" s="80"/>
      <c r="O251" s="51"/>
      <c r="P251" s="52"/>
    </row>
    <row r="252" spans="2:16" ht="12.75">
      <c r="B252" s="14">
        <v>248</v>
      </c>
      <c r="C252" s="28" t="str">
        <f>IF(Coureurs!C252="","",Coureurs!C252)</f>
        <v/>
      </c>
      <c r="D252" s="131" t="str">
        <f>IF(Coureurs!D252="","",Coureurs!D252)</f>
        <v>70</v>
      </c>
      <c r="E252" s="87" t="str">
        <f>IF(Coureurs!F252="","",Coureurs!F252)</f>
        <v/>
      </c>
      <c r="F252" s="87" t="str">
        <f>IF(Coureurs!G252="","",Coureurs!G252)</f>
        <v/>
      </c>
      <c r="G252" s="50" t="str">
        <f>IF(Coureurs!J252="","",Coureurs!J252)</f>
        <v/>
      </c>
      <c r="H252" s="25"/>
      <c r="I252" s="41"/>
      <c r="J252" s="8" t="str">
        <f>IF(I252="PM","",IF(H252=0," ",I252-HLOOKUP('Course 2'!H252,'tab2'!$C$3:$N$4,2)))</f>
        <v xml:space="preserve"> </v>
      </c>
      <c r="K252" s="23" t="str">
        <f>IF(I252="PM","",IF(H252=0," ",J252/'Règles et points'!$F$23))</f>
        <v xml:space="preserve"> </v>
      </c>
      <c r="L252" s="3" t="str">
        <f>IF(H252=0,"",IF(I252="PM",30,VLOOKUP(H252,'Règles et points'!$C$5:$AG$19,(HLOOKUP('Course 2'!C252,'Règles et points'!$C$5:$AG$5,1)+1))))</f>
        <v/>
      </c>
      <c r="M252" s="23">
        <f t="shared" si="4"/>
        <v>0</v>
      </c>
      <c r="N252" s="80"/>
      <c r="O252" s="51"/>
      <c r="P252" s="52"/>
    </row>
    <row r="253" spans="2:16" ht="12.75">
      <c r="B253" s="14">
        <v>249</v>
      </c>
      <c r="C253" s="28" t="str">
        <f>IF(Coureurs!C253="","",Coureurs!C253)</f>
        <v/>
      </c>
      <c r="D253" s="131" t="str">
        <f>IF(Coureurs!D253="","",Coureurs!D253)</f>
        <v>70</v>
      </c>
      <c r="E253" s="87" t="str">
        <f>IF(Coureurs!F253="","",Coureurs!F253)</f>
        <v/>
      </c>
      <c r="F253" s="87" t="str">
        <f>IF(Coureurs!G253="","",Coureurs!G253)</f>
        <v/>
      </c>
      <c r="G253" s="50" t="str">
        <f>IF(Coureurs!J253="","",Coureurs!J253)</f>
        <v/>
      </c>
      <c r="H253" s="25"/>
      <c r="I253" s="41"/>
      <c r="J253" s="8" t="str">
        <f>IF(I253="PM","",IF(H253=0," ",I253-HLOOKUP('Course 2'!H253,'tab2'!$C$3:$N$4,2)))</f>
        <v xml:space="preserve"> </v>
      </c>
      <c r="K253" s="23" t="str">
        <f>IF(I253="PM","",IF(H253=0," ",J253/'Règles et points'!$F$23))</f>
        <v xml:space="preserve"> </v>
      </c>
      <c r="L253" s="3" t="str">
        <f>IF(H253=0,"",IF(I253="PM",30,VLOOKUP(H253,'Règles et points'!$C$5:$AG$19,(HLOOKUP('Course 2'!C253,'Règles et points'!$C$5:$AG$5,1)+1))))</f>
        <v/>
      </c>
      <c r="M253" s="23">
        <f t="shared" si="4"/>
        <v>0</v>
      </c>
      <c r="N253" s="80"/>
      <c r="O253" s="51"/>
      <c r="P253" s="52"/>
    </row>
    <row r="254" spans="2:16" ht="12.75">
      <c r="B254" s="14">
        <v>250</v>
      </c>
      <c r="C254" s="28" t="str">
        <f>IF(Coureurs!C254="","",Coureurs!C254)</f>
        <v/>
      </c>
      <c r="D254" s="131" t="str">
        <f>IF(Coureurs!D254="","",Coureurs!D254)</f>
        <v>70</v>
      </c>
      <c r="E254" s="87" t="str">
        <f>IF(Coureurs!F254="","",Coureurs!F254)</f>
        <v/>
      </c>
      <c r="F254" s="87" t="str">
        <f>IF(Coureurs!G254="","",Coureurs!G254)</f>
        <v/>
      </c>
      <c r="G254" s="50" t="str">
        <f>IF(Coureurs!J254="","",Coureurs!J254)</f>
        <v/>
      </c>
      <c r="H254" s="25"/>
      <c r="I254" s="41"/>
      <c r="J254" s="8" t="str">
        <f>IF(I254="PM","",IF(H254=0," ",I254-HLOOKUP('Course 2'!H254,'tab2'!$C$3:$N$4,2)))</f>
        <v xml:space="preserve"> </v>
      </c>
      <c r="K254" s="23" t="str">
        <f>IF(I254="PM","",IF(H254=0," ",J254/'Règles et points'!$F$23))</f>
        <v xml:space="preserve"> </v>
      </c>
      <c r="L254" s="3" t="str">
        <f>IF(H254=0,"",IF(I254="PM",30,VLOOKUP(H254,'Règles et points'!$C$5:$AG$19,(HLOOKUP('Course 2'!C254,'Règles et points'!$C$5:$AG$5,1)+1))))</f>
        <v/>
      </c>
      <c r="M254" s="23">
        <f t="shared" si="4"/>
        <v>0</v>
      </c>
      <c r="N254" s="80"/>
      <c r="O254" s="51"/>
      <c r="P254" s="52"/>
    </row>
    <row r="255" spans="2:16" ht="12.75">
      <c r="B255" s="14">
        <v>251</v>
      </c>
      <c r="C255" s="28" t="str">
        <f>IF(Coureurs!C255="","",Coureurs!C255)</f>
        <v/>
      </c>
      <c r="D255" s="131" t="str">
        <f>IF(Coureurs!D255="","",Coureurs!D255)</f>
        <v>70</v>
      </c>
      <c r="E255" s="87" t="str">
        <f>IF(Coureurs!F255="","",Coureurs!F255)</f>
        <v/>
      </c>
      <c r="F255" s="87" t="str">
        <f>IF(Coureurs!G255="","",Coureurs!G255)</f>
        <v/>
      </c>
      <c r="G255" s="50" t="str">
        <f>IF(Coureurs!J255="","",Coureurs!J255)</f>
        <v/>
      </c>
      <c r="H255" s="25"/>
      <c r="I255" s="41"/>
      <c r="J255" s="8" t="str">
        <f>IF(I255="PM","",IF(H255=0," ",I255-HLOOKUP('Course 2'!H255,'tab2'!$C$3:$N$4,2)))</f>
        <v xml:space="preserve"> </v>
      </c>
      <c r="K255" s="23" t="str">
        <f>IF(I255="PM","",IF(H255=0," ",J255/'Règles et points'!$F$23))</f>
        <v xml:space="preserve"> </v>
      </c>
      <c r="L255" s="3" t="str">
        <f>IF(H255=0,"",IF(I255="PM",30,VLOOKUP(H255,'Règles et points'!$C$5:$AG$19,(HLOOKUP('Course 2'!C255,'Règles et points'!$C$5:$AG$5,1)+1))))</f>
        <v/>
      </c>
      <c r="M255" s="23">
        <f t="shared" si="4"/>
        <v>0</v>
      </c>
      <c r="N255" s="80"/>
      <c r="O255" s="51"/>
      <c r="P255" s="52"/>
    </row>
    <row r="256" spans="2:16" ht="12.75">
      <c r="B256" s="14">
        <v>252</v>
      </c>
      <c r="C256" s="28" t="str">
        <f>IF(Coureurs!C256="","",Coureurs!C256)</f>
        <v/>
      </c>
      <c r="D256" s="131" t="str">
        <f>IF(Coureurs!D256="","",Coureurs!D256)</f>
        <v>70</v>
      </c>
      <c r="E256" s="87" t="str">
        <f>IF(Coureurs!F256="","",Coureurs!F256)</f>
        <v/>
      </c>
      <c r="F256" s="87" t="str">
        <f>IF(Coureurs!G256="","",Coureurs!G256)</f>
        <v/>
      </c>
      <c r="G256" s="50" t="str">
        <f>IF(Coureurs!J256="","",Coureurs!J256)</f>
        <v/>
      </c>
      <c r="H256" s="25"/>
      <c r="I256" s="41"/>
      <c r="J256" s="8" t="str">
        <f>IF(I256="PM","",IF(H256=0," ",I256-HLOOKUP('Course 2'!H256,'tab2'!$C$3:$N$4,2)))</f>
        <v xml:space="preserve"> </v>
      </c>
      <c r="K256" s="23" t="str">
        <f>IF(I256="PM","",IF(H256=0," ",J256/'Règles et points'!$F$23))</f>
        <v xml:space="preserve"> </v>
      </c>
      <c r="L256" s="3" t="str">
        <f>IF(H256=0,"",IF(I256="PM",30,VLOOKUP(H256,'Règles et points'!$C$5:$AG$19,(HLOOKUP('Course 2'!C256,'Règles et points'!$C$5:$AG$5,1)+1))))</f>
        <v/>
      </c>
      <c r="M256" s="23">
        <f t="shared" si="4"/>
        <v>0</v>
      </c>
      <c r="N256" s="80"/>
      <c r="O256" s="51"/>
      <c r="P256" s="52"/>
    </row>
    <row r="257" spans="2:16" ht="12.75">
      <c r="B257" s="14">
        <v>253</v>
      </c>
      <c r="C257" s="28" t="str">
        <f>IF(Coureurs!C257="","",Coureurs!C257)</f>
        <v/>
      </c>
      <c r="D257" s="131" t="str">
        <f>IF(Coureurs!D257="","",Coureurs!D257)</f>
        <v>70</v>
      </c>
      <c r="E257" s="87" t="str">
        <f>IF(Coureurs!F257="","",Coureurs!F257)</f>
        <v/>
      </c>
      <c r="F257" s="87" t="str">
        <f>IF(Coureurs!G257="","",Coureurs!G257)</f>
        <v/>
      </c>
      <c r="G257" s="50" t="str">
        <f>IF(Coureurs!J257="","",Coureurs!J257)</f>
        <v/>
      </c>
      <c r="H257" s="25"/>
      <c r="I257" s="41"/>
      <c r="J257" s="8" t="str">
        <f>IF(I257="PM","",IF(H257=0," ",I257-HLOOKUP('Course 2'!H257,'tab2'!$C$3:$N$4,2)))</f>
        <v xml:space="preserve"> </v>
      </c>
      <c r="K257" s="23" t="str">
        <f>IF(I257="PM","",IF(H257=0," ",J257/'Règles et points'!$F$23))</f>
        <v xml:space="preserve"> </v>
      </c>
      <c r="L257" s="3" t="str">
        <f>IF(H257=0,"",IF(I257="PM",30,VLOOKUP(H257,'Règles et points'!$C$5:$AG$19,(HLOOKUP('Course 2'!C257,'Règles et points'!$C$5:$AG$5,1)+1))))</f>
        <v/>
      </c>
      <c r="M257" s="23">
        <f t="shared" si="4"/>
        <v>0</v>
      </c>
      <c r="N257" s="80"/>
      <c r="O257" s="51"/>
      <c r="P257" s="52"/>
    </row>
    <row r="258" spans="2:16" ht="12.75">
      <c r="B258" s="14">
        <v>254</v>
      </c>
      <c r="C258" s="28" t="str">
        <f>IF(Coureurs!C258="","",Coureurs!C258)</f>
        <v/>
      </c>
      <c r="D258" s="131" t="str">
        <f>IF(Coureurs!D258="","",Coureurs!D258)</f>
        <v>70</v>
      </c>
      <c r="E258" s="87" t="str">
        <f>IF(Coureurs!F258="","",Coureurs!F258)</f>
        <v/>
      </c>
      <c r="F258" s="87" t="str">
        <f>IF(Coureurs!G258="","",Coureurs!G258)</f>
        <v/>
      </c>
      <c r="G258" s="50" t="str">
        <f>IF(Coureurs!J258="","",Coureurs!J258)</f>
        <v/>
      </c>
      <c r="H258" s="25"/>
      <c r="I258" s="41"/>
      <c r="J258" s="8" t="str">
        <f>IF(I258="PM","",IF(H258=0," ",I258-HLOOKUP('Course 2'!H258,'tab2'!$C$3:$N$4,2)))</f>
        <v xml:space="preserve"> </v>
      </c>
      <c r="K258" s="23" t="str">
        <f>IF(I258="PM","",IF(H258=0," ",J258/'Règles et points'!$F$23))</f>
        <v xml:space="preserve"> </v>
      </c>
      <c r="L258" s="3" t="str">
        <f>IF(H258=0,"",IF(I258="PM",30,VLOOKUP(H258,'Règles et points'!$C$5:$AG$19,(HLOOKUP('Course 2'!C258,'Règles et points'!$C$5:$AG$5,1)+1))))</f>
        <v/>
      </c>
      <c r="M258" s="23">
        <f t="shared" si="4"/>
        <v>0</v>
      </c>
      <c r="N258" s="80"/>
      <c r="O258" s="51"/>
      <c r="P258" s="52"/>
    </row>
    <row r="259" spans="2:16" ht="12.75">
      <c r="B259" s="14">
        <v>255</v>
      </c>
      <c r="C259" s="28" t="str">
        <f>IF(Coureurs!C259="","",Coureurs!C259)</f>
        <v/>
      </c>
      <c r="D259" s="131" t="str">
        <f>IF(Coureurs!D259="","",Coureurs!D259)</f>
        <v>70</v>
      </c>
      <c r="E259" s="87" t="str">
        <f>IF(Coureurs!F259="","",Coureurs!F259)</f>
        <v/>
      </c>
      <c r="F259" s="87" t="str">
        <f>IF(Coureurs!G259="","",Coureurs!G259)</f>
        <v/>
      </c>
      <c r="G259" s="50" t="str">
        <f>IF(Coureurs!J259="","",Coureurs!J259)</f>
        <v/>
      </c>
      <c r="H259" s="25"/>
      <c r="I259" s="41"/>
      <c r="J259" s="8" t="str">
        <f>IF(I259="PM","",IF(H259=0," ",I259-HLOOKUP('Course 2'!H259,'tab2'!$C$3:$N$4,2)))</f>
        <v xml:space="preserve"> </v>
      </c>
      <c r="K259" s="23" t="str">
        <f>IF(I259="PM","",IF(H259=0," ",J259/'Règles et points'!$F$23))</f>
        <v xml:space="preserve"> </v>
      </c>
      <c r="L259" s="3" t="str">
        <f>IF(H259=0,"",IF(I259="PM",30,VLOOKUP(H259,'Règles et points'!$C$5:$AG$19,(HLOOKUP('Course 2'!C259,'Règles et points'!$C$5:$AG$5,1)+1))))</f>
        <v/>
      </c>
      <c r="M259" s="23">
        <f t="shared" si="4"/>
        <v>0</v>
      </c>
      <c r="N259" s="80"/>
      <c r="O259" s="51"/>
      <c r="P259" s="52"/>
    </row>
    <row r="260" spans="2:16" ht="12.75">
      <c r="B260" s="14">
        <v>256</v>
      </c>
      <c r="C260" s="28" t="str">
        <f>IF(Coureurs!C260="","",Coureurs!C260)</f>
        <v/>
      </c>
      <c r="D260" s="131" t="str">
        <f>IF(Coureurs!D260="","",Coureurs!D260)</f>
        <v>70</v>
      </c>
      <c r="E260" s="87" t="str">
        <f>IF(Coureurs!F260="","",Coureurs!F260)</f>
        <v/>
      </c>
      <c r="F260" s="87" t="str">
        <f>IF(Coureurs!G260="","",Coureurs!G260)</f>
        <v/>
      </c>
      <c r="G260" s="50" t="str">
        <f>IF(Coureurs!J260="","",Coureurs!J260)</f>
        <v/>
      </c>
      <c r="H260" s="25"/>
      <c r="I260" s="41"/>
      <c r="J260" s="8" t="str">
        <f>IF(I260="PM","",IF(H260=0," ",I260-HLOOKUP('Course 2'!H260,'tab2'!$C$3:$N$4,2)))</f>
        <v xml:space="preserve"> </v>
      </c>
      <c r="K260" s="23" t="str">
        <f>IF(I260="PM","",IF(H260=0," ",J260/'Règles et points'!$F$23))</f>
        <v xml:space="preserve"> </v>
      </c>
      <c r="L260" s="3" t="str">
        <f>IF(H260=0,"",IF(I260="PM",30,VLOOKUP(H260,'Règles et points'!$C$5:$AG$19,(HLOOKUP('Course 2'!C260,'Règles et points'!$C$5:$AG$5,1)+1))))</f>
        <v/>
      </c>
      <c r="M260" s="23">
        <f t="shared" si="4"/>
        <v>0</v>
      </c>
      <c r="N260" s="80"/>
      <c r="O260" s="51"/>
      <c r="P260" s="52"/>
    </row>
    <row r="261" spans="2:16" ht="12.75">
      <c r="B261" s="14">
        <v>257</v>
      </c>
      <c r="C261" s="28" t="str">
        <f>IF(Coureurs!C261="","",Coureurs!C261)</f>
        <v/>
      </c>
      <c r="D261" s="131" t="str">
        <f>IF(Coureurs!D261="","",Coureurs!D261)</f>
        <v>70</v>
      </c>
      <c r="E261" s="87" t="str">
        <f>IF(Coureurs!F261="","",Coureurs!F261)</f>
        <v/>
      </c>
      <c r="F261" s="87" t="str">
        <f>IF(Coureurs!G261="","",Coureurs!G261)</f>
        <v/>
      </c>
      <c r="G261" s="50" t="str">
        <f>IF(Coureurs!J261="","",Coureurs!J261)</f>
        <v/>
      </c>
      <c r="H261" s="25"/>
      <c r="I261" s="41"/>
      <c r="J261" s="8" t="str">
        <f>IF(I261="PM","",IF(H261=0," ",I261-HLOOKUP('Course 2'!H261,'tab2'!$C$3:$N$4,2)))</f>
        <v xml:space="preserve"> </v>
      </c>
      <c r="K261" s="23" t="str">
        <f>IF(I261="PM","",IF(H261=0," ",J261/'Règles et points'!$F$23))</f>
        <v xml:space="preserve"> </v>
      </c>
      <c r="L261" s="3" t="str">
        <f>IF(H261=0,"",IF(I261="PM",30,VLOOKUP(H261,'Règles et points'!$C$5:$AG$19,(HLOOKUP('Course 2'!C261,'Règles et points'!$C$5:$AG$5,1)+1))))</f>
        <v/>
      </c>
      <c r="M261" s="23">
        <f t="shared" si="4"/>
        <v>0</v>
      </c>
      <c r="N261" s="80"/>
      <c r="O261" s="51"/>
      <c r="P261" s="52"/>
    </row>
    <row r="262" spans="2:16" ht="12.75">
      <c r="B262" s="14">
        <v>258</v>
      </c>
      <c r="C262" s="28" t="str">
        <f>IF(Coureurs!C262="","",Coureurs!C262)</f>
        <v/>
      </c>
      <c r="D262" s="131" t="str">
        <f>IF(Coureurs!D262="","",Coureurs!D262)</f>
        <v>70</v>
      </c>
      <c r="E262" s="87" t="str">
        <f>IF(Coureurs!F262="","",Coureurs!F262)</f>
        <v/>
      </c>
      <c r="F262" s="87" t="str">
        <f>IF(Coureurs!G262="","",Coureurs!G262)</f>
        <v/>
      </c>
      <c r="G262" s="50" t="str">
        <f>IF(Coureurs!J262="","",Coureurs!J262)</f>
        <v/>
      </c>
      <c r="H262" s="25"/>
      <c r="I262" s="41"/>
      <c r="J262" s="8" t="str">
        <f>IF(I262="PM","",IF(H262=0," ",I262-HLOOKUP('Course 2'!H262,'tab2'!$C$3:$N$4,2)))</f>
        <v xml:space="preserve"> </v>
      </c>
      <c r="K262" s="23" t="str">
        <f>IF(I262="PM","",IF(H262=0," ",J262/'Règles et points'!$F$23))</f>
        <v xml:space="preserve"> </v>
      </c>
      <c r="L262" s="3" t="str">
        <f>IF(H262=0,"",IF(I262="PM",30,VLOOKUP(H262,'Règles et points'!$C$5:$AG$19,(HLOOKUP('Course 2'!C262,'Règles et points'!$C$5:$AG$5,1)+1))))</f>
        <v/>
      </c>
      <c r="M262" s="23">
        <f t="shared" ref="M262:M304" si="5">IF(I262="PM",30,IF(H262=0,0,L262-K262))+N262</f>
        <v>0</v>
      </c>
      <c r="N262" s="80"/>
      <c r="O262" s="51"/>
      <c r="P262" s="52"/>
    </row>
    <row r="263" spans="2:16" ht="12.75">
      <c r="B263" s="14">
        <v>259</v>
      </c>
      <c r="C263" s="28" t="str">
        <f>IF(Coureurs!C263="","",Coureurs!C263)</f>
        <v/>
      </c>
      <c r="D263" s="131" t="str">
        <f>IF(Coureurs!D263="","",Coureurs!D263)</f>
        <v>70</v>
      </c>
      <c r="E263" s="87" t="str">
        <f>IF(Coureurs!F263="","",Coureurs!F263)</f>
        <v/>
      </c>
      <c r="F263" s="87" t="str">
        <f>IF(Coureurs!G263="","",Coureurs!G263)</f>
        <v/>
      </c>
      <c r="G263" s="50" t="str">
        <f>IF(Coureurs!J263="","",Coureurs!J263)</f>
        <v/>
      </c>
      <c r="H263" s="25"/>
      <c r="I263" s="41"/>
      <c r="J263" s="8" t="str">
        <f>IF(I263="PM","",IF(H263=0," ",I263-HLOOKUP('Course 2'!H263,'tab2'!$C$3:$N$4,2)))</f>
        <v xml:space="preserve"> </v>
      </c>
      <c r="K263" s="23" t="str">
        <f>IF(I263="PM","",IF(H263=0," ",J263/'Règles et points'!$F$23))</f>
        <v xml:space="preserve"> </v>
      </c>
      <c r="L263" s="3" t="str">
        <f>IF(H263=0,"",IF(I263="PM",30,VLOOKUP(H263,'Règles et points'!$C$5:$AG$19,(HLOOKUP('Course 2'!C263,'Règles et points'!$C$5:$AG$5,1)+1))))</f>
        <v/>
      </c>
      <c r="M263" s="23">
        <f t="shared" si="5"/>
        <v>0</v>
      </c>
      <c r="N263" s="80"/>
      <c r="O263" s="51"/>
      <c r="P263" s="52"/>
    </row>
    <row r="264" spans="2:16" ht="12.75">
      <c r="B264" s="14">
        <v>260</v>
      </c>
      <c r="C264" s="28" t="str">
        <f>IF(Coureurs!C264="","",Coureurs!C264)</f>
        <v/>
      </c>
      <c r="D264" s="131" t="str">
        <f>IF(Coureurs!D264="","",Coureurs!D264)</f>
        <v>70</v>
      </c>
      <c r="E264" s="87" t="str">
        <f>IF(Coureurs!F264="","",Coureurs!F264)</f>
        <v/>
      </c>
      <c r="F264" s="87" t="str">
        <f>IF(Coureurs!G264="","",Coureurs!G264)</f>
        <v/>
      </c>
      <c r="G264" s="50" t="str">
        <f>IF(Coureurs!J264="","",Coureurs!J264)</f>
        <v/>
      </c>
      <c r="H264" s="25"/>
      <c r="I264" s="41"/>
      <c r="J264" s="8" t="str">
        <f>IF(I264="PM","",IF(H264=0," ",I264-HLOOKUP('Course 2'!H264,'tab2'!$C$3:$N$4,2)))</f>
        <v xml:space="preserve"> </v>
      </c>
      <c r="K264" s="23" t="str">
        <f>IF(I264="PM","",IF(H264=0," ",J264/'Règles et points'!$F$23))</f>
        <v xml:space="preserve"> </v>
      </c>
      <c r="L264" s="3" t="str">
        <f>IF(H264=0,"",IF(I264="PM",30,VLOOKUP(H264,'Règles et points'!$C$5:$AG$19,(HLOOKUP('Course 2'!C264,'Règles et points'!$C$5:$AG$5,1)+1))))</f>
        <v/>
      </c>
      <c r="M264" s="23">
        <f t="shared" si="5"/>
        <v>0</v>
      </c>
      <c r="N264" s="80"/>
      <c r="O264" s="51"/>
      <c r="P264" s="52"/>
    </row>
    <row r="265" spans="2:16" ht="12.75">
      <c r="B265" s="14">
        <v>261</v>
      </c>
      <c r="C265" s="28" t="str">
        <f>IF(Coureurs!C265="","",Coureurs!C265)</f>
        <v/>
      </c>
      <c r="D265" s="131" t="str">
        <f>IF(Coureurs!D265="","",Coureurs!D265)</f>
        <v>70</v>
      </c>
      <c r="E265" s="87" t="str">
        <f>IF(Coureurs!F265="","",Coureurs!F265)</f>
        <v/>
      </c>
      <c r="F265" s="87" t="str">
        <f>IF(Coureurs!G265="","",Coureurs!G265)</f>
        <v/>
      </c>
      <c r="G265" s="50" t="str">
        <f>IF(Coureurs!J265="","",Coureurs!J265)</f>
        <v/>
      </c>
      <c r="H265" s="25"/>
      <c r="I265" s="41"/>
      <c r="J265" s="8" t="str">
        <f>IF(I265="PM","",IF(H265=0," ",I265-HLOOKUP('Course 2'!H265,'tab2'!$C$3:$N$4,2)))</f>
        <v xml:space="preserve"> </v>
      </c>
      <c r="K265" s="23" t="str">
        <f>IF(I265="PM","",IF(H265=0," ",J265/'Règles et points'!$F$23))</f>
        <v xml:space="preserve"> </v>
      </c>
      <c r="L265" s="3" t="str">
        <f>IF(H265=0,"",IF(I265="PM",30,VLOOKUP(H265,'Règles et points'!$C$5:$AG$19,(HLOOKUP('Course 2'!C265,'Règles et points'!$C$5:$AG$5,1)+1))))</f>
        <v/>
      </c>
      <c r="M265" s="23">
        <f t="shared" si="5"/>
        <v>0</v>
      </c>
      <c r="N265" s="80"/>
      <c r="O265" s="51"/>
      <c r="P265" s="52"/>
    </row>
    <row r="266" spans="2:16" ht="12.75">
      <c r="B266" s="14">
        <v>262</v>
      </c>
      <c r="C266" s="28" t="str">
        <f>IF(Coureurs!C266="","",Coureurs!C266)</f>
        <v/>
      </c>
      <c r="D266" s="131" t="str">
        <f>IF(Coureurs!D266="","",Coureurs!D266)</f>
        <v>70</v>
      </c>
      <c r="E266" s="87" t="str">
        <f>IF(Coureurs!F266="","",Coureurs!F266)</f>
        <v/>
      </c>
      <c r="F266" s="87" t="str">
        <f>IF(Coureurs!G266="","",Coureurs!G266)</f>
        <v/>
      </c>
      <c r="G266" s="50" t="str">
        <f>IF(Coureurs!J266="","",Coureurs!J266)</f>
        <v/>
      </c>
      <c r="H266" s="25"/>
      <c r="I266" s="41"/>
      <c r="J266" s="8" t="str">
        <f>IF(I266="PM","",IF(H266=0," ",I266-HLOOKUP('Course 2'!H266,'tab2'!$C$3:$N$4,2)))</f>
        <v xml:space="preserve"> </v>
      </c>
      <c r="K266" s="23" t="str">
        <f>IF(I266="PM","",IF(H266=0," ",J266/'Règles et points'!$F$23))</f>
        <v xml:space="preserve"> </v>
      </c>
      <c r="L266" s="3" t="str">
        <f>IF(H266=0,"",IF(I266="PM",30,VLOOKUP(H266,'Règles et points'!$C$5:$AG$19,(HLOOKUP('Course 2'!C266,'Règles et points'!$C$5:$AG$5,1)+1))))</f>
        <v/>
      </c>
      <c r="M266" s="23">
        <f t="shared" si="5"/>
        <v>0</v>
      </c>
      <c r="N266" s="80"/>
      <c r="O266" s="51"/>
      <c r="P266" s="52"/>
    </row>
    <row r="267" spans="2:16" ht="12.75">
      <c r="B267" s="14">
        <v>263</v>
      </c>
      <c r="C267" s="28" t="str">
        <f>IF(Coureurs!C267="","",Coureurs!C267)</f>
        <v/>
      </c>
      <c r="D267" s="131" t="str">
        <f>IF(Coureurs!D267="","",Coureurs!D267)</f>
        <v>70</v>
      </c>
      <c r="E267" s="87" t="str">
        <f>IF(Coureurs!F267="","",Coureurs!F267)</f>
        <v/>
      </c>
      <c r="F267" s="87" t="str">
        <f>IF(Coureurs!G267="","",Coureurs!G267)</f>
        <v/>
      </c>
      <c r="G267" s="50" t="str">
        <f>IF(Coureurs!J267="","",Coureurs!J267)</f>
        <v/>
      </c>
      <c r="H267" s="25"/>
      <c r="I267" s="41"/>
      <c r="J267" s="8" t="str">
        <f>IF(I267="PM","",IF(H267=0," ",I267-HLOOKUP('Course 2'!H267,'tab2'!$C$3:$N$4,2)))</f>
        <v xml:space="preserve"> </v>
      </c>
      <c r="K267" s="23" t="str">
        <f>IF(I267="PM","",IF(H267=0," ",J267/'Règles et points'!$F$23))</f>
        <v xml:space="preserve"> </v>
      </c>
      <c r="L267" s="3" t="str">
        <f>IF(H267=0,"",IF(I267="PM",30,VLOOKUP(H267,'Règles et points'!$C$5:$AG$19,(HLOOKUP('Course 2'!C267,'Règles et points'!$C$5:$AG$5,1)+1))))</f>
        <v/>
      </c>
      <c r="M267" s="23">
        <f t="shared" si="5"/>
        <v>0</v>
      </c>
      <c r="N267" s="80"/>
      <c r="O267" s="51"/>
      <c r="P267" s="52"/>
    </row>
    <row r="268" spans="2:16" ht="12.75">
      <c r="B268" s="14">
        <v>264</v>
      </c>
      <c r="C268" s="28" t="str">
        <f>IF(Coureurs!C268="","",Coureurs!C268)</f>
        <v/>
      </c>
      <c r="D268" s="131" t="str">
        <f>IF(Coureurs!D268="","",Coureurs!D268)</f>
        <v>70</v>
      </c>
      <c r="E268" s="87" t="str">
        <f>IF(Coureurs!F268="","",Coureurs!F268)</f>
        <v/>
      </c>
      <c r="F268" s="87" t="str">
        <f>IF(Coureurs!G268="","",Coureurs!G268)</f>
        <v/>
      </c>
      <c r="G268" s="50" t="str">
        <f>IF(Coureurs!J268="","",Coureurs!J268)</f>
        <v/>
      </c>
      <c r="H268" s="25"/>
      <c r="I268" s="41"/>
      <c r="J268" s="8" t="str">
        <f>IF(I268="PM","",IF(H268=0," ",I268-HLOOKUP('Course 2'!H268,'tab2'!$C$3:$N$4,2)))</f>
        <v xml:space="preserve"> </v>
      </c>
      <c r="K268" s="23" t="str">
        <f>IF(I268="PM","",IF(H268=0," ",J268/'Règles et points'!$F$23))</f>
        <v xml:space="preserve"> </v>
      </c>
      <c r="L268" s="3" t="str">
        <f>IF(H268=0,"",IF(I268="PM",30,VLOOKUP(H268,'Règles et points'!$C$5:$AG$19,(HLOOKUP('Course 2'!C268,'Règles et points'!$C$5:$AG$5,1)+1))))</f>
        <v/>
      </c>
      <c r="M268" s="23">
        <f t="shared" si="5"/>
        <v>0</v>
      </c>
      <c r="N268" s="80"/>
      <c r="O268" s="51"/>
      <c r="P268" s="52"/>
    </row>
    <row r="269" spans="2:16" ht="12.75">
      <c r="B269" s="14">
        <v>265</v>
      </c>
      <c r="C269" s="28" t="str">
        <f>IF(Coureurs!C269="","",Coureurs!C269)</f>
        <v/>
      </c>
      <c r="D269" s="131" t="str">
        <f>IF(Coureurs!D269="","",Coureurs!D269)</f>
        <v>70</v>
      </c>
      <c r="E269" s="87" t="str">
        <f>IF(Coureurs!F269="","",Coureurs!F269)</f>
        <v/>
      </c>
      <c r="F269" s="87" t="str">
        <f>IF(Coureurs!G269="","",Coureurs!G269)</f>
        <v/>
      </c>
      <c r="G269" s="50" t="str">
        <f>IF(Coureurs!J269="","",Coureurs!J269)</f>
        <v/>
      </c>
      <c r="H269" s="25"/>
      <c r="I269" s="41"/>
      <c r="J269" s="8" t="str">
        <f>IF(I269="PM","",IF(H269=0," ",I269-HLOOKUP('Course 2'!H269,'tab2'!$C$3:$N$4,2)))</f>
        <v xml:space="preserve"> </v>
      </c>
      <c r="K269" s="23" t="str">
        <f>IF(I269="PM","",IF(H269=0," ",J269/'Règles et points'!$F$23))</f>
        <v xml:space="preserve"> </v>
      </c>
      <c r="L269" s="3" t="str">
        <f>IF(H269=0,"",IF(I269="PM",30,VLOOKUP(H269,'Règles et points'!$C$5:$AG$19,(HLOOKUP('Course 2'!C269,'Règles et points'!$C$5:$AG$5,1)+1))))</f>
        <v/>
      </c>
      <c r="M269" s="23">
        <f t="shared" si="5"/>
        <v>0</v>
      </c>
      <c r="N269" s="80"/>
      <c r="O269" s="51"/>
      <c r="P269" s="52"/>
    </row>
    <row r="270" spans="2:16" ht="12.75">
      <c r="B270" s="14">
        <v>266</v>
      </c>
      <c r="C270" s="28" t="str">
        <f>IF(Coureurs!C270="","",Coureurs!C270)</f>
        <v/>
      </c>
      <c r="D270" s="131" t="str">
        <f>IF(Coureurs!D270="","",Coureurs!D270)</f>
        <v>70</v>
      </c>
      <c r="E270" s="87" t="str">
        <f>IF(Coureurs!F270="","",Coureurs!F270)</f>
        <v/>
      </c>
      <c r="F270" s="87" t="str">
        <f>IF(Coureurs!G270="","",Coureurs!G270)</f>
        <v/>
      </c>
      <c r="G270" s="50" t="str">
        <f>IF(Coureurs!J270="","",Coureurs!J270)</f>
        <v/>
      </c>
      <c r="H270" s="25"/>
      <c r="I270" s="41"/>
      <c r="J270" s="8" t="str">
        <f>IF(I270="PM","",IF(H270=0," ",I270-HLOOKUP('Course 2'!H270,'tab2'!$C$3:$N$4,2)))</f>
        <v xml:space="preserve"> </v>
      </c>
      <c r="K270" s="23" t="str">
        <f>IF(I270="PM","",IF(H270=0," ",J270/'Règles et points'!$F$23))</f>
        <v xml:space="preserve"> </v>
      </c>
      <c r="L270" s="3" t="str">
        <f>IF(H270=0,"",IF(I270="PM",30,VLOOKUP(H270,'Règles et points'!$C$5:$AG$19,(HLOOKUP('Course 2'!C270,'Règles et points'!$C$5:$AG$5,1)+1))))</f>
        <v/>
      </c>
      <c r="M270" s="23">
        <f t="shared" si="5"/>
        <v>0</v>
      </c>
      <c r="N270" s="80"/>
      <c r="O270" s="51"/>
      <c r="P270" s="52"/>
    </row>
    <row r="271" spans="2:16" ht="12.75">
      <c r="B271" s="14">
        <v>267</v>
      </c>
      <c r="C271" s="28" t="str">
        <f>IF(Coureurs!C271="","",Coureurs!C271)</f>
        <v/>
      </c>
      <c r="D271" s="131" t="str">
        <f>IF(Coureurs!D271="","",Coureurs!D271)</f>
        <v>70</v>
      </c>
      <c r="E271" s="87" t="str">
        <f>IF(Coureurs!F271="","",Coureurs!F271)</f>
        <v/>
      </c>
      <c r="F271" s="87" t="str">
        <f>IF(Coureurs!G271="","",Coureurs!G271)</f>
        <v/>
      </c>
      <c r="G271" s="50" t="str">
        <f>IF(Coureurs!J271="","",Coureurs!J271)</f>
        <v/>
      </c>
      <c r="H271" s="25"/>
      <c r="I271" s="41"/>
      <c r="J271" s="8" t="str">
        <f>IF(I271="PM","",IF(H271=0," ",I271-HLOOKUP('Course 2'!H271,'tab2'!$C$3:$N$4,2)))</f>
        <v xml:space="preserve"> </v>
      </c>
      <c r="K271" s="23" t="str">
        <f>IF(I271="PM","",IF(H271=0," ",J271/'Règles et points'!$F$23))</f>
        <v xml:space="preserve"> </v>
      </c>
      <c r="L271" s="3" t="str">
        <f>IF(H271=0,"",IF(I271="PM",30,VLOOKUP(H271,'Règles et points'!$C$5:$AG$19,(HLOOKUP('Course 2'!C271,'Règles et points'!$C$5:$AG$5,1)+1))))</f>
        <v/>
      </c>
      <c r="M271" s="23">
        <f t="shared" si="5"/>
        <v>0</v>
      </c>
      <c r="N271" s="80"/>
      <c r="O271" s="51"/>
      <c r="P271" s="52"/>
    </row>
    <row r="272" spans="2:16" ht="12.75">
      <c r="B272" s="14">
        <v>268</v>
      </c>
      <c r="C272" s="28" t="str">
        <f>IF(Coureurs!C272="","",Coureurs!C272)</f>
        <v/>
      </c>
      <c r="D272" s="131" t="str">
        <f>IF(Coureurs!D272="","",Coureurs!D272)</f>
        <v>70</v>
      </c>
      <c r="E272" s="87" t="str">
        <f>IF(Coureurs!F272="","",Coureurs!F272)</f>
        <v/>
      </c>
      <c r="F272" s="87" t="str">
        <f>IF(Coureurs!G272="","",Coureurs!G272)</f>
        <v/>
      </c>
      <c r="G272" s="50" t="str">
        <f>IF(Coureurs!J272="","",Coureurs!J272)</f>
        <v/>
      </c>
      <c r="H272" s="25"/>
      <c r="I272" s="41"/>
      <c r="J272" s="8" t="str">
        <f>IF(I272="PM","",IF(H272=0," ",I272-HLOOKUP('Course 2'!H272,'tab2'!$C$3:$N$4,2)))</f>
        <v xml:space="preserve"> </v>
      </c>
      <c r="K272" s="23" t="str">
        <f>IF(I272="PM","",IF(H272=0," ",J272/'Règles et points'!$F$23))</f>
        <v xml:space="preserve"> </v>
      </c>
      <c r="L272" s="3" t="str">
        <f>IF(H272=0,"",IF(I272="PM",30,VLOOKUP(H272,'Règles et points'!$C$5:$AG$19,(HLOOKUP('Course 2'!C272,'Règles et points'!$C$5:$AG$5,1)+1))))</f>
        <v/>
      </c>
      <c r="M272" s="23">
        <f t="shared" si="5"/>
        <v>0</v>
      </c>
      <c r="N272" s="80"/>
      <c r="O272" s="51"/>
      <c r="P272" s="52"/>
    </row>
    <row r="273" spans="2:16" ht="12.75">
      <c r="B273" s="14">
        <v>269</v>
      </c>
      <c r="C273" s="28" t="str">
        <f>IF(Coureurs!C273="","",Coureurs!C273)</f>
        <v/>
      </c>
      <c r="D273" s="131" t="str">
        <f>IF(Coureurs!D273="","",Coureurs!D273)</f>
        <v>70</v>
      </c>
      <c r="E273" s="87" t="str">
        <f>IF(Coureurs!F273="","",Coureurs!F273)</f>
        <v/>
      </c>
      <c r="F273" s="87" t="str">
        <f>IF(Coureurs!G273="","",Coureurs!G273)</f>
        <v/>
      </c>
      <c r="G273" s="50" t="str">
        <f>IF(Coureurs!J273="","",Coureurs!J273)</f>
        <v/>
      </c>
      <c r="H273" s="25"/>
      <c r="I273" s="41"/>
      <c r="J273" s="8" t="str">
        <f>IF(I273="PM","",IF(H273=0," ",I273-HLOOKUP('Course 2'!H273,'tab2'!$C$3:$N$4,2)))</f>
        <v xml:space="preserve"> </v>
      </c>
      <c r="K273" s="23" t="str">
        <f>IF(I273="PM","",IF(H273=0," ",J273/'Règles et points'!$F$23))</f>
        <v xml:space="preserve"> </v>
      </c>
      <c r="L273" s="3" t="str">
        <f>IF(H273=0,"",IF(I273="PM",30,VLOOKUP(H273,'Règles et points'!$C$5:$AG$19,(HLOOKUP('Course 2'!C273,'Règles et points'!$C$5:$AG$5,1)+1))))</f>
        <v/>
      </c>
      <c r="M273" s="23">
        <f t="shared" si="5"/>
        <v>0</v>
      </c>
      <c r="N273" s="80"/>
      <c r="O273" s="51"/>
      <c r="P273" s="52"/>
    </row>
    <row r="274" spans="2:16" ht="12.75">
      <c r="B274" s="14">
        <v>270</v>
      </c>
      <c r="C274" s="28" t="str">
        <f>IF(Coureurs!C274="","",Coureurs!C274)</f>
        <v/>
      </c>
      <c r="D274" s="131" t="str">
        <f>IF(Coureurs!D274="","",Coureurs!D274)</f>
        <v>70</v>
      </c>
      <c r="E274" s="87" t="str">
        <f>IF(Coureurs!F274="","",Coureurs!F274)</f>
        <v/>
      </c>
      <c r="F274" s="87" t="str">
        <f>IF(Coureurs!G274="","",Coureurs!G274)</f>
        <v/>
      </c>
      <c r="G274" s="50" t="str">
        <f>IF(Coureurs!J274="","",Coureurs!J274)</f>
        <v/>
      </c>
      <c r="H274" s="25"/>
      <c r="I274" s="41"/>
      <c r="J274" s="8" t="str">
        <f>IF(I274="PM","",IF(H274=0," ",I274-HLOOKUP('Course 2'!H274,'tab2'!$C$3:$N$4,2)))</f>
        <v xml:space="preserve"> </v>
      </c>
      <c r="K274" s="23" t="str">
        <f>IF(I274="PM","",IF(H274=0," ",J274/'Règles et points'!$F$23))</f>
        <v xml:space="preserve"> </v>
      </c>
      <c r="L274" s="3" t="str">
        <f>IF(H274=0,"",IF(I274="PM",30,VLOOKUP(H274,'Règles et points'!$C$5:$AG$19,(HLOOKUP('Course 2'!C274,'Règles et points'!$C$5:$AG$5,1)+1))))</f>
        <v/>
      </c>
      <c r="M274" s="23">
        <f t="shared" si="5"/>
        <v>0</v>
      </c>
      <c r="N274" s="80"/>
      <c r="O274" s="51"/>
      <c r="P274" s="52"/>
    </row>
    <row r="275" spans="2:16" ht="12.75">
      <c r="B275" s="14">
        <v>271</v>
      </c>
      <c r="C275" s="28" t="str">
        <f>IF(Coureurs!C275="","",Coureurs!C275)</f>
        <v/>
      </c>
      <c r="D275" s="131" t="str">
        <f>IF(Coureurs!D275="","",Coureurs!D275)</f>
        <v>70</v>
      </c>
      <c r="E275" s="87" t="str">
        <f>IF(Coureurs!F275="","",Coureurs!F275)</f>
        <v/>
      </c>
      <c r="F275" s="87" t="str">
        <f>IF(Coureurs!G275="","",Coureurs!G275)</f>
        <v/>
      </c>
      <c r="G275" s="50" t="str">
        <f>IF(Coureurs!J275="","",Coureurs!J275)</f>
        <v/>
      </c>
      <c r="H275" s="25"/>
      <c r="I275" s="41"/>
      <c r="J275" s="8" t="str">
        <f>IF(I275="PM","",IF(H275=0," ",I275-HLOOKUP('Course 2'!H275,'tab2'!$C$3:$N$4,2)))</f>
        <v xml:space="preserve"> </v>
      </c>
      <c r="K275" s="23" t="str">
        <f>IF(I275="PM","",IF(H275=0," ",J275/'Règles et points'!$F$23))</f>
        <v xml:space="preserve"> </v>
      </c>
      <c r="L275" s="3" t="str">
        <f>IF(H275=0,"",IF(I275="PM",30,VLOOKUP(H275,'Règles et points'!$C$5:$AG$19,(HLOOKUP('Course 2'!C275,'Règles et points'!$C$5:$AG$5,1)+1))))</f>
        <v/>
      </c>
      <c r="M275" s="23">
        <f t="shared" si="5"/>
        <v>0</v>
      </c>
      <c r="N275" s="80"/>
      <c r="O275" s="51"/>
      <c r="P275" s="52"/>
    </row>
    <row r="276" spans="2:16" ht="12.75">
      <c r="B276" s="14">
        <v>272</v>
      </c>
      <c r="C276" s="28" t="str">
        <f>IF(Coureurs!C276="","",Coureurs!C276)</f>
        <v/>
      </c>
      <c r="D276" s="131" t="str">
        <f>IF(Coureurs!D276="","",Coureurs!D276)</f>
        <v>70</v>
      </c>
      <c r="E276" s="87" t="str">
        <f>IF(Coureurs!F276="","",Coureurs!F276)</f>
        <v/>
      </c>
      <c r="F276" s="87" t="str">
        <f>IF(Coureurs!G276="","",Coureurs!G276)</f>
        <v/>
      </c>
      <c r="G276" s="50" t="str">
        <f>IF(Coureurs!J276="","",Coureurs!J276)</f>
        <v/>
      </c>
      <c r="H276" s="25"/>
      <c r="I276" s="41"/>
      <c r="J276" s="8" t="str">
        <f>IF(I276="PM","",IF(H276=0," ",I276-HLOOKUP('Course 2'!H276,'tab2'!$C$3:$N$4,2)))</f>
        <v xml:space="preserve"> </v>
      </c>
      <c r="K276" s="23" t="str">
        <f>IF(I276="PM","",IF(H276=0," ",J276/'Règles et points'!$F$23))</f>
        <v xml:space="preserve"> </v>
      </c>
      <c r="L276" s="3" t="str">
        <f>IF(H276=0,"",IF(I276="PM",30,VLOOKUP(H276,'Règles et points'!$C$5:$AG$19,(HLOOKUP('Course 2'!C276,'Règles et points'!$C$5:$AG$5,1)+1))))</f>
        <v/>
      </c>
      <c r="M276" s="23">
        <f t="shared" si="5"/>
        <v>0</v>
      </c>
      <c r="N276" s="80"/>
      <c r="O276" s="51"/>
      <c r="P276" s="52"/>
    </row>
    <row r="277" spans="2:16" ht="12.75">
      <c r="B277" s="14">
        <v>273</v>
      </c>
      <c r="C277" s="28" t="str">
        <f>IF(Coureurs!C277="","",Coureurs!C277)</f>
        <v/>
      </c>
      <c r="D277" s="131" t="str">
        <f>IF(Coureurs!D277="","",Coureurs!D277)</f>
        <v>70</v>
      </c>
      <c r="E277" s="87" t="str">
        <f>IF(Coureurs!F277="","",Coureurs!F277)</f>
        <v/>
      </c>
      <c r="F277" s="87" t="str">
        <f>IF(Coureurs!G277="","",Coureurs!G277)</f>
        <v/>
      </c>
      <c r="G277" s="50" t="str">
        <f>IF(Coureurs!J277="","",Coureurs!J277)</f>
        <v/>
      </c>
      <c r="H277" s="25"/>
      <c r="I277" s="41"/>
      <c r="J277" s="8" t="str">
        <f>IF(I277="PM","",IF(H277=0," ",I277-HLOOKUP('Course 2'!H277,'tab2'!$C$3:$N$4,2)))</f>
        <v xml:space="preserve"> </v>
      </c>
      <c r="K277" s="23" t="str">
        <f>IF(I277="PM","",IF(H277=0," ",J277/'Règles et points'!$F$23))</f>
        <v xml:space="preserve"> </v>
      </c>
      <c r="L277" s="3" t="str">
        <f>IF(H277=0,"",IF(I277="PM",30,VLOOKUP(H277,'Règles et points'!$C$5:$AG$19,(HLOOKUP('Course 2'!C277,'Règles et points'!$C$5:$AG$5,1)+1))))</f>
        <v/>
      </c>
      <c r="M277" s="23">
        <f t="shared" si="5"/>
        <v>0</v>
      </c>
      <c r="N277" s="80"/>
      <c r="O277" s="51"/>
      <c r="P277" s="52"/>
    </row>
    <row r="278" spans="2:16" ht="12.75">
      <c r="B278" s="14">
        <v>274</v>
      </c>
      <c r="C278" s="28" t="str">
        <f>IF(Coureurs!C278="","",Coureurs!C278)</f>
        <v/>
      </c>
      <c r="D278" s="131" t="str">
        <f>IF(Coureurs!D278="","",Coureurs!D278)</f>
        <v>70</v>
      </c>
      <c r="E278" s="87" t="str">
        <f>IF(Coureurs!F278="","",Coureurs!F278)</f>
        <v/>
      </c>
      <c r="F278" s="87" t="str">
        <f>IF(Coureurs!G278="","",Coureurs!G278)</f>
        <v/>
      </c>
      <c r="G278" s="50" t="str">
        <f>IF(Coureurs!J278="","",Coureurs!J278)</f>
        <v/>
      </c>
      <c r="H278" s="25"/>
      <c r="I278" s="41"/>
      <c r="J278" s="8" t="str">
        <f>IF(I278="PM","",IF(H278=0," ",I278-HLOOKUP('Course 2'!H278,'tab2'!$C$3:$N$4,2)))</f>
        <v xml:space="preserve"> </v>
      </c>
      <c r="K278" s="23" t="str">
        <f>IF(I278="PM","",IF(H278=0," ",J278/'Règles et points'!$F$23))</f>
        <v xml:space="preserve"> </v>
      </c>
      <c r="L278" s="3" t="str">
        <f>IF(H278=0,"",IF(I278="PM",30,VLOOKUP(H278,'Règles et points'!$C$5:$AG$19,(HLOOKUP('Course 2'!C278,'Règles et points'!$C$5:$AG$5,1)+1))))</f>
        <v/>
      </c>
      <c r="M278" s="23">
        <f t="shared" si="5"/>
        <v>0</v>
      </c>
      <c r="N278" s="80"/>
      <c r="O278" s="51"/>
      <c r="P278" s="52"/>
    </row>
    <row r="279" spans="2:16" ht="12.75">
      <c r="B279" s="14">
        <v>275</v>
      </c>
      <c r="C279" s="28" t="str">
        <f>IF(Coureurs!C279="","",Coureurs!C279)</f>
        <v/>
      </c>
      <c r="D279" s="131" t="str">
        <f>IF(Coureurs!D279="","",Coureurs!D279)</f>
        <v>70</v>
      </c>
      <c r="E279" s="87" t="str">
        <f>IF(Coureurs!F279="","",Coureurs!F279)</f>
        <v/>
      </c>
      <c r="F279" s="87" t="str">
        <f>IF(Coureurs!G279="","",Coureurs!G279)</f>
        <v/>
      </c>
      <c r="G279" s="50" t="str">
        <f>IF(Coureurs!J279="","",Coureurs!J279)</f>
        <v/>
      </c>
      <c r="H279" s="25"/>
      <c r="I279" s="41"/>
      <c r="J279" s="8" t="str">
        <f>IF(I279="PM","",IF(H279=0," ",I279-HLOOKUP('Course 2'!H279,'tab2'!$C$3:$N$4,2)))</f>
        <v xml:space="preserve"> </v>
      </c>
      <c r="K279" s="23" t="str">
        <f>IF(I279="PM","",IF(H279=0," ",J279/'Règles et points'!$F$23))</f>
        <v xml:space="preserve"> </v>
      </c>
      <c r="L279" s="3" t="str">
        <f>IF(H279=0,"",IF(I279="PM",30,VLOOKUP(H279,'Règles et points'!$C$5:$AG$19,(HLOOKUP('Course 2'!C279,'Règles et points'!$C$5:$AG$5,1)+1))))</f>
        <v/>
      </c>
      <c r="M279" s="23">
        <f t="shared" si="5"/>
        <v>0</v>
      </c>
      <c r="N279" s="80"/>
      <c r="O279" s="51"/>
      <c r="P279" s="52"/>
    </row>
    <row r="280" spans="2:16" ht="12.75">
      <c r="B280" s="14">
        <v>276</v>
      </c>
      <c r="C280" s="28" t="str">
        <f>IF(Coureurs!C280="","",Coureurs!C280)</f>
        <v/>
      </c>
      <c r="D280" s="131" t="str">
        <f>IF(Coureurs!D280="","",Coureurs!D280)</f>
        <v>70</v>
      </c>
      <c r="E280" s="87" t="str">
        <f>IF(Coureurs!F280="","",Coureurs!F280)</f>
        <v/>
      </c>
      <c r="F280" s="87" t="str">
        <f>IF(Coureurs!G280="","",Coureurs!G280)</f>
        <v/>
      </c>
      <c r="G280" s="50" t="str">
        <f>IF(Coureurs!J280="","",Coureurs!J280)</f>
        <v/>
      </c>
      <c r="H280" s="25"/>
      <c r="I280" s="41"/>
      <c r="J280" s="8" t="str">
        <f>IF(I280="PM","",IF(H280=0," ",I280-HLOOKUP('Course 2'!H280,'tab2'!$C$3:$N$4,2)))</f>
        <v xml:space="preserve"> </v>
      </c>
      <c r="K280" s="23" t="str">
        <f>IF(I280="PM","",IF(H280=0," ",J280/'Règles et points'!$F$23))</f>
        <v xml:space="preserve"> </v>
      </c>
      <c r="L280" s="3" t="str">
        <f>IF(H280=0,"",IF(I280="PM",30,VLOOKUP(H280,'Règles et points'!$C$5:$AG$19,(HLOOKUP('Course 2'!C280,'Règles et points'!$C$5:$AG$5,1)+1))))</f>
        <v/>
      </c>
      <c r="M280" s="23">
        <f t="shared" si="5"/>
        <v>0</v>
      </c>
      <c r="N280" s="80"/>
      <c r="O280" s="51"/>
      <c r="P280" s="52"/>
    </row>
    <row r="281" spans="2:16" ht="12.75">
      <c r="B281" s="14">
        <v>277</v>
      </c>
      <c r="C281" s="28" t="str">
        <f>IF(Coureurs!C281="","",Coureurs!C281)</f>
        <v/>
      </c>
      <c r="D281" s="131" t="str">
        <f>IF(Coureurs!D281="","",Coureurs!D281)</f>
        <v>70</v>
      </c>
      <c r="E281" s="87" t="str">
        <f>IF(Coureurs!F281="","",Coureurs!F281)</f>
        <v/>
      </c>
      <c r="F281" s="87" t="str">
        <f>IF(Coureurs!G281="","",Coureurs!G281)</f>
        <v/>
      </c>
      <c r="G281" s="50" t="str">
        <f>IF(Coureurs!J281="","",Coureurs!J281)</f>
        <v/>
      </c>
      <c r="H281" s="25"/>
      <c r="I281" s="41"/>
      <c r="J281" s="8" t="str">
        <f>IF(I281="PM","",IF(H281=0," ",I281-HLOOKUP('Course 2'!H281,'tab2'!$C$3:$N$4,2)))</f>
        <v xml:space="preserve"> </v>
      </c>
      <c r="K281" s="23" t="str">
        <f>IF(I281="PM","",IF(H281=0," ",J281/'Règles et points'!$F$23))</f>
        <v xml:space="preserve"> </v>
      </c>
      <c r="L281" s="3" t="str">
        <f>IF(H281=0,"",IF(I281="PM",30,VLOOKUP(H281,'Règles et points'!$C$5:$AG$19,(HLOOKUP('Course 2'!C281,'Règles et points'!$C$5:$AG$5,1)+1))))</f>
        <v/>
      </c>
      <c r="M281" s="23">
        <f t="shared" si="5"/>
        <v>0</v>
      </c>
      <c r="N281" s="80"/>
      <c r="O281" s="51"/>
      <c r="P281" s="52"/>
    </row>
    <row r="282" spans="2:16" ht="12.75">
      <c r="B282" s="14">
        <v>278</v>
      </c>
      <c r="C282" s="28" t="str">
        <f>IF(Coureurs!C282="","",Coureurs!C282)</f>
        <v/>
      </c>
      <c r="D282" s="131" t="str">
        <f>IF(Coureurs!D282="","",Coureurs!D282)</f>
        <v>70</v>
      </c>
      <c r="E282" s="87" t="str">
        <f>IF(Coureurs!F282="","",Coureurs!F282)</f>
        <v/>
      </c>
      <c r="F282" s="87" t="str">
        <f>IF(Coureurs!G282="","",Coureurs!G282)</f>
        <v/>
      </c>
      <c r="G282" s="50" t="str">
        <f>IF(Coureurs!J282="","",Coureurs!J282)</f>
        <v/>
      </c>
      <c r="H282" s="25"/>
      <c r="I282" s="41"/>
      <c r="J282" s="8" t="str">
        <f>IF(I282="PM","",IF(H282=0," ",I282-HLOOKUP('Course 2'!H282,'tab2'!$C$3:$N$4,2)))</f>
        <v xml:space="preserve"> </v>
      </c>
      <c r="K282" s="23" t="str">
        <f>IF(I282="PM","",IF(H282=0," ",J282/'Règles et points'!$F$23))</f>
        <v xml:space="preserve"> </v>
      </c>
      <c r="L282" s="3" t="str">
        <f>IF(H282=0,"",IF(I282="PM",30,VLOOKUP(H282,'Règles et points'!$C$5:$AG$19,(HLOOKUP('Course 2'!C282,'Règles et points'!$C$5:$AG$5,1)+1))))</f>
        <v/>
      </c>
      <c r="M282" s="23">
        <f t="shared" si="5"/>
        <v>0</v>
      </c>
      <c r="N282" s="80"/>
      <c r="O282" s="51"/>
      <c r="P282" s="52"/>
    </row>
    <row r="283" spans="2:16" ht="12.75">
      <c r="B283" s="14">
        <v>279</v>
      </c>
      <c r="C283" s="28" t="str">
        <f>IF(Coureurs!C283="","",Coureurs!C283)</f>
        <v/>
      </c>
      <c r="D283" s="131" t="str">
        <f>IF(Coureurs!D283="","",Coureurs!D283)</f>
        <v>70</v>
      </c>
      <c r="E283" s="87" t="str">
        <f>IF(Coureurs!F283="","",Coureurs!F283)</f>
        <v/>
      </c>
      <c r="F283" s="87" t="str">
        <f>IF(Coureurs!G283="","",Coureurs!G283)</f>
        <v/>
      </c>
      <c r="G283" s="50" t="str">
        <f>IF(Coureurs!J283="","",Coureurs!J283)</f>
        <v/>
      </c>
      <c r="H283" s="25"/>
      <c r="I283" s="41"/>
      <c r="J283" s="8" t="str">
        <f>IF(I283="PM","",IF(H283=0," ",I283-HLOOKUP('Course 2'!H283,'tab2'!$C$3:$N$4,2)))</f>
        <v xml:space="preserve"> </v>
      </c>
      <c r="K283" s="23" t="str">
        <f>IF(I283="PM","",IF(H283=0," ",J283/'Règles et points'!$F$23))</f>
        <v xml:space="preserve"> </v>
      </c>
      <c r="L283" s="3" t="str">
        <f>IF(H283=0,"",IF(I283="PM",30,VLOOKUP(H283,'Règles et points'!$C$5:$AG$19,(HLOOKUP('Course 2'!C283,'Règles et points'!$C$5:$AG$5,1)+1))))</f>
        <v/>
      </c>
      <c r="M283" s="23">
        <f t="shared" si="5"/>
        <v>0</v>
      </c>
      <c r="N283" s="80"/>
      <c r="O283" s="51"/>
      <c r="P283" s="52"/>
    </row>
    <row r="284" spans="2:16" ht="12.75">
      <c r="B284" s="14">
        <v>280</v>
      </c>
      <c r="C284" s="28" t="str">
        <f>IF(Coureurs!C284="","",Coureurs!C284)</f>
        <v/>
      </c>
      <c r="D284" s="131" t="str">
        <f>IF(Coureurs!D284="","",Coureurs!D284)</f>
        <v>70</v>
      </c>
      <c r="E284" s="87" t="str">
        <f>IF(Coureurs!F284="","",Coureurs!F284)</f>
        <v/>
      </c>
      <c r="F284" s="87" t="str">
        <f>IF(Coureurs!G284="","",Coureurs!G284)</f>
        <v/>
      </c>
      <c r="G284" s="50" t="str">
        <f>IF(Coureurs!J284="","",Coureurs!J284)</f>
        <v/>
      </c>
      <c r="H284" s="25"/>
      <c r="I284" s="41"/>
      <c r="J284" s="8" t="str">
        <f>IF(I284="PM","",IF(H284=0," ",I284-HLOOKUP('Course 2'!H284,'tab2'!$C$3:$N$4,2)))</f>
        <v xml:space="preserve"> </v>
      </c>
      <c r="K284" s="23" t="str">
        <f>IF(I284="PM","",IF(H284=0," ",J284/'Règles et points'!$F$23))</f>
        <v xml:space="preserve"> </v>
      </c>
      <c r="L284" s="3" t="str">
        <f>IF(H284=0,"",IF(I284="PM",30,VLOOKUP(H284,'Règles et points'!$C$5:$AG$19,(HLOOKUP('Course 2'!C284,'Règles et points'!$C$5:$AG$5,1)+1))))</f>
        <v/>
      </c>
      <c r="M284" s="23">
        <f t="shared" si="5"/>
        <v>0</v>
      </c>
      <c r="N284" s="80"/>
      <c r="O284" s="51"/>
      <c r="P284" s="52"/>
    </row>
    <row r="285" spans="2:16" ht="12.75">
      <c r="B285" s="14">
        <v>281</v>
      </c>
      <c r="C285" s="28" t="str">
        <f>IF(Coureurs!C285="","",Coureurs!C285)</f>
        <v/>
      </c>
      <c r="D285" s="131" t="str">
        <f>IF(Coureurs!D285="","",Coureurs!D285)</f>
        <v>70</v>
      </c>
      <c r="E285" s="87" t="str">
        <f>IF(Coureurs!F285="","",Coureurs!F285)</f>
        <v/>
      </c>
      <c r="F285" s="87" t="str">
        <f>IF(Coureurs!G285="","",Coureurs!G285)</f>
        <v/>
      </c>
      <c r="G285" s="50" t="str">
        <f>IF(Coureurs!J285="","",Coureurs!J285)</f>
        <v/>
      </c>
      <c r="H285" s="25"/>
      <c r="I285" s="41"/>
      <c r="J285" s="8" t="str">
        <f>IF(I285="PM","",IF(H285=0," ",I285-HLOOKUP('Course 2'!H285,'tab2'!$C$3:$N$4,2)))</f>
        <v xml:space="preserve"> </v>
      </c>
      <c r="K285" s="23" t="str">
        <f>IF(I285="PM","",IF(H285=0," ",J285/'Règles et points'!$F$23))</f>
        <v xml:space="preserve"> </v>
      </c>
      <c r="L285" s="3" t="str">
        <f>IF(H285=0,"",IF(I285="PM",30,VLOOKUP(H285,'Règles et points'!$C$5:$AG$19,(HLOOKUP('Course 2'!C285,'Règles et points'!$C$5:$AG$5,1)+1))))</f>
        <v/>
      </c>
      <c r="M285" s="23">
        <f t="shared" si="5"/>
        <v>0</v>
      </c>
      <c r="N285" s="80"/>
      <c r="O285" s="51"/>
      <c r="P285" s="52"/>
    </row>
    <row r="286" spans="2:16" ht="12.75">
      <c r="B286" s="14">
        <v>282</v>
      </c>
      <c r="C286" s="28" t="str">
        <f>IF(Coureurs!C286="","",Coureurs!C286)</f>
        <v/>
      </c>
      <c r="D286" s="131" t="str">
        <f>IF(Coureurs!D286="","",Coureurs!D286)</f>
        <v>70</v>
      </c>
      <c r="E286" s="87" t="str">
        <f>IF(Coureurs!F286="","",Coureurs!F286)</f>
        <v/>
      </c>
      <c r="F286" s="87" t="str">
        <f>IF(Coureurs!G286="","",Coureurs!G286)</f>
        <v/>
      </c>
      <c r="G286" s="50" t="str">
        <f>IF(Coureurs!J286="","",Coureurs!J286)</f>
        <v/>
      </c>
      <c r="H286" s="25"/>
      <c r="I286" s="41"/>
      <c r="J286" s="8" t="str">
        <f>IF(I286="PM","",IF(H286=0," ",I286-HLOOKUP('Course 2'!H286,'tab2'!$C$3:$N$4,2)))</f>
        <v xml:space="preserve"> </v>
      </c>
      <c r="K286" s="23" t="str">
        <f>IF(I286="PM","",IF(H286=0," ",J286/'Règles et points'!$F$23))</f>
        <v xml:space="preserve"> </v>
      </c>
      <c r="L286" s="3" t="str">
        <f>IF(H286=0,"",IF(I286="PM",30,VLOOKUP(H286,'Règles et points'!$C$5:$AG$19,(HLOOKUP('Course 2'!C286,'Règles et points'!$C$5:$AG$5,1)+1))))</f>
        <v/>
      </c>
      <c r="M286" s="23">
        <f t="shared" si="5"/>
        <v>0</v>
      </c>
      <c r="N286" s="80"/>
      <c r="O286" s="51"/>
      <c r="P286" s="52"/>
    </row>
    <row r="287" spans="2:16" ht="12.75">
      <c r="B287" s="14">
        <v>283</v>
      </c>
      <c r="C287" s="28" t="str">
        <f>IF(Coureurs!C287="","",Coureurs!C287)</f>
        <v/>
      </c>
      <c r="D287" s="131" t="str">
        <f>IF(Coureurs!D287="","",Coureurs!D287)</f>
        <v>70</v>
      </c>
      <c r="E287" s="87" t="str">
        <f>IF(Coureurs!F287="","",Coureurs!F287)</f>
        <v/>
      </c>
      <c r="F287" s="87" t="str">
        <f>IF(Coureurs!G287="","",Coureurs!G287)</f>
        <v/>
      </c>
      <c r="G287" s="50" t="str">
        <f>IF(Coureurs!J287="","",Coureurs!J287)</f>
        <v/>
      </c>
      <c r="H287" s="25"/>
      <c r="I287" s="41"/>
      <c r="J287" s="8" t="str">
        <f>IF(I287="PM","",IF(H287=0," ",I287-HLOOKUP('Course 2'!H287,'tab2'!$C$3:$N$4,2)))</f>
        <v xml:space="preserve"> </v>
      </c>
      <c r="K287" s="23" t="str">
        <f>IF(I287="PM","",IF(H287=0," ",J287/'Règles et points'!$F$23))</f>
        <v xml:space="preserve"> </v>
      </c>
      <c r="L287" s="3" t="str">
        <f>IF(H287=0,"",IF(I287="PM",30,VLOOKUP(H287,'Règles et points'!$C$5:$AG$19,(HLOOKUP('Course 2'!C287,'Règles et points'!$C$5:$AG$5,1)+1))))</f>
        <v/>
      </c>
      <c r="M287" s="23">
        <f t="shared" si="5"/>
        <v>0</v>
      </c>
      <c r="N287" s="80"/>
      <c r="O287" s="51"/>
      <c r="P287" s="52"/>
    </row>
    <row r="288" spans="2:16" ht="12.75">
      <c r="B288" s="14">
        <v>284</v>
      </c>
      <c r="C288" s="28" t="str">
        <f>IF(Coureurs!C288="","",Coureurs!C288)</f>
        <v/>
      </c>
      <c r="D288" s="131" t="str">
        <f>IF(Coureurs!D288="","",Coureurs!D288)</f>
        <v>70</v>
      </c>
      <c r="E288" s="87" t="str">
        <f>IF(Coureurs!F288="","",Coureurs!F288)</f>
        <v/>
      </c>
      <c r="F288" s="87" t="str">
        <f>IF(Coureurs!G288="","",Coureurs!G288)</f>
        <v/>
      </c>
      <c r="G288" s="50" t="str">
        <f>IF(Coureurs!J288="","",Coureurs!J288)</f>
        <v/>
      </c>
      <c r="H288" s="25"/>
      <c r="I288" s="41"/>
      <c r="J288" s="8" t="str">
        <f>IF(I288="PM","",IF(H288=0," ",I288-HLOOKUP('Course 2'!H288,'tab2'!$C$3:$N$4,2)))</f>
        <v xml:space="preserve"> </v>
      </c>
      <c r="K288" s="23" t="str">
        <f>IF(I288="PM","",IF(H288=0," ",J288/'Règles et points'!$F$23))</f>
        <v xml:space="preserve"> </v>
      </c>
      <c r="L288" s="3" t="str">
        <f>IF(H288=0,"",IF(I288="PM",30,VLOOKUP(H288,'Règles et points'!$C$5:$AG$19,(HLOOKUP('Course 2'!C288,'Règles et points'!$C$5:$AG$5,1)+1))))</f>
        <v/>
      </c>
      <c r="M288" s="23">
        <f t="shared" si="5"/>
        <v>0</v>
      </c>
      <c r="N288" s="80"/>
      <c r="O288" s="51"/>
      <c r="P288" s="52"/>
    </row>
    <row r="289" spans="2:16" ht="12.75">
      <c r="B289" s="14">
        <v>285</v>
      </c>
      <c r="C289" s="28" t="str">
        <f>IF(Coureurs!C289="","",Coureurs!C289)</f>
        <v/>
      </c>
      <c r="D289" s="131" t="str">
        <f>IF(Coureurs!D289="","",Coureurs!D289)</f>
        <v>70</v>
      </c>
      <c r="E289" s="87" t="str">
        <f>IF(Coureurs!F289="","",Coureurs!F289)</f>
        <v/>
      </c>
      <c r="F289" s="87" t="str">
        <f>IF(Coureurs!G289="","",Coureurs!G289)</f>
        <v/>
      </c>
      <c r="G289" s="50" t="str">
        <f>IF(Coureurs!J289="","",Coureurs!J289)</f>
        <v/>
      </c>
      <c r="H289" s="25"/>
      <c r="I289" s="41"/>
      <c r="J289" s="8" t="str">
        <f>IF(I289="PM","",IF(H289=0," ",I289-HLOOKUP('Course 2'!H289,'tab2'!$C$3:$N$4,2)))</f>
        <v xml:space="preserve"> </v>
      </c>
      <c r="K289" s="23" t="str">
        <f>IF(I289="PM","",IF(H289=0," ",J289/'Règles et points'!$F$23))</f>
        <v xml:space="preserve"> </v>
      </c>
      <c r="L289" s="3" t="str">
        <f>IF(H289=0,"",IF(I289="PM",30,VLOOKUP(H289,'Règles et points'!$C$5:$AG$19,(HLOOKUP('Course 2'!C289,'Règles et points'!$C$5:$AG$5,1)+1))))</f>
        <v/>
      </c>
      <c r="M289" s="23">
        <f t="shared" si="5"/>
        <v>0</v>
      </c>
      <c r="N289" s="80"/>
      <c r="O289" s="51"/>
      <c r="P289" s="52"/>
    </row>
    <row r="290" spans="2:16" ht="12.75">
      <c r="B290" s="14">
        <v>286</v>
      </c>
      <c r="C290" s="28" t="str">
        <f>IF(Coureurs!C290="","",Coureurs!C290)</f>
        <v/>
      </c>
      <c r="D290" s="131" t="str">
        <f>IF(Coureurs!D290="","",Coureurs!D290)</f>
        <v>70</v>
      </c>
      <c r="E290" s="87" t="str">
        <f>IF(Coureurs!F290="","",Coureurs!F290)</f>
        <v/>
      </c>
      <c r="F290" s="87" t="str">
        <f>IF(Coureurs!G290="","",Coureurs!G290)</f>
        <v/>
      </c>
      <c r="G290" s="50" t="str">
        <f>IF(Coureurs!J290="","",Coureurs!J290)</f>
        <v/>
      </c>
      <c r="H290" s="25"/>
      <c r="I290" s="41"/>
      <c r="J290" s="8" t="str">
        <f>IF(I290="PM","",IF(H290=0," ",I290-HLOOKUP('Course 2'!H290,'tab2'!$C$3:$N$4,2)))</f>
        <v xml:space="preserve"> </v>
      </c>
      <c r="K290" s="23" t="str">
        <f>IF(I290="PM","",IF(H290=0," ",J290/'Règles et points'!$F$23))</f>
        <v xml:space="preserve"> </v>
      </c>
      <c r="L290" s="3" t="str">
        <f>IF(H290=0,"",IF(I290="PM",30,VLOOKUP(H290,'Règles et points'!$C$5:$AG$19,(HLOOKUP('Course 2'!C290,'Règles et points'!$C$5:$AG$5,1)+1))))</f>
        <v/>
      </c>
      <c r="M290" s="23">
        <f t="shared" si="5"/>
        <v>0</v>
      </c>
      <c r="N290" s="80"/>
      <c r="O290" s="51"/>
      <c r="P290" s="52"/>
    </row>
    <row r="291" spans="2:16" ht="12.75">
      <c r="B291" s="14">
        <v>287</v>
      </c>
      <c r="C291" s="28" t="str">
        <f>IF(Coureurs!C291="","",Coureurs!C291)</f>
        <v/>
      </c>
      <c r="D291" s="131" t="str">
        <f>IF(Coureurs!D291="","",Coureurs!D291)</f>
        <v>70</v>
      </c>
      <c r="E291" s="87" t="str">
        <f>IF(Coureurs!F291="","",Coureurs!F291)</f>
        <v/>
      </c>
      <c r="F291" s="87" t="str">
        <f>IF(Coureurs!G291="","",Coureurs!G291)</f>
        <v/>
      </c>
      <c r="G291" s="50" t="str">
        <f>IF(Coureurs!J291="","",Coureurs!J291)</f>
        <v/>
      </c>
      <c r="H291" s="25"/>
      <c r="I291" s="41"/>
      <c r="J291" s="8" t="str">
        <f>IF(I291="PM","",IF(H291=0," ",I291-HLOOKUP('Course 2'!H291,'tab2'!$C$3:$N$4,2)))</f>
        <v xml:space="preserve"> </v>
      </c>
      <c r="K291" s="23" t="str">
        <f>IF(I291="PM","",IF(H291=0," ",J291/'Règles et points'!$F$23))</f>
        <v xml:space="preserve"> </v>
      </c>
      <c r="L291" s="3" t="str">
        <f>IF(H291=0,"",IF(I291="PM",30,VLOOKUP(H291,'Règles et points'!$C$5:$AG$19,(HLOOKUP('Course 2'!C291,'Règles et points'!$C$5:$AG$5,1)+1))))</f>
        <v/>
      </c>
      <c r="M291" s="23">
        <f t="shared" si="5"/>
        <v>0</v>
      </c>
      <c r="N291" s="80"/>
      <c r="O291" s="51"/>
      <c r="P291" s="52"/>
    </row>
    <row r="292" spans="2:16" ht="12.75">
      <c r="B292" s="14">
        <v>288</v>
      </c>
      <c r="C292" s="28" t="str">
        <f>IF(Coureurs!C292="","",Coureurs!C292)</f>
        <v/>
      </c>
      <c r="D292" s="131" t="str">
        <f>IF(Coureurs!D292="","",Coureurs!D292)</f>
        <v>70</v>
      </c>
      <c r="E292" s="87" t="str">
        <f>IF(Coureurs!F292="","",Coureurs!F292)</f>
        <v/>
      </c>
      <c r="F292" s="87" t="str">
        <f>IF(Coureurs!G292="","",Coureurs!G292)</f>
        <v/>
      </c>
      <c r="G292" s="50" t="str">
        <f>IF(Coureurs!J292="","",Coureurs!J292)</f>
        <v/>
      </c>
      <c r="H292" s="25"/>
      <c r="I292" s="41"/>
      <c r="J292" s="8" t="str">
        <f>IF(I292="PM","",IF(H292=0," ",I292-HLOOKUP('Course 2'!H292,'tab2'!$C$3:$N$4,2)))</f>
        <v xml:space="preserve"> </v>
      </c>
      <c r="K292" s="23" t="str">
        <f>IF(I292="PM","",IF(H292=0," ",J292/'Règles et points'!$F$23))</f>
        <v xml:space="preserve"> </v>
      </c>
      <c r="L292" s="3" t="str">
        <f>IF(H292=0,"",IF(I292="PM",30,VLOOKUP(H292,'Règles et points'!$C$5:$AG$19,(HLOOKUP('Course 2'!C292,'Règles et points'!$C$5:$AG$5,1)+1))))</f>
        <v/>
      </c>
      <c r="M292" s="23">
        <f t="shared" si="5"/>
        <v>0</v>
      </c>
      <c r="N292" s="80"/>
      <c r="O292" s="51"/>
      <c r="P292" s="52"/>
    </row>
    <row r="293" spans="2:16" ht="12.75">
      <c r="B293" s="14">
        <v>289</v>
      </c>
      <c r="C293" s="28" t="str">
        <f>IF(Coureurs!C293="","",Coureurs!C293)</f>
        <v/>
      </c>
      <c r="D293" s="131" t="str">
        <f>IF(Coureurs!D293="","",Coureurs!D293)</f>
        <v>70</v>
      </c>
      <c r="E293" s="87" t="str">
        <f>IF(Coureurs!F293="","",Coureurs!F293)</f>
        <v/>
      </c>
      <c r="F293" s="87" t="str">
        <f>IF(Coureurs!G293="","",Coureurs!G293)</f>
        <v/>
      </c>
      <c r="G293" s="50" t="str">
        <f>IF(Coureurs!J293="","",Coureurs!J293)</f>
        <v/>
      </c>
      <c r="H293" s="25"/>
      <c r="I293" s="41"/>
      <c r="J293" s="8" t="str">
        <f>IF(I293="PM","",IF(H293=0," ",I293-HLOOKUP('Course 2'!H293,'tab2'!$C$3:$N$4,2)))</f>
        <v xml:space="preserve"> </v>
      </c>
      <c r="K293" s="23" t="str">
        <f>IF(I293="PM","",IF(H293=0," ",J293/'Règles et points'!$F$23))</f>
        <v xml:space="preserve"> </v>
      </c>
      <c r="L293" s="3" t="str">
        <f>IF(H293=0,"",IF(I293="PM",30,VLOOKUP(H293,'Règles et points'!$C$5:$AG$19,(HLOOKUP('Course 2'!C293,'Règles et points'!$C$5:$AG$5,1)+1))))</f>
        <v/>
      </c>
      <c r="M293" s="23">
        <f t="shared" si="5"/>
        <v>0</v>
      </c>
      <c r="N293" s="80"/>
      <c r="O293" s="51"/>
      <c r="P293" s="52"/>
    </row>
    <row r="294" spans="2:16" ht="12.75">
      <c r="B294" s="14">
        <v>290</v>
      </c>
      <c r="C294" s="28" t="str">
        <f>IF(Coureurs!C294="","",Coureurs!C294)</f>
        <v/>
      </c>
      <c r="D294" s="131" t="str">
        <f>IF(Coureurs!D294="","",Coureurs!D294)</f>
        <v>70</v>
      </c>
      <c r="E294" s="87" t="str">
        <f>IF(Coureurs!F294="","",Coureurs!F294)</f>
        <v/>
      </c>
      <c r="F294" s="87" t="str">
        <f>IF(Coureurs!G294="","",Coureurs!G294)</f>
        <v/>
      </c>
      <c r="G294" s="50" t="str">
        <f>IF(Coureurs!J294="","",Coureurs!J294)</f>
        <v/>
      </c>
      <c r="H294" s="25"/>
      <c r="I294" s="41"/>
      <c r="J294" s="8" t="str">
        <f>IF(I294="PM","",IF(H294=0," ",I294-HLOOKUP('Course 2'!H294,'tab2'!$C$3:$N$4,2)))</f>
        <v xml:space="preserve"> </v>
      </c>
      <c r="K294" s="23" t="str">
        <f>IF(I294="PM","",IF(H294=0," ",J294/'Règles et points'!$F$23))</f>
        <v xml:space="preserve"> </v>
      </c>
      <c r="L294" s="3" t="str">
        <f>IF(H294=0,"",IF(I294="PM",30,VLOOKUP(H294,'Règles et points'!$C$5:$AG$19,(HLOOKUP('Course 2'!C294,'Règles et points'!$C$5:$AG$5,1)+1))))</f>
        <v/>
      </c>
      <c r="M294" s="23">
        <f t="shared" si="5"/>
        <v>0</v>
      </c>
      <c r="N294" s="80"/>
      <c r="O294" s="51"/>
      <c r="P294" s="52"/>
    </row>
    <row r="295" spans="2:16" ht="12.75">
      <c r="B295" s="14">
        <v>291</v>
      </c>
      <c r="C295" s="28" t="str">
        <f>IF(Coureurs!C295="","",Coureurs!C295)</f>
        <v/>
      </c>
      <c r="D295" s="131" t="str">
        <f>IF(Coureurs!D295="","",Coureurs!D295)</f>
        <v>70</v>
      </c>
      <c r="E295" s="87" t="str">
        <f>IF(Coureurs!F295="","",Coureurs!F295)</f>
        <v/>
      </c>
      <c r="F295" s="87" t="str">
        <f>IF(Coureurs!G295="","",Coureurs!G295)</f>
        <v/>
      </c>
      <c r="G295" s="50" t="str">
        <f>IF(Coureurs!J295="","",Coureurs!J295)</f>
        <v/>
      </c>
      <c r="H295" s="25"/>
      <c r="I295" s="41"/>
      <c r="J295" s="8" t="str">
        <f>IF(I295="PM","",IF(H295=0," ",I295-HLOOKUP('Course 2'!H295,'tab2'!$C$3:$N$4,2)))</f>
        <v xml:space="preserve"> </v>
      </c>
      <c r="K295" s="23" t="str">
        <f>IF(I295="PM","",IF(H295=0," ",J295/'Règles et points'!$F$23))</f>
        <v xml:space="preserve"> </v>
      </c>
      <c r="L295" s="3" t="str">
        <f>IF(H295=0,"",IF(I295="PM",30,VLOOKUP(H295,'Règles et points'!$C$5:$AG$19,(HLOOKUP('Course 2'!C295,'Règles et points'!$C$5:$AG$5,1)+1))))</f>
        <v/>
      </c>
      <c r="M295" s="23">
        <f t="shared" si="5"/>
        <v>0</v>
      </c>
      <c r="N295" s="80"/>
      <c r="O295" s="51"/>
      <c r="P295" s="52"/>
    </row>
    <row r="296" spans="2:16" ht="12.75">
      <c r="B296" s="14">
        <v>292</v>
      </c>
      <c r="C296" s="28" t="str">
        <f>IF(Coureurs!C296="","",Coureurs!C296)</f>
        <v/>
      </c>
      <c r="D296" s="131" t="str">
        <f>IF(Coureurs!D296="","",Coureurs!D296)</f>
        <v>70</v>
      </c>
      <c r="E296" s="87" t="str">
        <f>IF(Coureurs!F296="","",Coureurs!F296)</f>
        <v/>
      </c>
      <c r="F296" s="87" t="str">
        <f>IF(Coureurs!G296="","",Coureurs!G296)</f>
        <v/>
      </c>
      <c r="G296" s="50" t="str">
        <f>IF(Coureurs!J296="","",Coureurs!J296)</f>
        <v/>
      </c>
      <c r="H296" s="25"/>
      <c r="I296" s="41"/>
      <c r="J296" s="8" t="str">
        <f>IF(I296="PM","",IF(H296=0," ",I296-HLOOKUP('Course 2'!H296,'tab2'!$C$3:$N$4,2)))</f>
        <v xml:space="preserve"> </v>
      </c>
      <c r="K296" s="23" t="str">
        <f>IF(I296="PM","",IF(H296=0," ",J296/'Règles et points'!$F$23))</f>
        <v xml:space="preserve"> </v>
      </c>
      <c r="L296" s="3" t="str">
        <f>IF(H296=0,"",IF(I296="PM",30,VLOOKUP(H296,'Règles et points'!$C$5:$AG$19,(HLOOKUP('Course 2'!C296,'Règles et points'!$C$5:$AG$5,1)+1))))</f>
        <v/>
      </c>
      <c r="M296" s="23">
        <f t="shared" si="5"/>
        <v>0</v>
      </c>
      <c r="N296" s="80"/>
      <c r="O296" s="51"/>
      <c r="P296" s="52"/>
    </row>
    <row r="297" spans="2:16" ht="12.75">
      <c r="B297" s="14">
        <v>293</v>
      </c>
      <c r="C297" s="28" t="str">
        <f>IF(Coureurs!C297="","",Coureurs!C297)</f>
        <v/>
      </c>
      <c r="D297" s="131" t="str">
        <f>IF(Coureurs!D297="","",Coureurs!D297)</f>
        <v>70</v>
      </c>
      <c r="E297" s="87" t="str">
        <f>IF(Coureurs!F297="","",Coureurs!F297)</f>
        <v/>
      </c>
      <c r="F297" s="87" t="str">
        <f>IF(Coureurs!G297="","",Coureurs!G297)</f>
        <v/>
      </c>
      <c r="G297" s="50" t="str">
        <f>IF(Coureurs!J297="","",Coureurs!J297)</f>
        <v/>
      </c>
      <c r="H297" s="25"/>
      <c r="I297" s="41"/>
      <c r="J297" s="8" t="str">
        <f>IF(I297="PM","",IF(H297=0," ",I297-HLOOKUP('Course 2'!H297,'tab2'!$C$3:$N$4,2)))</f>
        <v xml:space="preserve"> </v>
      </c>
      <c r="K297" s="23" t="str">
        <f>IF(I297="PM","",IF(H297=0," ",J297/'Règles et points'!$F$23))</f>
        <v xml:space="preserve"> </v>
      </c>
      <c r="L297" s="3" t="str">
        <f>IF(H297=0,"",IF(I297="PM",30,VLOOKUP(H297,'Règles et points'!$C$5:$AG$19,(HLOOKUP('Course 2'!C297,'Règles et points'!$C$5:$AG$5,1)+1))))</f>
        <v/>
      </c>
      <c r="M297" s="23">
        <f t="shared" si="5"/>
        <v>0</v>
      </c>
      <c r="N297" s="80"/>
      <c r="O297" s="51"/>
      <c r="P297" s="52"/>
    </row>
    <row r="298" spans="2:16" ht="12.75">
      <c r="B298" s="14">
        <v>294</v>
      </c>
      <c r="C298" s="28" t="str">
        <f>IF(Coureurs!C298="","",Coureurs!C298)</f>
        <v/>
      </c>
      <c r="D298" s="131" t="str">
        <f>IF(Coureurs!D298="","",Coureurs!D298)</f>
        <v>70</v>
      </c>
      <c r="E298" s="87" t="str">
        <f>IF(Coureurs!F298="","",Coureurs!F298)</f>
        <v/>
      </c>
      <c r="F298" s="87" t="str">
        <f>IF(Coureurs!G298="","",Coureurs!G298)</f>
        <v/>
      </c>
      <c r="G298" s="50" t="str">
        <f>IF(Coureurs!J298="","",Coureurs!J298)</f>
        <v/>
      </c>
      <c r="H298" s="25"/>
      <c r="I298" s="41"/>
      <c r="J298" s="8" t="str">
        <f>IF(I298="PM","",IF(H298=0," ",I298-HLOOKUP('Course 2'!H298,'tab2'!$C$3:$N$4,2)))</f>
        <v xml:space="preserve"> </v>
      </c>
      <c r="K298" s="23" t="str">
        <f>IF(I298="PM","",IF(H298=0," ",J298/'Règles et points'!$F$23))</f>
        <v xml:space="preserve"> </v>
      </c>
      <c r="L298" s="3" t="str">
        <f>IF(H298=0,"",IF(I298="PM",30,VLOOKUP(H298,'Règles et points'!$C$5:$AG$19,(HLOOKUP('Course 2'!C298,'Règles et points'!$C$5:$AG$5,1)+1))))</f>
        <v/>
      </c>
      <c r="M298" s="23">
        <f t="shared" si="5"/>
        <v>0</v>
      </c>
      <c r="N298" s="80"/>
      <c r="O298" s="51"/>
      <c r="P298" s="52"/>
    </row>
    <row r="299" spans="2:16" ht="12.75">
      <c r="B299" s="14">
        <v>295</v>
      </c>
      <c r="C299" s="28" t="str">
        <f>IF(Coureurs!C299="","",Coureurs!C299)</f>
        <v/>
      </c>
      <c r="D299" s="131" t="str">
        <f>IF(Coureurs!D299="","",Coureurs!D299)</f>
        <v>70</v>
      </c>
      <c r="E299" s="87" t="str">
        <f>IF(Coureurs!F299="","",Coureurs!F299)</f>
        <v/>
      </c>
      <c r="F299" s="87" t="str">
        <f>IF(Coureurs!G299="","",Coureurs!G299)</f>
        <v/>
      </c>
      <c r="G299" s="50" t="str">
        <f>IF(Coureurs!J299="","",Coureurs!J299)</f>
        <v/>
      </c>
      <c r="H299" s="25"/>
      <c r="I299" s="41"/>
      <c r="J299" s="8" t="str">
        <f>IF(I299="PM","",IF(H299=0," ",I299-HLOOKUP('Course 2'!H299,'tab2'!$C$3:$N$4,2)))</f>
        <v xml:space="preserve"> </v>
      </c>
      <c r="K299" s="23" t="str">
        <f>IF(I299="PM","",IF(H299=0," ",J299/'Règles et points'!$F$23))</f>
        <v xml:space="preserve"> </v>
      </c>
      <c r="L299" s="3" t="str">
        <f>IF(H299=0,"",IF(I299="PM",30,VLOOKUP(H299,'Règles et points'!$C$5:$AG$19,(HLOOKUP('Course 2'!C299,'Règles et points'!$C$5:$AG$5,1)+1))))</f>
        <v/>
      </c>
      <c r="M299" s="23">
        <f t="shared" si="5"/>
        <v>0</v>
      </c>
      <c r="N299" s="80"/>
      <c r="O299" s="51"/>
      <c r="P299" s="52"/>
    </row>
    <row r="300" spans="2:16" ht="12.75">
      <c r="B300" s="14">
        <v>296</v>
      </c>
      <c r="C300" s="28" t="str">
        <f>IF(Coureurs!C300="","",Coureurs!C300)</f>
        <v/>
      </c>
      <c r="D300" s="131" t="str">
        <f>IF(Coureurs!D300="","",Coureurs!D300)</f>
        <v>70</v>
      </c>
      <c r="E300" s="87" t="str">
        <f>IF(Coureurs!F300="","",Coureurs!F300)</f>
        <v/>
      </c>
      <c r="F300" s="87" t="str">
        <f>IF(Coureurs!G300="","",Coureurs!G300)</f>
        <v/>
      </c>
      <c r="G300" s="50" t="str">
        <f>IF(Coureurs!J300="","",Coureurs!J300)</f>
        <v/>
      </c>
      <c r="H300" s="25"/>
      <c r="I300" s="41"/>
      <c r="J300" s="8" t="str">
        <f>IF(I300="PM","",IF(H300=0," ",I300-HLOOKUP('Course 2'!H300,'tab2'!$C$3:$N$4,2)))</f>
        <v xml:space="preserve"> </v>
      </c>
      <c r="K300" s="23" t="str">
        <f>IF(I300="PM","",IF(H300=0," ",J300/'Règles et points'!$F$23))</f>
        <v xml:space="preserve"> </v>
      </c>
      <c r="L300" s="3" t="str">
        <f>IF(H300=0,"",IF(I300="PM",30,VLOOKUP(H300,'Règles et points'!$C$5:$AG$19,(HLOOKUP('Course 2'!C300,'Règles et points'!$C$5:$AG$5,1)+1))))</f>
        <v/>
      </c>
      <c r="M300" s="23">
        <f t="shared" si="5"/>
        <v>0</v>
      </c>
      <c r="N300" s="80"/>
      <c r="O300" s="51"/>
      <c r="P300" s="52"/>
    </row>
    <row r="301" spans="2:16" ht="12.75">
      <c r="B301" s="14">
        <v>297</v>
      </c>
      <c r="C301" s="28" t="str">
        <f>IF(Coureurs!C301="","",Coureurs!C301)</f>
        <v/>
      </c>
      <c r="D301" s="131" t="str">
        <f>IF(Coureurs!D301="","",Coureurs!D301)</f>
        <v>70</v>
      </c>
      <c r="E301" s="87" t="str">
        <f>IF(Coureurs!F301="","",Coureurs!F301)</f>
        <v/>
      </c>
      <c r="F301" s="87" t="str">
        <f>IF(Coureurs!G301="","",Coureurs!G301)</f>
        <v/>
      </c>
      <c r="G301" s="50" t="str">
        <f>IF(Coureurs!J301="","",Coureurs!J301)</f>
        <v/>
      </c>
      <c r="H301" s="25"/>
      <c r="I301" s="41"/>
      <c r="J301" s="8" t="str">
        <f>IF(I301="PM","",IF(H301=0," ",I301-HLOOKUP('Course 2'!H301,'tab2'!$C$3:$N$4,2)))</f>
        <v xml:space="preserve"> </v>
      </c>
      <c r="K301" s="23" t="str">
        <f>IF(I301="PM","",IF(H301=0," ",J301/'Règles et points'!$F$23))</f>
        <v xml:space="preserve"> </v>
      </c>
      <c r="L301" s="3" t="str">
        <f>IF(H301=0,"",IF(I301="PM",30,VLOOKUP(H301,'Règles et points'!$C$5:$AG$19,(HLOOKUP('Course 2'!C301,'Règles et points'!$C$5:$AG$5,1)+1))))</f>
        <v/>
      </c>
      <c r="M301" s="23">
        <f t="shared" si="5"/>
        <v>0</v>
      </c>
      <c r="N301" s="80"/>
      <c r="O301" s="51"/>
      <c r="P301" s="52"/>
    </row>
    <row r="302" spans="2:16" ht="12.75">
      <c r="B302" s="14">
        <v>298</v>
      </c>
      <c r="C302" s="28" t="str">
        <f>IF(Coureurs!C302="","",Coureurs!C302)</f>
        <v/>
      </c>
      <c r="D302" s="131" t="str">
        <f>IF(Coureurs!D302="","",Coureurs!D302)</f>
        <v>70</v>
      </c>
      <c r="E302" s="87" t="str">
        <f>IF(Coureurs!F302="","",Coureurs!F302)</f>
        <v/>
      </c>
      <c r="F302" s="87" t="str">
        <f>IF(Coureurs!G302="","",Coureurs!G302)</f>
        <v/>
      </c>
      <c r="G302" s="50" t="str">
        <f>IF(Coureurs!J302="","",Coureurs!J302)</f>
        <v/>
      </c>
      <c r="H302" s="25"/>
      <c r="I302" s="88"/>
      <c r="J302" s="8" t="str">
        <f>IF(I302="PM","",IF(H302=0," ",I302-HLOOKUP('Course 2'!H302,'tab2'!$C$3:$N$4,2)))</f>
        <v xml:space="preserve"> </v>
      </c>
      <c r="K302" s="23" t="str">
        <f>IF(I302="PM","",IF(H302=0," ",J302/'Règles et points'!$F$23))</f>
        <v xml:space="preserve"> </v>
      </c>
      <c r="L302" s="3" t="str">
        <f>IF(H302=0,"",IF(I302="PM",30,VLOOKUP(H302,'Règles et points'!$C$5:$AG$19,(HLOOKUP('Course 2'!C302,'Règles et points'!$C$5:$AG$5,1)+1))))</f>
        <v/>
      </c>
      <c r="M302" s="23">
        <f t="shared" si="5"/>
        <v>0</v>
      </c>
      <c r="N302" s="80"/>
      <c r="O302" s="51"/>
      <c r="P302" s="52"/>
    </row>
    <row r="303" spans="2:16" ht="12.75">
      <c r="B303" s="14">
        <v>299</v>
      </c>
      <c r="C303" s="28" t="str">
        <f>IF(Coureurs!C303="","",Coureurs!C303)</f>
        <v/>
      </c>
      <c r="D303" s="131" t="str">
        <f>IF(Coureurs!D303="","",Coureurs!D303)</f>
        <v>70</v>
      </c>
      <c r="E303" s="87" t="str">
        <f>IF(Coureurs!F303="","",Coureurs!F303)</f>
        <v/>
      </c>
      <c r="F303" s="87" t="str">
        <f>IF(Coureurs!G303="","",Coureurs!G303)</f>
        <v/>
      </c>
      <c r="G303" s="50" t="str">
        <f>IF(Coureurs!J303="","",Coureurs!J303)</f>
        <v/>
      </c>
      <c r="H303" s="25"/>
      <c r="I303" s="88"/>
      <c r="J303" s="8" t="str">
        <f>IF(I303="PM","",IF(H303=0," ",I303-HLOOKUP('Course 2'!H303,'tab2'!$C$3:$N$4,2)))</f>
        <v xml:space="preserve"> </v>
      </c>
      <c r="K303" s="23" t="str">
        <f>IF(I303="PM","",IF(H303=0," ",J303/'Règles et points'!$F$23))</f>
        <v xml:space="preserve"> </v>
      </c>
      <c r="L303" s="3" t="str">
        <f>IF(H303=0,"",IF(I303="PM",30,VLOOKUP(H303,'Règles et points'!$C$5:$AG$19,(HLOOKUP('Course 2'!C303,'Règles et points'!$C$5:$AG$5,1)+1))))</f>
        <v/>
      </c>
      <c r="M303" s="23">
        <f t="shared" si="5"/>
        <v>0</v>
      </c>
      <c r="N303" s="80"/>
      <c r="O303" s="51"/>
      <c r="P303" s="52"/>
    </row>
    <row r="304" spans="2:16" ht="12.75">
      <c r="B304" s="14">
        <v>300</v>
      </c>
      <c r="C304" s="28" t="str">
        <f>IF(Coureurs!C304="","",Coureurs!C304)</f>
        <v/>
      </c>
      <c r="D304" s="131" t="str">
        <f>IF(Coureurs!D304="","",Coureurs!D304)</f>
        <v>70</v>
      </c>
      <c r="E304" s="87" t="str">
        <f>IF(Coureurs!F304="","",Coureurs!F304)</f>
        <v/>
      </c>
      <c r="F304" s="87" t="str">
        <f>IF(Coureurs!G304="","",Coureurs!G304)</f>
        <v/>
      </c>
      <c r="G304" s="50" t="str">
        <f>IF(Coureurs!J304="","",Coureurs!J304)</f>
        <v/>
      </c>
      <c r="H304" s="25"/>
      <c r="I304" s="88"/>
      <c r="J304" s="8" t="str">
        <f>IF(I304="PM","",IF(H304=0," ",I304-HLOOKUP('Course 2'!H304,'tab2'!$C$3:$N$4,2)))</f>
        <v xml:space="preserve"> </v>
      </c>
      <c r="K304" s="23" t="str">
        <f>IF(I304="PM","",IF(H304=0," ",J304/'Règles et points'!$F$23))</f>
        <v xml:space="preserve"> </v>
      </c>
      <c r="L304" s="3" t="str">
        <f>IF(H304=0,"",IF(I304="PM",30,VLOOKUP(H304,'Règles et points'!$C$5:$AG$19,(HLOOKUP('Course 2'!C304,'Règles et points'!$C$5:$AG$5,1)+1))))</f>
        <v/>
      </c>
      <c r="M304" s="23">
        <f t="shared" si="5"/>
        <v>0</v>
      </c>
      <c r="N304" s="80"/>
      <c r="O304" s="51"/>
      <c r="P304" s="52"/>
    </row>
  </sheetData>
  <sheetProtection password="CFA8" sheet="1" objects="1" scenarios="1" selectLockedCells="1"/>
  <mergeCells count="1">
    <mergeCell ref="D1:P1"/>
  </mergeCells>
  <phoneticPr fontId="0" type="noConversion"/>
  <pageMargins left="0.19685039370078741" right="0.19685039370078741" top="0.19685039370078741" bottom="0.19685039370078741" header="0.51181102362204722" footer="0.51181102362204722"/>
  <pageSetup paperSize="9" orientation="landscape" horizontalDpi="1200" verticalDpi="1200"/>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Feuil5" enableFormatConditionsCalculation="0"/>
  <dimension ref="B1:S304"/>
  <sheetViews>
    <sheetView workbookViewId="0">
      <pane ySplit="4" topLeftCell="A5" activePane="bottomLeft" state="frozen"/>
      <selection pane="bottomLeft" activeCell="N5" sqref="N5"/>
    </sheetView>
  </sheetViews>
  <sheetFormatPr baseColWidth="10" defaultRowHeight="15.75"/>
  <cols>
    <col min="1" max="1" width="9.42578125" customWidth="1"/>
    <col min="2" max="2" width="9" hidden="1" customWidth="1"/>
    <col min="3" max="3" width="12.28515625" style="33" hidden="1" customWidth="1"/>
    <col min="4" max="4" width="12.28515625" style="29" customWidth="1"/>
    <col min="5" max="5" width="15.140625" customWidth="1"/>
    <col min="6" max="6" width="11.85546875" customWidth="1"/>
    <col min="7" max="7" width="4.7109375" style="14" customWidth="1"/>
    <col min="8" max="8" width="9.42578125" style="14" customWidth="1"/>
    <col min="9" max="9" width="12.28515625" style="38" customWidth="1"/>
    <col min="10" max="13" width="12.28515625" customWidth="1"/>
    <col min="14" max="14" width="9.42578125" customWidth="1"/>
    <col min="15" max="15" width="9.42578125" style="2" customWidth="1"/>
    <col min="16" max="16" width="21.42578125" customWidth="1"/>
    <col min="17" max="17" width="4.140625" customWidth="1"/>
    <col min="19" max="20" width="10.85546875" customWidth="1"/>
  </cols>
  <sheetData>
    <row r="1" spans="2:19" ht="45" customHeight="1" thickBot="1">
      <c r="D1" s="189" t="s">
        <v>81</v>
      </c>
      <c r="E1" s="189"/>
      <c r="F1" s="189"/>
      <c r="G1" s="189"/>
      <c r="H1" s="189"/>
      <c r="I1" s="189"/>
      <c r="J1" s="189"/>
      <c r="K1" s="189"/>
      <c r="L1" s="189"/>
      <c r="M1" s="189"/>
      <c r="N1" s="189"/>
      <c r="O1" s="189"/>
      <c r="P1" s="189"/>
    </row>
    <row r="2" spans="2:19" ht="65.099999999999994" customHeight="1" thickBot="1">
      <c r="C2" s="128" t="s">
        <v>80</v>
      </c>
      <c r="D2" s="138" t="s">
        <v>1</v>
      </c>
      <c r="E2" s="139" t="s">
        <v>14</v>
      </c>
      <c r="F2" s="139" t="s">
        <v>25</v>
      </c>
      <c r="G2" s="139" t="s">
        <v>16</v>
      </c>
      <c r="H2" s="139" t="s">
        <v>0</v>
      </c>
      <c r="I2" s="135" t="s">
        <v>29</v>
      </c>
      <c r="J2" s="136" t="s">
        <v>22</v>
      </c>
      <c r="K2" s="136" t="s">
        <v>23</v>
      </c>
      <c r="L2" s="135" t="s">
        <v>24</v>
      </c>
      <c r="M2" s="139" t="s">
        <v>15</v>
      </c>
      <c r="N2" s="134" t="s">
        <v>43</v>
      </c>
      <c r="O2" s="137" t="s">
        <v>36</v>
      </c>
      <c r="P2" s="140" t="s">
        <v>37</v>
      </c>
    </row>
    <row r="3" spans="2:19" ht="41.1" customHeight="1" thickBot="1">
      <c r="C3" s="28" t="e">
        <f>IF(Coureurs!#REF!="","",Coureurs!#REF!)</f>
        <v>#REF!</v>
      </c>
      <c r="D3" s="125"/>
      <c r="E3" s="126"/>
      <c r="F3" s="156" t="s">
        <v>75</v>
      </c>
      <c r="G3" s="127"/>
      <c r="H3" s="126"/>
      <c r="I3" s="127"/>
      <c r="J3" s="157"/>
      <c r="K3" s="158"/>
      <c r="L3" s="159"/>
      <c r="M3" s="158"/>
      <c r="N3" s="158"/>
      <c r="O3" s="157"/>
      <c r="P3" s="160"/>
      <c r="S3" s="112"/>
    </row>
    <row r="4" spans="2:19" ht="21" hidden="1" customHeight="1">
      <c r="C4" s="28" t="str">
        <f>IF(Coureurs!C4="","",Coureurs!C4)</f>
        <v/>
      </c>
      <c r="D4" s="130" t="str">
        <f>IF(Coureurs!D4="","",Coureurs!D4)</f>
        <v/>
      </c>
      <c r="E4" s="97" t="str">
        <f>IF(Coureurs!F4="","",Coureurs!F4)</f>
        <v/>
      </c>
      <c r="F4" s="97" t="str">
        <f>IF(Coureurs!G4="","",Coureurs!G4)</f>
        <v/>
      </c>
      <c r="G4" s="96" t="str">
        <f>IF(Coureurs!J4="","",Coureurs!J4)</f>
        <v/>
      </c>
      <c r="H4" s="120"/>
      <c r="I4" s="121"/>
      <c r="J4" s="98" t="str">
        <f>IF(I4="PM","",IF(H4=0," ",I4-HLOOKUP('Course 3'!H4,'tab3'!$C$3:$N$4,2)))</f>
        <v xml:space="preserve"> </v>
      </c>
      <c r="K4" s="99" t="str">
        <f>IF(I4="PM","",IF(H4=0," ",J4/'Règles et points'!$F$23))</f>
        <v xml:space="preserve"> </v>
      </c>
      <c r="L4" s="100" t="str">
        <f>IF(H4=0,"",VLOOKUP(H4,'Règles et points'!$C$5:$AG$19,(HLOOKUP('Course 3'!C4,'Règles et points'!$C$5:$AG$5,1)+1)))</f>
        <v/>
      </c>
      <c r="M4" s="99">
        <f t="shared" ref="M4" si="0">IF(I4="PM",0,IF(H4=0,0,L4-K4))+N4</f>
        <v>0</v>
      </c>
      <c r="N4" s="101"/>
      <c r="O4" s="102"/>
      <c r="P4" s="103"/>
      <c r="S4" s="112"/>
    </row>
    <row r="5" spans="2:19" ht="12.75">
      <c r="B5" s="14">
        <v>1</v>
      </c>
      <c r="C5" s="28">
        <f>IF(Coureurs!C5="","",Coureurs!C5)</f>
        <v>24</v>
      </c>
      <c r="D5" s="131" t="str">
        <f>IF(Coureurs!D5="","",Coureurs!D5)</f>
        <v>H40</v>
      </c>
      <c r="E5" s="87" t="str">
        <f>IF(Coureurs!F5="","",Coureurs!F5)</f>
        <v>GARDEUR</v>
      </c>
      <c r="F5" s="87" t="str">
        <f>IF(Coureurs!G5="","",Coureurs!G5)</f>
        <v>Julien</v>
      </c>
      <c r="G5" s="50">
        <f>IF(Coureurs!J5="","",Coureurs!J5)</f>
        <v>35002</v>
      </c>
      <c r="H5" s="108"/>
      <c r="I5" s="40"/>
      <c r="J5" s="8" t="str">
        <f>IF(I5="PM","",IF(H5=0," ",I5-HLOOKUP('Course 3'!H5,'tab3'!$C$3:$N$4,2)))</f>
        <v xml:space="preserve"> </v>
      </c>
      <c r="K5" s="23" t="str">
        <f>IF(I5="PM","",IF(H5=0," ",J5/'Règles et points'!$F$23))</f>
        <v xml:space="preserve"> </v>
      </c>
      <c r="L5" s="3" t="str">
        <f>IF(H5=0,"",IF(I5="PM",30,VLOOKUP(H5,'Règles et points'!$C$5:$AG$19,(HLOOKUP('Course 3'!C5,'Règles et points'!$C$5:$AG$5,1)+1))))</f>
        <v/>
      </c>
      <c r="M5" s="23">
        <f>IF(I5="PM",30,IF(H5=0,0,L5-K5))+N5</f>
        <v>0</v>
      </c>
      <c r="N5" s="80"/>
      <c r="O5" s="51"/>
      <c r="P5" s="52"/>
    </row>
    <row r="6" spans="2:19" ht="12.75">
      <c r="B6" s="14">
        <v>2</v>
      </c>
      <c r="C6" s="28">
        <f>IF(Coureurs!C6="","",Coureurs!C6)</f>
        <v>26</v>
      </c>
      <c r="D6" s="131" t="str">
        <f>IF(Coureurs!D6="","",Coureurs!D6)</f>
        <v>H50</v>
      </c>
      <c r="E6" s="87" t="str">
        <f>IF(Coureurs!F6="","",Coureurs!F6)</f>
        <v>TOUSSAINT</v>
      </c>
      <c r="F6" s="87" t="str">
        <f>IF(Coureurs!G6="","",Coureurs!G6)</f>
        <v>Stéphane</v>
      </c>
      <c r="G6" s="50">
        <f>IF(Coureurs!J6="","",Coureurs!J6)</f>
        <v>1770314</v>
      </c>
      <c r="H6" s="25"/>
      <c r="I6" s="40"/>
      <c r="J6" s="8" t="str">
        <f>IF(I6="PM","",IF(H6=0," ",I6-HLOOKUP('Course 3'!H6,'tab3'!$C$3:$N$4,2)))</f>
        <v xml:space="preserve"> </v>
      </c>
      <c r="K6" s="23" t="str">
        <f>IF(I6="PM","",IF(H6=0," ",J6/'Règles et points'!$F$23))</f>
        <v xml:space="preserve"> </v>
      </c>
      <c r="L6" s="3" t="str">
        <f>IF(H6=0,"",IF(I6="PM",30,VLOOKUP(H6,'Règles et points'!$C$5:$AG$19,(HLOOKUP('Course 3'!C6,'Règles et points'!$C$5:$AG$5,1)+1))))</f>
        <v/>
      </c>
      <c r="M6" s="23">
        <f t="shared" ref="M6:M69" si="1">IF(I6="PM",30,IF(H6=0,0,L6-K6))+N6</f>
        <v>0</v>
      </c>
      <c r="N6" s="80"/>
      <c r="O6" s="51"/>
      <c r="P6" s="52"/>
    </row>
    <row r="7" spans="2:19" ht="12.75">
      <c r="B7" s="14">
        <v>3</v>
      </c>
      <c r="C7" s="28">
        <f>IF(Coureurs!C7="","",Coureurs!C7)</f>
        <v>25</v>
      </c>
      <c r="D7" s="131" t="str">
        <f>IF(Coureurs!D7="","",Coureurs!D7)</f>
        <v>H45</v>
      </c>
      <c r="E7" s="87" t="str">
        <f>IF(Coureurs!F7="","",Coureurs!F7)</f>
        <v>VANNIER</v>
      </c>
      <c r="F7" s="87" t="str">
        <f>IF(Coureurs!G7="","",Coureurs!G7)</f>
        <v>Fabrice</v>
      </c>
      <c r="G7" s="50">
        <f>IF(Coureurs!J7="","",Coureurs!J7)</f>
        <v>1770320</v>
      </c>
      <c r="H7" s="106"/>
      <c r="I7" s="40"/>
      <c r="J7" s="8" t="str">
        <f>IF(I7="PM","",IF(H7=0," ",I7-HLOOKUP('Course 3'!H7,'tab3'!$C$3:$N$4,2)))</f>
        <v xml:space="preserve"> </v>
      </c>
      <c r="K7" s="23" t="str">
        <f>IF(I7="PM","",IF(H7=0," ",J7/'Règles et points'!$F$23))</f>
        <v xml:space="preserve"> </v>
      </c>
      <c r="L7" s="3" t="str">
        <f>IF(H7=0,"",IF(I7="PM",30,VLOOKUP(H7,'Règles et points'!$C$5:$AG$19,(HLOOKUP('Course 3'!C7,'Règles et points'!$C$5:$AG$5,1)+1))))</f>
        <v/>
      </c>
      <c r="M7" s="23">
        <f t="shared" si="1"/>
        <v>0</v>
      </c>
      <c r="N7" s="80"/>
      <c r="O7" s="51"/>
      <c r="P7" s="52"/>
    </row>
    <row r="8" spans="2:19" ht="12.75">
      <c r="B8" s="14">
        <v>4</v>
      </c>
      <c r="C8" s="28">
        <f>IF(Coureurs!C8="","",Coureurs!C8)</f>
        <v>30</v>
      </c>
      <c r="D8" s="131" t="str">
        <f>IF(Coureurs!D8="","",Coureurs!D8)</f>
        <v>H70</v>
      </c>
      <c r="E8" s="87" t="str">
        <f>IF(Coureurs!F8="","",Coureurs!F8)</f>
        <v>HAMON</v>
      </c>
      <c r="F8" s="87" t="str">
        <f>IF(Coureurs!G8="","",Coureurs!G8)</f>
        <v>Patrick</v>
      </c>
      <c r="G8" s="50">
        <f>IF(Coureurs!J8="","",Coureurs!J8)</f>
        <v>9001020</v>
      </c>
      <c r="H8" s="25"/>
      <c r="I8" s="40"/>
      <c r="J8" s="8" t="str">
        <f>IF(I8="PM","",IF(H8=0," ",I8-HLOOKUP('Course 3'!H8,'tab3'!$C$3:$N$4,2)))</f>
        <v xml:space="preserve"> </v>
      </c>
      <c r="K8" s="23" t="str">
        <f>IF(I8="PM","",IF(H8=0," ",J8/'Règles et points'!$F$23))</f>
        <v xml:space="preserve"> </v>
      </c>
      <c r="L8" s="3" t="str">
        <f>IF(H8=0,"",IF(I8="PM",30,VLOOKUP(H8,'Règles et points'!$C$5:$AG$19,(HLOOKUP('Course 3'!C8,'Règles et points'!$C$5:$AG$5,1)+1))))</f>
        <v/>
      </c>
      <c r="M8" s="23">
        <f t="shared" si="1"/>
        <v>0</v>
      </c>
      <c r="N8" s="80"/>
      <c r="O8" s="40"/>
      <c r="P8" s="52"/>
    </row>
    <row r="9" spans="2:19" ht="12.75">
      <c r="B9" s="14">
        <v>5</v>
      </c>
      <c r="C9" s="28">
        <f>IF(Coureurs!C9="","",Coureurs!C9)</f>
        <v>27</v>
      </c>
      <c r="D9" s="131" t="str">
        <f>IF(Coureurs!D9="","",Coureurs!D9)</f>
        <v>H55</v>
      </c>
      <c r="E9" s="87" t="str">
        <f>IF(Coureurs!F9="","",Coureurs!F9)</f>
        <v>GILLARD</v>
      </c>
      <c r="F9" s="87" t="str">
        <f>IF(Coureurs!G9="","",Coureurs!G9)</f>
        <v>Hugues</v>
      </c>
      <c r="G9" s="50">
        <f>IF(Coureurs!J9="","",Coureurs!J9)</f>
        <v>1000717</v>
      </c>
      <c r="H9" s="106"/>
      <c r="I9" s="40"/>
      <c r="J9" s="8" t="str">
        <f>IF(I9="PM","",IF(H9=0," ",I9-HLOOKUP('Course 3'!H9,'tab3'!$C$3:$N$4,2)))</f>
        <v xml:space="preserve"> </v>
      </c>
      <c r="K9" s="23" t="str">
        <f>IF(I9="PM","",IF(H9=0," ",J9/'Règles et points'!$F$23))</f>
        <v xml:space="preserve"> </v>
      </c>
      <c r="L9" s="3" t="str">
        <f>IF(H9=0,"",IF(I9="PM",30,VLOOKUP(H9,'Règles et points'!$C$5:$AG$19,(HLOOKUP('Course 3'!C9,'Règles et points'!$C$5:$AG$5,1)+1))))</f>
        <v/>
      </c>
      <c r="M9" s="23">
        <f t="shared" si="1"/>
        <v>0</v>
      </c>
      <c r="N9" s="80"/>
      <c r="O9" s="40"/>
      <c r="P9" s="52"/>
      <c r="S9" s="34"/>
    </row>
    <row r="10" spans="2:19" ht="12.75">
      <c r="B10" s="14">
        <v>6</v>
      </c>
      <c r="C10" s="28">
        <f>IF(Coureurs!C10="","",Coureurs!C10)</f>
        <v>11</v>
      </c>
      <c r="D10" s="131" t="str">
        <f>IF(Coureurs!D10="","",Coureurs!D10)</f>
        <v>D50</v>
      </c>
      <c r="E10" s="87" t="str">
        <f>IF(Coureurs!F10="","",Coureurs!F10)</f>
        <v>OLIVIER</v>
      </c>
      <c r="F10" s="87" t="str">
        <f>IF(Coureurs!G10="","",Coureurs!G10)</f>
        <v>Sandra</v>
      </c>
      <c r="G10" s="50">
        <f>IF(Coureurs!J10="","",Coureurs!J10)</f>
        <v>8001980</v>
      </c>
      <c r="H10" s="25"/>
      <c r="I10" s="40"/>
      <c r="J10" s="8" t="str">
        <f>IF(I10="PM","",IF(H10=0," ",I10-HLOOKUP('Course 3'!H10,'tab3'!$C$3:$N$4,2)))</f>
        <v xml:space="preserve"> </v>
      </c>
      <c r="K10" s="23" t="str">
        <f>IF(I10="PM","",IF(H10=0," ",J10/'Règles et points'!$F$23))</f>
        <v xml:space="preserve"> </v>
      </c>
      <c r="L10" s="3" t="str">
        <f>IF(H10=0,"",IF(I10="PM",30,VLOOKUP(H10,'Règles et points'!$C$5:$AG$19,(HLOOKUP('Course 3'!C10,'Règles et points'!$C$5:$AG$5,1)+1))))</f>
        <v/>
      </c>
      <c r="M10" s="23">
        <f t="shared" si="1"/>
        <v>0</v>
      </c>
      <c r="N10" s="80"/>
      <c r="O10" s="51"/>
      <c r="P10" s="52"/>
      <c r="S10" s="34"/>
    </row>
    <row r="11" spans="2:19" ht="12.75">
      <c r="B11" s="14">
        <v>7</v>
      </c>
      <c r="C11" s="28">
        <f>IF(Coureurs!C11="","",Coureurs!C11)</f>
        <v>13</v>
      </c>
      <c r="D11" s="131" t="str">
        <f>IF(Coureurs!D11="","",Coureurs!D11)</f>
        <v>D60</v>
      </c>
      <c r="E11" s="87" t="str">
        <f>IF(Coureurs!F11="","",Coureurs!F11)</f>
        <v>MOLINIER</v>
      </c>
      <c r="F11" s="87" t="str">
        <f>IF(Coureurs!G11="","",Coureurs!G11)</f>
        <v>Frederique</v>
      </c>
      <c r="G11" s="50">
        <f>IF(Coureurs!J11="","",Coureurs!J11)</f>
        <v>1000979</v>
      </c>
      <c r="H11" s="25"/>
      <c r="I11" s="40"/>
      <c r="J11" s="8" t="str">
        <f>IF(I11="PM","",IF(H11=0," ",I11-HLOOKUP('Course 3'!H11,'tab3'!$C$3:$N$4,2)))</f>
        <v xml:space="preserve"> </v>
      </c>
      <c r="K11" s="23" t="str">
        <f>IF(I11="PM","",IF(H11=0," ",J11/'Règles et points'!$F$23))</f>
        <v xml:space="preserve"> </v>
      </c>
      <c r="L11" s="3" t="str">
        <f>IF(H11=0,"",IF(I11="PM",30,VLOOKUP(H11,'Règles et points'!$C$5:$AG$19,(HLOOKUP('Course 3'!C11,'Règles et points'!$C$5:$AG$5,1)+1))))</f>
        <v/>
      </c>
      <c r="M11" s="23">
        <f t="shared" si="1"/>
        <v>0</v>
      </c>
      <c r="N11" s="80"/>
      <c r="O11" s="51"/>
      <c r="P11" s="52"/>
    </row>
    <row r="12" spans="2:19" ht="12.75">
      <c r="B12" s="14">
        <v>8</v>
      </c>
      <c r="C12" s="28">
        <f>IF(Coureurs!C12="","",Coureurs!C12)</f>
        <v>7</v>
      </c>
      <c r="D12" s="131" t="str">
        <f>IF(Coureurs!D12="","",Coureurs!D12)</f>
        <v>D21</v>
      </c>
      <c r="E12" s="87" t="str">
        <f>IF(Coureurs!F12="","",Coureurs!F12)</f>
        <v>MOLINIER</v>
      </c>
      <c r="F12" s="87" t="str">
        <f>IF(Coureurs!G12="","",Coureurs!G12)</f>
        <v>Caroline</v>
      </c>
      <c r="G12" s="50">
        <f>IF(Coureurs!J12="","",Coureurs!J12)</f>
        <v>31320</v>
      </c>
      <c r="H12" s="25"/>
      <c r="I12" s="40"/>
      <c r="J12" s="8" t="str">
        <f>IF(I12="PM","",IF(H12=0," ",I12-HLOOKUP('Course 3'!H12,'tab3'!$C$3:$N$4,2)))</f>
        <v xml:space="preserve"> </v>
      </c>
      <c r="K12" s="23" t="str">
        <f>IF(I12="PM","",IF(H12=0," ",J12/'Règles et points'!$F$23))</f>
        <v xml:space="preserve"> </v>
      </c>
      <c r="L12" s="3" t="str">
        <f>IF(H12=0,"",IF(I12="PM",30,VLOOKUP(H12,'Règles et points'!$C$5:$AG$19,(HLOOKUP('Course 3'!C12,'Règles et points'!$C$5:$AG$5,1)+1))))</f>
        <v/>
      </c>
      <c r="M12" s="23">
        <f t="shared" si="1"/>
        <v>0</v>
      </c>
      <c r="N12" s="80"/>
      <c r="O12" s="51"/>
      <c r="P12" s="52"/>
    </row>
    <row r="13" spans="2:19" ht="12.75">
      <c r="B13" s="14">
        <v>9</v>
      </c>
      <c r="C13" s="28">
        <f>IF(Coureurs!C13="","",Coureurs!C13)</f>
        <v>28</v>
      </c>
      <c r="D13" s="131" t="str">
        <f>IF(Coureurs!D13="","",Coureurs!D13)</f>
        <v>H60</v>
      </c>
      <c r="E13" s="87" t="str">
        <f>IF(Coureurs!F13="","",Coureurs!F13)</f>
        <v>RORA</v>
      </c>
      <c r="F13" s="87" t="str">
        <f>IF(Coureurs!G13="","",Coureurs!G13)</f>
        <v>Jose</v>
      </c>
      <c r="G13" s="50">
        <f>IF(Coureurs!J13="","",Coureurs!J13)</f>
        <v>8077060</v>
      </c>
      <c r="H13" s="25"/>
      <c r="I13" s="40"/>
      <c r="J13" s="8" t="str">
        <f>IF(I13="PM","",IF(H13=0," ",I13-HLOOKUP('Course 3'!H13,'tab3'!$C$3:$N$4,2)))</f>
        <v xml:space="preserve"> </v>
      </c>
      <c r="K13" s="23" t="str">
        <f>IF(I13="PM","",IF(H13=0," ",J13/'Règles et points'!$F$23))</f>
        <v xml:space="preserve"> </v>
      </c>
      <c r="L13" s="3" t="str">
        <f>IF(H13=0,"",IF(I13="PM",30,VLOOKUP(H13,'Règles et points'!$C$5:$AG$19,(HLOOKUP('Course 3'!C13,'Règles et points'!$C$5:$AG$5,1)+1))))</f>
        <v/>
      </c>
      <c r="M13" s="23">
        <f t="shared" si="1"/>
        <v>0</v>
      </c>
      <c r="N13" s="80"/>
      <c r="O13" s="51"/>
      <c r="P13" s="52"/>
    </row>
    <row r="14" spans="2:19" ht="12.75">
      <c r="B14" s="14">
        <v>10</v>
      </c>
      <c r="C14" s="28">
        <f>IF(Coureurs!C14="","",Coureurs!C14)</f>
        <v>12</v>
      </c>
      <c r="D14" s="131" t="str">
        <f>IF(Coureurs!D14="","",Coureurs!D14)</f>
        <v>D55</v>
      </c>
      <c r="E14" s="87" t="str">
        <f>IF(Coureurs!F14="","",Coureurs!F14)</f>
        <v>RORA</v>
      </c>
      <c r="F14" s="87" t="str">
        <f>IF(Coureurs!G14="","",Coureurs!G14)</f>
        <v>Isabelle</v>
      </c>
      <c r="G14" s="50">
        <f>IF(Coureurs!J14="","",Coureurs!J14)</f>
        <v>9771900</v>
      </c>
      <c r="H14" s="25"/>
      <c r="I14" s="40"/>
      <c r="J14" s="8" t="str">
        <f>IF(I14="PM","",IF(H14=0," ",I14-HLOOKUP('Course 3'!H14,'tab3'!$C$3:$N$4,2)))</f>
        <v xml:space="preserve"> </v>
      </c>
      <c r="K14" s="23" t="str">
        <f>IF(I14="PM","",IF(H14=0," ",J14/'Règles et points'!$F$23))</f>
        <v xml:space="preserve"> </v>
      </c>
      <c r="L14" s="3" t="str">
        <f>IF(H14=0,"",IF(I14="PM",30,VLOOKUP(H14,'Règles et points'!$C$5:$AG$19,(HLOOKUP('Course 3'!C14,'Règles et points'!$C$5:$AG$5,1)+1))))</f>
        <v/>
      </c>
      <c r="M14" s="23">
        <f t="shared" si="1"/>
        <v>0</v>
      </c>
      <c r="N14" s="80"/>
      <c r="O14" s="51"/>
      <c r="P14" s="52"/>
    </row>
    <row r="15" spans="2:19" ht="12.75">
      <c r="B15" s="14">
        <v>11</v>
      </c>
      <c r="C15" s="28">
        <f>IF(Coureurs!C15="","",Coureurs!C15)</f>
        <v>29</v>
      </c>
      <c r="D15" s="131" t="str">
        <f>IF(Coureurs!D15="","",Coureurs!D15)</f>
        <v>H65</v>
      </c>
      <c r="E15" s="87" t="str">
        <f>IF(Coureurs!F15="","",Coureurs!F15)</f>
        <v>PERSE</v>
      </c>
      <c r="F15" s="87" t="str">
        <f>IF(Coureurs!G15="","",Coureurs!G15)</f>
        <v>Philippe</v>
      </c>
      <c r="G15" s="50">
        <f>IF(Coureurs!J15="","",Coureurs!J15)</f>
        <v>355162</v>
      </c>
      <c r="H15" s="106"/>
      <c r="I15" s="40"/>
      <c r="J15" s="8" t="str">
        <f>IF(I15="PM","",IF(H15=0," ",I15-HLOOKUP('Course 3'!H15,'tab3'!$C$3:$N$4,2)))</f>
        <v xml:space="preserve"> </v>
      </c>
      <c r="K15" s="23" t="str">
        <f>IF(I15="PM","",IF(H15=0," ",J15/'Règles et points'!$F$23))</f>
        <v xml:space="preserve"> </v>
      </c>
      <c r="L15" s="3" t="str">
        <f>IF(H15=0,"",IF(I15="PM",30,VLOOKUP(H15,'Règles et points'!$C$5:$AG$19,(HLOOKUP('Course 3'!C15,'Règles et points'!$C$5:$AG$5,1)+1))))</f>
        <v/>
      </c>
      <c r="M15" s="23">
        <f t="shared" si="1"/>
        <v>0</v>
      </c>
      <c r="N15" s="80"/>
      <c r="O15" s="51"/>
      <c r="P15" s="52"/>
    </row>
    <row r="16" spans="2:19" ht="12.75">
      <c r="B16" s="14">
        <v>12</v>
      </c>
      <c r="C16" s="28">
        <f>IF(Coureurs!C16="","",Coureurs!C16)</f>
        <v>30</v>
      </c>
      <c r="D16" s="131" t="str">
        <f>IF(Coureurs!D16="","",Coureurs!D16)</f>
        <v>H70</v>
      </c>
      <c r="E16" s="87" t="str">
        <f>IF(Coureurs!F16="","",Coureurs!F16)</f>
        <v>DENIAU</v>
      </c>
      <c r="F16" s="87" t="str">
        <f>IF(Coureurs!G16="","",Coureurs!G16)</f>
        <v>Alain</v>
      </c>
      <c r="G16" s="50">
        <f>IF(Coureurs!J16="","",Coureurs!J16)</f>
        <v>304383</v>
      </c>
      <c r="H16" s="106"/>
      <c r="I16" s="40"/>
      <c r="J16" s="8" t="str">
        <f>IF(I16="PM","",IF(H16=0," ",I16-HLOOKUP('Course 3'!H16,'tab3'!$C$3:$N$4,2)))</f>
        <v xml:space="preserve"> </v>
      </c>
      <c r="K16" s="23" t="str">
        <f>IF(I16="PM","",IF(H16=0," ",J16/'Règles et points'!$F$23))</f>
        <v xml:space="preserve"> </v>
      </c>
      <c r="L16" s="3" t="str">
        <f>IF(H16=0,"",IF(I16="PM",30,VLOOKUP(H16,'Règles et points'!$C$5:$AG$19,(HLOOKUP('Course 3'!C16,'Règles et points'!$C$5:$AG$5,1)+1))))</f>
        <v/>
      </c>
      <c r="M16" s="23">
        <f t="shared" si="1"/>
        <v>0</v>
      </c>
      <c r="N16" s="80"/>
      <c r="O16" s="51"/>
      <c r="P16" s="52"/>
    </row>
    <row r="17" spans="2:16" ht="12.75">
      <c r="B17" s="14">
        <v>13</v>
      </c>
      <c r="C17" s="28">
        <f>IF(Coureurs!C17="","",Coureurs!C17)</f>
        <v>10</v>
      </c>
      <c r="D17" s="131" t="str">
        <f>IF(Coureurs!D17="","",Coureurs!D17)</f>
        <v>D45</v>
      </c>
      <c r="E17" s="87" t="str">
        <f>IF(Coureurs!F17="","",Coureurs!F17)</f>
        <v>LAGRANGE</v>
      </c>
      <c r="F17" s="87" t="str">
        <f>IF(Coureurs!G17="","",Coureurs!G17)</f>
        <v>Florence</v>
      </c>
      <c r="G17" s="50">
        <f>IF(Coureurs!J17="","",Coureurs!J17)</f>
        <v>9877777</v>
      </c>
      <c r="H17" s="25"/>
      <c r="I17" s="40"/>
      <c r="J17" s="8" t="str">
        <f>IF(I17="PM","",IF(H17=0," ",I17-HLOOKUP('Course 3'!H17,'tab3'!$C$3:$N$4,2)))</f>
        <v xml:space="preserve"> </v>
      </c>
      <c r="K17" s="23" t="str">
        <f>IF(I17="PM","",IF(H17=0," ",J17/'Règles et points'!$F$23))</f>
        <v xml:space="preserve"> </v>
      </c>
      <c r="L17" s="3" t="str">
        <f>IF(H17=0,"",IF(I17="PM",30,VLOOKUP(H17,'Règles et points'!$C$5:$AG$19,(HLOOKUP('Course 3'!C17,'Règles et points'!$C$5:$AG$5,1)+1))))</f>
        <v/>
      </c>
      <c r="M17" s="23">
        <f t="shared" si="1"/>
        <v>0</v>
      </c>
      <c r="N17" s="80"/>
      <c r="O17" s="51"/>
      <c r="P17" s="52"/>
    </row>
    <row r="18" spans="2:16" ht="12.75">
      <c r="B18" s="14">
        <v>14</v>
      </c>
      <c r="C18" s="28">
        <f>IF(Coureurs!C18="","",Coureurs!C18)</f>
        <v>27</v>
      </c>
      <c r="D18" s="131" t="str">
        <f>IF(Coureurs!D18="","",Coureurs!D18)</f>
        <v>H55</v>
      </c>
      <c r="E18" s="87" t="str">
        <f>IF(Coureurs!F18="","",Coureurs!F18)</f>
        <v>FINAUD-GUYOT</v>
      </c>
      <c r="F18" s="87" t="str">
        <f>IF(Coureurs!G18="","",Coureurs!G18)</f>
        <v>Lionel</v>
      </c>
      <c r="G18" s="50">
        <f>IF(Coureurs!J18="","",Coureurs!J18)</f>
        <v>229141</v>
      </c>
      <c r="H18" s="25"/>
      <c r="I18" s="40"/>
      <c r="J18" s="8" t="str">
        <f>IF(I18="PM","",IF(H18=0," ",I18-HLOOKUP('Course 3'!H18,'tab3'!$C$3:$N$4,2)))</f>
        <v xml:space="preserve"> </v>
      </c>
      <c r="K18" s="23" t="str">
        <f>IF(I18="PM","",IF(H18=0," ",J18/'Règles et points'!$F$23))</f>
        <v xml:space="preserve"> </v>
      </c>
      <c r="L18" s="3" t="str">
        <f>IF(H18=0,"",IF(I18="PM",30,VLOOKUP(H18,'Règles et points'!$C$5:$AG$19,(HLOOKUP('Course 3'!C18,'Règles et points'!$C$5:$AG$5,1)+1))))</f>
        <v/>
      </c>
      <c r="M18" s="23">
        <f t="shared" si="1"/>
        <v>0</v>
      </c>
      <c r="N18" s="80"/>
      <c r="O18" s="51"/>
      <c r="P18" s="52"/>
    </row>
    <row r="19" spans="2:16" ht="12.75">
      <c r="B19" s="14">
        <v>15</v>
      </c>
      <c r="C19" s="28">
        <f>IF(Coureurs!C19="","",Coureurs!C19)</f>
        <v>28</v>
      </c>
      <c r="D19" s="131" t="str">
        <f>IF(Coureurs!D19="","",Coureurs!D19)</f>
        <v>H60</v>
      </c>
      <c r="E19" s="87" t="str">
        <f>IF(Coureurs!F19="","",Coureurs!F19)</f>
        <v>ADOLPHE</v>
      </c>
      <c r="F19" s="87" t="str">
        <f>IF(Coureurs!G19="","",Coureurs!G19)</f>
        <v>Philippe</v>
      </c>
      <c r="G19" s="50">
        <f>IF(Coureurs!J19="","",Coureurs!J19)</f>
        <v>8091800</v>
      </c>
      <c r="H19" s="106"/>
      <c r="I19" s="40"/>
      <c r="J19" s="8" t="str">
        <f>IF(I19="PM","",IF(H19=0," ",I19-HLOOKUP('Course 3'!H19,'tab3'!$C$3:$N$4,2)))</f>
        <v xml:space="preserve"> </v>
      </c>
      <c r="K19" s="23" t="str">
        <f>IF(I19="PM","",IF(H19=0," ",J19/'Règles et points'!$F$23))</f>
        <v xml:space="preserve"> </v>
      </c>
      <c r="L19" s="3" t="str">
        <f>IF(H19=0,"",IF(I19="PM",30,VLOOKUP(H19,'Règles et points'!$C$5:$AG$19,(HLOOKUP('Course 3'!C19,'Règles et points'!$C$5:$AG$5,1)+1))))</f>
        <v/>
      </c>
      <c r="M19" s="23">
        <f t="shared" si="1"/>
        <v>0</v>
      </c>
      <c r="N19" s="80"/>
      <c r="O19" s="40"/>
      <c r="P19" s="52"/>
    </row>
    <row r="20" spans="2:16" ht="12.75">
      <c r="B20" s="14">
        <v>16</v>
      </c>
      <c r="C20" s="28">
        <f>IF(Coureurs!C20="","",Coureurs!C20)</f>
        <v>28</v>
      </c>
      <c r="D20" s="131" t="str">
        <f>IF(Coureurs!D20="","",Coureurs!D20)</f>
        <v>H60</v>
      </c>
      <c r="E20" s="87" t="str">
        <f>IF(Coureurs!F20="","",Coureurs!F20)</f>
        <v>LECONTE</v>
      </c>
      <c r="F20" s="87" t="str">
        <f>IF(Coureurs!G20="","",Coureurs!G20)</f>
        <v>Gilbert</v>
      </c>
      <c r="G20" s="50">
        <f>IF(Coureurs!J20="","",Coureurs!J20)</f>
        <v>9601555</v>
      </c>
      <c r="H20" s="110"/>
      <c r="I20" s="40"/>
      <c r="J20" s="8" t="str">
        <f>IF(I20="PM","",IF(H20=0," ",I20-HLOOKUP('Course 3'!H20,'tab3'!$C$3:$N$4,2)))</f>
        <v xml:space="preserve"> </v>
      </c>
      <c r="K20" s="23" t="str">
        <f>IF(I20="PM","",IF(H20=0," ",J20/'Règles et points'!$F$23))</f>
        <v xml:space="preserve"> </v>
      </c>
      <c r="L20" s="3" t="str">
        <f>IF(H20=0,"",IF(I20="PM",30,VLOOKUP(H20,'Règles et points'!$C$5:$AG$19,(HLOOKUP('Course 3'!C20,'Règles et points'!$C$5:$AG$5,1)+1))))</f>
        <v/>
      </c>
      <c r="M20" s="23">
        <f t="shared" si="1"/>
        <v>0</v>
      </c>
      <c r="N20" s="80"/>
      <c r="O20" s="51"/>
      <c r="P20" s="52"/>
    </row>
    <row r="21" spans="2:16" ht="12.75">
      <c r="B21" s="14">
        <v>17</v>
      </c>
      <c r="C21" s="28">
        <f>IF(Coureurs!C21="","",Coureurs!C21)</f>
        <v>13</v>
      </c>
      <c r="D21" s="131" t="str">
        <f>IF(Coureurs!D21="","",Coureurs!D21)</f>
        <v>D60</v>
      </c>
      <c r="E21" s="87" t="str">
        <f>IF(Coureurs!F21="","",Coureurs!F21)</f>
        <v>LECONTE</v>
      </c>
      <c r="F21" s="87" t="str">
        <f>IF(Coureurs!G21="","",Coureurs!G21)</f>
        <v>Sylvie</v>
      </c>
      <c r="G21" s="50">
        <f>IF(Coureurs!J21="","",Coureurs!J21)</f>
        <v>1000983</v>
      </c>
      <c r="H21" s="106"/>
      <c r="I21" s="40"/>
      <c r="J21" s="8" t="str">
        <f>IF(I21="PM","",IF(H21=0," ",I21-HLOOKUP('Course 3'!H21,'tab3'!$C$3:$N$4,2)))</f>
        <v xml:space="preserve"> </v>
      </c>
      <c r="K21" s="23" t="str">
        <f>IF(I21="PM","",IF(H21=0," ",J21/'Règles et points'!$F$23))</f>
        <v xml:space="preserve"> </v>
      </c>
      <c r="L21" s="3" t="str">
        <f>IF(H21=0,"",IF(I21="PM",30,VLOOKUP(H21,'Règles et points'!$C$5:$AG$19,(HLOOKUP('Course 3'!C21,'Règles et points'!$C$5:$AG$5,1)+1))))</f>
        <v/>
      </c>
      <c r="M21" s="23">
        <f t="shared" si="1"/>
        <v>0</v>
      </c>
      <c r="N21" s="80"/>
      <c r="O21" s="51"/>
      <c r="P21" s="52"/>
    </row>
    <row r="22" spans="2:16" ht="12.75">
      <c r="B22" s="14">
        <v>18</v>
      </c>
      <c r="C22" s="28">
        <f>IF(Coureurs!C22="","",Coureurs!C22)</f>
        <v>8</v>
      </c>
      <c r="D22" s="131" t="str">
        <f>IF(Coureurs!D22="","",Coureurs!D22)</f>
        <v>D35</v>
      </c>
      <c r="E22" s="87" t="str">
        <f>IF(Coureurs!F22="","",Coureurs!F22)</f>
        <v>MEY</v>
      </c>
      <c r="F22" s="87" t="str">
        <f>IF(Coureurs!G22="","",Coureurs!G22)</f>
        <v>Milena</v>
      </c>
      <c r="G22" s="50">
        <f>IF(Coureurs!J22="","",Coureurs!J22)</f>
        <v>1986217</v>
      </c>
      <c r="H22" s="25"/>
      <c r="I22" s="40"/>
      <c r="J22" s="8" t="str">
        <f>IF(I22="PM","",IF(H22=0," ",I22-HLOOKUP('Course 3'!H22,'tab3'!$C$3:$N$4,2)))</f>
        <v xml:space="preserve"> </v>
      </c>
      <c r="K22" s="23" t="str">
        <f>IF(I22="PM","",IF(H22=0," ",J22/'Règles et points'!$F$23))</f>
        <v xml:space="preserve"> </v>
      </c>
      <c r="L22" s="3" t="str">
        <f>IF(H22=0,"",IF(I22="PM",30,VLOOKUP(H22,'Règles et points'!$C$5:$AG$19,(HLOOKUP('Course 3'!C22,'Règles et points'!$C$5:$AG$5,1)+1))))</f>
        <v/>
      </c>
      <c r="M22" s="23">
        <f t="shared" si="1"/>
        <v>0</v>
      </c>
      <c r="N22" s="80"/>
      <c r="O22" s="51"/>
      <c r="P22" s="52"/>
    </row>
    <row r="23" spans="2:16" ht="12.75">
      <c r="B23" s="14">
        <v>19</v>
      </c>
      <c r="C23" s="28">
        <f>IF(Coureurs!C23="","",Coureurs!C23)</f>
        <v>22</v>
      </c>
      <c r="D23" s="131" t="str">
        <f>IF(Coureurs!D23="","",Coureurs!D23)</f>
        <v>H21</v>
      </c>
      <c r="E23" s="87" t="str">
        <f>IF(Coureurs!F23="","",Coureurs!F23)</f>
        <v>TOUSSAINT</v>
      </c>
      <c r="F23" s="87" t="str">
        <f>IF(Coureurs!G23="","",Coureurs!G23)</f>
        <v>Tom</v>
      </c>
      <c r="G23" s="50">
        <f>IF(Coureurs!J23="","",Coureurs!J23)</f>
        <v>1770313</v>
      </c>
      <c r="H23" s="25"/>
      <c r="I23" s="40"/>
      <c r="J23" s="8" t="str">
        <f>IF(I23="PM","",IF(H23=0," ",I23-HLOOKUP('Course 3'!H23,'tab3'!$C$3:$N$4,2)))</f>
        <v xml:space="preserve"> </v>
      </c>
      <c r="K23" s="23" t="str">
        <f>IF(I23="PM","",IF(H23=0," ",J23/'Règles et points'!$F$23))</f>
        <v xml:space="preserve"> </v>
      </c>
      <c r="L23" s="3" t="str">
        <f>IF(H23=0,"",IF(I23="PM",30,VLOOKUP(H23,'Règles et points'!$C$5:$AG$19,(HLOOKUP('Course 3'!C23,'Règles et points'!$C$5:$AG$5,1)+1))))</f>
        <v/>
      </c>
      <c r="M23" s="23">
        <f t="shared" si="1"/>
        <v>0</v>
      </c>
      <c r="N23" s="80"/>
      <c r="O23" s="51"/>
      <c r="P23" s="52"/>
    </row>
    <row r="24" spans="2:16" ht="12.75">
      <c r="B24" s="14">
        <v>20</v>
      </c>
      <c r="C24" s="28">
        <f>IF(Coureurs!C24="","",Coureurs!C24)</f>
        <v>6</v>
      </c>
      <c r="D24" s="131" t="str">
        <f>IF(Coureurs!D24="","",Coureurs!D24)</f>
        <v>D20</v>
      </c>
      <c r="E24" s="87" t="str">
        <f>IF(Coureurs!F24="","",Coureurs!F24)</f>
        <v>TOUSSAINT</v>
      </c>
      <c r="F24" s="87" t="str">
        <f>IF(Coureurs!G24="","",Coureurs!G24)</f>
        <v>Perrine</v>
      </c>
      <c r="G24" s="50">
        <f>IF(Coureurs!J24="","",Coureurs!J24)</f>
        <v>8002045</v>
      </c>
      <c r="H24" s="106"/>
      <c r="I24" s="40"/>
      <c r="J24" s="8" t="str">
        <f>IF(I24="PM","",IF(H24=0," ",I24-HLOOKUP('Course 3'!H24,'tab3'!$C$3:$N$4,2)))</f>
        <v xml:space="preserve"> </v>
      </c>
      <c r="K24" s="23" t="str">
        <f>IF(I24="PM","",IF(H24=0," ",J24/'Règles et points'!$F$23))</f>
        <v xml:space="preserve"> </v>
      </c>
      <c r="L24" s="3" t="str">
        <f>IF(H24=0,"",IF(I24="PM",30,VLOOKUP(H24,'Règles et points'!$C$5:$AG$19,(HLOOKUP('Course 3'!C24,'Règles et points'!$C$5:$AG$5,1)+1))))</f>
        <v/>
      </c>
      <c r="M24" s="23">
        <f t="shared" si="1"/>
        <v>0</v>
      </c>
      <c r="N24" s="80"/>
      <c r="O24" s="51"/>
      <c r="P24" s="52"/>
    </row>
    <row r="25" spans="2:16" ht="12.75">
      <c r="B25" s="14">
        <v>21</v>
      </c>
      <c r="C25" s="28">
        <f>IF(Coureurs!C25="","",Coureurs!C25)</f>
        <v>20</v>
      </c>
      <c r="D25" s="131" t="str">
        <f>IF(Coureurs!D25="","",Coureurs!D25)</f>
        <v>H18</v>
      </c>
      <c r="E25" s="87" t="str">
        <f>IF(Coureurs!F25="","",Coureurs!F25)</f>
        <v>GILLARD</v>
      </c>
      <c r="F25" s="87" t="str">
        <f>IF(Coureurs!G25="","",Coureurs!G25)</f>
        <v>Lucas</v>
      </c>
      <c r="G25" s="50">
        <f>IF(Coureurs!J25="","",Coureurs!J25)</f>
        <v>1000716</v>
      </c>
      <c r="H25" s="106"/>
      <c r="I25" s="107"/>
      <c r="J25" s="8" t="str">
        <f>IF(I25="PM","",IF(H25=0," ",I25-HLOOKUP('Course 3'!H25,'tab3'!$C$3:$N$4,2)))</f>
        <v xml:space="preserve"> </v>
      </c>
      <c r="K25" s="23" t="str">
        <f>IF(I25="PM","",IF(H25=0," ",J25/'Règles et points'!$F$23))</f>
        <v xml:space="preserve"> </v>
      </c>
      <c r="L25" s="3" t="str">
        <f>IF(H25=0,"",IF(I25="PM",30,VLOOKUP(H25,'Règles et points'!$C$5:$AG$19,(HLOOKUP('Course 3'!C25,'Règles et points'!$C$5:$AG$5,1)+1))))</f>
        <v/>
      </c>
      <c r="M25" s="23">
        <f t="shared" si="1"/>
        <v>0</v>
      </c>
      <c r="N25" s="80"/>
      <c r="O25" s="51"/>
      <c r="P25" s="52"/>
    </row>
    <row r="26" spans="2:16" ht="12.75">
      <c r="B26" s="14">
        <v>22</v>
      </c>
      <c r="C26" s="28">
        <f>IF(Coureurs!C26="","",Coureurs!C26)</f>
        <v>11</v>
      </c>
      <c r="D26" s="131" t="str">
        <f>IF(Coureurs!D26="","",Coureurs!D26)</f>
        <v>D50</v>
      </c>
      <c r="E26" s="87" t="str">
        <f>IF(Coureurs!F26="","",Coureurs!F26)</f>
        <v>LEBLOIS</v>
      </c>
      <c r="F26" s="87" t="str">
        <f>IF(Coureurs!G26="","",Coureurs!G26)</f>
        <v>Delphine</v>
      </c>
      <c r="G26" s="50">
        <f>IF(Coureurs!J26="","",Coureurs!J26)</f>
        <v>2037864</v>
      </c>
      <c r="H26" s="25"/>
      <c r="I26" s="40"/>
      <c r="J26" s="8" t="str">
        <f>IF(I26="PM","",IF(H26=0," ",I26-HLOOKUP('Course 3'!H26,'tab3'!$C$3:$N$4,2)))</f>
        <v xml:space="preserve"> </v>
      </c>
      <c r="K26" s="23" t="str">
        <f>IF(I26="PM","",IF(H26=0," ",J26/'Règles et points'!$F$23))</f>
        <v xml:space="preserve"> </v>
      </c>
      <c r="L26" s="3" t="str">
        <f>IF(H26=0,"",IF(I26="PM",30,VLOOKUP(H26,'Règles et points'!$C$5:$AG$19,(HLOOKUP('Course 3'!C26,'Règles et points'!$C$5:$AG$5,1)+1))))</f>
        <v/>
      </c>
      <c r="M26" s="23">
        <f t="shared" si="1"/>
        <v>0</v>
      </c>
      <c r="N26" s="80"/>
      <c r="O26" s="51"/>
      <c r="P26" s="52"/>
    </row>
    <row r="27" spans="2:16" ht="12.75">
      <c r="B27" s="14">
        <v>23</v>
      </c>
      <c r="C27" s="28">
        <f>IF(Coureurs!C27="","",Coureurs!C27)</f>
        <v>22</v>
      </c>
      <c r="D27" s="131" t="str">
        <f>IF(Coureurs!D27="","",Coureurs!D27)</f>
        <v>H21</v>
      </c>
      <c r="E27" s="87" t="str">
        <f>IF(Coureurs!F27="","",Coureurs!F27)</f>
        <v>FONTAINE</v>
      </c>
      <c r="F27" s="87" t="str">
        <f>IF(Coureurs!G27="","",Coureurs!G27)</f>
        <v>Valentin</v>
      </c>
      <c r="G27" s="50">
        <f>IF(Coureurs!J27="","",Coureurs!J27)</f>
        <v>7005132</v>
      </c>
      <c r="H27" s="106"/>
      <c r="I27" s="40"/>
      <c r="J27" s="8" t="str">
        <f>IF(I27="PM","",IF(H27=0," ",I27-HLOOKUP('Course 3'!H27,'tab3'!$C$3:$N$4,2)))</f>
        <v xml:space="preserve"> </v>
      </c>
      <c r="K27" s="23" t="str">
        <f>IF(I27="PM","",IF(H27=0," ",J27/'Règles et points'!$F$23))</f>
        <v xml:space="preserve"> </v>
      </c>
      <c r="L27" s="3" t="str">
        <f>IF(H27=0,"",IF(I27="PM",30,VLOOKUP(H27,'Règles et points'!$C$5:$AG$19,(HLOOKUP('Course 3'!C27,'Règles et points'!$C$5:$AG$5,1)+1))))</f>
        <v/>
      </c>
      <c r="M27" s="23">
        <f t="shared" si="1"/>
        <v>0</v>
      </c>
      <c r="N27" s="80"/>
      <c r="O27" s="51"/>
      <c r="P27" s="52"/>
    </row>
    <row r="28" spans="2:16" ht="12.75">
      <c r="B28" s="14">
        <v>24</v>
      </c>
      <c r="C28" s="28">
        <f>IF(Coureurs!C28="","",Coureurs!C28)</f>
        <v>12</v>
      </c>
      <c r="D28" s="131" t="str">
        <f>IF(Coureurs!D28="","",Coureurs!D28)</f>
        <v>D55</v>
      </c>
      <c r="E28" s="87" t="str">
        <f>IF(Coureurs!F28="","",Coureurs!F28)</f>
        <v>FOUCHER</v>
      </c>
      <c r="F28" s="87" t="str">
        <f>IF(Coureurs!G28="","",Coureurs!G28)</f>
        <v>Marie</v>
      </c>
      <c r="G28" s="50">
        <f>IF(Coureurs!J28="","",Coureurs!J28)</f>
        <v>2026171</v>
      </c>
      <c r="H28" s="25"/>
      <c r="I28" s="40"/>
      <c r="J28" s="8" t="str">
        <f>IF(I28="PM","",IF(H28=0," ",I28-HLOOKUP('Course 3'!H28,'tab3'!$C$3:$N$4,2)))</f>
        <v xml:space="preserve"> </v>
      </c>
      <c r="K28" s="23" t="str">
        <f>IF(I28="PM","",IF(H28=0," ",J28/'Règles et points'!$F$23))</f>
        <v xml:space="preserve"> </v>
      </c>
      <c r="L28" s="3" t="str">
        <f>IF(H28=0,"",IF(I28="PM",30,VLOOKUP(H28,'Règles et points'!$C$5:$AG$19,(HLOOKUP('Course 3'!C28,'Règles et points'!$C$5:$AG$5,1)+1))))</f>
        <v/>
      </c>
      <c r="M28" s="23">
        <f t="shared" si="1"/>
        <v>0</v>
      </c>
      <c r="N28" s="80"/>
      <c r="O28" s="51"/>
      <c r="P28" s="52"/>
    </row>
    <row r="29" spans="2:16" ht="12.75">
      <c r="B29" s="14">
        <v>25</v>
      </c>
      <c r="C29" s="28">
        <f>IF(Coureurs!C29="","",Coureurs!C29)</f>
        <v>24</v>
      </c>
      <c r="D29" s="131" t="str">
        <f>IF(Coureurs!D29="","",Coureurs!D29)</f>
        <v>H40</v>
      </c>
      <c r="E29" s="87" t="str">
        <f>IF(Coureurs!F29="","",Coureurs!F29)</f>
        <v>GUERIN</v>
      </c>
      <c r="F29" s="87" t="str">
        <f>IF(Coureurs!G29="","",Coureurs!G29)</f>
        <v>Fabien</v>
      </c>
      <c r="G29" s="50">
        <f>IF(Coureurs!J29="","",Coureurs!J29)</f>
        <v>2037868</v>
      </c>
      <c r="H29" s="25"/>
      <c r="I29" s="40"/>
      <c r="J29" s="8" t="str">
        <f>IF(I29="PM","",IF(H29=0," ",I29-HLOOKUP('Course 3'!H29,'tab3'!$C$3:$N$4,2)))</f>
        <v xml:space="preserve"> </v>
      </c>
      <c r="K29" s="23" t="str">
        <f>IF(I29="PM","",IF(H29=0," ",J29/'Règles et points'!$F$23))</f>
        <v xml:space="preserve"> </v>
      </c>
      <c r="L29" s="3" t="str">
        <f>IF(H29=0,"",IF(I29="PM",30,VLOOKUP(H29,'Règles et points'!$C$5:$AG$19,(HLOOKUP('Course 3'!C29,'Règles et points'!$C$5:$AG$5,1)+1))))</f>
        <v/>
      </c>
      <c r="M29" s="23">
        <f t="shared" si="1"/>
        <v>0</v>
      </c>
      <c r="N29" s="80"/>
      <c r="O29" s="51"/>
      <c r="P29" s="52"/>
    </row>
    <row r="30" spans="2:16" ht="12.75">
      <c r="B30" s="14">
        <v>26</v>
      </c>
      <c r="C30" s="28">
        <f>IF(Coureurs!C30="","",Coureurs!C30)</f>
        <v>24</v>
      </c>
      <c r="D30" s="131" t="str">
        <f>IF(Coureurs!D30="","",Coureurs!D30)</f>
        <v>H40</v>
      </c>
      <c r="E30" s="87" t="str">
        <f>IF(Coureurs!F30="","",Coureurs!F30)</f>
        <v>BIARD</v>
      </c>
      <c r="F30" s="87" t="str">
        <f>IF(Coureurs!G30="","",Coureurs!G30)</f>
        <v>Michael</v>
      </c>
      <c r="G30" s="50">
        <f>IF(Coureurs!J30="","",Coureurs!J30)</f>
        <v>1967657</v>
      </c>
      <c r="H30" s="106"/>
      <c r="I30" s="40"/>
      <c r="J30" s="8" t="str">
        <f>IF(I30="PM","",IF(H30=0," ",I30-HLOOKUP('Course 3'!H30,'tab3'!$C$3:$N$4,2)))</f>
        <v xml:space="preserve"> </v>
      </c>
      <c r="K30" s="23" t="str">
        <f>IF(I30="PM","",IF(H30=0," ",J30/'Règles et points'!$F$23))</f>
        <v xml:space="preserve"> </v>
      </c>
      <c r="L30" s="3" t="str">
        <f>IF(H30=0,"",IF(I30="PM",30,VLOOKUP(H30,'Règles et points'!$C$5:$AG$19,(HLOOKUP('Course 3'!C30,'Règles et points'!$C$5:$AG$5,1)+1))))</f>
        <v/>
      </c>
      <c r="M30" s="23">
        <f t="shared" si="1"/>
        <v>0</v>
      </c>
      <c r="N30" s="80"/>
      <c r="O30" s="51"/>
      <c r="P30" s="52"/>
    </row>
    <row r="31" spans="2:16" ht="12.75">
      <c r="B31" s="14">
        <v>27</v>
      </c>
      <c r="C31" s="28">
        <f>IF(Coureurs!C31="","",Coureurs!C31)</f>
        <v>18</v>
      </c>
      <c r="D31" s="131" t="str">
        <f>IF(Coureurs!D31="","",Coureurs!D31)</f>
        <v>H14</v>
      </c>
      <c r="E31" s="87" t="str">
        <f>IF(Coureurs!F31="","",Coureurs!F31)</f>
        <v>GUERINI</v>
      </c>
      <c r="F31" s="87" t="str">
        <f>IF(Coureurs!G31="","",Coureurs!G31)</f>
        <v>Robin</v>
      </c>
      <c r="G31" s="50">
        <f>IF(Coureurs!J31="","",Coureurs!J31)</f>
        <v>1018613</v>
      </c>
      <c r="H31" s="25"/>
      <c r="I31" s="40"/>
      <c r="J31" s="8" t="str">
        <f>IF(I31="PM","",IF(H31=0," ",I31-HLOOKUP('Course 3'!H31,'tab3'!$C$3:$N$4,2)))</f>
        <v xml:space="preserve"> </v>
      </c>
      <c r="K31" s="23" t="str">
        <f>IF(I31="PM","",IF(H31=0," ",J31/'Règles et points'!$F$23))</f>
        <v xml:space="preserve"> </v>
      </c>
      <c r="L31" s="3" t="str">
        <f>IF(H31=0,"",IF(I31="PM",30,VLOOKUP(H31,'Règles et points'!$C$5:$AG$19,(HLOOKUP('Course 3'!C31,'Règles et points'!$C$5:$AG$5,1)+1))))</f>
        <v/>
      </c>
      <c r="M31" s="23">
        <f t="shared" si="1"/>
        <v>0</v>
      </c>
      <c r="N31" s="80"/>
      <c r="O31" s="51"/>
      <c r="P31" s="52"/>
    </row>
    <row r="32" spans="2:16" ht="12.75">
      <c r="B32" s="14">
        <v>28</v>
      </c>
      <c r="C32" s="28">
        <f>IF(Coureurs!C32="","",Coureurs!C32)</f>
        <v>4</v>
      </c>
      <c r="D32" s="131" t="str">
        <f>IF(Coureurs!D32="","",Coureurs!D32)</f>
        <v>D16</v>
      </c>
      <c r="E32" s="87" t="str">
        <f>IF(Coureurs!F32="","",Coureurs!F32)</f>
        <v>GUERINI</v>
      </c>
      <c r="F32" s="87" t="str">
        <f>IF(Coureurs!G32="","",Coureurs!G32)</f>
        <v>Alice</v>
      </c>
      <c r="G32" s="50">
        <f>IF(Coureurs!J32="","",Coureurs!J32)</f>
        <v>1508341</v>
      </c>
      <c r="H32" s="106"/>
      <c r="I32" s="40"/>
      <c r="J32" s="8" t="str">
        <f>IF(I32="PM","",IF(H32=0," ",I32-HLOOKUP('Course 3'!H32,'tab3'!$C$3:$N$4,2)))</f>
        <v xml:space="preserve"> </v>
      </c>
      <c r="K32" s="23" t="str">
        <f>IF(I32="PM","",IF(H32=0," ",J32/'Règles et points'!$F$23))</f>
        <v xml:space="preserve"> </v>
      </c>
      <c r="L32" s="3" t="str">
        <f>IF(H32=0,"",IF(I32="PM",30,VLOOKUP(H32,'Règles et points'!$C$5:$AG$19,(HLOOKUP('Course 3'!C32,'Règles et points'!$C$5:$AG$5,1)+1))))</f>
        <v/>
      </c>
      <c r="M32" s="23">
        <f t="shared" si="1"/>
        <v>0</v>
      </c>
      <c r="N32" s="80"/>
      <c r="O32" s="51"/>
      <c r="P32" s="52"/>
    </row>
    <row r="33" spans="2:18" ht="12.75">
      <c r="B33" s="14">
        <v>29</v>
      </c>
      <c r="C33" s="28">
        <f>IF(Coureurs!C33="","",Coureurs!C33)</f>
        <v>9</v>
      </c>
      <c r="D33" s="131" t="str">
        <f>IF(Coureurs!D33="","",Coureurs!D33)</f>
        <v>D40</v>
      </c>
      <c r="E33" s="87" t="str">
        <f>IF(Coureurs!F33="","",Coureurs!F33)</f>
        <v>RINTJEMA</v>
      </c>
      <c r="F33" s="87" t="str">
        <f>IF(Coureurs!G33="","",Coureurs!G33)</f>
        <v>Carole</v>
      </c>
      <c r="G33" s="50">
        <f>IF(Coureurs!J33="","",Coureurs!J33)</f>
        <v>1017719</v>
      </c>
      <c r="H33" s="25"/>
      <c r="I33" s="40"/>
      <c r="J33" s="8" t="str">
        <f>IF(I33="PM","",IF(H33=0," ",I33-HLOOKUP('Course 3'!H33,'tab3'!$C$3:$N$4,2)))</f>
        <v xml:space="preserve"> </v>
      </c>
      <c r="K33" s="23" t="str">
        <f>IF(I33="PM","",IF(H33=0," ",J33/'Règles et points'!$F$23))</f>
        <v xml:space="preserve"> </v>
      </c>
      <c r="L33" s="3" t="str">
        <f>IF(H33=0,"",IF(I33="PM",30,VLOOKUP(H33,'Règles et points'!$C$5:$AG$19,(HLOOKUP('Course 3'!C33,'Règles et points'!$C$5:$AG$5,1)+1))))</f>
        <v/>
      </c>
      <c r="M33" s="23">
        <f t="shared" si="1"/>
        <v>0</v>
      </c>
      <c r="N33" s="80"/>
      <c r="O33" s="51"/>
      <c r="P33" s="52"/>
    </row>
    <row r="34" spans="2:18" ht="12.75">
      <c r="B34" s="14">
        <v>30</v>
      </c>
      <c r="C34" s="28">
        <f>IF(Coureurs!C34="","",Coureurs!C34)</f>
        <v>19</v>
      </c>
      <c r="D34" s="131" t="str">
        <f>IF(Coureurs!D34="","",Coureurs!D34)</f>
        <v>H16</v>
      </c>
      <c r="E34" s="87" t="str">
        <f>IF(Coureurs!F34="","",Coureurs!F34)</f>
        <v>GARDETTE-POIRIER</v>
      </c>
      <c r="F34" s="87" t="str">
        <f>IF(Coureurs!G34="","",Coureurs!G34)</f>
        <v>Théodore</v>
      </c>
      <c r="G34" s="50" t="str">
        <f>IF(Coureurs!J34="","",Coureurs!J34)</f>
        <v/>
      </c>
      <c r="H34" s="25"/>
      <c r="I34" s="40"/>
      <c r="J34" s="8" t="str">
        <f>IF(I34="PM","",IF(H34=0," ",I34-HLOOKUP('Course 3'!H34,'tab3'!$C$3:$N$4,2)))</f>
        <v xml:space="preserve"> </v>
      </c>
      <c r="K34" s="23" t="str">
        <f>IF(I34="PM","",IF(H34=0," ",J34/'Règles et points'!$F$23))</f>
        <v xml:space="preserve"> </v>
      </c>
      <c r="L34" s="3" t="str">
        <f>IF(H34=0,"",IF(I34="PM",30,VLOOKUP(H34,'Règles et points'!$C$5:$AG$19,(HLOOKUP('Course 3'!C34,'Règles et points'!$C$5:$AG$5,1)+1))))</f>
        <v/>
      </c>
      <c r="M34" s="23">
        <f t="shared" si="1"/>
        <v>0</v>
      </c>
      <c r="N34" s="80"/>
      <c r="O34" s="51"/>
      <c r="P34" s="52"/>
    </row>
    <row r="35" spans="2:18" ht="12.75">
      <c r="B35" s="14">
        <v>31</v>
      </c>
      <c r="C35" s="28">
        <f>IF(Coureurs!C35="","",Coureurs!C35)</f>
        <v>27</v>
      </c>
      <c r="D35" s="131" t="str">
        <f>IF(Coureurs!D35="","",Coureurs!D35)</f>
        <v>H55</v>
      </c>
      <c r="E35" s="87" t="str">
        <f>IF(Coureurs!F35="","",Coureurs!F35)</f>
        <v>ALBERT</v>
      </c>
      <c r="F35" s="87" t="str">
        <f>IF(Coureurs!G35="","",Coureurs!G35)</f>
        <v>Arnault</v>
      </c>
      <c r="G35" s="50" t="str">
        <f>IF(Coureurs!J35="","",Coureurs!J35)</f>
        <v/>
      </c>
      <c r="H35" s="25"/>
      <c r="I35" s="40"/>
      <c r="J35" s="8" t="str">
        <f>IF(I35="PM","",IF(H35=0," ",I35-HLOOKUP('Course 3'!H35,'tab3'!$C$3:$N$4,2)))</f>
        <v xml:space="preserve"> </v>
      </c>
      <c r="K35" s="23" t="str">
        <f>IF(I35="PM","",IF(H35=0," ",J35/'Règles et points'!$F$23))</f>
        <v xml:space="preserve"> </v>
      </c>
      <c r="L35" s="3" t="str">
        <f>IF(H35=0,"",IF(I35="PM",30,VLOOKUP(H35,'Règles et points'!$C$5:$AG$19,(HLOOKUP('Course 3'!C35,'Règles et points'!$C$5:$AG$5,1)+1))))</f>
        <v/>
      </c>
      <c r="M35" s="23">
        <f t="shared" si="1"/>
        <v>0</v>
      </c>
      <c r="N35" s="80"/>
      <c r="O35" s="51"/>
      <c r="P35" s="52"/>
    </row>
    <row r="36" spans="2:18" ht="12.75">
      <c r="B36" s="14">
        <v>32</v>
      </c>
      <c r="C36" s="28">
        <f>IF(Coureurs!C36="","",Coureurs!C36)</f>
        <v>7</v>
      </c>
      <c r="D36" s="131" t="str">
        <f>IF(Coureurs!D36="","",Coureurs!D36)</f>
        <v>D21</v>
      </c>
      <c r="E36" s="87" t="str">
        <f>IF(Coureurs!F36="","",Coureurs!F36)</f>
        <v>AUDEFROY</v>
      </c>
      <c r="F36" s="87" t="str">
        <f>IF(Coureurs!G36="","",Coureurs!G36)</f>
        <v>Elsa</v>
      </c>
      <c r="G36" s="50">
        <f>IF(Coureurs!J36="","",Coureurs!J36)</f>
        <v>1001973</v>
      </c>
      <c r="H36" s="25"/>
      <c r="I36" s="40"/>
      <c r="J36" s="8" t="str">
        <f>IF(I36="PM","",IF(H36=0," ",I36-HLOOKUP('Course 3'!H36,'tab3'!$C$3:$N$4,2)))</f>
        <v xml:space="preserve"> </v>
      </c>
      <c r="K36" s="23" t="str">
        <f>IF(I36="PM","",IF(H36=0," ",J36/'Règles et points'!$F$23))</f>
        <v xml:space="preserve"> </v>
      </c>
      <c r="L36" s="3" t="str">
        <f>IF(H36=0,"",IF(I36="PM",30,VLOOKUP(H36,'Règles et points'!$C$5:$AG$19,(HLOOKUP('Course 3'!C36,'Règles et points'!$C$5:$AG$5,1)+1))))</f>
        <v/>
      </c>
      <c r="M36" s="23">
        <f t="shared" si="1"/>
        <v>0</v>
      </c>
      <c r="N36" s="80"/>
      <c r="O36" s="51"/>
      <c r="P36" s="52"/>
    </row>
    <row r="37" spans="2:18" ht="12.75">
      <c r="B37" s="14">
        <v>33</v>
      </c>
      <c r="C37" s="28">
        <f>IF(Coureurs!C37="","",Coureurs!C37)</f>
        <v>25</v>
      </c>
      <c r="D37" s="131" t="str">
        <f>IF(Coureurs!D37="","",Coureurs!D37)</f>
        <v>H45</v>
      </c>
      <c r="E37" s="87" t="str">
        <f>IF(Coureurs!F37="","",Coureurs!F37)</f>
        <v>COIFFIER</v>
      </c>
      <c r="F37" s="87" t="str">
        <f>IF(Coureurs!G37="","",Coureurs!G37)</f>
        <v>Laurent</v>
      </c>
      <c r="G37" s="50">
        <f>IF(Coureurs!J37="","",Coureurs!J37)</f>
        <v>2800059</v>
      </c>
      <c r="H37" s="106"/>
      <c r="I37" s="40"/>
      <c r="J37" s="8" t="str">
        <f>IF(I37="PM","",IF(H37=0," ",I37-HLOOKUP('Course 3'!H37,'tab3'!$C$3:$N$4,2)))</f>
        <v xml:space="preserve"> </v>
      </c>
      <c r="K37" s="23" t="str">
        <f>IF(I37="PM","",IF(H37=0," ",J37/'Règles et points'!$F$23))</f>
        <v xml:space="preserve"> </v>
      </c>
      <c r="L37" s="3" t="str">
        <f>IF(H37=0,"",IF(I37="PM",30,VLOOKUP(H37,'Règles et points'!$C$5:$AG$19,(HLOOKUP('Course 3'!C37,'Règles et points'!$C$5:$AG$5,1)+1))))</f>
        <v/>
      </c>
      <c r="M37" s="23">
        <f t="shared" si="1"/>
        <v>0</v>
      </c>
      <c r="N37" s="80"/>
      <c r="O37" s="51"/>
      <c r="P37" s="52"/>
    </row>
    <row r="38" spans="2:18" ht="12.75">
      <c r="B38" s="14">
        <v>34</v>
      </c>
      <c r="C38" s="28">
        <f>IF(Coureurs!C38="","",Coureurs!C38)</f>
        <v>18</v>
      </c>
      <c r="D38" s="131" t="str">
        <f>IF(Coureurs!D38="","",Coureurs!D38)</f>
        <v>H14</v>
      </c>
      <c r="E38" s="87" t="str">
        <f>IF(Coureurs!F38="","",Coureurs!F38)</f>
        <v>ANDRIEU-PHELEP</v>
      </c>
      <c r="F38" s="87" t="str">
        <f>IF(Coureurs!G38="","",Coureurs!G38)</f>
        <v>Titouan</v>
      </c>
      <c r="G38" s="50">
        <f>IF(Coureurs!J38="","",Coureurs!J38)</f>
        <v>2109543</v>
      </c>
      <c r="H38" s="25"/>
      <c r="I38" s="40"/>
      <c r="J38" s="8" t="str">
        <f>IF(I38="PM","",IF(H38=0," ",I38-HLOOKUP('Course 3'!H38,'tab3'!$C$3:$N$4,2)))</f>
        <v xml:space="preserve"> </v>
      </c>
      <c r="K38" s="23" t="str">
        <f>IF(I38="PM","",IF(H38=0," ",J38/'Règles et points'!$F$23))</f>
        <v xml:space="preserve"> </v>
      </c>
      <c r="L38" s="3" t="str">
        <f>IF(H38=0,"",IF(I38="PM",30,VLOOKUP(H38,'Règles et points'!$C$5:$AG$19,(HLOOKUP('Course 3'!C38,'Règles et points'!$C$5:$AG$5,1)+1))))</f>
        <v/>
      </c>
      <c r="M38" s="23">
        <f t="shared" si="1"/>
        <v>0</v>
      </c>
      <c r="N38" s="80"/>
      <c r="O38" s="51"/>
      <c r="P38" s="52"/>
    </row>
    <row r="39" spans="2:18" ht="12.75">
      <c r="B39" s="14">
        <v>35</v>
      </c>
      <c r="C39" s="28">
        <f>IF(Coureurs!C39="","",Coureurs!C39)</f>
        <v>19</v>
      </c>
      <c r="D39" s="131" t="str">
        <f>IF(Coureurs!D39="","",Coureurs!D39)</f>
        <v>H16</v>
      </c>
      <c r="E39" s="87" t="str">
        <f>IF(Coureurs!F39="","",Coureurs!F39)</f>
        <v>TONDU</v>
      </c>
      <c r="F39" s="87" t="str">
        <f>IF(Coureurs!G39="","",Coureurs!G39)</f>
        <v>maxime</v>
      </c>
      <c r="G39" s="50">
        <f>IF(Coureurs!J39="","",Coureurs!J39)</f>
        <v>2109547</v>
      </c>
      <c r="H39" s="25"/>
      <c r="I39" s="40"/>
      <c r="J39" s="8" t="str">
        <f>IF(I39="PM","",IF(H39=0," ",I39-HLOOKUP('Course 3'!H39,'tab3'!$C$3:$N$4,2)))</f>
        <v xml:space="preserve"> </v>
      </c>
      <c r="K39" s="23" t="str">
        <f>IF(I39="PM","",IF(H39=0," ",J39/'Règles et points'!$F$23))</f>
        <v xml:space="preserve"> </v>
      </c>
      <c r="L39" s="3" t="str">
        <f>IF(H39=0,"",IF(I39="PM",30,VLOOKUP(H39,'Règles et points'!$C$5:$AG$19,(HLOOKUP('Course 3'!C39,'Règles et points'!$C$5:$AG$5,1)+1))))</f>
        <v/>
      </c>
      <c r="M39" s="23">
        <f t="shared" si="1"/>
        <v>0</v>
      </c>
      <c r="N39" s="80"/>
      <c r="O39" s="51"/>
      <c r="P39" s="52"/>
    </row>
    <row r="40" spans="2:18" ht="12.75">
      <c r="B40" s="14">
        <v>36</v>
      </c>
      <c r="C40" s="28">
        <f>IF(Coureurs!C40="","",Coureurs!C40)</f>
        <v>19</v>
      </c>
      <c r="D40" s="131" t="str">
        <f>IF(Coureurs!D40="","",Coureurs!D40)</f>
        <v>H16</v>
      </c>
      <c r="E40" s="87" t="str">
        <f>IF(Coureurs!F40="","",Coureurs!F40)</f>
        <v>SNELLMAN</v>
      </c>
      <c r="F40" s="87" t="str">
        <f>IF(Coureurs!G40="","",Coureurs!G40)</f>
        <v>Max</v>
      </c>
      <c r="G40" s="50">
        <f>IF(Coureurs!J40="","",Coureurs!J40)</f>
        <v>9977252</v>
      </c>
      <c r="H40" s="106"/>
      <c r="I40" s="40"/>
      <c r="J40" s="8" t="str">
        <f>IF(I40="PM","",IF(H40=0," ",I40-HLOOKUP('Course 3'!H40,'tab3'!$C$3:$N$4,2)))</f>
        <v xml:space="preserve"> </v>
      </c>
      <c r="K40" s="23" t="str">
        <f>IF(I40="PM","",IF(H40=0," ",J40/'Règles et points'!$F$23))</f>
        <v xml:space="preserve"> </v>
      </c>
      <c r="L40" s="3" t="str">
        <f>IF(H40=0,"",IF(I40="PM",30,VLOOKUP(H40,'Règles et points'!$C$5:$AG$19,(HLOOKUP('Course 3'!C40,'Règles et points'!$C$5:$AG$5,1)+1))))</f>
        <v/>
      </c>
      <c r="M40" s="23">
        <f t="shared" si="1"/>
        <v>0</v>
      </c>
      <c r="N40" s="80"/>
      <c r="O40" s="51"/>
      <c r="P40" s="52"/>
    </row>
    <row r="41" spans="2:18" ht="12.75">
      <c r="B41" s="14">
        <v>37</v>
      </c>
      <c r="C41" s="28">
        <f>IF(Coureurs!C41="","",Coureurs!C41)</f>
        <v>17</v>
      </c>
      <c r="D41" s="131" t="str">
        <f>IF(Coureurs!D41="","",Coureurs!D41)</f>
        <v>H12</v>
      </c>
      <c r="E41" s="87" t="str">
        <f>IF(Coureurs!F41="","",Coureurs!F41)</f>
        <v>GARDETTE -POIRIER</v>
      </c>
      <c r="F41" s="87" t="str">
        <f>IF(Coureurs!G41="","",Coureurs!G41)</f>
        <v>Arthur</v>
      </c>
      <c r="G41" s="50" t="str">
        <f>IF(Coureurs!J41="","",Coureurs!J41)</f>
        <v/>
      </c>
      <c r="H41" s="25"/>
      <c r="I41" s="40"/>
      <c r="J41" s="8" t="str">
        <f>IF(I41="PM","",IF(H41=0," ",I41-HLOOKUP('Course 3'!H41,'tab3'!$C$3:$N$4,2)))</f>
        <v xml:space="preserve"> </v>
      </c>
      <c r="K41" s="23" t="str">
        <f>IF(I41="PM","",IF(H41=0," ",J41/'Règles et points'!$F$23))</f>
        <v xml:space="preserve"> </v>
      </c>
      <c r="L41" s="3" t="str">
        <f>IF(H41=0,"",IF(I41="PM",30,VLOOKUP(H41,'Règles et points'!$C$5:$AG$19,(HLOOKUP('Course 3'!C41,'Règles et points'!$C$5:$AG$5,1)+1))))</f>
        <v/>
      </c>
      <c r="M41" s="23">
        <f t="shared" si="1"/>
        <v>0</v>
      </c>
      <c r="N41" s="80"/>
      <c r="O41" s="51"/>
      <c r="P41" s="52"/>
    </row>
    <row r="42" spans="2:18" ht="12.75">
      <c r="B42" s="14">
        <v>38</v>
      </c>
      <c r="C42" s="28">
        <f>IF(Coureurs!C42="","",Coureurs!C42)</f>
        <v>3</v>
      </c>
      <c r="D42" s="131" t="str">
        <f>IF(Coureurs!D42="","",Coureurs!D42)</f>
        <v>D14</v>
      </c>
      <c r="E42" s="87" t="str">
        <f>IF(Coureurs!F42="","",Coureurs!F42)</f>
        <v>BIARD</v>
      </c>
      <c r="F42" s="87" t="str">
        <f>IF(Coureurs!G42="","",Coureurs!G42)</f>
        <v>Loïza</v>
      </c>
      <c r="G42" s="50">
        <f>IF(Coureurs!J42="","",Coureurs!J42)</f>
        <v>209386</v>
      </c>
      <c r="H42" s="106"/>
      <c r="I42" s="40"/>
      <c r="J42" s="8" t="str">
        <f>IF(I42="PM","",IF(H42=0," ",I42-HLOOKUP('Course 3'!H42,'tab3'!$C$3:$N$4,2)))</f>
        <v xml:space="preserve"> </v>
      </c>
      <c r="K42" s="23" t="str">
        <f>IF(I42="PM","",IF(H42=0," ",J42/'Règles et points'!$F$23))</f>
        <v xml:space="preserve"> </v>
      </c>
      <c r="L42" s="3" t="str">
        <f>IF(H42=0,"",IF(I42="PM",30,VLOOKUP(H42,'Règles et points'!$C$5:$AG$19,(HLOOKUP('Course 3'!C42,'Règles et points'!$C$5:$AG$5,1)+1))))</f>
        <v/>
      </c>
      <c r="M42" s="23">
        <f t="shared" si="1"/>
        <v>0</v>
      </c>
      <c r="N42" s="80"/>
      <c r="O42" s="51"/>
      <c r="P42" s="52"/>
    </row>
    <row r="43" spans="2:18" ht="12.75">
      <c r="B43" s="14">
        <v>39</v>
      </c>
      <c r="C43" s="28">
        <f>IF(Coureurs!C43="","",Coureurs!C43)</f>
        <v>10</v>
      </c>
      <c r="D43" s="131" t="str">
        <f>IF(Coureurs!D43="","",Coureurs!D43)</f>
        <v>D45</v>
      </c>
      <c r="E43" s="87" t="str">
        <f>IF(Coureurs!F43="","",Coureurs!F43)</f>
        <v>DERLOT</v>
      </c>
      <c r="F43" s="87" t="str">
        <f>IF(Coureurs!G43="","",Coureurs!G43)</f>
        <v>Stéphanie</v>
      </c>
      <c r="G43" s="50">
        <f>IF(Coureurs!J43="","",Coureurs!J43)</f>
        <v>2109546</v>
      </c>
      <c r="H43" s="25"/>
      <c r="I43" s="40"/>
      <c r="J43" s="8" t="str">
        <f>IF(I43="PM","",IF(H43=0," ",I43-HLOOKUP('Course 3'!H43,'tab3'!$C$3:$N$4,2)))</f>
        <v xml:space="preserve"> </v>
      </c>
      <c r="K43" s="23" t="str">
        <f>IF(I43="PM","",IF(H43=0," ",J43/'Règles et points'!$F$23))</f>
        <v xml:space="preserve"> </v>
      </c>
      <c r="L43" s="3" t="str">
        <f>IF(H43=0,"",IF(I43="PM",30,VLOOKUP(H43,'Règles et points'!$C$5:$AG$19,(HLOOKUP('Course 3'!C43,'Règles et points'!$C$5:$AG$5,1)+1))))</f>
        <v/>
      </c>
      <c r="M43" s="23">
        <f t="shared" si="1"/>
        <v>0</v>
      </c>
      <c r="N43" s="80"/>
      <c r="O43" s="51"/>
      <c r="P43" s="52"/>
    </row>
    <row r="44" spans="2:18" ht="12.75">
      <c r="B44" s="14">
        <v>40</v>
      </c>
      <c r="C44" s="28">
        <f>IF(Coureurs!C44="","",Coureurs!C44)</f>
        <v>25</v>
      </c>
      <c r="D44" s="131" t="str">
        <f>IF(Coureurs!D44="","",Coureurs!D44)</f>
        <v>H45</v>
      </c>
      <c r="E44" s="87" t="str">
        <f>IF(Coureurs!F44="","",Coureurs!F44)</f>
        <v>DERLOT</v>
      </c>
      <c r="F44" s="87" t="str">
        <f>IF(Coureurs!G44="","",Coureurs!G44)</f>
        <v>Damien</v>
      </c>
      <c r="G44" s="50">
        <f>IF(Coureurs!J44="","",Coureurs!J44)</f>
        <v>2420999</v>
      </c>
      <c r="H44" s="25"/>
      <c r="I44" s="41"/>
      <c r="J44" s="8" t="str">
        <f>IF(I44="PM","",IF(H44=0," ",I44-HLOOKUP('Course 3'!H44,'tab3'!$C$3:$N$4,2)))</f>
        <v xml:space="preserve"> </v>
      </c>
      <c r="K44" s="23" t="str">
        <f>IF(I44="PM","",IF(H44=0," ",J44/'Règles et points'!$F$23))</f>
        <v xml:space="preserve"> </v>
      </c>
      <c r="L44" s="3" t="str">
        <f>IF(H44=0,"",IF(I44="PM",30,VLOOKUP(H44,'Règles et points'!$C$5:$AG$19,(HLOOKUP('Course 3'!C44,'Règles et points'!$C$5:$AG$5,1)+1))))</f>
        <v/>
      </c>
      <c r="M44" s="23">
        <f t="shared" si="1"/>
        <v>0</v>
      </c>
      <c r="N44" s="80"/>
      <c r="O44" s="51"/>
      <c r="P44" s="52"/>
    </row>
    <row r="45" spans="2:18" ht="12.75">
      <c r="B45" s="14">
        <v>41</v>
      </c>
      <c r="C45" s="28">
        <f>IF(Coureurs!C45="","",Coureurs!C45)</f>
        <v>3</v>
      </c>
      <c r="D45" s="131" t="str">
        <f>IF(Coureurs!D45="","",Coureurs!D45)</f>
        <v>D14</v>
      </c>
      <c r="E45" s="87" t="str">
        <f>IF(Coureurs!F45="","",Coureurs!F45)</f>
        <v>DERLOT</v>
      </c>
      <c r="F45" s="87" t="str">
        <f>IF(Coureurs!G45="","",Coureurs!G45)</f>
        <v>Lise</v>
      </c>
      <c r="G45" s="50">
        <f>IF(Coureurs!J45="","",Coureurs!J45)</f>
        <v>2144320</v>
      </c>
      <c r="H45" s="25"/>
      <c r="I45" s="40"/>
      <c r="J45" s="8" t="str">
        <f>IF(I45="PM","",IF(H45=0," ",I45-HLOOKUP('Course 3'!H45,'tab3'!$C$3:$N$4,2)))</f>
        <v xml:space="preserve"> </v>
      </c>
      <c r="K45" s="23" t="str">
        <f>IF(I45="PM","",IF(H45=0," ",J45/'Règles et points'!$F$23))</f>
        <v xml:space="preserve"> </v>
      </c>
      <c r="L45" s="3" t="str">
        <f>IF(H45=0,"",IF(I45="PM",30,VLOOKUP(H45,'Règles et points'!$C$5:$AG$19,(HLOOKUP('Course 3'!C45,'Règles et points'!$C$5:$AG$5,1)+1))))</f>
        <v/>
      </c>
      <c r="M45" s="23">
        <f t="shared" si="1"/>
        <v>0</v>
      </c>
      <c r="N45" s="80"/>
      <c r="O45" s="51"/>
      <c r="P45" s="52"/>
    </row>
    <row r="46" spans="2:18" ht="12.75">
      <c r="B46" s="14">
        <v>42</v>
      </c>
      <c r="C46" s="28">
        <f>IF(Coureurs!C46="","",Coureurs!C46)</f>
        <v>27</v>
      </c>
      <c r="D46" s="131" t="str">
        <f>IF(Coureurs!D46="","",Coureurs!D46)</f>
        <v>H55</v>
      </c>
      <c r="E46" s="87" t="str">
        <f>IF(Coureurs!F46="","",Coureurs!F46)</f>
        <v>DE LAMINNE</v>
      </c>
      <c r="F46" s="87" t="str">
        <f>IF(Coureurs!G46="","",Coureurs!G46)</f>
        <v>Gilles</v>
      </c>
      <c r="G46" s="50">
        <f>IF(Coureurs!J46="","",Coureurs!J46)</f>
        <v>2109542</v>
      </c>
      <c r="H46" s="25"/>
      <c r="I46" s="40"/>
      <c r="J46" s="8" t="str">
        <f>IF(I46="PM","",IF(H46=0," ",I46-HLOOKUP('Course 3'!H46,'tab3'!$C$3:$N$4,2)))</f>
        <v xml:space="preserve"> </v>
      </c>
      <c r="K46" s="23" t="str">
        <f>IF(I46="PM","",IF(H46=0," ",J46/'Règles et points'!$F$23))</f>
        <v xml:space="preserve"> </v>
      </c>
      <c r="L46" s="3" t="str">
        <f>IF(H46=0,"",IF(I46="PM",30,VLOOKUP(H46,'Règles et points'!$C$5:$AG$19,(HLOOKUP('Course 3'!C46,'Règles et points'!$C$5:$AG$5,1)+1))))</f>
        <v/>
      </c>
      <c r="M46" s="23">
        <f t="shared" si="1"/>
        <v>0</v>
      </c>
      <c r="N46" s="80"/>
      <c r="O46" s="51"/>
      <c r="P46" s="52"/>
    </row>
    <row r="47" spans="2:18" ht="12.75">
      <c r="B47" s="14">
        <v>43</v>
      </c>
      <c r="C47" s="28">
        <f>IF(Coureurs!C47="","",Coureurs!C47)</f>
        <v>2</v>
      </c>
      <c r="D47" s="131" t="str">
        <f>IF(Coureurs!D47="","",Coureurs!D47)</f>
        <v>D12</v>
      </c>
      <c r="E47" s="87" t="str">
        <f>IF(Coureurs!F47="","",Coureurs!F47)</f>
        <v>LUCAS-VIOU</v>
      </c>
      <c r="F47" s="87" t="str">
        <f>IF(Coureurs!G47="","",Coureurs!G47)</f>
        <v>Charlotte</v>
      </c>
      <c r="G47" s="50">
        <f>IF(Coureurs!J47="","",Coureurs!J47)</f>
        <v>2144318</v>
      </c>
      <c r="H47" s="25"/>
      <c r="I47" s="40"/>
      <c r="J47" s="8" t="str">
        <f>IF(I47="PM","",IF(H47=0," ",I47-HLOOKUP('Course 3'!H47,'tab3'!$C$3:$N$4,2)))</f>
        <v xml:space="preserve"> </v>
      </c>
      <c r="K47" s="23" t="str">
        <f>IF(I47="PM","",IF(H47=0," ",J47/'Règles et points'!$F$23))</f>
        <v xml:space="preserve"> </v>
      </c>
      <c r="L47" s="3" t="str">
        <f>IF(H47=0,"",IF(I47="PM",30,VLOOKUP(H47,'Règles et points'!$C$5:$AG$19,(HLOOKUP('Course 3'!C47,'Règles et points'!$C$5:$AG$5,1)+1))))</f>
        <v/>
      </c>
      <c r="M47" s="23">
        <f t="shared" si="1"/>
        <v>0</v>
      </c>
      <c r="N47" s="80"/>
      <c r="O47" s="51"/>
      <c r="P47" s="52"/>
    </row>
    <row r="48" spans="2:18" ht="12.75">
      <c r="B48" s="14">
        <v>44</v>
      </c>
      <c r="C48" s="28">
        <f>IF(Coureurs!C48="","",Coureurs!C48)</f>
        <v>18</v>
      </c>
      <c r="D48" s="131" t="str">
        <f>IF(Coureurs!D48="","",Coureurs!D48)</f>
        <v>H14</v>
      </c>
      <c r="E48" s="87" t="str">
        <f>IF(Coureurs!F48="","",Coureurs!F48)</f>
        <v>CHAFI</v>
      </c>
      <c r="F48" s="87" t="str">
        <f>IF(Coureurs!G48="","",Coureurs!G48)</f>
        <v>Yanis</v>
      </c>
      <c r="G48" s="50">
        <f>IF(Coureurs!J48="","",Coureurs!J48)</f>
        <v>2144314</v>
      </c>
      <c r="H48" s="25"/>
      <c r="I48" s="40"/>
      <c r="J48" s="8" t="str">
        <f>IF(I48="PM","",IF(H48=0," ",I48-HLOOKUP('Course 3'!H48,'tab3'!$C$3:$N$4,2)))</f>
        <v xml:space="preserve"> </v>
      </c>
      <c r="K48" s="23" t="str">
        <f>IF(I48="PM","",IF(H48=0," ",J48/'Règles et points'!$F$23))</f>
        <v xml:space="preserve"> </v>
      </c>
      <c r="L48" s="3" t="str">
        <f>IF(H48=0,"",IF(I48="PM",30,VLOOKUP(H48,'Règles et points'!$C$5:$AG$19,(HLOOKUP('Course 3'!C48,'Règles et points'!$C$5:$AG$5,1)+1))))</f>
        <v/>
      </c>
      <c r="M48" s="23">
        <f t="shared" si="1"/>
        <v>0</v>
      </c>
      <c r="N48" s="80"/>
      <c r="O48" s="51"/>
      <c r="P48" s="52"/>
      <c r="R48" s="34"/>
    </row>
    <row r="49" spans="2:18" ht="12.75">
      <c r="B49" s="14">
        <v>45</v>
      </c>
      <c r="C49" s="28">
        <f>IF(Coureurs!C49="","",Coureurs!C49)</f>
        <v>17</v>
      </c>
      <c r="D49" s="131" t="str">
        <f>IF(Coureurs!D49="","",Coureurs!D49)</f>
        <v>H12</v>
      </c>
      <c r="E49" s="87" t="str">
        <f>IF(Coureurs!F49="","",Coureurs!F49)</f>
        <v>NONDEDEO</v>
      </c>
      <c r="F49" s="87" t="str">
        <f>IF(Coureurs!G49="","",Coureurs!G49)</f>
        <v>Baptiste</v>
      </c>
      <c r="G49" s="50">
        <f>IF(Coureurs!J49="","",Coureurs!J49)</f>
        <v>2311188</v>
      </c>
      <c r="H49" s="25"/>
      <c r="I49" s="41"/>
      <c r="J49" s="8" t="str">
        <f>IF(I49="PM","",IF(H49=0," ",I49-HLOOKUP('Course 3'!H49,'tab3'!$C$3:$N$4,2)))</f>
        <v xml:space="preserve"> </v>
      </c>
      <c r="K49" s="23" t="str">
        <f>IF(I49="PM","",IF(H49=0," ",J49/'Règles et points'!$F$23))</f>
        <v xml:space="preserve"> </v>
      </c>
      <c r="L49" s="3" t="str">
        <f>IF(H49=0,"",IF(I49="PM",30,VLOOKUP(H49,'Règles et points'!$C$5:$AG$19,(HLOOKUP('Course 3'!C49,'Règles et points'!$C$5:$AG$5,1)+1))))</f>
        <v/>
      </c>
      <c r="M49" s="23">
        <f t="shared" si="1"/>
        <v>0</v>
      </c>
      <c r="N49" s="80"/>
      <c r="O49" s="51"/>
      <c r="P49" s="52"/>
      <c r="R49" s="34"/>
    </row>
    <row r="50" spans="2:18" ht="12.75">
      <c r="B50" s="14">
        <v>46</v>
      </c>
      <c r="C50" s="28">
        <f>IF(Coureurs!C50="","",Coureurs!C50)</f>
        <v>3</v>
      </c>
      <c r="D50" s="131" t="str">
        <f>IF(Coureurs!D50="","",Coureurs!D50)</f>
        <v>D14</v>
      </c>
      <c r="E50" s="109" t="str">
        <f>IF(Coureurs!F50="","",Coureurs!F50)</f>
        <v>LANFRANCHI</v>
      </c>
      <c r="F50" s="87" t="str">
        <f>IF(Coureurs!G50="","",Coureurs!G50)</f>
        <v>lucine</v>
      </c>
      <c r="G50" s="50">
        <f>IF(Coureurs!J50="","",Coureurs!J50)</f>
        <v>1001028</v>
      </c>
      <c r="H50" s="25"/>
      <c r="I50" s="41"/>
      <c r="J50" s="8" t="str">
        <f>IF(I50="PM","",IF(H50=0," ",I50-HLOOKUP('Course 3'!H50,'tab3'!$C$3:$N$4,2)))</f>
        <v xml:space="preserve"> </v>
      </c>
      <c r="K50" s="23" t="str">
        <f>IF(I50="PM","",IF(H50=0," ",J50/'Règles et points'!$F$23))</f>
        <v xml:space="preserve"> </v>
      </c>
      <c r="L50" s="3" t="str">
        <f>IF(H50=0,"",IF(I50="PM",30,VLOOKUP(H50,'Règles et points'!$C$5:$AG$19,(HLOOKUP('Course 3'!C50,'Règles et points'!$C$5:$AG$5,1)+1))))</f>
        <v/>
      </c>
      <c r="M50" s="23">
        <f t="shared" si="1"/>
        <v>0</v>
      </c>
      <c r="N50" s="80"/>
      <c r="O50" s="51"/>
      <c r="P50" s="52"/>
      <c r="R50" s="34"/>
    </row>
    <row r="51" spans="2:18" ht="12.75">
      <c r="B51" s="14">
        <v>47</v>
      </c>
      <c r="C51" s="28">
        <f>IF(Coureurs!C51="","",Coureurs!C51)</f>
        <v>25</v>
      </c>
      <c r="D51" s="131" t="str">
        <f>IF(Coureurs!D51="","",Coureurs!D51)</f>
        <v>H45</v>
      </c>
      <c r="E51" s="109" t="str">
        <f>IF(Coureurs!F51="","",Coureurs!F51)</f>
        <v>PACHER</v>
      </c>
      <c r="F51" s="109" t="str">
        <f>IF(Coureurs!G51="","",Coureurs!G51)</f>
        <v>Vincent</v>
      </c>
      <c r="G51" s="50" t="str">
        <f>IF(Coureurs!J51="","",Coureurs!J51)</f>
        <v/>
      </c>
      <c r="H51" s="25"/>
      <c r="I51" s="40"/>
      <c r="J51" s="8" t="str">
        <f>IF(I51="PM","",IF(H51=0," ",I51-HLOOKUP('Course 3'!H51,'tab3'!$C$3:$N$4,2)))</f>
        <v xml:space="preserve"> </v>
      </c>
      <c r="K51" s="23" t="str">
        <f>IF(I51="PM","",IF(H51=0," ",J51/'Règles et points'!$F$23))</f>
        <v xml:space="preserve"> </v>
      </c>
      <c r="L51" s="3" t="str">
        <f>IF(H51=0,"",IF(I51="PM",30,VLOOKUP(H51,'Règles et points'!$C$5:$AG$19,(HLOOKUP('Course 3'!C51,'Règles et points'!$C$5:$AG$5,1)+1))))</f>
        <v/>
      </c>
      <c r="M51" s="23">
        <f t="shared" si="1"/>
        <v>0</v>
      </c>
      <c r="N51" s="80"/>
      <c r="O51" s="51"/>
      <c r="P51" s="52"/>
    </row>
    <row r="52" spans="2:18" ht="12.75">
      <c r="B52" s="14">
        <v>48</v>
      </c>
      <c r="C52" s="28">
        <f>IF(Coureurs!C52="","",Coureurs!C52)</f>
        <v>3</v>
      </c>
      <c r="D52" s="131" t="str">
        <f>IF(Coureurs!D52="","",Coureurs!D52)</f>
        <v>D14</v>
      </c>
      <c r="E52" s="109" t="str">
        <f>IF(Coureurs!F52="","",Coureurs!F52)</f>
        <v>PACHER</v>
      </c>
      <c r="F52" s="109" t="str">
        <f>IF(Coureurs!G52="","",Coureurs!G52)</f>
        <v>Laetitia</v>
      </c>
      <c r="G52" s="50">
        <f>IF(Coureurs!J52="","",Coureurs!J52)</f>
        <v>2420985</v>
      </c>
      <c r="H52" s="25"/>
      <c r="I52" s="40"/>
      <c r="J52" s="8" t="str">
        <f>IF(I52="PM","",IF(H52=0," ",I52-HLOOKUP('Course 3'!H52,'tab3'!$C$3:$N$4,2)))</f>
        <v xml:space="preserve"> </v>
      </c>
      <c r="K52" s="23" t="str">
        <f>IF(I52="PM","",IF(H52=0," ",J52/'Règles et points'!$F$23))</f>
        <v xml:space="preserve"> </v>
      </c>
      <c r="L52" s="3" t="str">
        <f>IF(H52=0,"",IF(I52="PM",30,VLOOKUP(H52,'Règles et points'!$C$5:$AG$19,(HLOOKUP('Course 3'!C52,'Règles et points'!$C$5:$AG$5,1)+1))))</f>
        <v/>
      </c>
      <c r="M52" s="23">
        <f t="shared" si="1"/>
        <v>0</v>
      </c>
      <c r="N52" s="80"/>
      <c r="O52" s="51"/>
      <c r="P52" s="52"/>
    </row>
    <row r="53" spans="2:18" ht="12.75">
      <c r="B53" s="14">
        <v>49</v>
      </c>
      <c r="C53" s="28">
        <f>IF(Coureurs!C53="","",Coureurs!C53)</f>
        <v>17</v>
      </c>
      <c r="D53" s="131" t="str">
        <f>IF(Coureurs!D53="","",Coureurs!D53)</f>
        <v>H12</v>
      </c>
      <c r="E53" s="87" t="str">
        <f>IF(Coureurs!F53="","",Coureurs!F53)</f>
        <v>PACHER</v>
      </c>
      <c r="F53" s="87" t="str">
        <f>IF(Coureurs!G53="","",Coureurs!G53)</f>
        <v>Alexandre</v>
      </c>
      <c r="G53" s="50" t="str">
        <f>IF(Coureurs!J53="","",Coureurs!J53)</f>
        <v/>
      </c>
      <c r="H53" s="25"/>
      <c r="I53" s="40"/>
      <c r="J53" s="8" t="str">
        <f>IF(I53="PM","",IF(H53=0," ",I53-HLOOKUP('Course 3'!H53,'tab3'!$C$3:$N$4,2)))</f>
        <v xml:space="preserve"> </v>
      </c>
      <c r="K53" s="23" t="str">
        <f>IF(I53="PM","",IF(H53=0," ",J53/'Règles et points'!$F$23))</f>
        <v xml:space="preserve"> </v>
      </c>
      <c r="L53" s="3" t="str">
        <f>IF(H53=0,"",IF(I53="PM",30,VLOOKUP(H53,'Règles et points'!$C$5:$AG$19,(HLOOKUP('Course 3'!C53,'Règles et points'!$C$5:$AG$5,1)+1))))</f>
        <v/>
      </c>
      <c r="M53" s="23">
        <f t="shared" si="1"/>
        <v>0</v>
      </c>
      <c r="N53" s="80"/>
      <c r="O53" s="51"/>
      <c r="P53" s="52"/>
    </row>
    <row r="54" spans="2:18" ht="12.75">
      <c r="B54" s="14">
        <v>50</v>
      </c>
      <c r="C54" s="28">
        <f>IF(Coureurs!C54="","",Coureurs!C54)</f>
        <v>4</v>
      </c>
      <c r="D54" s="131" t="str">
        <f>IF(Coureurs!D54="","",Coureurs!D54)</f>
        <v>D16</v>
      </c>
      <c r="E54" s="87" t="str">
        <f>IF(Coureurs!F54="","",Coureurs!F54)</f>
        <v>PACHER</v>
      </c>
      <c r="F54" s="87" t="str">
        <f>IF(Coureurs!G54="","",Coureurs!G54)</f>
        <v>Maeva</v>
      </c>
      <c r="G54" s="50" t="str">
        <f>IF(Coureurs!J54="","",Coureurs!J54)</f>
        <v/>
      </c>
      <c r="H54" s="25"/>
      <c r="I54" s="41"/>
      <c r="J54" s="8" t="str">
        <f>IF(I54="PM","",IF(H54=0," ",I54-HLOOKUP('Course 3'!H54,'tab3'!$C$3:$N$4,2)))</f>
        <v xml:space="preserve"> </v>
      </c>
      <c r="K54" s="23" t="str">
        <f>IF(I54="PM","",IF(H54=0," ",J54/'Règles et points'!$F$23))</f>
        <v xml:space="preserve"> </v>
      </c>
      <c r="L54" s="3" t="str">
        <f>IF(H54=0,"",IF(I54="PM",30,VLOOKUP(H54,'Règles et points'!$C$5:$AG$19,(HLOOKUP('Course 3'!C54,'Règles et points'!$C$5:$AG$5,1)+1))))</f>
        <v/>
      </c>
      <c r="M54" s="23">
        <f t="shared" si="1"/>
        <v>0</v>
      </c>
      <c r="N54" s="80"/>
      <c r="O54" s="51"/>
      <c r="P54" s="52"/>
    </row>
    <row r="55" spans="2:18" ht="12.75">
      <c r="B55" s="14">
        <v>51</v>
      </c>
      <c r="C55" s="28">
        <f>IF(Coureurs!C55="","",Coureurs!C55)</f>
        <v>9</v>
      </c>
      <c r="D55" s="131" t="str">
        <f>IF(Coureurs!D55="","",Coureurs!D55)</f>
        <v>D40</v>
      </c>
      <c r="E55" s="87" t="str">
        <f>IF(Coureurs!F55="","",Coureurs!F55)</f>
        <v>MONTANDON VARODA</v>
      </c>
      <c r="F55" s="87" t="str">
        <f>IF(Coureurs!G55="","",Coureurs!G55)</f>
        <v>Christine</v>
      </c>
      <c r="G55" s="50">
        <f>IF(Coureurs!J55="","",Coureurs!J55)</f>
        <v>2720992</v>
      </c>
      <c r="H55" s="106"/>
      <c r="I55" s="40"/>
      <c r="J55" s="8" t="str">
        <f>IF(I55="PM","",IF(H55=0," ",I55-HLOOKUP('Course 3'!H55,'tab3'!$C$3:$N$4,2)))</f>
        <v xml:space="preserve"> </v>
      </c>
      <c r="K55" s="23" t="str">
        <f>IF(I55="PM","",IF(H55=0," ",J55/'Règles et points'!$F$23))</f>
        <v xml:space="preserve"> </v>
      </c>
      <c r="L55" s="3" t="str">
        <f>IF(H55=0,"",IF(I55="PM",30,VLOOKUP(H55,'Règles et points'!$C$5:$AG$19,(HLOOKUP('Course 3'!C55,'Règles et points'!$C$5:$AG$5,1)+1))))</f>
        <v/>
      </c>
      <c r="M55" s="23">
        <f t="shared" si="1"/>
        <v>0</v>
      </c>
      <c r="N55" s="80"/>
      <c r="O55" s="51"/>
      <c r="P55" s="52"/>
    </row>
    <row r="56" spans="2:18" ht="12.75">
      <c r="B56" s="14">
        <v>52</v>
      </c>
      <c r="C56" s="28">
        <f>IF(Coureurs!C56="","",Coureurs!C56)</f>
        <v>2</v>
      </c>
      <c r="D56" s="131" t="str">
        <f>IF(Coureurs!D56="","",Coureurs!D56)</f>
        <v>D12</v>
      </c>
      <c r="E56" s="87" t="str">
        <f>IF(Coureurs!F56="","",Coureurs!F56)</f>
        <v>TONDU</v>
      </c>
      <c r="F56" s="87" t="str">
        <f>IF(Coureurs!G56="","",Coureurs!G56)</f>
        <v>Jeanne</v>
      </c>
      <c r="G56" s="50">
        <f>IF(Coureurs!J56="","",Coureurs!J56)</f>
        <v>2420998</v>
      </c>
      <c r="H56" s="25"/>
      <c r="I56" s="40"/>
      <c r="J56" s="8" t="str">
        <f>IF(I56="PM","",IF(H56=0," ",I56-HLOOKUP('Course 3'!H56,'tab3'!$C$3:$N$4,2)))</f>
        <v xml:space="preserve"> </v>
      </c>
      <c r="K56" s="23" t="str">
        <f>IF(I56="PM","",IF(H56=0," ",J56/'Règles et points'!$F$23))</f>
        <v xml:space="preserve"> </v>
      </c>
      <c r="L56" s="3" t="str">
        <f>IF(H56=0,"",IF(I56="PM",30,VLOOKUP(H56,'Règles et points'!$C$5:$AG$19,(HLOOKUP('Course 3'!C56,'Règles et points'!$C$5:$AG$5,1)+1))))</f>
        <v/>
      </c>
      <c r="M56" s="23">
        <f t="shared" si="1"/>
        <v>0</v>
      </c>
      <c r="N56" s="80"/>
      <c r="O56" s="51"/>
      <c r="P56" s="52"/>
    </row>
    <row r="57" spans="2:18" ht="12.75">
      <c r="B57" s="14">
        <v>53</v>
      </c>
      <c r="C57" s="28">
        <f>IF(Coureurs!C57="","",Coureurs!C57)</f>
        <v>10</v>
      </c>
      <c r="D57" s="131" t="str">
        <f>IF(Coureurs!D57="","",Coureurs!D57)</f>
        <v>D45</v>
      </c>
      <c r="E57" s="87" t="str">
        <f>IF(Coureurs!F57="","",Coureurs!F57)</f>
        <v>TONDU</v>
      </c>
      <c r="F57" s="87" t="str">
        <f>IF(Coureurs!G57="","",Coureurs!G57)</f>
        <v>Alexandra</v>
      </c>
      <c r="G57" s="50">
        <f>IF(Coureurs!J57="","",Coureurs!J57)</f>
        <v>2109545</v>
      </c>
      <c r="H57" s="106"/>
      <c r="I57" s="41"/>
      <c r="J57" s="8" t="str">
        <f>IF(I57="PM","",IF(H57=0," ",I57-HLOOKUP('Course 3'!H57,'tab3'!$C$3:$N$4,2)))</f>
        <v xml:space="preserve"> </v>
      </c>
      <c r="K57" s="23" t="str">
        <f>IF(I57="PM","",IF(H57=0," ",J57/'Règles et points'!$F$23))</f>
        <v xml:space="preserve"> </v>
      </c>
      <c r="L57" s="3" t="str">
        <f>IF(H57=0,"",IF(I57="PM",30,VLOOKUP(H57,'Règles et points'!$C$5:$AG$19,(HLOOKUP('Course 3'!C57,'Règles et points'!$C$5:$AG$5,1)+1))))</f>
        <v/>
      </c>
      <c r="M57" s="23">
        <f t="shared" si="1"/>
        <v>0</v>
      </c>
      <c r="N57" s="80"/>
      <c r="O57" s="40"/>
      <c r="P57" s="52"/>
    </row>
    <row r="58" spans="2:18" ht="12.75">
      <c r="B58" s="14">
        <v>54</v>
      </c>
      <c r="C58" s="28">
        <f>IF(Coureurs!C58="","",Coureurs!C58)</f>
        <v>5</v>
      </c>
      <c r="D58" s="131" t="str">
        <f>IF(Coureurs!D58="","",Coureurs!D58)</f>
        <v>D18</v>
      </c>
      <c r="E58" s="87" t="str">
        <f>IF(Coureurs!F58="","",Coureurs!F58)</f>
        <v>CHATAIGNIER</v>
      </c>
      <c r="F58" s="87" t="str">
        <f>IF(Coureurs!G58="","",Coureurs!G58)</f>
        <v>Louise</v>
      </c>
      <c r="G58" s="50">
        <f>IF(Coureurs!J58="","",Coureurs!J58)</f>
        <v>2144319</v>
      </c>
      <c r="H58" s="25"/>
      <c r="I58" s="41"/>
      <c r="J58" s="8" t="str">
        <f>IF(I58="PM","",IF(H58=0," ",I58-HLOOKUP('Course 3'!H58,'tab3'!$C$3:$N$4,2)))</f>
        <v xml:space="preserve"> </v>
      </c>
      <c r="K58" s="23" t="str">
        <f>IF(I58="PM","",IF(H58=0," ",J58/'Règles et points'!$F$23))</f>
        <v xml:space="preserve"> </v>
      </c>
      <c r="L58" s="3" t="str">
        <f>IF(H58=0,"",IF(I58="PM",30,VLOOKUP(H58,'Règles et points'!$C$5:$AG$19,(HLOOKUP('Course 3'!C58,'Règles et points'!$C$5:$AG$5,1)+1))))</f>
        <v/>
      </c>
      <c r="M58" s="23">
        <f t="shared" si="1"/>
        <v>0</v>
      </c>
      <c r="N58" s="80"/>
      <c r="O58" s="51"/>
      <c r="P58" s="52"/>
    </row>
    <row r="59" spans="2:18" ht="12.75">
      <c r="B59" s="14">
        <v>55</v>
      </c>
      <c r="C59" s="28">
        <f>IF(Coureurs!C59="","",Coureurs!C59)</f>
        <v>3</v>
      </c>
      <c r="D59" s="131" t="str">
        <f>IF(Coureurs!D59="","",Coureurs!D59)</f>
        <v>D14</v>
      </c>
      <c r="E59" s="87" t="str">
        <f>IF(Coureurs!F59="","",Coureurs!F59)</f>
        <v>KOEPP</v>
      </c>
      <c r="F59" s="87" t="str">
        <f>IF(Coureurs!G59="","",Coureurs!G59)</f>
        <v>Sonora</v>
      </c>
      <c r="G59" s="50">
        <f>IF(Coureurs!J59="","",Coureurs!J59)</f>
        <v>2113830</v>
      </c>
      <c r="H59" s="25"/>
      <c r="I59" s="41"/>
      <c r="J59" s="8" t="str">
        <f>IF(I59="PM","",IF(H59=0," ",I59-HLOOKUP('Course 3'!H59,'tab3'!$C$3:$N$4,2)))</f>
        <v xml:space="preserve"> </v>
      </c>
      <c r="K59" s="23" t="str">
        <f>IF(I59="PM","",IF(H59=0," ",J59/'Règles et points'!$F$23))</f>
        <v xml:space="preserve"> </v>
      </c>
      <c r="L59" s="3" t="str">
        <f>IF(H59=0,"",IF(I59="PM",30,VLOOKUP(H59,'Règles et points'!$C$5:$AG$19,(HLOOKUP('Course 3'!C59,'Règles et points'!$C$5:$AG$5,1)+1))))</f>
        <v/>
      </c>
      <c r="M59" s="23">
        <f t="shared" si="1"/>
        <v>0</v>
      </c>
      <c r="N59" s="80"/>
      <c r="O59" s="51"/>
      <c r="P59" s="52"/>
    </row>
    <row r="60" spans="2:18" ht="12.75">
      <c r="B60" s="14">
        <v>56</v>
      </c>
      <c r="C60" s="28">
        <f>IF(Coureurs!C60="","",Coureurs!C60)</f>
        <v>18</v>
      </c>
      <c r="D60" s="131" t="str">
        <f>IF(Coureurs!D60="","",Coureurs!D60)</f>
        <v>H14</v>
      </c>
      <c r="E60" s="87" t="str">
        <f>IF(Coureurs!F60="","",Coureurs!F60)</f>
        <v>FRENOY</v>
      </c>
      <c r="F60" s="87" t="str">
        <f>IF(Coureurs!G60="","",Coureurs!G60)</f>
        <v>Anatole</v>
      </c>
      <c r="G60" s="50">
        <f>IF(Coureurs!J60="","",Coureurs!J60)</f>
        <v>2420989</v>
      </c>
      <c r="H60" s="25"/>
      <c r="I60" s="41"/>
      <c r="J60" s="8" t="str">
        <f>IF(I60="PM","",IF(H60=0," ",I60-HLOOKUP('Course 3'!H60,'tab3'!$C$3:$N$4,2)))</f>
        <v xml:space="preserve"> </v>
      </c>
      <c r="K60" s="23" t="str">
        <f>IF(I60="PM","",IF(H60=0," ",J60/'Règles et points'!$F$23))</f>
        <v xml:space="preserve"> </v>
      </c>
      <c r="L60" s="3" t="str">
        <f>IF(H60=0,"",IF(I60="PM",30,VLOOKUP(H60,'Règles et points'!$C$5:$AG$19,(HLOOKUP('Course 3'!C60,'Règles et points'!$C$5:$AG$5,1)+1))))</f>
        <v/>
      </c>
      <c r="M60" s="23">
        <f t="shared" si="1"/>
        <v>0</v>
      </c>
      <c r="N60" s="80"/>
      <c r="O60" s="51"/>
      <c r="P60" s="52"/>
    </row>
    <row r="61" spans="2:18" ht="12.75">
      <c r="B61" s="14">
        <v>57</v>
      </c>
      <c r="C61" s="28">
        <f>IF(Coureurs!C61="","",Coureurs!C61)</f>
        <v>18</v>
      </c>
      <c r="D61" s="131" t="str">
        <f>IF(Coureurs!D61="","",Coureurs!D61)</f>
        <v>H14</v>
      </c>
      <c r="E61" s="87" t="str">
        <f>IF(Coureurs!F61="","",Coureurs!F61)</f>
        <v>BROCHOT</v>
      </c>
      <c r="F61" s="87" t="str">
        <f>IF(Coureurs!G61="","",Coureurs!G61)</f>
        <v>Remi</v>
      </c>
      <c r="G61" s="50">
        <f>IF(Coureurs!J61="","",Coureurs!J61)</f>
        <v>8002209</v>
      </c>
      <c r="H61" s="106"/>
      <c r="I61" s="40"/>
      <c r="J61" s="8" t="str">
        <f>IF(I61="PM","",IF(H61=0," ",I61-HLOOKUP('Course 3'!H61,'tab3'!$C$3:$N$4,2)))</f>
        <v xml:space="preserve"> </v>
      </c>
      <c r="K61" s="23" t="str">
        <f>IF(I61="PM","",IF(H61=0," ",J61/'Règles et points'!$F$23))</f>
        <v xml:space="preserve"> </v>
      </c>
      <c r="L61" s="3" t="str">
        <f>IF(H61=0,"",IF(I61="PM",30,VLOOKUP(H61,'Règles et points'!$C$5:$AG$19,(HLOOKUP('Course 3'!C61,'Règles et points'!$C$5:$AG$5,1)+1))))</f>
        <v/>
      </c>
      <c r="M61" s="23">
        <f t="shared" si="1"/>
        <v>0</v>
      </c>
      <c r="N61" s="80"/>
      <c r="O61" s="51"/>
      <c r="P61" s="52"/>
    </row>
    <row r="62" spans="2:18" ht="12.75">
      <c r="B62" s="14">
        <v>58</v>
      </c>
      <c r="C62" s="28">
        <f>IF(Coureurs!C62="","",Coureurs!C62)</f>
        <v>10</v>
      </c>
      <c r="D62" s="131" t="str">
        <f>IF(Coureurs!D62="","",Coureurs!D62)</f>
        <v>D45</v>
      </c>
      <c r="E62" s="87" t="str">
        <f>IF(Coureurs!F62="","",Coureurs!F62)</f>
        <v>KORZEC</v>
      </c>
      <c r="F62" s="87" t="str">
        <f>IF(Coureurs!G62="","",Coureurs!G62)</f>
        <v>Patricia</v>
      </c>
      <c r="G62" s="50">
        <f>IF(Coureurs!J62="","",Coureurs!J62)</f>
        <v>2420993</v>
      </c>
      <c r="H62" s="25"/>
      <c r="I62" s="41"/>
      <c r="J62" s="8" t="str">
        <f>IF(I62="PM","",IF(H62=0," ",I62-HLOOKUP('Course 3'!H62,'tab3'!$C$3:$N$4,2)))</f>
        <v xml:space="preserve"> </v>
      </c>
      <c r="K62" s="23" t="str">
        <f>IF(I62="PM","",IF(H62=0," ",J62/'Règles et points'!$F$23))</f>
        <v xml:space="preserve"> </v>
      </c>
      <c r="L62" s="3" t="str">
        <f>IF(H62=0,"",IF(I62="PM",30,VLOOKUP(H62,'Règles et points'!$C$5:$AG$19,(HLOOKUP('Course 3'!C62,'Règles et points'!$C$5:$AG$5,1)+1))))</f>
        <v/>
      </c>
      <c r="M62" s="23">
        <f t="shared" si="1"/>
        <v>0</v>
      </c>
      <c r="N62" s="80"/>
      <c r="O62" s="51"/>
      <c r="P62" s="52"/>
    </row>
    <row r="63" spans="2:18" ht="12.75">
      <c r="B63" s="14">
        <v>59</v>
      </c>
      <c r="C63" s="28">
        <f>IF(Coureurs!C63="","",Coureurs!C63)</f>
        <v>4</v>
      </c>
      <c r="D63" s="132" t="str">
        <f>IF(Coureurs!D63="","",Coureurs!D63)</f>
        <v>D16</v>
      </c>
      <c r="E63" s="87" t="str">
        <f>IF(Coureurs!F63="","",Coureurs!F63)</f>
        <v>BOUSQUET</v>
      </c>
      <c r="F63" s="87" t="str">
        <f>IF(Coureurs!G63="","",Coureurs!G63)</f>
        <v>Claire</v>
      </c>
      <c r="G63" s="50">
        <f>IF(Coureurs!J63="","",Coureurs!J63)</f>
        <v>2113811</v>
      </c>
      <c r="H63" s="106"/>
      <c r="I63" s="40"/>
      <c r="J63" s="8" t="str">
        <f>IF(I63="PM","",IF(H63=0," ",I63-HLOOKUP('Course 3'!H63,'tab3'!$C$3:$N$4,2)))</f>
        <v xml:space="preserve"> </v>
      </c>
      <c r="K63" s="23" t="str">
        <f>IF(I63="PM","",IF(H63=0," ",J63/'Règles et points'!$F$23))</f>
        <v xml:space="preserve"> </v>
      </c>
      <c r="L63" s="3" t="str">
        <f>IF(H63=0,"",IF(I63="PM",30,VLOOKUP(H63,'Règles et points'!$C$5:$AG$19,(HLOOKUP('Course 3'!C63,'Règles et points'!$C$5:$AG$5,1)+1))))</f>
        <v/>
      </c>
      <c r="M63" s="23">
        <f t="shared" si="1"/>
        <v>0</v>
      </c>
      <c r="N63" s="80"/>
      <c r="O63" s="40"/>
      <c r="P63" s="52"/>
    </row>
    <row r="64" spans="2:18" ht="12.75">
      <c r="B64" s="14">
        <v>60</v>
      </c>
      <c r="C64" s="28">
        <f>IF(Coureurs!C64="","",Coureurs!C64)</f>
        <v>18</v>
      </c>
      <c r="D64" s="131" t="str">
        <f>IF(Coureurs!D64="","",Coureurs!D64)</f>
        <v>H14</v>
      </c>
      <c r="E64" s="87" t="str">
        <f>IF(Coureurs!F64="","",Coureurs!F64)</f>
        <v>ROGUIEZ</v>
      </c>
      <c r="F64" s="87" t="str">
        <f>IF(Coureurs!G64="","",Coureurs!G64)</f>
        <v>Timéo</v>
      </c>
      <c r="G64" s="50">
        <f>IF(Coureurs!J64="","",Coureurs!J64)</f>
        <v>2082468</v>
      </c>
      <c r="H64" s="25"/>
      <c r="I64" s="40"/>
      <c r="J64" s="8" t="str">
        <f>IF(I64="PM","",IF(H64=0," ",I64-HLOOKUP('Course 3'!H64,'tab3'!$C$3:$N$4,2)))</f>
        <v xml:space="preserve"> </v>
      </c>
      <c r="K64" s="23" t="str">
        <f>IF(I64="PM","",IF(H64=0," ",J64/'Règles et points'!$F$23))</f>
        <v xml:space="preserve"> </v>
      </c>
      <c r="L64" s="3" t="str">
        <f>IF(H64=0,"",IF(I64="PM",30,VLOOKUP(H64,'Règles et points'!$C$5:$AG$19,(HLOOKUP('Course 3'!C64,'Règles et points'!$C$5:$AG$5,1)+1))))</f>
        <v/>
      </c>
      <c r="M64" s="23">
        <f t="shared" si="1"/>
        <v>0</v>
      </c>
      <c r="N64" s="80"/>
      <c r="O64" s="51"/>
      <c r="P64" s="52"/>
    </row>
    <row r="65" spans="2:16" ht="12.75">
      <c r="B65" s="14">
        <v>61</v>
      </c>
      <c r="C65" s="28">
        <f>IF(Coureurs!C65="","",Coureurs!C65)</f>
        <v>1</v>
      </c>
      <c r="D65" s="131" t="str">
        <f>IF(Coureurs!D65="","",Coureurs!D65)</f>
        <v>D10</v>
      </c>
      <c r="E65" s="87" t="str">
        <f>IF(Coureurs!F65="","",Coureurs!F65)</f>
        <v>DERLOT</v>
      </c>
      <c r="F65" s="87" t="str">
        <f>IF(Coureurs!G65="","",Coureurs!G65)</f>
        <v>Alix</v>
      </c>
      <c r="G65" s="50">
        <f>IF(Coureurs!J65="","",Coureurs!J65)</f>
        <v>228368</v>
      </c>
      <c r="H65" s="106"/>
      <c r="I65" s="40"/>
      <c r="J65" s="8" t="str">
        <f>IF(I65="PM","",IF(H65=0," ",I65-HLOOKUP('Course 3'!H65,'tab3'!$C$3:$N$4,2)))</f>
        <v xml:space="preserve"> </v>
      </c>
      <c r="K65" s="23" t="str">
        <f>IF(I65="PM","",IF(H65=0," ",J65/'Règles et points'!$F$23))</f>
        <v xml:space="preserve"> </v>
      </c>
      <c r="L65" s="3" t="str">
        <f>IF(H65=0,"",IF(I65="PM",30,VLOOKUP(H65,'Règles et points'!$C$5:$AG$19,(HLOOKUP('Course 3'!C65,'Règles et points'!$C$5:$AG$5,1)+1))))</f>
        <v/>
      </c>
      <c r="M65" s="23">
        <f t="shared" si="1"/>
        <v>0</v>
      </c>
      <c r="N65" s="80"/>
      <c r="O65" s="51"/>
      <c r="P65" s="52"/>
    </row>
    <row r="66" spans="2:16" ht="12.75">
      <c r="B66" s="14">
        <v>62</v>
      </c>
      <c r="C66" s="28">
        <f>IF(Coureurs!C66="","",Coureurs!C66)</f>
        <v>17</v>
      </c>
      <c r="D66" s="131" t="str">
        <f>IF(Coureurs!D66="","",Coureurs!D66)</f>
        <v>H12</v>
      </c>
      <c r="E66" s="87" t="str">
        <f>IF(Coureurs!F66="","",Coureurs!F66)</f>
        <v>BELLECOURT</v>
      </c>
      <c r="F66" s="87" t="str">
        <f>IF(Coureurs!G66="","",Coureurs!G66)</f>
        <v>Loic</v>
      </c>
      <c r="G66" s="50">
        <f>IF(Coureurs!J66="","",Coureurs!J66)</f>
        <v>2311181</v>
      </c>
      <c r="H66" s="106"/>
      <c r="I66" s="40"/>
      <c r="J66" s="8" t="str">
        <f>IF(I66="PM","",IF(H66=0," ",I66-HLOOKUP('Course 3'!H66,'tab3'!$C$3:$N$4,2)))</f>
        <v xml:space="preserve"> </v>
      </c>
      <c r="K66" s="23" t="str">
        <f>IF(I66="PM","",IF(H66=0," ",J66/'Règles et points'!$F$23))</f>
        <v xml:space="preserve"> </v>
      </c>
      <c r="L66" s="3" t="str">
        <f>IF(H66=0,"",IF(I66="PM",30,VLOOKUP(H66,'Règles et points'!$C$5:$AG$19,(HLOOKUP('Course 3'!C66,'Règles et points'!$C$5:$AG$5,1)+1))))</f>
        <v/>
      </c>
      <c r="M66" s="23">
        <f t="shared" si="1"/>
        <v>0</v>
      </c>
      <c r="N66" s="80"/>
      <c r="O66" s="51"/>
      <c r="P66" s="52"/>
    </row>
    <row r="67" spans="2:16" ht="12.75">
      <c r="B67" s="14">
        <v>63</v>
      </c>
      <c r="C67" s="28">
        <f>IF(Coureurs!C67="","",Coureurs!C67)</f>
        <v>24</v>
      </c>
      <c r="D67" s="131" t="str">
        <f>IF(Coureurs!D67="","",Coureurs!D67)</f>
        <v>H40</v>
      </c>
      <c r="E67" s="87" t="str">
        <f>IF(Coureurs!F67="","",Coureurs!F67)</f>
        <v>KOEPP</v>
      </c>
      <c r="F67" s="87" t="str">
        <f>IF(Coureurs!G67="","",Coureurs!G67)</f>
        <v>Aaron</v>
      </c>
      <c r="G67" s="50" t="str">
        <f>IF(Coureurs!J67="","",Coureurs!J67)</f>
        <v/>
      </c>
      <c r="H67" s="106"/>
      <c r="I67" s="40"/>
      <c r="J67" s="8" t="str">
        <f>IF(I67="PM","",IF(H67=0," ",I67-HLOOKUP('Course 3'!H67,'tab3'!$C$3:$N$4,2)))</f>
        <v xml:space="preserve"> </v>
      </c>
      <c r="K67" s="23" t="str">
        <f>IF(I67="PM","",IF(H67=0," ",J67/'Règles et points'!$F$23))</f>
        <v xml:space="preserve"> </v>
      </c>
      <c r="L67" s="3" t="str">
        <f>IF(H67=0,"",IF(I67="PM",30,VLOOKUP(H67,'Règles et points'!$C$5:$AG$19,(HLOOKUP('Course 3'!C67,'Règles et points'!$C$5:$AG$5,1)+1))))</f>
        <v/>
      </c>
      <c r="M67" s="23">
        <f t="shared" si="1"/>
        <v>0</v>
      </c>
      <c r="N67" s="80"/>
      <c r="O67" s="51"/>
      <c r="P67" s="52"/>
    </row>
    <row r="68" spans="2:16" ht="12.75">
      <c r="B68" s="14">
        <v>64</v>
      </c>
      <c r="C68" s="28">
        <f>IF(Coureurs!C68="","",Coureurs!C68)</f>
        <v>9</v>
      </c>
      <c r="D68" s="131" t="str">
        <f>IF(Coureurs!D68="","",Coureurs!D68)</f>
        <v>D40</v>
      </c>
      <c r="E68" s="87" t="str">
        <f>IF(Coureurs!F68="","",Coureurs!F68)</f>
        <v>KOEPP</v>
      </c>
      <c r="F68" s="87" t="str">
        <f>IF(Coureurs!G68="","",Coureurs!G68)</f>
        <v>Nanette</v>
      </c>
      <c r="G68" s="50" t="str">
        <f>IF(Coureurs!J68="","",Coureurs!J68)</f>
        <v/>
      </c>
      <c r="H68" s="106"/>
      <c r="I68" s="40"/>
      <c r="J68" s="8" t="str">
        <f>IF(I68="PM","",IF(H68=0," ",I68-HLOOKUP('Course 3'!H68,'tab3'!$C$3:$N$4,2)))</f>
        <v xml:space="preserve"> </v>
      </c>
      <c r="K68" s="23" t="str">
        <f>IF(I68="PM","",IF(H68=0," ",J68/'Règles et points'!$F$23))</f>
        <v xml:space="preserve"> </v>
      </c>
      <c r="L68" s="3" t="str">
        <f>IF(H68=0,"",IF(I68="PM",30,VLOOKUP(H68,'Règles et points'!$C$5:$AG$19,(HLOOKUP('Course 3'!C68,'Règles et points'!$C$5:$AG$5,1)+1))))</f>
        <v/>
      </c>
      <c r="M68" s="23">
        <f t="shared" si="1"/>
        <v>0</v>
      </c>
      <c r="N68" s="80"/>
      <c r="O68" s="51"/>
      <c r="P68" s="52"/>
    </row>
    <row r="69" spans="2:16" ht="12.75">
      <c r="B69" s="14">
        <v>65</v>
      </c>
      <c r="C69" s="28">
        <f>IF(Coureurs!C69="","",Coureurs!C69)</f>
        <v>2</v>
      </c>
      <c r="D69" s="131" t="str">
        <f>IF(Coureurs!D69="","",Coureurs!D69)</f>
        <v>D12</v>
      </c>
      <c r="E69" s="87" t="str">
        <f>IF(Coureurs!F69="","",Coureurs!F69)</f>
        <v>KOEPP</v>
      </c>
      <c r="F69" s="87" t="str">
        <f>IF(Coureurs!G69="","",Coureurs!G69)</f>
        <v>Sahara</v>
      </c>
      <c r="G69" s="50">
        <f>IF(Coureurs!J69="","",Coureurs!J69)</f>
        <v>2311187</v>
      </c>
      <c r="H69" s="106"/>
      <c r="I69" s="40"/>
      <c r="J69" s="8" t="str">
        <f>IF(I69="PM","",IF(H69=0," ",I69-HLOOKUP('Course 3'!H69,'tab3'!$C$3:$N$4,2)))</f>
        <v xml:space="preserve"> </v>
      </c>
      <c r="K69" s="23" t="str">
        <f>IF(I69="PM","",IF(H69=0," ",J69/'Règles et points'!$F$23))</f>
        <v xml:space="preserve"> </v>
      </c>
      <c r="L69" s="3" t="str">
        <f>IF(H69=0,"",IF(I69="PM",30,VLOOKUP(H69,'Règles et points'!$C$5:$AG$19,(HLOOKUP('Course 3'!C69,'Règles et points'!$C$5:$AG$5,1)+1))))</f>
        <v/>
      </c>
      <c r="M69" s="23">
        <f t="shared" si="1"/>
        <v>0</v>
      </c>
      <c r="N69" s="80"/>
      <c r="O69" s="51"/>
      <c r="P69" s="52"/>
    </row>
    <row r="70" spans="2:16" ht="12.75">
      <c r="B70" s="14">
        <v>66</v>
      </c>
      <c r="C70" s="28">
        <f>IF(Coureurs!C70="","",Coureurs!C70)</f>
        <v>17</v>
      </c>
      <c r="D70" s="131" t="str">
        <f>IF(Coureurs!D70="","",Coureurs!D70)</f>
        <v>H12</v>
      </c>
      <c r="E70" s="87" t="str">
        <f>IF(Coureurs!F70="","",Coureurs!F70)</f>
        <v>DE LA ROCHE</v>
      </c>
      <c r="F70" s="87" t="str">
        <f>IF(Coureurs!G70="","",Coureurs!G70)</f>
        <v>Paul</v>
      </c>
      <c r="G70" s="50">
        <f>IF(Coureurs!J70="","",Coureurs!J70)</f>
        <v>2311182</v>
      </c>
      <c r="H70" s="25"/>
      <c r="I70" s="40"/>
      <c r="J70" s="8" t="str">
        <f>IF(I70="PM","",IF(H70=0," ",I70-HLOOKUP('Course 3'!H70,'tab3'!$C$3:$N$4,2)))</f>
        <v xml:space="preserve"> </v>
      </c>
      <c r="K70" s="23" t="str">
        <f>IF(I70="PM","",IF(H70=0," ",J70/'Règles et points'!$F$23))</f>
        <v xml:space="preserve"> </v>
      </c>
      <c r="L70" s="3" t="str">
        <f>IF(H70=0,"",IF(I70="PM",30,VLOOKUP(H70,'Règles et points'!$C$5:$AG$19,(HLOOKUP('Course 3'!C70,'Règles et points'!$C$5:$AG$5,1)+1))))</f>
        <v/>
      </c>
      <c r="M70" s="23">
        <f t="shared" ref="M70:M133" si="2">IF(I70="PM",30,IF(H70=0,0,L70-K70))+N70</f>
        <v>0</v>
      </c>
      <c r="N70" s="80"/>
      <c r="O70" s="51"/>
      <c r="P70" s="52"/>
    </row>
    <row r="71" spans="2:16" ht="12.75">
      <c r="B71" s="14">
        <v>67</v>
      </c>
      <c r="C71" s="28">
        <f>IF(Coureurs!C71="","",Coureurs!C71)</f>
        <v>18</v>
      </c>
      <c r="D71" s="131" t="str">
        <f>IF(Coureurs!D71="","",Coureurs!D71)</f>
        <v>H14</v>
      </c>
      <c r="E71" s="87" t="str">
        <f>IF(Coureurs!F71="","",Coureurs!F71)</f>
        <v>DE LA ROCHE</v>
      </c>
      <c r="F71" s="87" t="str">
        <f>IF(Coureurs!G71="","",Coureurs!G71)</f>
        <v>Raphael</v>
      </c>
      <c r="G71" s="50">
        <f>IF(Coureurs!J71="","",Coureurs!J71)</f>
        <v>2311184</v>
      </c>
      <c r="H71" s="106"/>
      <c r="I71" s="40"/>
      <c r="J71" s="8" t="str">
        <f>IF(I71="PM","",IF(H71=0," ",I71-HLOOKUP('Course 3'!H71,'tab3'!$C$3:$N$4,2)))</f>
        <v xml:space="preserve"> </v>
      </c>
      <c r="K71" s="23" t="str">
        <f>IF(I71="PM","",IF(H71=0," ",J71/'Règles et points'!$F$23))</f>
        <v xml:space="preserve"> </v>
      </c>
      <c r="L71" s="3" t="str">
        <f>IF(H71=0,"",IF(I71="PM",30,VLOOKUP(H71,'Règles et points'!$C$5:$AG$19,(HLOOKUP('Course 3'!C71,'Règles et points'!$C$5:$AG$5,1)+1))))</f>
        <v/>
      </c>
      <c r="M71" s="23">
        <f t="shared" si="2"/>
        <v>0</v>
      </c>
      <c r="N71" s="80"/>
      <c r="O71" s="51"/>
      <c r="P71" s="52"/>
    </row>
    <row r="72" spans="2:16" ht="12.75">
      <c r="B72" s="14">
        <v>68</v>
      </c>
      <c r="C72" s="28">
        <f>IF(Coureurs!C72="","",Coureurs!C72)</f>
        <v>2</v>
      </c>
      <c r="D72" s="131" t="str">
        <f>IF(Coureurs!D72="","",Coureurs!D72)</f>
        <v>D12</v>
      </c>
      <c r="E72" s="87" t="str">
        <f>IF(Coureurs!F72="","",Coureurs!F72)</f>
        <v>LAGARDE</v>
      </c>
      <c r="F72" s="87" t="str">
        <f>IF(Coureurs!G72="","",Coureurs!G72)</f>
        <v>Lilia</v>
      </c>
      <c r="G72" s="50">
        <f>IF(Coureurs!J72="","",Coureurs!J72)</f>
        <v>2311185</v>
      </c>
      <c r="H72" s="106"/>
      <c r="I72" s="40"/>
      <c r="J72" s="8" t="str">
        <f>IF(I72="PM","",IF(H72=0," ",I72-HLOOKUP('Course 3'!H72,'tab3'!$C$3:$N$4,2)))</f>
        <v xml:space="preserve"> </v>
      </c>
      <c r="K72" s="23" t="str">
        <f>IF(I72="PM","",IF(H72=0," ",J72/'Règles et points'!$F$23))</f>
        <v xml:space="preserve"> </v>
      </c>
      <c r="L72" s="3" t="str">
        <f>IF(H72=0,"",IF(I72="PM",30,VLOOKUP(H72,'Règles et points'!$C$5:$AG$19,(HLOOKUP('Course 3'!C72,'Règles et points'!$C$5:$AG$5,1)+1))))</f>
        <v/>
      </c>
      <c r="M72" s="23">
        <f t="shared" si="2"/>
        <v>0</v>
      </c>
      <c r="N72" s="80"/>
      <c r="O72" s="51"/>
      <c r="P72" s="52"/>
    </row>
    <row r="73" spans="2:16" ht="12.75">
      <c r="B73" s="14">
        <v>69</v>
      </c>
      <c r="C73" s="28">
        <f>IF(Coureurs!C73="","",Coureurs!C73)</f>
        <v>24</v>
      </c>
      <c r="D73" s="131" t="str">
        <f>IF(Coureurs!D73="","",Coureurs!D73)</f>
        <v>H40</v>
      </c>
      <c r="E73" s="87" t="str">
        <f>IF(Coureurs!F73="","",Coureurs!F73)</f>
        <v>BROCHOT</v>
      </c>
      <c r="F73" s="87" t="str">
        <f>IF(Coureurs!G73="","",Coureurs!G73)</f>
        <v>Vincent</v>
      </c>
      <c r="G73" s="50">
        <f>IF(Coureurs!J73="","",Coureurs!J73)</f>
        <v>8000186</v>
      </c>
      <c r="H73" s="106"/>
      <c r="I73" s="40"/>
      <c r="J73" s="8" t="str">
        <f>IF(I73="PM","",IF(H73=0," ",I73-HLOOKUP('Course 3'!H73,'tab3'!$C$3:$N$4,2)))</f>
        <v xml:space="preserve"> </v>
      </c>
      <c r="K73" s="23" t="str">
        <f>IF(I73="PM","",IF(H73=0," ",J73/'Règles et points'!$F$23))</f>
        <v xml:space="preserve"> </v>
      </c>
      <c r="L73" s="3" t="str">
        <f>IF(H73=0,"",IF(I73="PM",30,VLOOKUP(H73,'Règles et points'!$C$5:$AG$19,(HLOOKUP('Course 3'!C73,'Règles et points'!$C$5:$AG$5,1)+1))))</f>
        <v/>
      </c>
      <c r="M73" s="23">
        <f t="shared" si="2"/>
        <v>0</v>
      </c>
      <c r="N73" s="80"/>
      <c r="O73" s="51"/>
      <c r="P73" s="52"/>
    </row>
    <row r="74" spans="2:16" ht="12.75">
      <c r="B74" s="14">
        <v>70</v>
      </c>
      <c r="C74" s="28">
        <f>IF(Coureurs!C74="","",Coureurs!C74)</f>
        <v>4</v>
      </c>
      <c r="D74" s="131" t="str">
        <f>IF(Coureurs!D74="","",Coureurs!D74)</f>
        <v>D16</v>
      </c>
      <c r="E74" s="87" t="str">
        <f>IF(Coureurs!F74="","",Coureurs!F74)</f>
        <v>PASQUALINI</v>
      </c>
      <c r="F74" s="87" t="str">
        <f>IF(Coureurs!G74="","",Coureurs!G74)</f>
        <v>Hanna</v>
      </c>
      <c r="G74" s="50">
        <f>IF(Coureurs!J74="","",Coureurs!J74)</f>
        <v>2311190</v>
      </c>
      <c r="H74" s="106"/>
      <c r="I74" s="40"/>
      <c r="J74" s="8" t="str">
        <f>IF(I74="PM","",IF(H74=0," ",I74-HLOOKUP('Course 3'!H74,'tab3'!$C$3:$N$4,2)))</f>
        <v xml:space="preserve"> </v>
      </c>
      <c r="K74" s="23" t="str">
        <f>IF(I74="PM","",IF(H74=0," ",J74/'Règles et points'!$F$23))</f>
        <v xml:space="preserve"> </v>
      </c>
      <c r="L74" s="3" t="str">
        <f>IF(H74=0,"",IF(I74="PM",30,VLOOKUP(H74,'Règles et points'!$C$5:$AG$19,(HLOOKUP('Course 3'!C74,'Règles et points'!$C$5:$AG$5,1)+1))))</f>
        <v/>
      </c>
      <c r="M74" s="23">
        <f t="shared" si="2"/>
        <v>0</v>
      </c>
      <c r="N74" s="80"/>
      <c r="O74" s="51"/>
      <c r="P74" s="52"/>
    </row>
    <row r="75" spans="2:16" ht="12.75">
      <c r="B75" s="14">
        <v>71</v>
      </c>
      <c r="C75" s="28">
        <f>IF(Coureurs!C75="","",Coureurs!C75)</f>
        <v>17</v>
      </c>
      <c r="D75" s="131" t="str">
        <f>IF(Coureurs!D75="","",Coureurs!D75)</f>
        <v>H12</v>
      </c>
      <c r="E75" s="87" t="str">
        <f>IF(Coureurs!F75="","",Coureurs!F75)</f>
        <v>LAUDET</v>
      </c>
      <c r="F75" s="87" t="str">
        <f>IF(Coureurs!G75="","",Coureurs!G75)</f>
        <v>Sacha</v>
      </c>
      <c r="G75" s="50">
        <f>IF(Coureurs!J75="","",Coureurs!J75)</f>
        <v>2311183</v>
      </c>
      <c r="H75" s="106"/>
      <c r="I75" s="40"/>
      <c r="J75" s="8" t="str">
        <f>IF(I75="PM","",IF(H75=0," ",I75-HLOOKUP('Course 3'!H75,'tab3'!$C$3:$N$4,2)))</f>
        <v xml:space="preserve"> </v>
      </c>
      <c r="K75" s="23" t="str">
        <f>IF(I75="PM","",IF(H75=0," ",J75/'Règles et points'!$F$23))</f>
        <v xml:space="preserve"> </v>
      </c>
      <c r="L75" s="3" t="str">
        <f>IF(H75=0,"",IF(I75="PM",30,VLOOKUP(H75,'Règles et points'!$C$5:$AG$19,(HLOOKUP('Course 3'!C75,'Règles et points'!$C$5:$AG$5,1)+1))))</f>
        <v/>
      </c>
      <c r="M75" s="23">
        <f t="shared" si="2"/>
        <v>0</v>
      </c>
      <c r="N75" s="80"/>
      <c r="O75" s="51"/>
      <c r="P75" s="52"/>
    </row>
    <row r="76" spans="2:16" ht="12.75">
      <c r="B76" s="14">
        <v>72</v>
      </c>
      <c r="C76" s="28">
        <f>IF(Coureurs!C76="","",Coureurs!C76)</f>
        <v>18</v>
      </c>
      <c r="D76" s="131" t="str">
        <f>IF(Coureurs!D76="","",Coureurs!D76)</f>
        <v>H14</v>
      </c>
      <c r="E76" s="87" t="str">
        <f>IF(Coureurs!F76="","",Coureurs!F76)</f>
        <v>LEFEVRE</v>
      </c>
      <c r="F76" s="87" t="str">
        <f>IF(Coureurs!G76="","",Coureurs!G76)</f>
        <v>Gauthier</v>
      </c>
      <c r="G76" s="50">
        <f>IF(Coureurs!J76="","",Coureurs!J76)</f>
        <v>2420990</v>
      </c>
      <c r="H76" s="106"/>
      <c r="I76" s="40"/>
      <c r="J76" s="8" t="str">
        <f>IF(I76="PM","",IF(H76=0," ",I76-HLOOKUP('Course 3'!H76,'tab3'!$C$3:$N$4,2)))</f>
        <v xml:space="preserve"> </v>
      </c>
      <c r="K76" s="23" t="str">
        <f>IF(I76="PM","",IF(H76=0," ",J76/'Règles et points'!$F$23))</f>
        <v xml:space="preserve"> </v>
      </c>
      <c r="L76" s="3" t="str">
        <f>IF(H76=0,"",IF(I76="PM",30,VLOOKUP(H76,'Règles et points'!$C$5:$AG$19,(HLOOKUP('Course 3'!C76,'Règles et points'!$C$5:$AG$5,1)+1))))</f>
        <v/>
      </c>
      <c r="M76" s="23">
        <f t="shared" si="2"/>
        <v>0</v>
      </c>
      <c r="N76" s="80"/>
      <c r="O76" s="51"/>
      <c r="P76" s="52"/>
    </row>
    <row r="77" spans="2:16" ht="12.75">
      <c r="B77" s="14">
        <v>73</v>
      </c>
      <c r="C77" s="28">
        <f>IF(Coureurs!C77="","",Coureurs!C77)</f>
        <v>3</v>
      </c>
      <c r="D77" s="131" t="str">
        <f>IF(Coureurs!D77="","",Coureurs!D77)</f>
        <v>D14</v>
      </c>
      <c r="E77" s="87" t="str">
        <f>IF(Coureurs!F77="","",Coureurs!F77)</f>
        <v>BENSET</v>
      </c>
      <c r="F77" s="87" t="str">
        <f>IF(Coureurs!G77="","",Coureurs!G77)</f>
        <v>Estelle</v>
      </c>
      <c r="G77" s="50">
        <f>IF(Coureurs!J77="","",Coureurs!J77)</f>
        <v>2150413</v>
      </c>
      <c r="H77" s="106"/>
      <c r="I77" s="40"/>
      <c r="J77" s="8" t="str">
        <f>IF(I77="PM","",IF(H77=0," ",I77-HLOOKUP('Course 3'!H77,'tab3'!$C$3:$N$4,2)))</f>
        <v xml:space="preserve"> </v>
      </c>
      <c r="K77" s="23" t="str">
        <f>IF(I77="PM","",IF(H77=0," ",J77/'Règles et points'!$F$23))</f>
        <v xml:space="preserve"> </v>
      </c>
      <c r="L77" s="3" t="str">
        <f>IF(H77=0,"",IF(I77="PM",30,VLOOKUP(H77,'Règles et points'!$C$5:$AG$19,(HLOOKUP('Course 3'!C77,'Règles et points'!$C$5:$AG$5,1)+1))))</f>
        <v/>
      </c>
      <c r="M77" s="23">
        <f t="shared" si="2"/>
        <v>0</v>
      </c>
      <c r="N77" s="80"/>
      <c r="O77" s="51"/>
      <c r="P77" s="52"/>
    </row>
    <row r="78" spans="2:16" ht="12.75">
      <c r="B78" s="14">
        <v>74</v>
      </c>
      <c r="C78" s="28">
        <f>IF(Coureurs!C78="","",Coureurs!C78)</f>
        <v>27</v>
      </c>
      <c r="D78" s="131" t="str">
        <f>IF(Coureurs!D78="","",Coureurs!D78)</f>
        <v>H55</v>
      </c>
      <c r="E78" s="87" t="str">
        <f>IF(Coureurs!F78="","",Coureurs!F78)</f>
        <v>BOUCHERIE</v>
      </c>
      <c r="F78" s="87" t="str">
        <f>IF(Coureurs!G78="","",Coureurs!G78)</f>
        <v>Pascal</v>
      </c>
      <c r="G78" s="50">
        <f>IF(Coureurs!J78="","",Coureurs!J78)</f>
        <v>2420986</v>
      </c>
      <c r="H78" s="106"/>
      <c r="I78" s="40"/>
      <c r="J78" s="8" t="str">
        <f>IF(I78="PM","",IF(H78=0," ",I78-HLOOKUP('Course 3'!H78,'tab3'!$C$3:$N$4,2)))</f>
        <v xml:space="preserve"> </v>
      </c>
      <c r="K78" s="23" t="str">
        <f>IF(I78="PM","",IF(H78=0," ",J78/'Règles et points'!$F$23))</f>
        <v xml:space="preserve"> </v>
      </c>
      <c r="L78" s="3" t="str">
        <f>IF(H78=0,"",IF(I78="PM",30,VLOOKUP(H78,'Règles et points'!$C$5:$AG$19,(HLOOKUP('Course 3'!C78,'Règles et points'!$C$5:$AG$5,1)+1))))</f>
        <v/>
      </c>
      <c r="M78" s="23">
        <f t="shared" si="2"/>
        <v>0</v>
      </c>
      <c r="N78" s="80"/>
      <c r="O78" s="51"/>
      <c r="P78" s="52"/>
    </row>
    <row r="79" spans="2:16" ht="12.75">
      <c r="B79" s="14">
        <v>75</v>
      </c>
      <c r="C79" s="28">
        <f>IF(Coureurs!C79="","",Coureurs!C79)</f>
        <v>12</v>
      </c>
      <c r="D79" s="131" t="str">
        <f>IF(Coureurs!D79="","",Coureurs!D79)</f>
        <v>D55</v>
      </c>
      <c r="E79" s="87" t="str">
        <f>IF(Coureurs!F79="","",Coureurs!F79)</f>
        <v>BOUCHERIE</v>
      </c>
      <c r="F79" s="87" t="str">
        <f>IF(Coureurs!G79="","",Coureurs!G79)</f>
        <v>caroline</v>
      </c>
      <c r="G79" s="50">
        <f>IF(Coureurs!J79="","",Coureurs!J79)</f>
        <v>2420987</v>
      </c>
      <c r="H79" s="106"/>
      <c r="I79" s="40"/>
      <c r="J79" s="8" t="str">
        <f>IF(I79="PM","",IF(H79=0," ",I79-HLOOKUP('Course 3'!H79,'tab3'!$C$3:$N$4,2)))</f>
        <v xml:space="preserve"> </v>
      </c>
      <c r="K79" s="23" t="str">
        <f>IF(I79="PM","",IF(H79=0," ",J79/'Règles et points'!$F$23))</f>
        <v xml:space="preserve"> </v>
      </c>
      <c r="L79" s="3" t="str">
        <f>IF(H79=0,"",IF(I79="PM",30,VLOOKUP(H79,'Règles et points'!$C$5:$AG$19,(HLOOKUP('Course 3'!C79,'Règles et points'!$C$5:$AG$5,1)+1))))</f>
        <v/>
      </c>
      <c r="M79" s="23">
        <f t="shared" si="2"/>
        <v>0</v>
      </c>
      <c r="N79" s="80"/>
      <c r="O79" s="51"/>
      <c r="P79" s="52"/>
    </row>
    <row r="80" spans="2:16" ht="12.75">
      <c r="B80" s="14">
        <v>76</v>
      </c>
      <c r="C80" s="28">
        <f>IF(Coureurs!C80="","",Coureurs!C80)</f>
        <v>17</v>
      </c>
      <c r="D80" s="131" t="str">
        <f>IF(Coureurs!D80="","",Coureurs!D80)</f>
        <v>H12</v>
      </c>
      <c r="E80" s="87" t="str">
        <f>IF(Coureurs!F80="","",Coureurs!F80)</f>
        <v>BOUCHERIE</v>
      </c>
      <c r="F80" s="87" t="str">
        <f>IF(Coureurs!G80="","",Coureurs!G80)</f>
        <v>Achille</v>
      </c>
      <c r="G80" s="50">
        <f>IF(Coureurs!J80="","",Coureurs!J80)</f>
        <v>2311189</v>
      </c>
      <c r="H80" s="25"/>
      <c r="I80" s="41"/>
      <c r="J80" s="8" t="str">
        <f>IF(I80="PM","",IF(H80=0," ",I80-HLOOKUP('Course 3'!H80,'tab3'!$C$3:$N$4,2)))</f>
        <v xml:space="preserve"> </v>
      </c>
      <c r="K80" s="23" t="str">
        <f>IF(I80="PM","",IF(H80=0," ",J80/'Règles et points'!$F$23))</f>
        <v xml:space="preserve"> </v>
      </c>
      <c r="L80" s="3" t="str">
        <f>IF(H80=0,"",IF(I80="PM",30,VLOOKUP(H80,'Règles et points'!$C$5:$AG$19,(HLOOKUP('Course 3'!C80,'Règles et points'!$C$5:$AG$5,1)+1))))</f>
        <v/>
      </c>
      <c r="M80" s="23">
        <f t="shared" si="2"/>
        <v>0</v>
      </c>
      <c r="N80" s="80"/>
      <c r="O80" s="51"/>
      <c r="P80" s="52"/>
    </row>
    <row r="81" spans="2:16" ht="12.75">
      <c r="B81" s="14">
        <v>77</v>
      </c>
      <c r="C81" s="28">
        <f>IF(Coureurs!C81="","",Coureurs!C81)</f>
        <v>22</v>
      </c>
      <c r="D81" s="131" t="str">
        <f>IF(Coureurs!D81="","",Coureurs!D81)</f>
        <v>H21</v>
      </c>
      <c r="E81" s="87" t="str">
        <f>IF(Coureurs!F81="","",Coureurs!F81)</f>
        <v>BOUCHERIE</v>
      </c>
      <c r="F81" s="87" t="str">
        <f>IF(Coureurs!G81="","",Coureurs!G81)</f>
        <v>jules</v>
      </c>
      <c r="G81" s="50">
        <f>IF(Coureurs!J81="","",Coureurs!J81)</f>
        <v>2150411</v>
      </c>
      <c r="H81" s="25"/>
      <c r="I81" s="41"/>
      <c r="J81" s="8" t="str">
        <f>IF(I81="PM","",IF(H81=0," ",I81-HLOOKUP('Course 3'!H81,'tab3'!$C$3:$N$4,2)))</f>
        <v xml:space="preserve"> </v>
      </c>
      <c r="K81" s="23" t="str">
        <f>IF(I81="PM","",IF(H81=0," ",J81/'Règles et points'!$F$23))</f>
        <v xml:space="preserve"> </v>
      </c>
      <c r="L81" s="3" t="str">
        <f>IF(H81=0,"",IF(I81="PM",30,VLOOKUP(H81,'Règles et points'!$C$5:$AG$19,(HLOOKUP('Course 3'!C81,'Règles et points'!$C$5:$AG$5,1)+1))))</f>
        <v/>
      </c>
      <c r="M81" s="23">
        <f t="shared" si="2"/>
        <v>0</v>
      </c>
      <c r="N81" s="80"/>
      <c r="O81" s="51"/>
      <c r="P81" s="52"/>
    </row>
    <row r="82" spans="2:16" ht="12.75">
      <c r="B82" s="14">
        <v>78</v>
      </c>
      <c r="C82" s="28">
        <f>IF(Coureurs!C82="","",Coureurs!C82)</f>
        <v>22</v>
      </c>
      <c r="D82" s="131" t="str">
        <f>IF(Coureurs!D82="","",Coureurs!D82)</f>
        <v>H21</v>
      </c>
      <c r="E82" s="87" t="str">
        <f>IF(Coureurs!F82="","",Coureurs!F82)</f>
        <v>BOUCHERIE</v>
      </c>
      <c r="F82" s="87" t="str">
        <f>IF(Coureurs!G82="","",Coureurs!G82)</f>
        <v>louis</v>
      </c>
      <c r="G82" s="50">
        <f>IF(Coureurs!J82="","",Coureurs!J82)</f>
        <v>2150412</v>
      </c>
      <c r="H82" s="25"/>
      <c r="I82" s="41"/>
      <c r="J82" s="8" t="str">
        <f>IF(I82="PM","",IF(H82=0," ",I82-HLOOKUP('Course 3'!H82,'tab3'!$C$3:$N$4,2)))</f>
        <v xml:space="preserve"> </v>
      </c>
      <c r="K82" s="23" t="str">
        <f>IF(I82="PM","",IF(H82=0," ",J82/'Règles et points'!$F$23))</f>
        <v xml:space="preserve"> </v>
      </c>
      <c r="L82" s="3" t="str">
        <f>IF(H82=0,"",IF(I82="PM",30,VLOOKUP(H82,'Règles et points'!$C$5:$AG$19,(HLOOKUP('Course 3'!C82,'Règles et points'!$C$5:$AG$5,1)+1))))</f>
        <v/>
      </c>
      <c r="M82" s="23">
        <f t="shared" si="2"/>
        <v>0</v>
      </c>
      <c r="N82" s="80"/>
      <c r="O82" s="51"/>
      <c r="P82" s="52"/>
    </row>
    <row r="83" spans="2:16" ht="12.75">
      <c r="B83" s="14">
        <v>79</v>
      </c>
      <c r="C83" s="28">
        <f>IF(Coureurs!C83="","",Coureurs!C83)</f>
        <v>18</v>
      </c>
      <c r="D83" s="131" t="str">
        <f>IF(Coureurs!D83="","",Coureurs!D83)</f>
        <v>H14</v>
      </c>
      <c r="E83" s="87" t="str">
        <f>IF(Coureurs!F83="","",Coureurs!F83)</f>
        <v>ZHANG</v>
      </c>
      <c r="F83" s="87" t="str">
        <f>IF(Coureurs!G83="","",Coureurs!G83)</f>
        <v>Felix</v>
      </c>
      <c r="G83" s="50">
        <f>IF(Coureurs!J83="","",Coureurs!J83)</f>
        <v>2150416</v>
      </c>
      <c r="H83" s="25"/>
      <c r="I83" s="41"/>
      <c r="J83" s="8" t="str">
        <f>IF(I83="PM","",IF(H83=0," ",I83-HLOOKUP('Course 3'!H83,'tab3'!$C$3:$N$4,2)))</f>
        <v xml:space="preserve"> </v>
      </c>
      <c r="K83" s="23" t="str">
        <f>IF(I83="PM","",IF(H83=0," ",J83/'Règles et points'!$F$23))</f>
        <v xml:space="preserve"> </v>
      </c>
      <c r="L83" s="3" t="str">
        <f>IF(H83=0,"",IF(I83="PM",30,VLOOKUP(H83,'Règles et points'!$C$5:$AG$19,(HLOOKUP('Course 3'!C83,'Règles et points'!$C$5:$AG$5,1)+1))))</f>
        <v/>
      </c>
      <c r="M83" s="23">
        <f t="shared" si="2"/>
        <v>0</v>
      </c>
      <c r="N83" s="80"/>
      <c r="O83" s="51"/>
      <c r="P83" s="52"/>
    </row>
    <row r="84" spans="2:16" ht="12.75">
      <c r="B84" s="14">
        <v>80</v>
      </c>
      <c r="C84" s="28">
        <f>IF(Coureurs!C84="","",Coureurs!C84)</f>
        <v>2</v>
      </c>
      <c r="D84" s="131" t="str">
        <f>IF(Coureurs!D84="","",Coureurs!D84)</f>
        <v>D12</v>
      </c>
      <c r="E84" s="87" t="str">
        <f>IF(Coureurs!F84="","",Coureurs!F84)</f>
        <v>DUSSAIX</v>
      </c>
      <c r="F84" s="87" t="str">
        <f>IF(Coureurs!G84="","",Coureurs!G84)</f>
        <v>Margaux</v>
      </c>
      <c r="G84" s="50">
        <f>IF(Coureurs!J84="","",Coureurs!J84)</f>
        <v>2150414</v>
      </c>
      <c r="H84" s="25"/>
      <c r="I84" s="41"/>
      <c r="J84" s="8" t="str">
        <f>IF(I84="PM","",IF(H84=0," ",I84-HLOOKUP('Course 3'!H84,'tab3'!$C$3:$N$4,2)))</f>
        <v xml:space="preserve"> </v>
      </c>
      <c r="K84" s="23" t="str">
        <f>IF(I84="PM","",IF(H84=0," ",J84/'Règles et points'!$F$23))</f>
        <v xml:space="preserve"> </v>
      </c>
      <c r="L84" s="3" t="str">
        <f>IF(H84=0,"",IF(I84="PM",30,VLOOKUP(H84,'Règles et points'!$C$5:$AG$19,(HLOOKUP('Course 3'!C84,'Règles et points'!$C$5:$AG$5,1)+1))))</f>
        <v/>
      </c>
      <c r="M84" s="23">
        <f t="shared" si="2"/>
        <v>0</v>
      </c>
      <c r="N84" s="80"/>
      <c r="O84" s="51"/>
      <c r="P84" s="52"/>
    </row>
    <row r="85" spans="2:16" ht="12.75">
      <c r="B85" s="14">
        <v>81</v>
      </c>
      <c r="C85" s="28">
        <f>IF(Coureurs!C85="","",Coureurs!C85)</f>
        <v>26</v>
      </c>
      <c r="D85" s="131" t="str">
        <f>IF(Coureurs!D85="","",Coureurs!D85)</f>
        <v>H50</v>
      </c>
      <c r="E85" s="87" t="str">
        <f>IF(Coureurs!F85="","",Coureurs!F85)</f>
        <v>DELABROYE DUCROQ</v>
      </c>
      <c r="F85" s="87" t="str">
        <f>IF(Coureurs!G85="","",Coureurs!G85)</f>
        <v>Arnaud</v>
      </c>
      <c r="G85" s="50" t="str">
        <f>IF(Coureurs!J85="","",Coureurs!J85)</f>
        <v/>
      </c>
      <c r="H85" s="25"/>
      <c r="I85" s="41"/>
      <c r="J85" s="8" t="str">
        <f>IF(I85="PM","",IF(H85=0," ",I85-HLOOKUP('Course 3'!H85,'tab3'!$C$3:$N$4,2)))</f>
        <v xml:space="preserve"> </v>
      </c>
      <c r="K85" s="23" t="str">
        <f>IF(I85="PM","",IF(H85=0," ",J85/'Règles et points'!$F$23))</f>
        <v xml:space="preserve"> </v>
      </c>
      <c r="L85" s="3" t="str">
        <f>IF(H85=0,"",IF(I85="PM",30,VLOOKUP(H85,'Règles et points'!$C$5:$AG$19,(HLOOKUP('Course 3'!C85,'Règles et points'!$C$5:$AG$5,1)+1))))</f>
        <v/>
      </c>
      <c r="M85" s="23">
        <f t="shared" si="2"/>
        <v>0</v>
      </c>
      <c r="N85" s="80"/>
      <c r="O85" s="51"/>
      <c r="P85" s="52"/>
    </row>
    <row r="86" spans="2:16" ht="12.75">
      <c r="B86" s="14">
        <v>82</v>
      </c>
      <c r="C86" s="28">
        <f>IF(Coureurs!C86="","",Coureurs!C86)</f>
        <v>16</v>
      </c>
      <c r="D86" s="131" t="str">
        <f>IF(Coureurs!D86="","",Coureurs!D86)</f>
        <v>H10</v>
      </c>
      <c r="E86" s="87" t="str">
        <f>IF(Coureurs!F86="","",Coureurs!F86)</f>
        <v>DELABROYE DUCROQ</v>
      </c>
      <c r="F86" s="87" t="str">
        <f>IF(Coureurs!G86="","",Coureurs!G86)</f>
        <v>Adam</v>
      </c>
      <c r="G86" s="50" t="str">
        <f>IF(Coureurs!J86="","",Coureurs!J86)</f>
        <v/>
      </c>
      <c r="H86" s="25"/>
      <c r="I86" s="41"/>
      <c r="J86" s="8" t="str">
        <f>IF(I86="PM","",IF(H86=0," ",I86-HLOOKUP('Course 3'!H86,'tab3'!$C$3:$N$4,2)))</f>
        <v xml:space="preserve"> </v>
      </c>
      <c r="K86" s="23" t="str">
        <f>IF(I86="PM","",IF(H86=0," ",J86/'Règles et points'!$F$23))</f>
        <v xml:space="preserve"> </v>
      </c>
      <c r="L86" s="3" t="str">
        <f>IF(H86=0,"",IF(I86="PM",30,VLOOKUP(H86,'Règles et points'!$C$5:$AG$19,(HLOOKUP('Course 3'!C86,'Règles et points'!$C$5:$AG$5,1)+1))))</f>
        <v/>
      </c>
      <c r="M86" s="23">
        <f t="shared" si="2"/>
        <v>0</v>
      </c>
      <c r="N86" s="80"/>
      <c r="O86" s="51"/>
      <c r="P86" s="52"/>
    </row>
    <row r="87" spans="2:16" ht="12.75">
      <c r="B87" s="14">
        <v>83</v>
      </c>
      <c r="C87" s="28">
        <f>IF(Coureurs!C87="","",Coureurs!C87)</f>
        <v>18</v>
      </c>
      <c r="D87" s="131" t="str">
        <f>IF(Coureurs!D87="","",Coureurs!D87)</f>
        <v>H14</v>
      </c>
      <c r="E87" s="87" t="str">
        <f>IF(Coureurs!F87="","",Coureurs!F87)</f>
        <v>RICHARD</v>
      </c>
      <c r="F87" s="87" t="str">
        <f>IF(Coureurs!G87="","",Coureurs!G87)</f>
        <v>Mathis</v>
      </c>
      <c r="G87" s="50">
        <f>IF(Coureurs!J87="","",Coureurs!J87)</f>
        <v>2311186</v>
      </c>
      <c r="H87" s="25"/>
      <c r="I87" s="41"/>
      <c r="J87" s="8" t="str">
        <f>IF(I87="PM","",IF(H87=0," ",I87-HLOOKUP('Course 3'!H87,'tab3'!$C$3:$N$4,2)))</f>
        <v xml:space="preserve"> </v>
      </c>
      <c r="K87" s="23" t="str">
        <f>IF(I87="PM","",IF(H87=0," ",J87/'Règles et points'!$F$23))</f>
        <v xml:space="preserve"> </v>
      </c>
      <c r="L87" s="3" t="str">
        <f>IF(H87=0,"",IF(I87="PM",30,VLOOKUP(H87,'Règles et points'!$C$5:$AG$19,(HLOOKUP('Course 3'!C87,'Règles et points'!$C$5:$AG$5,1)+1))))</f>
        <v/>
      </c>
      <c r="M87" s="23">
        <f t="shared" si="2"/>
        <v>0</v>
      </c>
      <c r="N87" s="80"/>
      <c r="O87" s="51"/>
      <c r="P87" s="52"/>
    </row>
    <row r="88" spans="2:16" ht="12.75">
      <c r="B88" s="14">
        <v>84</v>
      </c>
      <c r="C88" s="28">
        <f>IF(Coureurs!C88="","",Coureurs!C88)</f>
        <v>9</v>
      </c>
      <c r="D88" s="131" t="str">
        <f>IF(Coureurs!D88="","",Coureurs!D88)</f>
        <v>D40</v>
      </c>
      <c r="E88" s="87" t="str">
        <f>IF(Coureurs!F88="","",Coureurs!F88)</f>
        <v>COQUET</v>
      </c>
      <c r="F88" s="87" t="str">
        <f>IF(Coureurs!G88="","",Coureurs!G88)</f>
        <v>Coralie</v>
      </c>
      <c r="G88" s="50" t="str">
        <f>IF(Coureurs!J88="","",Coureurs!J88)</f>
        <v/>
      </c>
      <c r="H88" s="25"/>
      <c r="I88" s="41"/>
      <c r="J88" s="8" t="str">
        <f>IF(I88="PM","",IF(H88=0," ",I88-HLOOKUP('Course 3'!H88,'tab3'!$C$3:$N$4,2)))</f>
        <v xml:space="preserve"> </v>
      </c>
      <c r="K88" s="23" t="str">
        <f>IF(I88="PM","",IF(H88=0," ",J88/'Règles et points'!$F$23))</f>
        <v xml:space="preserve"> </v>
      </c>
      <c r="L88" s="3" t="str">
        <f>IF(H88=0,"",IF(I88="PM",30,VLOOKUP(H88,'Règles et points'!$C$5:$AG$19,(HLOOKUP('Course 3'!C88,'Règles et points'!$C$5:$AG$5,1)+1))))</f>
        <v/>
      </c>
      <c r="M88" s="23">
        <f t="shared" si="2"/>
        <v>0</v>
      </c>
      <c r="N88" s="80"/>
      <c r="O88" s="51"/>
      <c r="P88" s="52"/>
    </row>
    <row r="89" spans="2:16" ht="12.75">
      <c r="B89" s="14">
        <v>85</v>
      </c>
      <c r="C89" s="28">
        <f>IF(Coureurs!C89="","",Coureurs!C89)</f>
        <v>17</v>
      </c>
      <c r="D89" s="131" t="str">
        <f>IF(Coureurs!D89="","",Coureurs!D89)</f>
        <v>H12</v>
      </c>
      <c r="E89" s="87" t="str">
        <f>IF(Coureurs!F89="","",Coureurs!F89)</f>
        <v>MONTACIE</v>
      </c>
      <c r="F89" s="87" t="str">
        <f>IF(Coureurs!G89="","",Coureurs!G89)</f>
        <v>Victor</v>
      </c>
      <c r="G89" s="50">
        <f>IF(Coureurs!J89="","",Coureurs!J89)</f>
        <v>2150417</v>
      </c>
      <c r="H89" s="25"/>
      <c r="I89" s="41"/>
      <c r="J89" s="8" t="str">
        <f>IF(I89="PM","",IF(H89=0," ",I89-HLOOKUP('Course 3'!H89,'tab3'!$C$3:$N$4,2)))</f>
        <v xml:space="preserve"> </v>
      </c>
      <c r="K89" s="23" t="str">
        <f>IF(I89="PM","",IF(H89=0," ",J89/'Règles et points'!$F$23))</f>
        <v xml:space="preserve"> </v>
      </c>
      <c r="L89" s="3" t="str">
        <f>IF(H89=0,"",IF(I89="PM",30,VLOOKUP(H89,'Règles et points'!$C$5:$AG$19,(HLOOKUP('Course 3'!C89,'Règles et points'!$C$5:$AG$5,1)+1))))</f>
        <v/>
      </c>
      <c r="M89" s="23">
        <f t="shared" si="2"/>
        <v>0</v>
      </c>
      <c r="N89" s="80"/>
      <c r="O89" s="51"/>
      <c r="P89" s="52"/>
    </row>
    <row r="90" spans="2:16" ht="12.75">
      <c r="B90" s="14">
        <v>86</v>
      </c>
      <c r="C90" s="28">
        <f>IF(Coureurs!C90="","",Coureurs!C90)</f>
        <v>19</v>
      </c>
      <c r="D90" s="131" t="str">
        <f>IF(Coureurs!D90="","",Coureurs!D90)</f>
        <v>H16</v>
      </c>
      <c r="E90" s="87" t="str">
        <f>IF(Coureurs!F90="","",Coureurs!F90)</f>
        <v>MEUNIER</v>
      </c>
      <c r="F90" s="87" t="str">
        <f>IF(Coureurs!G90="","",Coureurs!G90)</f>
        <v>Hadrien</v>
      </c>
      <c r="G90" s="50">
        <f>IF(Coureurs!J90="","",Coureurs!J90)</f>
        <v>2144316</v>
      </c>
      <c r="H90" s="25"/>
      <c r="I90" s="41"/>
      <c r="J90" s="8" t="str">
        <f>IF(I90="PM","",IF(H90=0," ",I90-HLOOKUP('Course 3'!H90,'tab3'!$C$3:$N$4,2)))</f>
        <v xml:space="preserve"> </v>
      </c>
      <c r="K90" s="23" t="str">
        <f>IF(I90="PM","",IF(H90=0," ",J90/'Règles et points'!$F$23))</f>
        <v xml:space="preserve"> </v>
      </c>
      <c r="L90" s="3" t="str">
        <f>IF(H90=0,"",IF(I90="PM",30,VLOOKUP(H90,'Règles et points'!$C$5:$AG$19,(HLOOKUP('Course 3'!C90,'Règles et points'!$C$5:$AG$5,1)+1))))</f>
        <v/>
      </c>
      <c r="M90" s="23">
        <f t="shared" si="2"/>
        <v>0</v>
      </c>
      <c r="N90" s="80"/>
      <c r="O90" s="51"/>
      <c r="P90" s="52"/>
    </row>
    <row r="91" spans="2:16" ht="12.75">
      <c r="B91" s="14">
        <v>87</v>
      </c>
      <c r="C91" s="28">
        <f>IF(Coureurs!C91="","",Coureurs!C91)</f>
        <v>10</v>
      </c>
      <c r="D91" s="131" t="str">
        <f>IF(Coureurs!D91="","",Coureurs!D91)</f>
        <v>D45</v>
      </c>
      <c r="E91" s="87" t="str">
        <f>IF(Coureurs!F91="","",Coureurs!F91)</f>
        <v>SNELLMAN</v>
      </c>
      <c r="F91" s="87" t="str">
        <f>IF(Coureurs!G91="","",Coureurs!G91)</f>
        <v>Kaisa</v>
      </c>
      <c r="G91" s="50" t="str">
        <f>IF(Coureurs!J91="","",Coureurs!J91)</f>
        <v/>
      </c>
      <c r="H91" s="25"/>
      <c r="I91" s="41"/>
      <c r="J91" s="8" t="str">
        <f>IF(I91="PM","",IF(H91=0," ",I91-HLOOKUP('Course 3'!H91,'tab3'!$C$3:$N$4,2)))</f>
        <v xml:space="preserve"> </v>
      </c>
      <c r="K91" s="23" t="str">
        <f>IF(I91="PM","",IF(H91=0," ",J91/'Règles et points'!$F$23))</f>
        <v xml:space="preserve"> </v>
      </c>
      <c r="L91" s="3" t="str">
        <f>IF(H91=0,"",IF(I91="PM",30,VLOOKUP(H91,'Règles et points'!$C$5:$AG$19,(HLOOKUP('Course 3'!C91,'Règles et points'!$C$5:$AG$5,1)+1))))</f>
        <v/>
      </c>
      <c r="M91" s="23">
        <f t="shared" si="2"/>
        <v>0</v>
      </c>
      <c r="N91" s="80"/>
      <c r="O91" s="51"/>
      <c r="P91" s="52"/>
    </row>
    <row r="92" spans="2:16" ht="12.75">
      <c r="B92" s="14">
        <v>88</v>
      </c>
      <c r="C92" s="28" t="e">
        <f>IF(Coureurs!C92="","",Coureurs!C92)</f>
        <v>#N/A</v>
      </c>
      <c r="D92" s="131" t="str">
        <f>IF(Coureurs!D92="","",Coureurs!D92)</f>
        <v>70</v>
      </c>
      <c r="E92" s="87" t="str">
        <f>IF(Coureurs!F92="","",Coureurs!F92)</f>
        <v/>
      </c>
      <c r="F92" s="87" t="str">
        <f>IF(Coureurs!G92="","",Coureurs!G92)</f>
        <v/>
      </c>
      <c r="G92" s="50" t="str">
        <f>IF(Coureurs!J92="","",Coureurs!J92)</f>
        <v/>
      </c>
      <c r="H92" s="25"/>
      <c r="I92" s="41"/>
      <c r="J92" s="8" t="str">
        <f>IF(I92="PM","",IF(H92=0," ",I92-HLOOKUP('Course 3'!H92,'tab3'!$C$3:$N$4,2)))</f>
        <v xml:space="preserve"> </v>
      </c>
      <c r="K92" s="23" t="str">
        <f>IF(I92="PM","",IF(H92=0," ",J92/'Règles et points'!$F$23))</f>
        <v xml:space="preserve"> </v>
      </c>
      <c r="L92" s="3" t="str">
        <f>IF(H92=0,"",IF(I92="PM",30,VLOOKUP(H92,'Règles et points'!$C$5:$AG$19,(HLOOKUP('Course 3'!C92,'Règles et points'!$C$5:$AG$5,1)+1))))</f>
        <v/>
      </c>
      <c r="M92" s="23">
        <f t="shared" si="2"/>
        <v>0</v>
      </c>
      <c r="N92" s="80"/>
      <c r="O92" s="51"/>
      <c r="P92" s="52"/>
    </row>
    <row r="93" spans="2:16" ht="12.75">
      <c r="B93" s="14">
        <v>89</v>
      </c>
      <c r="C93" s="28" t="e">
        <f>IF(Coureurs!C93="","",Coureurs!C93)</f>
        <v>#N/A</v>
      </c>
      <c r="D93" s="131" t="str">
        <f>IF(Coureurs!D93="","",Coureurs!D93)</f>
        <v>70</v>
      </c>
      <c r="E93" s="87" t="str">
        <f>IF(Coureurs!F93="","",Coureurs!F93)</f>
        <v/>
      </c>
      <c r="F93" s="87" t="str">
        <f>IF(Coureurs!G93="","",Coureurs!G93)</f>
        <v/>
      </c>
      <c r="G93" s="50" t="str">
        <f>IF(Coureurs!J93="","",Coureurs!J93)</f>
        <v/>
      </c>
      <c r="H93" s="25"/>
      <c r="I93" s="41"/>
      <c r="J93" s="8" t="str">
        <f>IF(I93="PM","",IF(H93=0," ",I93-HLOOKUP('Course 3'!H93,'tab3'!$C$3:$N$4,2)))</f>
        <v xml:space="preserve"> </v>
      </c>
      <c r="K93" s="23" t="str">
        <f>IF(I93="PM","",IF(H93=0," ",J93/'Règles et points'!$F$23))</f>
        <v xml:space="preserve"> </v>
      </c>
      <c r="L93" s="3" t="str">
        <f>IF(H93=0,"",IF(I93="PM",30,VLOOKUP(H93,'Règles et points'!$C$5:$AG$19,(HLOOKUP('Course 3'!C93,'Règles et points'!$C$5:$AG$5,1)+1))))</f>
        <v/>
      </c>
      <c r="M93" s="23">
        <f t="shared" si="2"/>
        <v>0</v>
      </c>
      <c r="N93" s="80"/>
      <c r="O93" s="51"/>
      <c r="P93" s="52"/>
    </row>
    <row r="94" spans="2:16" ht="12.75">
      <c r="B94" s="14">
        <v>90</v>
      </c>
      <c r="C94" s="28" t="e">
        <f>IF(Coureurs!C94="","",Coureurs!C94)</f>
        <v>#N/A</v>
      </c>
      <c r="D94" s="131" t="str">
        <f>IF(Coureurs!D94="","",Coureurs!D94)</f>
        <v>70</v>
      </c>
      <c r="E94" s="87" t="str">
        <f>IF(Coureurs!F94="","",Coureurs!F94)</f>
        <v/>
      </c>
      <c r="F94" s="87" t="str">
        <f>IF(Coureurs!G94="","",Coureurs!G94)</f>
        <v/>
      </c>
      <c r="G94" s="50" t="str">
        <f>IF(Coureurs!J94="","",Coureurs!J94)</f>
        <v/>
      </c>
      <c r="H94" s="25"/>
      <c r="I94" s="41"/>
      <c r="J94" s="8" t="str">
        <f>IF(I94="PM","",IF(H94=0," ",I94-HLOOKUP('Course 3'!H94,'tab3'!$C$3:$N$4,2)))</f>
        <v xml:space="preserve"> </v>
      </c>
      <c r="K94" s="23" t="str">
        <f>IF(I94="PM","",IF(H94=0," ",J94/'Règles et points'!$F$23))</f>
        <v xml:space="preserve"> </v>
      </c>
      <c r="L94" s="3" t="str">
        <f>IF(H94=0,"",IF(I94="PM",30,VLOOKUP(H94,'Règles et points'!$C$5:$AG$19,(HLOOKUP('Course 3'!C94,'Règles et points'!$C$5:$AG$5,1)+1))))</f>
        <v/>
      </c>
      <c r="M94" s="23">
        <f t="shared" si="2"/>
        <v>0</v>
      </c>
      <c r="N94" s="80"/>
      <c r="O94" s="51"/>
      <c r="P94" s="52"/>
    </row>
    <row r="95" spans="2:16" ht="12.75">
      <c r="B95" s="14">
        <v>91</v>
      </c>
      <c r="C95" s="28" t="e">
        <f>IF(Coureurs!C95="","",Coureurs!C95)</f>
        <v>#N/A</v>
      </c>
      <c r="D95" s="131" t="str">
        <f>IF(Coureurs!D95="","",Coureurs!D95)</f>
        <v>70</v>
      </c>
      <c r="E95" s="87" t="str">
        <f>IF(Coureurs!F95="","",Coureurs!F95)</f>
        <v/>
      </c>
      <c r="F95" s="87" t="str">
        <f>IF(Coureurs!G95="","",Coureurs!G95)</f>
        <v/>
      </c>
      <c r="G95" s="50" t="str">
        <f>IF(Coureurs!J95="","",Coureurs!J95)</f>
        <v/>
      </c>
      <c r="H95" s="25"/>
      <c r="I95" s="41"/>
      <c r="J95" s="8" t="str">
        <f>IF(I95="PM","",IF(H95=0," ",I95-HLOOKUP('Course 3'!H95,'tab3'!$C$3:$N$4,2)))</f>
        <v xml:space="preserve"> </v>
      </c>
      <c r="K95" s="23" t="str">
        <f>IF(I95="PM","",IF(H95=0," ",J95/'Règles et points'!$F$23))</f>
        <v xml:space="preserve"> </v>
      </c>
      <c r="L95" s="3" t="str">
        <f>IF(H95=0,"",IF(I95="PM",30,VLOOKUP(H95,'Règles et points'!$C$5:$AG$19,(HLOOKUP('Course 3'!C95,'Règles et points'!$C$5:$AG$5,1)+1))))</f>
        <v/>
      </c>
      <c r="M95" s="23">
        <f t="shared" si="2"/>
        <v>0</v>
      </c>
      <c r="N95" s="80"/>
      <c r="O95" s="51"/>
      <c r="P95" s="52"/>
    </row>
    <row r="96" spans="2:16" ht="12.75">
      <c r="B96" s="14">
        <v>92</v>
      </c>
      <c r="C96" s="28" t="e">
        <f>IF(Coureurs!C96="","",Coureurs!C96)</f>
        <v>#N/A</v>
      </c>
      <c r="D96" s="131" t="str">
        <f>IF(Coureurs!D96="","",Coureurs!D96)</f>
        <v>70</v>
      </c>
      <c r="E96" s="87" t="str">
        <f>IF(Coureurs!F96="","",Coureurs!F96)</f>
        <v/>
      </c>
      <c r="F96" s="87" t="str">
        <f>IF(Coureurs!G96="","",Coureurs!G96)</f>
        <v/>
      </c>
      <c r="G96" s="50" t="str">
        <f>IF(Coureurs!J96="","",Coureurs!J96)</f>
        <v/>
      </c>
      <c r="H96" s="25"/>
      <c r="I96" s="41"/>
      <c r="J96" s="8" t="str">
        <f>IF(I96="PM","",IF(H96=0," ",I96-HLOOKUP('Course 3'!H96,'tab3'!$C$3:$N$4,2)))</f>
        <v xml:space="preserve"> </v>
      </c>
      <c r="K96" s="23" t="str">
        <f>IF(I96="PM","",IF(H96=0," ",J96/'Règles et points'!$F$23))</f>
        <v xml:space="preserve"> </v>
      </c>
      <c r="L96" s="3" t="str">
        <f>IF(H96=0,"",IF(I96="PM",30,VLOOKUP(H96,'Règles et points'!$C$5:$AG$19,(HLOOKUP('Course 3'!C96,'Règles et points'!$C$5:$AG$5,1)+1))))</f>
        <v/>
      </c>
      <c r="M96" s="23">
        <f t="shared" si="2"/>
        <v>0</v>
      </c>
      <c r="N96" s="80"/>
      <c r="O96" s="51"/>
      <c r="P96" s="52"/>
    </row>
    <row r="97" spans="2:16" ht="12.75">
      <c r="B97" s="14">
        <v>93</v>
      </c>
      <c r="C97" s="28" t="e">
        <f>IF(Coureurs!C97="","",Coureurs!C97)</f>
        <v>#N/A</v>
      </c>
      <c r="D97" s="131" t="str">
        <f>IF(Coureurs!D97="","",Coureurs!D97)</f>
        <v>70</v>
      </c>
      <c r="E97" s="87" t="str">
        <f>IF(Coureurs!F97="","",Coureurs!F97)</f>
        <v/>
      </c>
      <c r="F97" s="87" t="str">
        <f>IF(Coureurs!G97="","",Coureurs!G97)</f>
        <v/>
      </c>
      <c r="G97" s="50" t="str">
        <f>IF(Coureurs!J97="","",Coureurs!J97)</f>
        <v/>
      </c>
      <c r="H97" s="25"/>
      <c r="I97" s="41"/>
      <c r="J97" s="8" t="str">
        <f>IF(I97="PM","",IF(H97=0," ",I97-HLOOKUP('Course 3'!H97,'tab3'!$C$3:$N$4,2)))</f>
        <v xml:space="preserve"> </v>
      </c>
      <c r="K97" s="23" t="str">
        <f>IF(I97="PM","",IF(H97=0," ",J97/'Règles et points'!$F$23))</f>
        <v xml:space="preserve"> </v>
      </c>
      <c r="L97" s="3" t="str">
        <f>IF(H97=0,"",IF(I97="PM",30,VLOOKUP(H97,'Règles et points'!$C$5:$AG$19,(HLOOKUP('Course 3'!C97,'Règles et points'!$C$5:$AG$5,1)+1))))</f>
        <v/>
      </c>
      <c r="M97" s="23">
        <f t="shared" si="2"/>
        <v>0</v>
      </c>
      <c r="N97" s="80"/>
      <c r="O97" s="51"/>
      <c r="P97" s="52"/>
    </row>
    <row r="98" spans="2:16" ht="12.75">
      <c r="B98" s="14">
        <v>94</v>
      </c>
      <c r="C98" s="28" t="e">
        <f>IF(Coureurs!C98="","",Coureurs!C98)</f>
        <v>#N/A</v>
      </c>
      <c r="D98" s="131" t="str">
        <f>IF(Coureurs!D98="","",Coureurs!D98)</f>
        <v>70</v>
      </c>
      <c r="E98" s="87" t="str">
        <f>IF(Coureurs!F98="","",Coureurs!F98)</f>
        <v/>
      </c>
      <c r="F98" s="87" t="str">
        <f>IF(Coureurs!G98="","",Coureurs!G98)</f>
        <v/>
      </c>
      <c r="G98" s="50" t="str">
        <f>IF(Coureurs!J98="","",Coureurs!J98)</f>
        <v/>
      </c>
      <c r="H98" s="25"/>
      <c r="I98" s="41"/>
      <c r="J98" s="8" t="str">
        <f>IF(I98="PM","",IF(H98=0," ",I98-HLOOKUP('Course 3'!H98,'tab3'!$C$3:$N$4,2)))</f>
        <v xml:space="preserve"> </v>
      </c>
      <c r="K98" s="23" t="str">
        <f>IF(I98="PM","",IF(H98=0," ",J98/'Règles et points'!$F$23))</f>
        <v xml:space="preserve"> </v>
      </c>
      <c r="L98" s="3" t="str">
        <f>IF(H98=0,"",IF(I98="PM",30,VLOOKUP(H98,'Règles et points'!$C$5:$AG$19,(HLOOKUP('Course 3'!C98,'Règles et points'!$C$5:$AG$5,1)+1))))</f>
        <v/>
      </c>
      <c r="M98" s="23">
        <f t="shared" si="2"/>
        <v>0</v>
      </c>
      <c r="N98" s="80"/>
      <c r="O98" s="51"/>
      <c r="P98" s="52"/>
    </row>
    <row r="99" spans="2:16" ht="12.75">
      <c r="B99" s="14">
        <v>95</v>
      </c>
      <c r="C99" s="28" t="e">
        <f>IF(Coureurs!C99="","",Coureurs!C99)</f>
        <v>#N/A</v>
      </c>
      <c r="D99" s="131" t="str">
        <f>IF(Coureurs!D99="","",Coureurs!D99)</f>
        <v>70</v>
      </c>
      <c r="E99" s="87" t="str">
        <f>IF(Coureurs!F99="","",Coureurs!F99)</f>
        <v/>
      </c>
      <c r="F99" s="87" t="str">
        <f>IF(Coureurs!G99="","",Coureurs!G99)</f>
        <v/>
      </c>
      <c r="G99" s="50" t="str">
        <f>IF(Coureurs!J99="","",Coureurs!J99)</f>
        <v/>
      </c>
      <c r="H99" s="25"/>
      <c r="I99" s="41"/>
      <c r="J99" s="8" t="str">
        <f>IF(I99="PM","",IF(H99=0," ",I99-HLOOKUP('Course 3'!H99,'tab3'!$C$3:$N$4,2)))</f>
        <v xml:space="preserve"> </v>
      </c>
      <c r="K99" s="23" t="str">
        <f>IF(I99="PM","",IF(H99=0," ",J99/'Règles et points'!$F$23))</f>
        <v xml:space="preserve"> </v>
      </c>
      <c r="L99" s="3" t="str">
        <f>IF(H99=0,"",IF(I99="PM",30,VLOOKUP(H99,'Règles et points'!$C$5:$AG$19,(HLOOKUP('Course 3'!C99,'Règles et points'!$C$5:$AG$5,1)+1))))</f>
        <v/>
      </c>
      <c r="M99" s="23">
        <f t="shared" si="2"/>
        <v>0</v>
      </c>
      <c r="N99" s="80"/>
      <c r="O99" s="51"/>
      <c r="P99" s="52"/>
    </row>
    <row r="100" spans="2:16" ht="12.75">
      <c r="B100" s="14">
        <v>96</v>
      </c>
      <c r="C100" s="28" t="e">
        <f>IF(Coureurs!C100="","",Coureurs!C100)</f>
        <v>#N/A</v>
      </c>
      <c r="D100" s="131" t="str">
        <f>IF(Coureurs!D100="","",Coureurs!D100)</f>
        <v>70</v>
      </c>
      <c r="E100" s="87" t="str">
        <f>IF(Coureurs!F100="","",Coureurs!F100)</f>
        <v/>
      </c>
      <c r="F100" s="87" t="str">
        <f>IF(Coureurs!G100="","",Coureurs!G100)</f>
        <v/>
      </c>
      <c r="G100" s="50" t="str">
        <f>IF(Coureurs!J100="","",Coureurs!J100)</f>
        <v/>
      </c>
      <c r="H100" s="25"/>
      <c r="I100" s="41"/>
      <c r="J100" s="8" t="str">
        <f>IF(I100="PM","",IF(H100=0," ",I100-HLOOKUP('Course 3'!H100,'tab3'!$C$3:$N$4,2)))</f>
        <v xml:space="preserve"> </v>
      </c>
      <c r="K100" s="23" t="str">
        <f>IF(I100="PM","",IF(H100=0," ",J100/'Règles et points'!$F$23))</f>
        <v xml:space="preserve"> </v>
      </c>
      <c r="L100" s="3" t="str">
        <f>IF(H100=0,"",IF(I100="PM",30,VLOOKUP(H100,'Règles et points'!$C$5:$AG$19,(HLOOKUP('Course 3'!C100,'Règles et points'!$C$5:$AG$5,1)+1))))</f>
        <v/>
      </c>
      <c r="M100" s="23">
        <f t="shared" si="2"/>
        <v>0</v>
      </c>
      <c r="N100" s="80"/>
      <c r="O100" s="51"/>
      <c r="P100" s="52"/>
    </row>
    <row r="101" spans="2:16" ht="12.75">
      <c r="B101" s="14">
        <v>97</v>
      </c>
      <c r="C101" s="28" t="e">
        <f>IF(Coureurs!C101="","",Coureurs!C101)</f>
        <v>#N/A</v>
      </c>
      <c r="D101" s="131" t="str">
        <f>IF(Coureurs!D101="","",Coureurs!D101)</f>
        <v>70</v>
      </c>
      <c r="E101" s="87" t="str">
        <f>IF(Coureurs!F101="","",Coureurs!F101)</f>
        <v/>
      </c>
      <c r="F101" s="87" t="str">
        <f>IF(Coureurs!G101="","",Coureurs!G101)</f>
        <v/>
      </c>
      <c r="G101" s="50" t="str">
        <f>IF(Coureurs!J101="","",Coureurs!J101)</f>
        <v/>
      </c>
      <c r="H101" s="25"/>
      <c r="I101" s="41"/>
      <c r="J101" s="8" t="str">
        <f>IF(I101="PM","",IF(H101=0," ",I101-HLOOKUP('Course 3'!H101,'tab3'!$C$3:$N$4,2)))</f>
        <v xml:space="preserve"> </v>
      </c>
      <c r="K101" s="23" t="str">
        <f>IF(I101="PM","",IF(H101=0," ",J101/'Règles et points'!$F$23))</f>
        <v xml:space="preserve"> </v>
      </c>
      <c r="L101" s="3" t="str">
        <f>IF(H101=0,"",IF(I101="PM",30,VLOOKUP(H101,'Règles et points'!$C$5:$AG$19,(HLOOKUP('Course 3'!C101,'Règles et points'!$C$5:$AG$5,1)+1))))</f>
        <v/>
      </c>
      <c r="M101" s="23">
        <f t="shared" si="2"/>
        <v>0</v>
      </c>
      <c r="N101" s="80"/>
      <c r="O101" s="51"/>
      <c r="P101" s="52"/>
    </row>
    <row r="102" spans="2:16" ht="12.75">
      <c r="B102" s="14">
        <v>98</v>
      </c>
      <c r="C102" s="28" t="e">
        <f>IF(Coureurs!C102="","",Coureurs!C102)</f>
        <v>#N/A</v>
      </c>
      <c r="D102" s="131" t="str">
        <f>IF(Coureurs!D102="","",Coureurs!D102)</f>
        <v>70</v>
      </c>
      <c r="E102" s="87" t="str">
        <f>IF(Coureurs!F102="","",Coureurs!F102)</f>
        <v/>
      </c>
      <c r="F102" s="87" t="str">
        <f>IF(Coureurs!G102="","",Coureurs!G102)</f>
        <v/>
      </c>
      <c r="G102" s="50" t="str">
        <f>IF(Coureurs!J102="","",Coureurs!J102)</f>
        <v/>
      </c>
      <c r="H102" s="25"/>
      <c r="I102" s="41"/>
      <c r="J102" s="8" t="str">
        <f>IF(I102="PM","",IF(H102=0," ",I102-HLOOKUP('Course 3'!H102,'tab3'!$C$3:$N$4,2)))</f>
        <v xml:space="preserve"> </v>
      </c>
      <c r="K102" s="23" t="str">
        <f>IF(I102="PM","",IF(H102=0," ",J102/'Règles et points'!$F$23))</f>
        <v xml:space="preserve"> </v>
      </c>
      <c r="L102" s="3" t="str">
        <f>IF(H102=0,"",IF(I102="PM",30,VLOOKUP(H102,'Règles et points'!$C$5:$AG$19,(HLOOKUP('Course 3'!C102,'Règles et points'!$C$5:$AG$5,1)+1))))</f>
        <v/>
      </c>
      <c r="M102" s="23">
        <f t="shared" si="2"/>
        <v>0</v>
      </c>
      <c r="N102" s="80"/>
      <c r="O102" s="51"/>
      <c r="P102" s="52"/>
    </row>
    <row r="103" spans="2:16" ht="12.75">
      <c r="B103" s="14">
        <v>99</v>
      </c>
      <c r="C103" s="28" t="e">
        <f>IF(Coureurs!C103="","",Coureurs!C103)</f>
        <v>#N/A</v>
      </c>
      <c r="D103" s="131" t="str">
        <f>IF(Coureurs!D103="","",Coureurs!D103)</f>
        <v>70</v>
      </c>
      <c r="E103" s="87" t="str">
        <f>IF(Coureurs!F103="","",Coureurs!F103)</f>
        <v/>
      </c>
      <c r="F103" s="87" t="str">
        <f>IF(Coureurs!G103="","",Coureurs!G103)</f>
        <v/>
      </c>
      <c r="G103" s="50" t="str">
        <f>IF(Coureurs!J103="","",Coureurs!J103)</f>
        <v/>
      </c>
      <c r="H103" s="25"/>
      <c r="I103" s="41"/>
      <c r="J103" s="8" t="str">
        <f>IF(I103="PM","",IF(H103=0," ",I103-HLOOKUP('Course 3'!H103,'tab3'!$C$3:$N$4,2)))</f>
        <v xml:space="preserve"> </v>
      </c>
      <c r="K103" s="23" t="str">
        <f>IF(I103="PM","",IF(H103=0," ",J103/'Règles et points'!$F$23))</f>
        <v xml:space="preserve"> </v>
      </c>
      <c r="L103" s="3" t="str">
        <f>IF(H103=0,"",IF(I103="PM",30,VLOOKUP(H103,'Règles et points'!$C$5:$AG$19,(HLOOKUP('Course 3'!C103,'Règles et points'!$C$5:$AG$5,1)+1))))</f>
        <v/>
      </c>
      <c r="M103" s="23">
        <f t="shared" si="2"/>
        <v>0</v>
      </c>
      <c r="N103" s="80"/>
      <c r="O103" s="51"/>
      <c r="P103" s="52"/>
    </row>
    <row r="104" spans="2:16" ht="12.75">
      <c r="B104" s="14">
        <v>100</v>
      </c>
      <c r="C104" s="28" t="e">
        <f>IF(Coureurs!C104="","",Coureurs!C104)</f>
        <v>#N/A</v>
      </c>
      <c r="D104" s="131" t="str">
        <f>IF(Coureurs!D104="","",Coureurs!D104)</f>
        <v>70</v>
      </c>
      <c r="E104" s="87" t="str">
        <f>IF(Coureurs!F104="","",Coureurs!F104)</f>
        <v/>
      </c>
      <c r="F104" s="87" t="str">
        <f>IF(Coureurs!G104="","",Coureurs!G104)</f>
        <v/>
      </c>
      <c r="G104" s="50" t="str">
        <f>IF(Coureurs!J104="","",Coureurs!J104)</f>
        <v/>
      </c>
      <c r="H104" s="25"/>
      <c r="I104" s="41"/>
      <c r="J104" s="8" t="str">
        <f>IF(I104="PM","",IF(H104=0," ",I104-HLOOKUP('Course 3'!H104,'tab3'!$C$3:$N$4,2)))</f>
        <v xml:space="preserve"> </v>
      </c>
      <c r="K104" s="23" t="str">
        <f>IF(I104="PM","",IF(H104=0," ",J104/'Règles et points'!$F$23))</f>
        <v xml:space="preserve"> </v>
      </c>
      <c r="L104" s="3" t="str">
        <f>IF(H104=0,"",IF(I104="PM",30,VLOOKUP(H104,'Règles et points'!$C$5:$AG$19,(HLOOKUP('Course 3'!C104,'Règles et points'!$C$5:$AG$5,1)+1))))</f>
        <v/>
      </c>
      <c r="M104" s="23">
        <f t="shared" si="2"/>
        <v>0</v>
      </c>
      <c r="N104" s="80"/>
      <c r="O104" s="51"/>
      <c r="P104" s="52"/>
    </row>
    <row r="105" spans="2:16" ht="12.75">
      <c r="B105" s="14">
        <v>101</v>
      </c>
      <c r="C105" s="28" t="e">
        <f>IF(Coureurs!C105="","",Coureurs!C105)</f>
        <v>#N/A</v>
      </c>
      <c r="D105" s="131" t="str">
        <f>IF(Coureurs!D105="","",Coureurs!D105)</f>
        <v>70</v>
      </c>
      <c r="E105" s="87" t="str">
        <f>IF(Coureurs!F105="","",Coureurs!F105)</f>
        <v/>
      </c>
      <c r="F105" s="87" t="str">
        <f>IF(Coureurs!G105="","",Coureurs!G105)</f>
        <v/>
      </c>
      <c r="G105" s="50" t="str">
        <f>IF(Coureurs!J105="","",Coureurs!J105)</f>
        <v/>
      </c>
      <c r="H105" s="25"/>
      <c r="I105" s="41"/>
      <c r="J105" s="8" t="str">
        <f>IF(I105="PM","",IF(H105=0," ",I105-HLOOKUP('Course 3'!H105,'tab3'!$C$3:$N$4,2)))</f>
        <v xml:space="preserve"> </v>
      </c>
      <c r="K105" s="23" t="str">
        <f>IF(I105="PM","",IF(H105=0," ",J105/'Règles et points'!$F$23))</f>
        <v xml:space="preserve"> </v>
      </c>
      <c r="L105" s="3" t="str">
        <f>IF(H105=0,"",IF(I105="PM",30,VLOOKUP(H105,'Règles et points'!$C$5:$AG$19,(HLOOKUP('Course 3'!C105,'Règles et points'!$C$5:$AG$5,1)+1))))</f>
        <v/>
      </c>
      <c r="M105" s="23">
        <f t="shared" si="2"/>
        <v>0</v>
      </c>
      <c r="N105" s="80"/>
      <c r="O105" s="51"/>
      <c r="P105" s="52"/>
    </row>
    <row r="106" spans="2:16" ht="12.75">
      <c r="B106" s="14">
        <v>102</v>
      </c>
      <c r="C106" s="28" t="e">
        <f>IF(Coureurs!C106="","",Coureurs!C106)</f>
        <v>#N/A</v>
      </c>
      <c r="D106" s="131" t="str">
        <f>IF(Coureurs!D106="","",Coureurs!D106)</f>
        <v>70</v>
      </c>
      <c r="E106" s="87" t="str">
        <f>IF(Coureurs!F106="","",Coureurs!F106)</f>
        <v/>
      </c>
      <c r="F106" s="87" t="str">
        <f>IF(Coureurs!G106="","",Coureurs!G106)</f>
        <v/>
      </c>
      <c r="G106" s="50" t="str">
        <f>IF(Coureurs!J106="","",Coureurs!J106)</f>
        <v/>
      </c>
      <c r="H106" s="25"/>
      <c r="I106" s="41"/>
      <c r="J106" s="8" t="str">
        <f>IF(I106="PM","",IF(H106=0," ",I106-HLOOKUP('Course 3'!H106,'tab3'!$C$3:$N$4,2)))</f>
        <v xml:space="preserve"> </v>
      </c>
      <c r="K106" s="23" t="str">
        <f>IF(I106="PM","",IF(H106=0," ",J106/'Règles et points'!$F$23))</f>
        <v xml:space="preserve"> </v>
      </c>
      <c r="L106" s="3" t="str">
        <f>IF(H106=0,"",IF(I106="PM",30,VLOOKUP(H106,'Règles et points'!$C$5:$AG$19,(HLOOKUP('Course 3'!C106,'Règles et points'!$C$5:$AG$5,1)+1))))</f>
        <v/>
      </c>
      <c r="M106" s="23">
        <f t="shared" si="2"/>
        <v>0</v>
      </c>
      <c r="N106" s="80"/>
      <c r="O106" s="51"/>
      <c r="P106" s="52"/>
    </row>
    <row r="107" spans="2:16" ht="12.75">
      <c r="B107" s="14">
        <v>103</v>
      </c>
      <c r="C107" s="28" t="e">
        <f>IF(Coureurs!C107="","",Coureurs!C107)</f>
        <v>#N/A</v>
      </c>
      <c r="D107" s="131" t="str">
        <f>IF(Coureurs!D107="","",Coureurs!D107)</f>
        <v>70</v>
      </c>
      <c r="E107" s="87" t="str">
        <f>IF(Coureurs!F107="","",Coureurs!F107)</f>
        <v/>
      </c>
      <c r="F107" s="87" t="str">
        <f>IF(Coureurs!G107="","",Coureurs!G107)</f>
        <v/>
      </c>
      <c r="G107" s="50" t="str">
        <f>IF(Coureurs!J107="","",Coureurs!J107)</f>
        <v/>
      </c>
      <c r="H107" s="25"/>
      <c r="I107" s="41"/>
      <c r="J107" s="8" t="str">
        <f>IF(I107="PM","",IF(H107=0," ",I107-HLOOKUP('Course 3'!H107,'tab3'!$C$3:$N$4,2)))</f>
        <v xml:space="preserve"> </v>
      </c>
      <c r="K107" s="23" t="str">
        <f>IF(I107="PM","",IF(H107=0," ",J107/'Règles et points'!$F$23))</f>
        <v xml:space="preserve"> </v>
      </c>
      <c r="L107" s="3" t="str">
        <f>IF(H107=0,"",IF(I107="PM",30,VLOOKUP(H107,'Règles et points'!$C$5:$AG$19,(HLOOKUP('Course 3'!C107,'Règles et points'!$C$5:$AG$5,1)+1))))</f>
        <v/>
      </c>
      <c r="M107" s="23">
        <f t="shared" si="2"/>
        <v>0</v>
      </c>
      <c r="N107" s="80"/>
      <c r="O107" s="51"/>
      <c r="P107" s="52"/>
    </row>
    <row r="108" spans="2:16" ht="12.75">
      <c r="B108" s="14">
        <v>104</v>
      </c>
      <c r="C108" s="28" t="e">
        <f>IF(Coureurs!C108="","",Coureurs!C108)</f>
        <v>#N/A</v>
      </c>
      <c r="D108" s="131" t="str">
        <f>IF(Coureurs!D108="","",Coureurs!D108)</f>
        <v>70</v>
      </c>
      <c r="E108" s="87" t="str">
        <f>IF(Coureurs!F108="","",Coureurs!F108)</f>
        <v/>
      </c>
      <c r="F108" s="87" t="str">
        <f>IF(Coureurs!G108="","",Coureurs!G108)</f>
        <v/>
      </c>
      <c r="G108" s="50" t="str">
        <f>IF(Coureurs!J108="","",Coureurs!J108)</f>
        <v/>
      </c>
      <c r="H108" s="25"/>
      <c r="I108" s="41"/>
      <c r="J108" s="8" t="str">
        <f>IF(I108="PM","",IF(H108=0," ",I108-HLOOKUP('Course 3'!H108,'tab3'!$C$3:$N$4,2)))</f>
        <v xml:space="preserve"> </v>
      </c>
      <c r="K108" s="23" t="str">
        <f>IF(I108="PM","",IF(H108=0," ",J108/'Règles et points'!$F$23))</f>
        <v xml:space="preserve"> </v>
      </c>
      <c r="L108" s="3" t="str">
        <f>IF(H108=0,"",IF(I108="PM",30,VLOOKUP(H108,'Règles et points'!$C$5:$AG$19,(HLOOKUP('Course 3'!C108,'Règles et points'!$C$5:$AG$5,1)+1))))</f>
        <v/>
      </c>
      <c r="M108" s="23">
        <f t="shared" si="2"/>
        <v>0</v>
      </c>
      <c r="N108" s="80"/>
      <c r="O108" s="51"/>
      <c r="P108" s="52"/>
    </row>
    <row r="109" spans="2:16" ht="12.75">
      <c r="B109" s="14">
        <v>105</v>
      </c>
      <c r="C109" s="28" t="e">
        <f>IF(Coureurs!C109="","",Coureurs!C109)</f>
        <v>#N/A</v>
      </c>
      <c r="D109" s="131" t="str">
        <f>IF(Coureurs!D109="","",Coureurs!D109)</f>
        <v>70</v>
      </c>
      <c r="E109" s="87" t="str">
        <f>IF(Coureurs!F109="","",Coureurs!F109)</f>
        <v/>
      </c>
      <c r="F109" s="87" t="str">
        <f>IF(Coureurs!G109="","",Coureurs!G109)</f>
        <v/>
      </c>
      <c r="G109" s="50" t="str">
        <f>IF(Coureurs!J109="","",Coureurs!J109)</f>
        <v/>
      </c>
      <c r="H109" s="25"/>
      <c r="I109" s="41"/>
      <c r="J109" s="8" t="str">
        <f>IF(I109="PM","",IF(H109=0," ",I109-HLOOKUP('Course 3'!H109,'tab3'!$C$3:$N$4,2)))</f>
        <v xml:space="preserve"> </v>
      </c>
      <c r="K109" s="23" t="str">
        <f>IF(I109="PM","",IF(H109=0," ",J109/'Règles et points'!$F$23))</f>
        <v xml:space="preserve"> </v>
      </c>
      <c r="L109" s="3" t="str">
        <f>IF(H109=0,"",IF(I109="PM",30,VLOOKUP(H109,'Règles et points'!$C$5:$AG$19,(HLOOKUP('Course 3'!C109,'Règles et points'!$C$5:$AG$5,1)+1))))</f>
        <v/>
      </c>
      <c r="M109" s="23">
        <f t="shared" si="2"/>
        <v>0</v>
      </c>
      <c r="N109" s="80"/>
      <c r="O109" s="51"/>
      <c r="P109" s="52"/>
    </row>
    <row r="110" spans="2:16" ht="12.75">
      <c r="B110" s="14">
        <v>106</v>
      </c>
      <c r="C110" s="28" t="e">
        <f>IF(Coureurs!C110="","",Coureurs!C110)</f>
        <v>#N/A</v>
      </c>
      <c r="D110" s="131" t="str">
        <f>IF(Coureurs!D110="","",Coureurs!D110)</f>
        <v>70</v>
      </c>
      <c r="E110" s="87" t="str">
        <f>IF(Coureurs!F110="","",Coureurs!F110)</f>
        <v/>
      </c>
      <c r="F110" s="87" t="str">
        <f>IF(Coureurs!G110="","",Coureurs!G110)</f>
        <v/>
      </c>
      <c r="G110" s="50" t="str">
        <f>IF(Coureurs!J110="","",Coureurs!J110)</f>
        <v/>
      </c>
      <c r="H110" s="25"/>
      <c r="I110" s="41"/>
      <c r="J110" s="8" t="str">
        <f>IF(I110="PM","",IF(H110=0," ",I110-HLOOKUP('Course 3'!H110,'tab3'!$C$3:$N$4,2)))</f>
        <v xml:space="preserve"> </v>
      </c>
      <c r="K110" s="23" t="str">
        <f>IF(I110="PM","",IF(H110=0," ",J110/'Règles et points'!$F$23))</f>
        <v xml:space="preserve"> </v>
      </c>
      <c r="L110" s="3" t="str">
        <f>IF(H110=0,"",IF(I110="PM",30,VLOOKUP(H110,'Règles et points'!$C$5:$AG$19,(HLOOKUP('Course 3'!C110,'Règles et points'!$C$5:$AG$5,1)+1))))</f>
        <v/>
      </c>
      <c r="M110" s="23">
        <f t="shared" si="2"/>
        <v>0</v>
      </c>
      <c r="N110" s="80"/>
      <c r="O110" s="51"/>
      <c r="P110" s="52"/>
    </row>
    <row r="111" spans="2:16" ht="12.75">
      <c r="B111" s="14">
        <v>107</v>
      </c>
      <c r="C111" s="28" t="e">
        <f>IF(Coureurs!C111="","",Coureurs!C111)</f>
        <v>#N/A</v>
      </c>
      <c r="D111" s="131" t="str">
        <f>IF(Coureurs!D111="","",Coureurs!D111)</f>
        <v>70</v>
      </c>
      <c r="E111" s="87" t="str">
        <f>IF(Coureurs!F111="","",Coureurs!F111)</f>
        <v/>
      </c>
      <c r="F111" s="87" t="str">
        <f>IF(Coureurs!G111="","",Coureurs!G111)</f>
        <v/>
      </c>
      <c r="G111" s="50" t="str">
        <f>IF(Coureurs!J111="","",Coureurs!J111)</f>
        <v/>
      </c>
      <c r="H111" s="25"/>
      <c r="I111" s="41"/>
      <c r="J111" s="8" t="str">
        <f>IF(I111="PM","",IF(H111=0," ",I111-HLOOKUP('Course 3'!H111,'tab3'!$C$3:$N$4,2)))</f>
        <v xml:space="preserve"> </v>
      </c>
      <c r="K111" s="23" t="str">
        <f>IF(I111="PM","",IF(H111=0," ",J111/'Règles et points'!$F$23))</f>
        <v xml:space="preserve"> </v>
      </c>
      <c r="L111" s="3" t="str">
        <f>IF(H111=0,"",IF(I111="PM",30,VLOOKUP(H111,'Règles et points'!$C$5:$AG$19,(HLOOKUP('Course 3'!C111,'Règles et points'!$C$5:$AG$5,1)+1))))</f>
        <v/>
      </c>
      <c r="M111" s="23">
        <f t="shared" si="2"/>
        <v>0</v>
      </c>
      <c r="N111" s="80"/>
      <c r="O111" s="51"/>
      <c r="P111" s="52"/>
    </row>
    <row r="112" spans="2:16" ht="12.75">
      <c r="B112" s="14">
        <v>108</v>
      </c>
      <c r="C112" s="28" t="e">
        <f>IF(Coureurs!C112="","",Coureurs!C112)</f>
        <v>#N/A</v>
      </c>
      <c r="D112" s="131" t="str">
        <f>IF(Coureurs!D112="","",Coureurs!D112)</f>
        <v>70</v>
      </c>
      <c r="E112" s="87" t="str">
        <f>IF(Coureurs!F112="","",Coureurs!F112)</f>
        <v/>
      </c>
      <c r="F112" s="87" t="str">
        <f>IF(Coureurs!G112="","",Coureurs!G112)</f>
        <v/>
      </c>
      <c r="G112" s="50" t="str">
        <f>IF(Coureurs!J112="","",Coureurs!J112)</f>
        <v/>
      </c>
      <c r="H112" s="25"/>
      <c r="I112" s="41"/>
      <c r="J112" s="8" t="str">
        <f>IF(I112="PM","",IF(H112=0," ",I112-HLOOKUP('Course 3'!H112,'tab3'!$C$3:$N$4,2)))</f>
        <v xml:space="preserve"> </v>
      </c>
      <c r="K112" s="23" t="str">
        <f>IF(I112="PM","",IF(H112=0," ",J112/'Règles et points'!$F$23))</f>
        <v xml:space="preserve"> </v>
      </c>
      <c r="L112" s="3" t="str">
        <f>IF(H112=0,"",IF(I112="PM",30,VLOOKUP(H112,'Règles et points'!$C$5:$AG$19,(HLOOKUP('Course 3'!C112,'Règles et points'!$C$5:$AG$5,1)+1))))</f>
        <v/>
      </c>
      <c r="M112" s="23">
        <f t="shared" si="2"/>
        <v>0</v>
      </c>
      <c r="N112" s="80"/>
      <c r="O112" s="51"/>
      <c r="P112" s="52"/>
    </row>
    <row r="113" spans="2:16" ht="12.75">
      <c r="B113" s="14">
        <v>109</v>
      </c>
      <c r="C113" s="28" t="e">
        <f>IF(Coureurs!C113="","",Coureurs!C113)</f>
        <v>#N/A</v>
      </c>
      <c r="D113" s="131" t="str">
        <f>IF(Coureurs!D113="","",Coureurs!D113)</f>
        <v>70</v>
      </c>
      <c r="E113" s="87" t="str">
        <f>IF(Coureurs!F113="","",Coureurs!F113)</f>
        <v/>
      </c>
      <c r="F113" s="87" t="str">
        <f>IF(Coureurs!G113="","",Coureurs!G113)</f>
        <v/>
      </c>
      <c r="G113" s="50" t="str">
        <f>IF(Coureurs!J113="","",Coureurs!J113)</f>
        <v/>
      </c>
      <c r="H113" s="25"/>
      <c r="I113" s="41"/>
      <c r="J113" s="8" t="str">
        <f>IF(I113="PM","",IF(H113=0," ",I113-HLOOKUP('Course 3'!H113,'tab3'!$C$3:$N$4,2)))</f>
        <v xml:space="preserve"> </v>
      </c>
      <c r="K113" s="23" t="str">
        <f>IF(I113="PM","",IF(H113=0," ",J113/'Règles et points'!$F$23))</f>
        <v xml:space="preserve"> </v>
      </c>
      <c r="L113" s="3" t="str">
        <f>IF(H113=0,"",IF(I113="PM",30,VLOOKUP(H113,'Règles et points'!$C$5:$AG$19,(HLOOKUP('Course 3'!C113,'Règles et points'!$C$5:$AG$5,1)+1))))</f>
        <v/>
      </c>
      <c r="M113" s="23">
        <f t="shared" si="2"/>
        <v>0</v>
      </c>
      <c r="N113" s="80"/>
      <c r="O113" s="51"/>
      <c r="P113" s="52"/>
    </row>
    <row r="114" spans="2:16" ht="12.75">
      <c r="B114" s="14">
        <v>110</v>
      </c>
      <c r="C114" s="28" t="e">
        <f>IF(Coureurs!C114="","",Coureurs!C114)</f>
        <v>#N/A</v>
      </c>
      <c r="D114" s="131" t="str">
        <f>IF(Coureurs!D114="","",Coureurs!D114)</f>
        <v>70</v>
      </c>
      <c r="E114" s="87" t="str">
        <f>IF(Coureurs!F114="","",Coureurs!F114)</f>
        <v/>
      </c>
      <c r="F114" s="87" t="str">
        <f>IF(Coureurs!G114="","",Coureurs!G114)</f>
        <v/>
      </c>
      <c r="G114" s="50" t="str">
        <f>IF(Coureurs!J114="","",Coureurs!J114)</f>
        <v/>
      </c>
      <c r="H114" s="25"/>
      <c r="I114" s="41"/>
      <c r="J114" s="8" t="str">
        <f>IF(I114="PM","",IF(H114=0," ",I114-HLOOKUP('Course 3'!H114,'tab3'!$C$3:$N$4,2)))</f>
        <v xml:space="preserve"> </v>
      </c>
      <c r="K114" s="23" t="str">
        <f>IF(I114="PM","",IF(H114=0," ",J114/'Règles et points'!$F$23))</f>
        <v xml:space="preserve"> </v>
      </c>
      <c r="L114" s="3" t="str">
        <f>IF(H114=0,"",IF(I114="PM",30,VLOOKUP(H114,'Règles et points'!$C$5:$AG$19,(HLOOKUP('Course 3'!C114,'Règles et points'!$C$5:$AG$5,1)+1))))</f>
        <v/>
      </c>
      <c r="M114" s="23">
        <f t="shared" si="2"/>
        <v>0</v>
      </c>
      <c r="N114" s="80"/>
      <c r="O114" s="51"/>
      <c r="P114" s="52"/>
    </row>
    <row r="115" spans="2:16" ht="12.75">
      <c r="B115" s="14">
        <v>111</v>
      </c>
      <c r="C115" s="28" t="e">
        <f>IF(Coureurs!C115="","",Coureurs!C115)</f>
        <v>#N/A</v>
      </c>
      <c r="D115" s="131" t="str">
        <f>IF(Coureurs!D115="","",Coureurs!D115)</f>
        <v>70</v>
      </c>
      <c r="E115" s="87" t="str">
        <f>IF(Coureurs!F115="","",Coureurs!F115)</f>
        <v/>
      </c>
      <c r="F115" s="87" t="str">
        <f>IF(Coureurs!G115="","",Coureurs!G115)</f>
        <v/>
      </c>
      <c r="G115" s="50" t="str">
        <f>IF(Coureurs!J115="","",Coureurs!J115)</f>
        <v/>
      </c>
      <c r="H115" s="25"/>
      <c r="I115" s="41"/>
      <c r="J115" s="8" t="str">
        <f>IF(I115="PM","",IF(H115=0," ",I115-HLOOKUP('Course 3'!H115,'tab3'!$C$3:$N$4,2)))</f>
        <v xml:space="preserve"> </v>
      </c>
      <c r="K115" s="23" t="str">
        <f>IF(I115="PM","",IF(H115=0," ",J115/'Règles et points'!$F$23))</f>
        <v xml:space="preserve"> </v>
      </c>
      <c r="L115" s="3" t="str">
        <f>IF(H115=0,"",IF(I115="PM",30,VLOOKUP(H115,'Règles et points'!$C$5:$AG$19,(HLOOKUP('Course 3'!C115,'Règles et points'!$C$5:$AG$5,1)+1))))</f>
        <v/>
      </c>
      <c r="M115" s="23">
        <f t="shared" si="2"/>
        <v>0</v>
      </c>
      <c r="N115" s="80"/>
      <c r="O115" s="51"/>
      <c r="P115" s="52"/>
    </row>
    <row r="116" spans="2:16" ht="12.75">
      <c r="B116" s="14">
        <v>112</v>
      </c>
      <c r="C116" s="28" t="e">
        <f>IF(Coureurs!C116="","",Coureurs!C116)</f>
        <v>#N/A</v>
      </c>
      <c r="D116" s="131" t="str">
        <f>IF(Coureurs!D116="","",Coureurs!D116)</f>
        <v>70</v>
      </c>
      <c r="E116" s="87" t="str">
        <f>IF(Coureurs!F116="","",Coureurs!F116)</f>
        <v/>
      </c>
      <c r="F116" s="87" t="str">
        <f>IF(Coureurs!G116="","",Coureurs!G116)</f>
        <v/>
      </c>
      <c r="G116" s="50" t="str">
        <f>IF(Coureurs!J116="","",Coureurs!J116)</f>
        <v/>
      </c>
      <c r="H116" s="25"/>
      <c r="I116" s="41"/>
      <c r="J116" s="8" t="str">
        <f>IF(I116="PM","",IF(H116=0," ",I116-HLOOKUP('Course 3'!H116,'tab3'!$C$3:$N$4,2)))</f>
        <v xml:space="preserve"> </v>
      </c>
      <c r="K116" s="23" t="str">
        <f>IF(I116="PM","",IF(H116=0," ",J116/'Règles et points'!$F$23))</f>
        <v xml:space="preserve"> </v>
      </c>
      <c r="L116" s="3" t="str">
        <f>IF(H116=0,"",IF(I116="PM",30,VLOOKUP(H116,'Règles et points'!$C$5:$AG$19,(HLOOKUP('Course 3'!C116,'Règles et points'!$C$5:$AG$5,1)+1))))</f>
        <v/>
      </c>
      <c r="M116" s="23">
        <f t="shared" si="2"/>
        <v>0</v>
      </c>
      <c r="N116" s="80"/>
      <c r="O116" s="51"/>
      <c r="P116" s="52"/>
    </row>
    <row r="117" spans="2:16" ht="12.75">
      <c r="B117" s="14">
        <v>113</v>
      </c>
      <c r="C117" s="28" t="e">
        <f>IF(Coureurs!C117="","",Coureurs!C117)</f>
        <v>#N/A</v>
      </c>
      <c r="D117" s="131" t="str">
        <f>IF(Coureurs!D117="","",Coureurs!D117)</f>
        <v>70</v>
      </c>
      <c r="E117" s="87" t="str">
        <f>IF(Coureurs!F117="","",Coureurs!F117)</f>
        <v/>
      </c>
      <c r="F117" s="87" t="str">
        <f>IF(Coureurs!G117="","",Coureurs!G117)</f>
        <v/>
      </c>
      <c r="G117" s="50" t="str">
        <f>IF(Coureurs!J117="","",Coureurs!J117)</f>
        <v/>
      </c>
      <c r="H117" s="25"/>
      <c r="I117" s="41"/>
      <c r="J117" s="8" t="str">
        <f>IF(I117="PM","",IF(H117=0," ",I117-HLOOKUP('Course 3'!H117,'tab3'!$C$3:$N$4,2)))</f>
        <v xml:space="preserve"> </v>
      </c>
      <c r="K117" s="23" t="str">
        <f>IF(I117="PM","",IF(H117=0," ",J117/'Règles et points'!$F$23))</f>
        <v xml:space="preserve"> </v>
      </c>
      <c r="L117" s="3" t="str">
        <f>IF(H117=0,"",IF(I117="PM",30,VLOOKUP(H117,'Règles et points'!$C$5:$AG$19,(HLOOKUP('Course 3'!C117,'Règles et points'!$C$5:$AG$5,1)+1))))</f>
        <v/>
      </c>
      <c r="M117" s="23">
        <f t="shared" si="2"/>
        <v>0</v>
      </c>
      <c r="N117" s="80"/>
      <c r="O117" s="51"/>
      <c r="P117" s="52"/>
    </row>
    <row r="118" spans="2:16" ht="12.75">
      <c r="B118" s="14">
        <v>114</v>
      </c>
      <c r="C118" s="28" t="e">
        <f>IF(Coureurs!C118="","",Coureurs!C118)</f>
        <v>#N/A</v>
      </c>
      <c r="D118" s="131" t="str">
        <f>IF(Coureurs!D118="","",Coureurs!D118)</f>
        <v>70</v>
      </c>
      <c r="E118" s="87" t="str">
        <f>IF(Coureurs!F118="","",Coureurs!F118)</f>
        <v/>
      </c>
      <c r="F118" s="87" t="str">
        <f>IF(Coureurs!G118="","",Coureurs!G118)</f>
        <v/>
      </c>
      <c r="G118" s="50" t="str">
        <f>IF(Coureurs!J118="","",Coureurs!J118)</f>
        <v/>
      </c>
      <c r="H118" s="25"/>
      <c r="I118" s="41"/>
      <c r="J118" s="8" t="str">
        <f>IF(I118="PM","",IF(H118=0," ",I118-HLOOKUP('Course 3'!H118,'tab3'!$C$3:$N$4,2)))</f>
        <v xml:space="preserve"> </v>
      </c>
      <c r="K118" s="23" t="str">
        <f>IF(I118="PM","",IF(H118=0," ",J118/'Règles et points'!$F$23))</f>
        <v xml:space="preserve"> </v>
      </c>
      <c r="L118" s="3" t="str">
        <f>IF(H118=0,"",IF(I118="PM",30,VLOOKUP(H118,'Règles et points'!$C$5:$AG$19,(HLOOKUP('Course 3'!C118,'Règles et points'!$C$5:$AG$5,1)+1))))</f>
        <v/>
      </c>
      <c r="M118" s="23">
        <f t="shared" si="2"/>
        <v>0</v>
      </c>
      <c r="N118" s="80"/>
      <c r="O118" s="51"/>
      <c r="P118" s="52"/>
    </row>
    <row r="119" spans="2:16" ht="12.75">
      <c r="B119" s="14">
        <v>115</v>
      </c>
      <c r="C119" s="28" t="e">
        <f>IF(Coureurs!C119="","",Coureurs!C119)</f>
        <v>#N/A</v>
      </c>
      <c r="D119" s="131" t="str">
        <f>IF(Coureurs!D119="","",Coureurs!D119)</f>
        <v>70</v>
      </c>
      <c r="E119" s="87" t="str">
        <f>IF(Coureurs!F119="","",Coureurs!F119)</f>
        <v/>
      </c>
      <c r="F119" s="87" t="str">
        <f>IF(Coureurs!G119="","",Coureurs!G119)</f>
        <v/>
      </c>
      <c r="G119" s="50" t="str">
        <f>IF(Coureurs!J119="","",Coureurs!J119)</f>
        <v/>
      </c>
      <c r="H119" s="25"/>
      <c r="I119" s="41"/>
      <c r="J119" s="8" t="str">
        <f>IF(I119="PM","",IF(H119=0," ",I119-HLOOKUP('Course 3'!H119,'tab3'!$C$3:$N$4,2)))</f>
        <v xml:space="preserve"> </v>
      </c>
      <c r="K119" s="23" t="str">
        <f>IF(I119="PM","",IF(H119=0," ",J119/'Règles et points'!$F$23))</f>
        <v xml:space="preserve"> </v>
      </c>
      <c r="L119" s="3" t="str">
        <f>IF(H119=0,"",IF(I119="PM",30,VLOOKUP(H119,'Règles et points'!$C$5:$AG$19,(HLOOKUP('Course 3'!C119,'Règles et points'!$C$5:$AG$5,1)+1))))</f>
        <v/>
      </c>
      <c r="M119" s="23">
        <f t="shared" si="2"/>
        <v>0</v>
      </c>
      <c r="N119" s="80"/>
      <c r="O119" s="51"/>
      <c r="P119" s="52"/>
    </row>
    <row r="120" spans="2:16" ht="12.75">
      <c r="B120" s="14">
        <v>116</v>
      </c>
      <c r="C120" s="28" t="e">
        <f>IF(Coureurs!C120="","",Coureurs!C120)</f>
        <v>#N/A</v>
      </c>
      <c r="D120" s="131" t="str">
        <f>IF(Coureurs!D120="","",Coureurs!D120)</f>
        <v>70</v>
      </c>
      <c r="E120" s="87" t="str">
        <f>IF(Coureurs!F120="","",Coureurs!F120)</f>
        <v/>
      </c>
      <c r="F120" s="87" t="str">
        <f>IF(Coureurs!G120="","",Coureurs!G120)</f>
        <v/>
      </c>
      <c r="G120" s="50" t="str">
        <f>IF(Coureurs!J120="","",Coureurs!J120)</f>
        <v/>
      </c>
      <c r="H120" s="25"/>
      <c r="I120" s="41"/>
      <c r="J120" s="8" t="str">
        <f>IF(I120="PM","",IF(H120=0," ",I120-HLOOKUP('Course 3'!H120,'tab3'!$C$3:$N$4,2)))</f>
        <v xml:space="preserve"> </v>
      </c>
      <c r="K120" s="23" t="str">
        <f>IF(I120="PM","",IF(H120=0," ",J120/'Règles et points'!$F$23))</f>
        <v xml:space="preserve"> </v>
      </c>
      <c r="L120" s="3" t="str">
        <f>IF(H120=0,"",IF(I120="PM",30,VLOOKUP(H120,'Règles et points'!$C$5:$AG$19,(HLOOKUP('Course 3'!C120,'Règles et points'!$C$5:$AG$5,1)+1))))</f>
        <v/>
      </c>
      <c r="M120" s="23">
        <f t="shared" si="2"/>
        <v>0</v>
      </c>
      <c r="N120" s="80"/>
      <c r="O120" s="51"/>
      <c r="P120" s="52"/>
    </row>
    <row r="121" spans="2:16" ht="12.75">
      <c r="B121" s="14">
        <v>117</v>
      </c>
      <c r="C121" s="28" t="e">
        <f>IF(Coureurs!C121="","",Coureurs!C121)</f>
        <v>#N/A</v>
      </c>
      <c r="D121" s="131" t="str">
        <f>IF(Coureurs!D121="","",Coureurs!D121)</f>
        <v>70</v>
      </c>
      <c r="E121" s="87" t="str">
        <f>IF(Coureurs!F121="","",Coureurs!F121)</f>
        <v/>
      </c>
      <c r="F121" s="87" t="str">
        <f>IF(Coureurs!G121="","",Coureurs!G121)</f>
        <v/>
      </c>
      <c r="G121" s="50" t="str">
        <f>IF(Coureurs!J121="","",Coureurs!J121)</f>
        <v/>
      </c>
      <c r="H121" s="25"/>
      <c r="I121" s="41"/>
      <c r="J121" s="8" t="str">
        <f>IF(I121="PM","",IF(H121=0," ",I121-HLOOKUP('Course 3'!H121,'tab3'!$C$3:$N$4,2)))</f>
        <v xml:space="preserve"> </v>
      </c>
      <c r="K121" s="23" t="str">
        <f>IF(I121="PM","",IF(H121=0," ",J121/'Règles et points'!$F$23))</f>
        <v xml:space="preserve"> </v>
      </c>
      <c r="L121" s="3" t="str">
        <f>IF(H121=0,"",IF(I121="PM",30,VLOOKUP(H121,'Règles et points'!$C$5:$AG$19,(HLOOKUP('Course 3'!C121,'Règles et points'!$C$5:$AG$5,1)+1))))</f>
        <v/>
      </c>
      <c r="M121" s="23">
        <f t="shared" si="2"/>
        <v>0</v>
      </c>
      <c r="N121" s="80"/>
      <c r="O121" s="51"/>
      <c r="P121" s="52"/>
    </row>
    <row r="122" spans="2:16" ht="12.75">
      <c r="B122" s="14">
        <v>118</v>
      </c>
      <c r="C122" s="28" t="str">
        <f>IF(Coureurs!C122="","",Coureurs!C122)</f>
        <v/>
      </c>
      <c r="D122" s="131" t="str">
        <f>IF(Coureurs!D122="","",Coureurs!D122)</f>
        <v>70</v>
      </c>
      <c r="E122" s="87" t="str">
        <f>IF(Coureurs!F122="","",Coureurs!F122)</f>
        <v/>
      </c>
      <c r="F122" s="87" t="str">
        <f>IF(Coureurs!G122="","",Coureurs!G122)</f>
        <v/>
      </c>
      <c r="G122" s="50" t="str">
        <f>IF(Coureurs!J122="","",Coureurs!J122)</f>
        <v/>
      </c>
      <c r="H122" s="25"/>
      <c r="I122" s="41"/>
      <c r="J122" s="8" t="str">
        <f>IF(I122="PM","",IF(H122=0," ",I122-HLOOKUP('Course 3'!H122,'tab3'!$C$3:$N$4,2)))</f>
        <v xml:space="preserve"> </v>
      </c>
      <c r="K122" s="23" t="str">
        <f>IF(I122="PM","",IF(H122=0," ",J122/'Règles et points'!$F$23))</f>
        <v xml:space="preserve"> </v>
      </c>
      <c r="L122" s="3" t="str">
        <f>IF(H122=0,"",IF(I122="PM",30,VLOOKUP(H122,'Règles et points'!$C$5:$AG$19,(HLOOKUP('Course 3'!C122,'Règles et points'!$C$5:$AG$5,1)+1))))</f>
        <v/>
      </c>
      <c r="M122" s="23">
        <f t="shared" si="2"/>
        <v>0</v>
      </c>
      <c r="N122" s="80"/>
      <c r="O122" s="51"/>
      <c r="P122" s="52"/>
    </row>
    <row r="123" spans="2:16" ht="12.75">
      <c r="B123" s="14">
        <v>119</v>
      </c>
      <c r="C123" s="28" t="str">
        <f>IF(Coureurs!C123="","",Coureurs!C123)</f>
        <v/>
      </c>
      <c r="D123" s="131" t="str">
        <f>IF(Coureurs!D123="","",Coureurs!D123)</f>
        <v>70</v>
      </c>
      <c r="E123" s="87" t="str">
        <f>IF(Coureurs!F123="","",Coureurs!F123)</f>
        <v/>
      </c>
      <c r="F123" s="87" t="str">
        <f>IF(Coureurs!G123="","",Coureurs!G123)</f>
        <v/>
      </c>
      <c r="G123" s="50" t="str">
        <f>IF(Coureurs!J123="","",Coureurs!J123)</f>
        <v/>
      </c>
      <c r="H123" s="25"/>
      <c r="I123" s="41"/>
      <c r="J123" s="8" t="str">
        <f>IF(I123="PM","",IF(H123=0," ",I123-HLOOKUP('Course 3'!H123,'tab3'!$C$3:$N$4,2)))</f>
        <v xml:space="preserve"> </v>
      </c>
      <c r="K123" s="23" t="str">
        <f>IF(I123="PM","",IF(H123=0," ",J123/'Règles et points'!$F$23))</f>
        <v xml:space="preserve"> </v>
      </c>
      <c r="L123" s="3" t="str">
        <f>IF(H123=0,"",IF(I123="PM",30,VLOOKUP(H123,'Règles et points'!$C$5:$AG$19,(HLOOKUP('Course 3'!C123,'Règles et points'!$C$5:$AG$5,1)+1))))</f>
        <v/>
      </c>
      <c r="M123" s="23">
        <f t="shared" si="2"/>
        <v>0</v>
      </c>
      <c r="N123" s="80"/>
      <c r="O123" s="51"/>
      <c r="P123" s="52"/>
    </row>
    <row r="124" spans="2:16" ht="12.75">
      <c r="B124" s="14">
        <v>120</v>
      </c>
      <c r="C124" s="28" t="str">
        <f>IF(Coureurs!C124="","",Coureurs!C124)</f>
        <v/>
      </c>
      <c r="D124" s="131" t="str">
        <f>IF(Coureurs!D124="","",Coureurs!D124)</f>
        <v>70</v>
      </c>
      <c r="E124" s="87" t="str">
        <f>IF(Coureurs!F124="","",Coureurs!F124)</f>
        <v/>
      </c>
      <c r="F124" s="87" t="str">
        <f>IF(Coureurs!G124="","",Coureurs!G124)</f>
        <v/>
      </c>
      <c r="G124" s="50" t="str">
        <f>IF(Coureurs!J124="","",Coureurs!J124)</f>
        <v/>
      </c>
      <c r="H124" s="25"/>
      <c r="I124" s="41"/>
      <c r="J124" s="8" t="str">
        <f>IF(I124="PM","",IF(H124=0," ",I124-HLOOKUP('Course 3'!H124,'tab3'!$C$3:$N$4,2)))</f>
        <v xml:space="preserve"> </v>
      </c>
      <c r="K124" s="23" t="str">
        <f>IF(I124="PM","",IF(H124=0," ",J124/'Règles et points'!$F$23))</f>
        <v xml:space="preserve"> </v>
      </c>
      <c r="L124" s="3" t="str">
        <f>IF(H124=0,"",IF(I124="PM",30,VLOOKUP(H124,'Règles et points'!$C$5:$AG$19,(HLOOKUP('Course 3'!C124,'Règles et points'!$C$5:$AG$5,1)+1))))</f>
        <v/>
      </c>
      <c r="M124" s="23">
        <f t="shared" si="2"/>
        <v>0</v>
      </c>
      <c r="N124" s="80"/>
      <c r="O124" s="51"/>
      <c r="P124" s="52"/>
    </row>
    <row r="125" spans="2:16" ht="12.75">
      <c r="B125" s="14">
        <v>121</v>
      </c>
      <c r="C125" s="28" t="str">
        <f>IF(Coureurs!C125="","",Coureurs!C125)</f>
        <v/>
      </c>
      <c r="D125" s="131" t="str">
        <f>IF(Coureurs!D125="","",Coureurs!D125)</f>
        <v>70</v>
      </c>
      <c r="E125" s="87" t="str">
        <f>IF(Coureurs!F125="","",Coureurs!F125)</f>
        <v/>
      </c>
      <c r="F125" s="87" t="str">
        <f>IF(Coureurs!G125="","",Coureurs!G125)</f>
        <v/>
      </c>
      <c r="G125" s="50" t="str">
        <f>IF(Coureurs!J125="","",Coureurs!J125)</f>
        <v/>
      </c>
      <c r="H125" s="25"/>
      <c r="I125" s="41"/>
      <c r="J125" s="8" t="str">
        <f>IF(I125="PM","",IF(H125=0," ",I125-HLOOKUP('Course 3'!H125,'tab3'!$C$3:$N$4,2)))</f>
        <v xml:space="preserve"> </v>
      </c>
      <c r="K125" s="23" t="str">
        <f>IF(I125="PM","",IF(H125=0," ",J125/'Règles et points'!$F$23))</f>
        <v xml:space="preserve"> </v>
      </c>
      <c r="L125" s="3" t="str">
        <f>IF(H125=0,"",IF(I125="PM",30,VLOOKUP(H125,'Règles et points'!$C$5:$AG$19,(HLOOKUP('Course 3'!C125,'Règles et points'!$C$5:$AG$5,1)+1))))</f>
        <v/>
      </c>
      <c r="M125" s="23">
        <f t="shared" si="2"/>
        <v>0</v>
      </c>
      <c r="N125" s="80"/>
      <c r="O125" s="51"/>
      <c r="P125" s="52"/>
    </row>
    <row r="126" spans="2:16" ht="12.75">
      <c r="B126" s="14">
        <v>122</v>
      </c>
      <c r="C126" s="28" t="str">
        <f>IF(Coureurs!C126="","",Coureurs!C126)</f>
        <v/>
      </c>
      <c r="D126" s="131" t="str">
        <f>IF(Coureurs!D126="","",Coureurs!D126)</f>
        <v>70</v>
      </c>
      <c r="E126" s="87" t="str">
        <f>IF(Coureurs!F126="","",Coureurs!F126)</f>
        <v/>
      </c>
      <c r="F126" s="87" t="str">
        <f>IF(Coureurs!G126="","",Coureurs!G126)</f>
        <v/>
      </c>
      <c r="G126" s="50" t="str">
        <f>IF(Coureurs!J126="","",Coureurs!J126)</f>
        <v/>
      </c>
      <c r="H126" s="25"/>
      <c r="I126" s="41"/>
      <c r="J126" s="8" t="str">
        <f>IF(I126="PM","",IF(H126=0," ",I126-HLOOKUP('Course 3'!H126,'tab3'!$C$3:$N$4,2)))</f>
        <v xml:space="preserve"> </v>
      </c>
      <c r="K126" s="23" t="str">
        <f>IF(I126="PM","",IF(H126=0," ",J126/'Règles et points'!$F$23))</f>
        <v xml:space="preserve"> </v>
      </c>
      <c r="L126" s="3" t="str">
        <f>IF(H126=0,"",IF(I126="PM",30,VLOOKUP(H126,'Règles et points'!$C$5:$AG$19,(HLOOKUP('Course 3'!C126,'Règles et points'!$C$5:$AG$5,1)+1))))</f>
        <v/>
      </c>
      <c r="M126" s="23">
        <f t="shared" si="2"/>
        <v>0</v>
      </c>
      <c r="N126" s="80"/>
      <c r="O126" s="51"/>
      <c r="P126" s="52"/>
    </row>
    <row r="127" spans="2:16" ht="12.75">
      <c r="B127" s="14">
        <v>123</v>
      </c>
      <c r="C127" s="28" t="str">
        <f>IF(Coureurs!C127="","",Coureurs!C127)</f>
        <v/>
      </c>
      <c r="D127" s="131" t="str">
        <f>IF(Coureurs!D127="","",Coureurs!D127)</f>
        <v>70</v>
      </c>
      <c r="E127" s="87" t="str">
        <f>IF(Coureurs!F127="","",Coureurs!F127)</f>
        <v/>
      </c>
      <c r="F127" s="87" t="str">
        <f>IF(Coureurs!G127="","",Coureurs!G127)</f>
        <v/>
      </c>
      <c r="G127" s="50" t="str">
        <f>IF(Coureurs!J127="","",Coureurs!J127)</f>
        <v/>
      </c>
      <c r="H127" s="25"/>
      <c r="I127" s="41"/>
      <c r="J127" s="8" t="str">
        <f>IF(I127="PM","",IF(H127=0," ",I127-HLOOKUP('Course 3'!H127,'tab3'!$C$3:$N$4,2)))</f>
        <v xml:space="preserve"> </v>
      </c>
      <c r="K127" s="23" t="str">
        <f>IF(I127="PM","",IF(H127=0," ",J127/'Règles et points'!$F$23))</f>
        <v xml:space="preserve"> </v>
      </c>
      <c r="L127" s="3" t="str">
        <f>IF(H127=0,"",IF(I127="PM",30,VLOOKUP(H127,'Règles et points'!$C$5:$AG$19,(HLOOKUP('Course 3'!C127,'Règles et points'!$C$5:$AG$5,1)+1))))</f>
        <v/>
      </c>
      <c r="M127" s="23">
        <f t="shared" si="2"/>
        <v>0</v>
      </c>
      <c r="N127" s="80"/>
      <c r="O127" s="51"/>
      <c r="P127" s="52"/>
    </row>
    <row r="128" spans="2:16" ht="12.75">
      <c r="B128" s="14">
        <v>124</v>
      </c>
      <c r="C128" s="28" t="str">
        <f>IF(Coureurs!C128="","",Coureurs!C128)</f>
        <v/>
      </c>
      <c r="D128" s="131" t="str">
        <f>IF(Coureurs!D128="","",Coureurs!D128)</f>
        <v>70</v>
      </c>
      <c r="E128" s="87" t="str">
        <f>IF(Coureurs!F128="","",Coureurs!F128)</f>
        <v/>
      </c>
      <c r="F128" s="87" t="str">
        <f>IF(Coureurs!G128="","",Coureurs!G128)</f>
        <v/>
      </c>
      <c r="G128" s="50" t="str">
        <f>IF(Coureurs!J128="","",Coureurs!J128)</f>
        <v/>
      </c>
      <c r="H128" s="25"/>
      <c r="I128" s="41"/>
      <c r="J128" s="8" t="str">
        <f>IF(I128="PM","",IF(H128=0," ",I128-HLOOKUP('Course 3'!H128,'tab3'!$C$3:$N$4,2)))</f>
        <v xml:space="preserve"> </v>
      </c>
      <c r="K128" s="23" t="str">
        <f>IF(I128="PM","",IF(H128=0," ",J128/'Règles et points'!$F$23))</f>
        <v xml:space="preserve"> </v>
      </c>
      <c r="L128" s="3" t="str">
        <f>IF(H128=0,"",IF(I128="PM",30,VLOOKUP(H128,'Règles et points'!$C$5:$AG$19,(HLOOKUP('Course 3'!C128,'Règles et points'!$C$5:$AG$5,1)+1))))</f>
        <v/>
      </c>
      <c r="M128" s="23">
        <f t="shared" si="2"/>
        <v>0</v>
      </c>
      <c r="N128" s="80"/>
      <c r="O128" s="51"/>
      <c r="P128" s="52"/>
    </row>
    <row r="129" spans="2:16" ht="12.75">
      <c r="B129" s="14">
        <v>125</v>
      </c>
      <c r="C129" s="28" t="str">
        <f>IF(Coureurs!C129="","",Coureurs!C129)</f>
        <v/>
      </c>
      <c r="D129" s="131" t="str">
        <f>IF(Coureurs!D129="","",Coureurs!D129)</f>
        <v>70</v>
      </c>
      <c r="E129" s="87" t="str">
        <f>IF(Coureurs!F129="","",Coureurs!F129)</f>
        <v/>
      </c>
      <c r="F129" s="87" t="str">
        <f>IF(Coureurs!G129="","",Coureurs!G129)</f>
        <v/>
      </c>
      <c r="G129" s="50" t="str">
        <f>IF(Coureurs!J129="","",Coureurs!J129)</f>
        <v/>
      </c>
      <c r="H129" s="25"/>
      <c r="I129" s="41"/>
      <c r="J129" s="8" t="str">
        <f>IF(I129="PM","",IF(H129=0," ",I129-HLOOKUP('Course 3'!H129,'tab3'!$C$3:$N$4,2)))</f>
        <v xml:space="preserve"> </v>
      </c>
      <c r="K129" s="23" t="str">
        <f>IF(I129="PM","",IF(H129=0," ",J129/'Règles et points'!$F$23))</f>
        <v xml:space="preserve"> </v>
      </c>
      <c r="L129" s="3" t="str">
        <f>IF(H129=0,"",IF(I129="PM",30,VLOOKUP(H129,'Règles et points'!$C$5:$AG$19,(HLOOKUP('Course 3'!C129,'Règles et points'!$C$5:$AG$5,1)+1))))</f>
        <v/>
      </c>
      <c r="M129" s="23">
        <f t="shared" si="2"/>
        <v>0</v>
      </c>
      <c r="N129" s="80"/>
      <c r="O129" s="51"/>
      <c r="P129" s="52"/>
    </row>
    <row r="130" spans="2:16" ht="12.75">
      <c r="B130" s="14">
        <v>126</v>
      </c>
      <c r="C130" s="28" t="str">
        <f>IF(Coureurs!C130="","",Coureurs!C130)</f>
        <v/>
      </c>
      <c r="D130" s="131" t="str">
        <f>IF(Coureurs!D130="","",Coureurs!D130)</f>
        <v>70</v>
      </c>
      <c r="E130" s="87" t="str">
        <f>IF(Coureurs!F130="","",Coureurs!F130)</f>
        <v/>
      </c>
      <c r="F130" s="87" t="str">
        <f>IF(Coureurs!G130="","",Coureurs!G130)</f>
        <v/>
      </c>
      <c r="G130" s="50" t="str">
        <f>IF(Coureurs!J130="","",Coureurs!J130)</f>
        <v/>
      </c>
      <c r="H130" s="25"/>
      <c r="I130" s="41"/>
      <c r="J130" s="8" t="str">
        <f>IF(I130="PM","",IF(H130=0," ",I130-HLOOKUP('Course 3'!H130,'tab3'!$C$3:$N$4,2)))</f>
        <v xml:space="preserve"> </v>
      </c>
      <c r="K130" s="23" t="str">
        <f>IF(I130="PM","",IF(H130=0," ",J130/'Règles et points'!$F$23))</f>
        <v xml:space="preserve"> </v>
      </c>
      <c r="L130" s="3" t="str">
        <f>IF(H130=0,"",IF(I130="PM",30,VLOOKUP(H130,'Règles et points'!$C$5:$AG$19,(HLOOKUP('Course 3'!C130,'Règles et points'!$C$5:$AG$5,1)+1))))</f>
        <v/>
      </c>
      <c r="M130" s="23">
        <f t="shared" si="2"/>
        <v>0</v>
      </c>
      <c r="N130" s="80"/>
      <c r="O130" s="51"/>
      <c r="P130" s="52"/>
    </row>
    <row r="131" spans="2:16" ht="12.75">
      <c r="B131" s="14">
        <v>127</v>
      </c>
      <c r="C131" s="28" t="str">
        <f>IF(Coureurs!C131="","",Coureurs!C131)</f>
        <v/>
      </c>
      <c r="D131" s="131" t="str">
        <f>IF(Coureurs!D131="","",Coureurs!D131)</f>
        <v>70</v>
      </c>
      <c r="E131" s="87" t="str">
        <f>IF(Coureurs!F131="","",Coureurs!F131)</f>
        <v/>
      </c>
      <c r="F131" s="87" t="str">
        <f>IF(Coureurs!G131="","",Coureurs!G131)</f>
        <v/>
      </c>
      <c r="G131" s="50" t="str">
        <f>IF(Coureurs!J131="","",Coureurs!J131)</f>
        <v/>
      </c>
      <c r="H131" s="25"/>
      <c r="I131" s="41"/>
      <c r="J131" s="8" t="str">
        <f>IF(I131="PM","",IF(H131=0," ",I131-HLOOKUP('Course 3'!H131,'tab3'!$C$3:$N$4,2)))</f>
        <v xml:space="preserve"> </v>
      </c>
      <c r="K131" s="23" t="str">
        <f>IF(I131="PM","",IF(H131=0," ",J131/'Règles et points'!$F$23))</f>
        <v xml:space="preserve"> </v>
      </c>
      <c r="L131" s="3" t="str">
        <f>IF(H131=0,"",IF(I131="PM",30,VLOOKUP(H131,'Règles et points'!$C$5:$AG$19,(HLOOKUP('Course 3'!C131,'Règles et points'!$C$5:$AG$5,1)+1))))</f>
        <v/>
      </c>
      <c r="M131" s="23">
        <f t="shared" si="2"/>
        <v>0</v>
      </c>
      <c r="N131" s="80"/>
      <c r="O131" s="51"/>
      <c r="P131" s="52"/>
    </row>
    <row r="132" spans="2:16" ht="12.75">
      <c r="B132" s="14">
        <v>128</v>
      </c>
      <c r="C132" s="28" t="str">
        <f>IF(Coureurs!C132="","",Coureurs!C132)</f>
        <v/>
      </c>
      <c r="D132" s="131" t="str">
        <f>IF(Coureurs!D132="","",Coureurs!D132)</f>
        <v>70</v>
      </c>
      <c r="E132" s="87" t="str">
        <f>IF(Coureurs!F132="","",Coureurs!F132)</f>
        <v/>
      </c>
      <c r="F132" s="87" t="str">
        <f>IF(Coureurs!G132="","",Coureurs!G132)</f>
        <v/>
      </c>
      <c r="G132" s="50" t="str">
        <f>IF(Coureurs!J132="","",Coureurs!J132)</f>
        <v/>
      </c>
      <c r="H132" s="25"/>
      <c r="I132" s="41"/>
      <c r="J132" s="8" t="str">
        <f>IF(I132="PM","",IF(H132=0," ",I132-HLOOKUP('Course 3'!H132,'tab3'!$C$3:$N$4,2)))</f>
        <v xml:space="preserve"> </v>
      </c>
      <c r="K132" s="23" t="str">
        <f>IF(I132="PM","",IF(H132=0," ",J132/'Règles et points'!$F$23))</f>
        <v xml:space="preserve"> </v>
      </c>
      <c r="L132" s="3" t="str">
        <f>IF(H132=0,"",IF(I132="PM",30,VLOOKUP(H132,'Règles et points'!$C$5:$AG$19,(HLOOKUP('Course 3'!C132,'Règles et points'!$C$5:$AG$5,1)+1))))</f>
        <v/>
      </c>
      <c r="M132" s="23">
        <f t="shared" si="2"/>
        <v>0</v>
      </c>
      <c r="N132" s="80"/>
      <c r="O132" s="51"/>
      <c r="P132" s="52"/>
    </row>
    <row r="133" spans="2:16" ht="12.75">
      <c r="B133" s="14">
        <v>129</v>
      </c>
      <c r="C133" s="28" t="str">
        <f>IF(Coureurs!C133="","",Coureurs!C133)</f>
        <v/>
      </c>
      <c r="D133" s="131" t="str">
        <f>IF(Coureurs!D133="","",Coureurs!D133)</f>
        <v>70</v>
      </c>
      <c r="E133" s="87" t="str">
        <f>IF(Coureurs!F133="","",Coureurs!F133)</f>
        <v/>
      </c>
      <c r="F133" s="87" t="str">
        <f>IF(Coureurs!G133="","",Coureurs!G133)</f>
        <v/>
      </c>
      <c r="G133" s="50" t="str">
        <f>IF(Coureurs!J133="","",Coureurs!J133)</f>
        <v/>
      </c>
      <c r="H133" s="25"/>
      <c r="I133" s="41"/>
      <c r="J133" s="8" t="str">
        <f>IF(I133="PM","",IF(H133=0," ",I133-HLOOKUP('Course 3'!H133,'tab3'!$C$3:$N$4,2)))</f>
        <v xml:space="preserve"> </v>
      </c>
      <c r="K133" s="23" t="str">
        <f>IF(I133="PM","",IF(H133=0," ",J133/'Règles et points'!$F$23))</f>
        <v xml:space="preserve"> </v>
      </c>
      <c r="L133" s="3" t="str">
        <f>IF(H133=0,"",IF(I133="PM",30,VLOOKUP(H133,'Règles et points'!$C$5:$AG$19,(HLOOKUP('Course 3'!C133,'Règles et points'!$C$5:$AG$5,1)+1))))</f>
        <v/>
      </c>
      <c r="M133" s="23">
        <f t="shared" si="2"/>
        <v>0</v>
      </c>
      <c r="N133" s="80"/>
      <c r="O133" s="51"/>
      <c r="P133" s="52"/>
    </row>
    <row r="134" spans="2:16" ht="12.75">
      <c r="B134" s="14">
        <v>130</v>
      </c>
      <c r="C134" s="28" t="str">
        <f>IF(Coureurs!C134="","",Coureurs!C134)</f>
        <v/>
      </c>
      <c r="D134" s="131" t="str">
        <f>IF(Coureurs!D134="","",Coureurs!D134)</f>
        <v>70</v>
      </c>
      <c r="E134" s="87" t="str">
        <f>IF(Coureurs!F134="","",Coureurs!F134)</f>
        <v/>
      </c>
      <c r="F134" s="87" t="str">
        <f>IF(Coureurs!G134="","",Coureurs!G134)</f>
        <v/>
      </c>
      <c r="G134" s="50" t="str">
        <f>IF(Coureurs!J134="","",Coureurs!J134)</f>
        <v/>
      </c>
      <c r="H134" s="25"/>
      <c r="I134" s="41"/>
      <c r="J134" s="8" t="str">
        <f>IF(I134="PM","",IF(H134=0," ",I134-HLOOKUP('Course 3'!H134,'tab3'!$C$3:$N$4,2)))</f>
        <v xml:space="preserve"> </v>
      </c>
      <c r="K134" s="23" t="str">
        <f>IF(I134="PM","",IF(H134=0," ",J134/'Règles et points'!$F$23))</f>
        <v xml:space="preserve"> </v>
      </c>
      <c r="L134" s="3" t="str">
        <f>IF(H134=0,"",IF(I134="PM",30,VLOOKUP(H134,'Règles et points'!$C$5:$AG$19,(HLOOKUP('Course 3'!C134,'Règles et points'!$C$5:$AG$5,1)+1))))</f>
        <v/>
      </c>
      <c r="M134" s="23">
        <f t="shared" ref="M134:M197" si="3">IF(I134="PM",30,IF(H134=0,0,L134-K134))+N134</f>
        <v>0</v>
      </c>
      <c r="N134" s="80"/>
      <c r="O134" s="51"/>
      <c r="P134" s="52"/>
    </row>
    <row r="135" spans="2:16" ht="12.75">
      <c r="B135" s="14">
        <v>131</v>
      </c>
      <c r="C135" s="28" t="str">
        <f>IF(Coureurs!C135="","",Coureurs!C135)</f>
        <v/>
      </c>
      <c r="D135" s="131" t="str">
        <f>IF(Coureurs!D135="","",Coureurs!D135)</f>
        <v>70</v>
      </c>
      <c r="E135" s="87" t="str">
        <f>IF(Coureurs!F135="","",Coureurs!F135)</f>
        <v/>
      </c>
      <c r="F135" s="87" t="str">
        <f>IF(Coureurs!G135="","",Coureurs!G135)</f>
        <v/>
      </c>
      <c r="G135" s="50" t="str">
        <f>IF(Coureurs!J135="","",Coureurs!J135)</f>
        <v/>
      </c>
      <c r="H135" s="25"/>
      <c r="I135" s="41"/>
      <c r="J135" s="8" t="str">
        <f>IF(I135="PM","",IF(H135=0," ",I135-HLOOKUP('Course 3'!H135,'tab3'!$C$3:$N$4,2)))</f>
        <v xml:space="preserve"> </v>
      </c>
      <c r="K135" s="23" t="str">
        <f>IF(I135="PM","",IF(H135=0," ",J135/'Règles et points'!$F$23))</f>
        <v xml:space="preserve"> </v>
      </c>
      <c r="L135" s="3" t="str">
        <f>IF(H135=0,"",IF(I135="PM",30,VLOOKUP(H135,'Règles et points'!$C$5:$AG$19,(HLOOKUP('Course 3'!C135,'Règles et points'!$C$5:$AG$5,1)+1))))</f>
        <v/>
      </c>
      <c r="M135" s="23">
        <f t="shared" si="3"/>
        <v>0</v>
      </c>
      <c r="N135" s="80"/>
      <c r="O135" s="51"/>
      <c r="P135" s="52"/>
    </row>
    <row r="136" spans="2:16" ht="12.75">
      <c r="B136" s="14">
        <v>132</v>
      </c>
      <c r="C136" s="28" t="str">
        <f>IF(Coureurs!C136="","",Coureurs!C136)</f>
        <v/>
      </c>
      <c r="D136" s="131" t="str">
        <f>IF(Coureurs!D136="","",Coureurs!D136)</f>
        <v>70</v>
      </c>
      <c r="E136" s="87" t="str">
        <f>IF(Coureurs!F136="","",Coureurs!F136)</f>
        <v/>
      </c>
      <c r="F136" s="87" t="str">
        <f>IF(Coureurs!G136="","",Coureurs!G136)</f>
        <v/>
      </c>
      <c r="G136" s="50" t="str">
        <f>IF(Coureurs!J136="","",Coureurs!J136)</f>
        <v/>
      </c>
      <c r="H136" s="25"/>
      <c r="I136" s="41"/>
      <c r="J136" s="8" t="str">
        <f>IF(I136="PM","",IF(H136=0," ",I136-HLOOKUP('Course 3'!H136,'tab3'!$C$3:$N$4,2)))</f>
        <v xml:space="preserve"> </v>
      </c>
      <c r="K136" s="23" t="str">
        <f>IF(I136="PM","",IF(H136=0," ",J136/'Règles et points'!$F$23))</f>
        <v xml:space="preserve"> </v>
      </c>
      <c r="L136" s="3" t="str">
        <f>IF(H136=0,"",IF(I136="PM",30,VLOOKUP(H136,'Règles et points'!$C$5:$AG$19,(HLOOKUP('Course 3'!C136,'Règles et points'!$C$5:$AG$5,1)+1))))</f>
        <v/>
      </c>
      <c r="M136" s="23">
        <f t="shared" si="3"/>
        <v>0</v>
      </c>
      <c r="N136" s="80"/>
      <c r="O136" s="51"/>
      <c r="P136" s="52"/>
    </row>
    <row r="137" spans="2:16" ht="12.75">
      <c r="B137" s="14">
        <v>133</v>
      </c>
      <c r="C137" s="28" t="str">
        <f>IF(Coureurs!C137="","",Coureurs!C137)</f>
        <v/>
      </c>
      <c r="D137" s="131" t="str">
        <f>IF(Coureurs!D137="","",Coureurs!D137)</f>
        <v>70</v>
      </c>
      <c r="E137" s="87" t="str">
        <f>IF(Coureurs!F137="","",Coureurs!F137)</f>
        <v/>
      </c>
      <c r="F137" s="87" t="str">
        <f>IF(Coureurs!G137="","",Coureurs!G137)</f>
        <v/>
      </c>
      <c r="G137" s="50" t="str">
        <f>IF(Coureurs!J137="","",Coureurs!J137)</f>
        <v/>
      </c>
      <c r="H137" s="25"/>
      <c r="I137" s="41"/>
      <c r="J137" s="8" t="str">
        <f>IF(I137="PM","",IF(H137=0," ",I137-HLOOKUP('Course 3'!H137,'tab3'!$C$3:$N$4,2)))</f>
        <v xml:space="preserve"> </v>
      </c>
      <c r="K137" s="23" t="str">
        <f>IF(I137="PM","",IF(H137=0," ",J137/'Règles et points'!$F$23))</f>
        <v xml:space="preserve"> </v>
      </c>
      <c r="L137" s="3" t="str">
        <f>IF(H137=0,"",IF(I137="PM",30,VLOOKUP(H137,'Règles et points'!$C$5:$AG$19,(HLOOKUP('Course 3'!C137,'Règles et points'!$C$5:$AG$5,1)+1))))</f>
        <v/>
      </c>
      <c r="M137" s="23">
        <f t="shared" si="3"/>
        <v>0</v>
      </c>
      <c r="N137" s="80"/>
      <c r="O137" s="51"/>
      <c r="P137" s="52"/>
    </row>
    <row r="138" spans="2:16" ht="12.75">
      <c r="B138" s="14">
        <v>134</v>
      </c>
      <c r="C138" s="28" t="str">
        <f>IF(Coureurs!C138="","",Coureurs!C138)</f>
        <v/>
      </c>
      <c r="D138" s="131" t="str">
        <f>IF(Coureurs!D138="","",Coureurs!D138)</f>
        <v>70</v>
      </c>
      <c r="E138" s="87" t="str">
        <f>IF(Coureurs!F138="","",Coureurs!F138)</f>
        <v/>
      </c>
      <c r="F138" s="87" t="str">
        <f>IF(Coureurs!G138="","",Coureurs!G138)</f>
        <v/>
      </c>
      <c r="G138" s="50" t="str">
        <f>IF(Coureurs!J138="","",Coureurs!J138)</f>
        <v/>
      </c>
      <c r="H138" s="25"/>
      <c r="I138" s="41"/>
      <c r="J138" s="8" t="str">
        <f>IF(I138="PM","",IF(H138=0," ",I138-HLOOKUP('Course 3'!H138,'tab3'!$C$3:$N$4,2)))</f>
        <v xml:space="preserve"> </v>
      </c>
      <c r="K138" s="23" t="str">
        <f>IF(I138="PM","",IF(H138=0," ",J138/'Règles et points'!$F$23))</f>
        <v xml:space="preserve"> </v>
      </c>
      <c r="L138" s="3" t="str">
        <f>IF(H138=0,"",IF(I138="PM",30,VLOOKUP(H138,'Règles et points'!$C$5:$AG$19,(HLOOKUP('Course 3'!C138,'Règles et points'!$C$5:$AG$5,1)+1))))</f>
        <v/>
      </c>
      <c r="M138" s="23">
        <f t="shared" si="3"/>
        <v>0</v>
      </c>
      <c r="N138" s="80"/>
      <c r="O138" s="51"/>
      <c r="P138" s="52"/>
    </row>
    <row r="139" spans="2:16" ht="12.75">
      <c r="B139" s="14">
        <v>135</v>
      </c>
      <c r="C139" s="28" t="str">
        <f>IF(Coureurs!C139="","",Coureurs!C139)</f>
        <v/>
      </c>
      <c r="D139" s="131" t="str">
        <f>IF(Coureurs!D139="","",Coureurs!D139)</f>
        <v>70</v>
      </c>
      <c r="E139" s="87" t="str">
        <f>IF(Coureurs!F139="","",Coureurs!F139)</f>
        <v/>
      </c>
      <c r="F139" s="87" t="str">
        <f>IF(Coureurs!G139="","",Coureurs!G139)</f>
        <v/>
      </c>
      <c r="G139" s="50" t="str">
        <f>IF(Coureurs!J139="","",Coureurs!J139)</f>
        <v/>
      </c>
      <c r="H139" s="25"/>
      <c r="I139" s="41"/>
      <c r="J139" s="8" t="str">
        <f>IF(I139="PM","",IF(H139=0," ",I139-HLOOKUP('Course 3'!H139,'tab3'!$C$3:$N$4,2)))</f>
        <v xml:space="preserve"> </v>
      </c>
      <c r="K139" s="23" t="str">
        <f>IF(I139="PM","",IF(H139=0," ",J139/'Règles et points'!$F$23))</f>
        <v xml:space="preserve"> </v>
      </c>
      <c r="L139" s="3" t="str">
        <f>IF(H139=0,"",IF(I139="PM",30,VLOOKUP(H139,'Règles et points'!$C$5:$AG$19,(HLOOKUP('Course 3'!C139,'Règles et points'!$C$5:$AG$5,1)+1))))</f>
        <v/>
      </c>
      <c r="M139" s="23">
        <f t="shared" si="3"/>
        <v>0</v>
      </c>
      <c r="N139" s="80"/>
      <c r="O139" s="51"/>
      <c r="P139" s="52"/>
    </row>
    <row r="140" spans="2:16" ht="12.75">
      <c r="B140" s="14">
        <v>136</v>
      </c>
      <c r="C140" s="28" t="str">
        <f>IF(Coureurs!C140="","",Coureurs!C140)</f>
        <v/>
      </c>
      <c r="D140" s="131" t="str">
        <f>IF(Coureurs!D140="","",Coureurs!D140)</f>
        <v>70</v>
      </c>
      <c r="E140" s="87" t="str">
        <f>IF(Coureurs!F140="","",Coureurs!F140)</f>
        <v/>
      </c>
      <c r="F140" s="87" t="str">
        <f>IF(Coureurs!G140="","",Coureurs!G140)</f>
        <v/>
      </c>
      <c r="G140" s="50" t="str">
        <f>IF(Coureurs!J140="","",Coureurs!J140)</f>
        <v/>
      </c>
      <c r="H140" s="25"/>
      <c r="I140" s="41"/>
      <c r="J140" s="8" t="str">
        <f>IF(I140="PM","",IF(H140=0," ",I140-HLOOKUP('Course 3'!H140,'tab3'!$C$3:$N$4,2)))</f>
        <v xml:space="preserve"> </v>
      </c>
      <c r="K140" s="23" t="str">
        <f>IF(I140="PM","",IF(H140=0," ",J140/'Règles et points'!$F$23))</f>
        <v xml:space="preserve"> </v>
      </c>
      <c r="L140" s="3" t="str">
        <f>IF(H140=0,"",IF(I140="PM",30,VLOOKUP(H140,'Règles et points'!$C$5:$AG$19,(HLOOKUP('Course 3'!C140,'Règles et points'!$C$5:$AG$5,1)+1))))</f>
        <v/>
      </c>
      <c r="M140" s="23">
        <f t="shared" si="3"/>
        <v>0</v>
      </c>
      <c r="N140" s="80"/>
      <c r="O140" s="51"/>
      <c r="P140" s="52"/>
    </row>
    <row r="141" spans="2:16" ht="12.75">
      <c r="B141" s="14">
        <v>137</v>
      </c>
      <c r="C141" s="28" t="str">
        <f>IF(Coureurs!C141="","",Coureurs!C141)</f>
        <v/>
      </c>
      <c r="D141" s="131" t="str">
        <f>IF(Coureurs!D141="","",Coureurs!D141)</f>
        <v>70</v>
      </c>
      <c r="E141" s="87" t="str">
        <f>IF(Coureurs!F141="","",Coureurs!F141)</f>
        <v/>
      </c>
      <c r="F141" s="87" t="str">
        <f>IF(Coureurs!G141="","",Coureurs!G141)</f>
        <v/>
      </c>
      <c r="G141" s="50" t="str">
        <f>IF(Coureurs!J141="","",Coureurs!J141)</f>
        <v/>
      </c>
      <c r="H141" s="25"/>
      <c r="I141" s="41"/>
      <c r="J141" s="8" t="str">
        <f>IF(I141="PM","",IF(H141=0," ",I141-HLOOKUP('Course 3'!H141,'tab3'!$C$3:$N$4,2)))</f>
        <v xml:space="preserve"> </v>
      </c>
      <c r="K141" s="23" t="str">
        <f>IF(I141="PM","",IF(H141=0," ",J141/'Règles et points'!$F$23))</f>
        <v xml:space="preserve"> </v>
      </c>
      <c r="L141" s="3" t="str">
        <f>IF(H141=0,"",IF(I141="PM",30,VLOOKUP(H141,'Règles et points'!$C$5:$AG$19,(HLOOKUP('Course 3'!C141,'Règles et points'!$C$5:$AG$5,1)+1))))</f>
        <v/>
      </c>
      <c r="M141" s="23">
        <f t="shared" si="3"/>
        <v>0</v>
      </c>
      <c r="N141" s="80"/>
      <c r="O141" s="51"/>
      <c r="P141" s="52"/>
    </row>
    <row r="142" spans="2:16" ht="12.75">
      <c r="B142" s="14">
        <v>138</v>
      </c>
      <c r="C142" s="28" t="str">
        <f>IF(Coureurs!C142="","",Coureurs!C142)</f>
        <v/>
      </c>
      <c r="D142" s="131" t="str">
        <f>IF(Coureurs!D142="","",Coureurs!D142)</f>
        <v>70</v>
      </c>
      <c r="E142" s="87" t="str">
        <f>IF(Coureurs!F142="","",Coureurs!F142)</f>
        <v/>
      </c>
      <c r="F142" s="87" t="str">
        <f>IF(Coureurs!G142="","",Coureurs!G142)</f>
        <v/>
      </c>
      <c r="G142" s="50" t="str">
        <f>IF(Coureurs!J142="","",Coureurs!J142)</f>
        <v/>
      </c>
      <c r="H142" s="25"/>
      <c r="I142" s="41"/>
      <c r="J142" s="8" t="str">
        <f>IF(I142="PM","",IF(H142=0," ",I142-HLOOKUP('Course 3'!H142,'tab3'!$C$3:$N$4,2)))</f>
        <v xml:space="preserve"> </v>
      </c>
      <c r="K142" s="23" t="str">
        <f>IF(I142="PM","",IF(H142=0," ",J142/'Règles et points'!$F$23))</f>
        <v xml:space="preserve"> </v>
      </c>
      <c r="L142" s="3" t="str">
        <f>IF(H142=0,"",IF(I142="PM",30,VLOOKUP(H142,'Règles et points'!$C$5:$AG$19,(HLOOKUP('Course 3'!C142,'Règles et points'!$C$5:$AG$5,1)+1))))</f>
        <v/>
      </c>
      <c r="M142" s="23">
        <f t="shared" si="3"/>
        <v>0</v>
      </c>
      <c r="N142" s="80"/>
      <c r="O142" s="51"/>
      <c r="P142" s="52"/>
    </row>
    <row r="143" spans="2:16" ht="12.75">
      <c r="B143" s="14">
        <v>139</v>
      </c>
      <c r="C143" s="28" t="str">
        <f>IF(Coureurs!C143="","",Coureurs!C143)</f>
        <v/>
      </c>
      <c r="D143" s="131" t="str">
        <f>IF(Coureurs!D143="","",Coureurs!D143)</f>
        <v>70</v>
      </c>
      <c r="E143" s="87" t="str">
        <f>IF(Coureurs!F143="","",Coureurs!F143)</f>
        <v/>
      </c>
      <c r="F143" s="87" t="str">
        <f>IF(Coureurs!G143="","",Coureurs!G143)</f>
        <v/>
      </c>
      <c r="G143" s="50" t="str">
        <f>IF(Coureurs!J143="","",Coureurs!J143)</f>
        <v/>
      </c>
      <c r="H143" s="25"/>
      <c r="I143" s="41"/>
      <c r="J143" s="8" t="str">
        <f>IF(I143="PM","",IF(H143=0," ",I143-HLOOKUP('Course 3'!H143,'tab3'!$C$3:$N$4,2)))</f>
        <v xml:space="preserve"> </v>
      </c>
      <c r="K143" s="23" t="str">
        <f>IF(I143="PM","",IF(H143=0," ",J143/'Règles et points'!$F$23))</f>
        <v xml:space="preserve"> </v>
      </c>
      <c r="L143" s="3" t="str">
        <f>IF(H143=0,"",IF(I143="PM",30,VLOOKUP(H143,'Règles et points'!$C$5:$AG$19,(HLOOKUP('Course 3'!C143,'Règles et points'!$C$5:$AG$5,1)+1))))</f>
        <v/>
      </c>
      <c r="M143" s="23">
        <f t="shared" si="3"/>
        <v>0</v>
      </c>
      <c r="N143" s="80"/>
      <c r="O143" s="51"/>
      <c r="P143" s="52"/>
    </row>
    <row r="144" spans="2:16" ht="12.75">
      <c r="B144" s="14">
        <v>140</v>
      </c>
      <c r="C144" s="28" t="str">
        <f>IF(Coureurs!C144="","",Coureurs!C144)</f>
        <v/>
      </c>
      <c r="D144" s="131" t="str">
        <f>IF(Coureurs!D144="","",Coureurs!D144)</f>
        <v>70</v>
      </c>
      <c r="E144" s="87" t="str">
        <f>IF(Coureurs!F144="","",Coureurs!F144)</f>
        <v/>
      </c>
      <c r="F144" s="87" t="str">
        <f>IF(Coureurs!G144="","",Coureurs!G144)</f>
        <v/>
      </c>
      <c r="G144" s="50" t="str">
        <f>IF(Coureurs!J144="","",Coureurs!J144)</f>
        <v/>
      </c>
      <c r="H144" s="25"/>
      <c r="I144" s="41"/>
      <c r="J144" s="8" t="str">
        <f>IF(I144="PM","",IF(H144=0," ",I144-HLOOKUP('Course 3'!H144,'tab3'!$C$3:$N$4,2)))</f>
        <v xml:space="preserve"> </v>
      </c>
      <c r="K144" s="23" t="str">
        <f>IF(I144="PM","",IF(H144=0," ",J144/'Règles et points'!$F$23))</f>
        <v xml:space="preserve"> </v>
      </c>
      <c r="L144" s="3" t="str">
        <f>IF(H144=0,"",IF(I144="PM",30,VLOOKUP(H144,'Règles et points'!$C$5:$AG$19,(HLOOKUP('Course 3'!C144,'Règles et points'!$C$5:$AG$5,1)+1))))</f>
        <v/>
      </c>
      <c r="M144" s="23">
        <f t="shared" si="3"/>
        <v>0</v>
      </c>
      <c r="N144" s="80"/>
      <c r="O144" s="51"/>
      <c r="P144" s="52"/>
    </row>
    <row r="145" spans="2:16" ht="12.75">
      <c r="B145" s="14">
        <v>141</v>
      </c>
      <c r="C145" s="28" t="str">
        <f>IF(Coureurs!C145="","",Coureurs!C145)</f>
        <v/>
      </c>
      <c r="D145" s="131" t="str">
        <f>IF(Coureurs!D145="","",Coureurs!D145)</f>
        <v>70</v>
      </c>
      <c r="E145" s="87" t="str">
        <f>IF(Coureurs!F145="","",Coureurs!F145)</f>
        <v/>
      </c>
      <c r="F145" s="87" t="str">
        <f>IF(Coureurs!G145="","",Coureurs!G145)</f>
        <v/>
      </c>
      <c r="G145" s="50" t="str">
        <f>IF(Coureurs!J145="","",Coureurs!J145)</f>
        <v/>
      </c>
      <c r="H145" s="25"/>
      <c r="I145" s="41"/>
      <c r="J145" s="8" t="str">
        <f>IF(I145="PM","",IF(H145=0," ",I145-HLOOKUP('Course 3'!H145,'tab3'!$C$3:$N$4,2)))</f>
        <v xml:space="preserve"> </v>
      </c>
      <c r="K145" s="23" t="str">
        <f>IF(I145="PM","",IF(H145=0," ",J145/'Règles et points'!$F$23))</f>
        <v xml:space="preserve"> </v>
      </c>
      <c r="L145" s="3" t="str">
        <f>IF(H145=0,"",IF(I145="PM",30,VLOOKUP(H145,'Règles et points'!$C$5:$AG$19,(HLOOKUP('Course 3'!C145,'Règles et points'!$C$5:$AG$5,1)+1))))</f>
        <v/>
      </c>
      <c r="M145" s="23">
        <f t="shared" si="3"/>
        <v>0</v>
      </c>
      <c r="N145" s="80"/>
      <c r="O145" s="51"/>
      <c r="P145" s="52"/>
    </row>
    <row r="146" spans="2:16" ht="12.75">
      <c r="B146" s="14">
        <v>142</v>
      </c>
      <c r="C146" s="28" t="str">
        <f>IF(Coureurs!C146="","",Coureurs!C146)</f>
        <v/>
      </c>
      <c r="D146" s="131" t="str">
        <f>IF(Coureurs!D146="","",Coureurs!D146)</f>
        <v>70</v>
      </c>
      <c r="E146" s="87" t="str">
        <f>IF(Coureurs!F146="","",Coureurs!F146)</f>
        <v/>
      </c>
      <c r="F146" s="87" t="str">
        <f>IF(Coureurs!G146="","",Coureurs!G146)</f>
        <v/>
      </c>
      <c r="G146" s="50" t="str">
        <f>IF(Coureurs!J146="","",Coureurs!J146)</f>
        <v/>
      </c>
      <c r="H146" s="25"/>
      <c r="I146" s="41"/>
      <c r="J146" s="8" t="str">
        <f>IF(I146="PM","",IF(H146=0," ",I146-HLOOKUP('Course 3'!H146,'tab3'!$C$3:$N$4,2)))</f>
        <v xml:space="preserve"> </v>
      </c>
      <c r="K146" s="23" t="str">
        <f>IF(I146="PM","",IF(H146=0," ",J146/'Règles et points'!$F$23))</f>
        <v xml:space="preserve"> </v>
      </c>
      <c r="L146" s="3" t="str">
        <f>IF(H146=0,"",IF(I146="PM",30,VLOOKUP(H146,'Règles et points'!$C$5:$AG$19,(HLOOKUP('Course 3'!C146,'Règles et points'!$C$5:$AG$5,1)+1))))</f>
        <v/>
      </c>
      <c r="M146" s="23">
        <f t="shared" si="3"/>
        <v>0</v>
      </c>
      <c r="N146" s="80"/>
      <c r="O146" s="51"/>
      <c r="P146" s="52"/>
    </row>
    <row r="147" spans="2:16" ht="12.75">
      <c r="B147" s="14">
        <v>143</v>
      </c>
      <c r="C147" s="28" t="str">
        <f>IF(Coureurs!C147="","",Coureurs!C147)</f>
        <v/>
      </c>
      <c r="D147" s="131" t="str">
        <f>IF(Coureurs!D147="","",Coureurs!D147)</f>
        <v>70</v>
      </c>
      <c r="E147" s="87" t="str">
        <f>IF(Coureurs!F147="","",Coureurs!F147)</f>
        <v/>
      </c>
      <c r="F147" s="87" t="str">
        <f>IF(Coureurs!G147="","",Coureurs!G147)</f>
        <v/>
      </c>
      <c r="G147" s="50" t="str">
        <f>IF(Coureurs!J147="","",Coureurs!J147)</f>
        <v/>
      </c>
      <c r="H147" s="25"/>
      <c r="I147" s="41"/>
      <c r="J147" s="8" t="str">
        <f>IF(I147="PM","",IF(H147=0," ",I147-HLOOKUP('Course 3'!H147,'tab3'!$C$3:$N$4,2)))</f>
        <v xml:space="preserve"> </v>
      </c>
      <c r="K147" s="23" t="str">
        <f>IF(I147="PM","",IF(H147=0," ",J147/'Règles et points'!$F$23))</f>
        <v xml:space="preserve"> </v>
      </c>
      <c r="L147" s="3" t="str">
        <f>IF(H147=0,"",IF(I147="PM",30,VLOOKUP(H147,'Règles et points'!$C$5:$AG$19,(HLOOKUP('Course 3'!C147,'Règles et points'!$C$5:$AG$5,1)+1))))</f>
        <v/>
      </c>
      <c r="M147" s="23">
        <f t="shared" si="3"/>
        <v>0</v>
      </c>
      <c r="N147" s="80"/>
      <c r="O147" s="51"/>
      <c r="P147" s="52"/>
    </row>
    <row r="148" spans="2:16" ht="12.75">
      <c r="B148" s="14">
        <v>144</v>
      </c>
      <c r="C148" s="28" t="str">
        <f>IF(Coureurs!C148="","",Coureurs!C148)</f>
        <v/>
      </c>
      <c r="D148" s="131" t="str">
        <f>IF(Coureurs!D148="","",Coureurs!D148)</f>
        <v>70</v>
      </c>
      <c r="E148" s="87" t="str">
        <f>IF(Coureurs!F148="","",Coureurs!F148)</f>
        <v/>
      </c>
      <c r="F148" s="87" t="str">
        <f>IF(Coureurs!G148="","",Coureurs!G148)</f>
        <v/>
      </c>
      <c r="G148" s="50" t="str">
        <f>IF(Coureurs!J148="","",Coureurs!J148)</f>
        <v/>
      </c>
      <c r="H148" s="25"/>
      <c r="I148" s="41"/>
      <c r="J148" s="8" t="str">
        <f>IF(I148="PM","",IF(H148=0," ",I148-HLOOKUP('Course 3'!H148,'tab3'!$C$3:$N$4,2)))</f>
        <v xml:space="preserve"> </v>
      </c>
      <c r="K148" s="23" t="str">
        <f>IF(I148="PM","",IF(H148=0," ",J148/'Règles et points'!$F$23))</f>
        <v xml:space="preserve"> </v>
      </c>
      <c r="L148" s="3" t="str">
        <f>IF(H148=0,"",IF(I148="PM",30,VLOOKUP(H148,'Règles et points'!$C$5:$AG$19,(HLOOKUP('Course 3'!C148,'Règles et points'!$C$5:$AG$5,1)+1))))</f>
        <v/>
      </c>
      <c r="M148" s="23">
        <f t="shared" si="3"/>
        <v>0</v>
      </c>
      <c r="N148" s="80"/>
      <c r="O148" s="51"/>
      <c r="P148" s="52"/>
    </row>
    <row r="149" spans="2:16" ht="12.75">
      <c r="B149" s="14">
        <v>145</v>
      </c>
      <c r="C149" s="28" t="str">
        <f>IF(Coureurs!C149="","",Coureurs!C149)</f>
        <v/>
      </c>
      <c r="D149" s="131" t="str">
        <f>IF(Coureurs!D149="","",Coureurs!D149)</f>
        <v>70</v>
      </c>
      <c r="E149" s="87" t="str">
        <f>IF(Coureurs!F149="","",Coureurs!F149)</f>
        <v/>
      </c>
      <c r="F149" s="87" t="str">
        <f>IF(Coureurs!G149="","",Coureurs!G149)</f>
        <v/>
      </c>
      <c r="G149" s="50" t="str">
        <f>IF(Coureurs!J149="","",Coureurs!J149)</f>
        <v/>
      </c>
      <c r="H149" s="25"/>
      <c r="I149" s="41"/>
      <c r="J149" s="8" t="str">
        <f>IF(I149="PM","",IF(H149=0," ",I149-HLOOKUP('Course 3'!H149,'tab3'!$C$3:$N$4,2)))</f>
        <v xml:space="preserve"> </v>
      </c>
      <c r="K149" s="23" t="str">
        <f>IF(I149="PM","",IF(H149=0," ",J149/'Règles et points'!$F$23))</f>
        <v xml:space="preserve"> </v>
      </c>
      <c r="L149" s="3" t="str">
        <f>IF(H149=0,"",IF(I149="PM",30,VLOOKUP(H149,'Règles et points'!$C$5:$AG$19,(HLOOKUP('Course 3'!C149,'Règles et points'!$C$5:$AG$5,1)+1))))</f>
        <v/>
      </c>
      <c r="M149" s="23">
        <f t="shared" si="3"/>
        <v>0</v>
      </c>
      <c r="N149" s="80"/>
      <c r="O149" s="51"/>
      <c r="P149" s="52"/>
    </row>
    <row r="150" spans="2:16" ht="12.75">
      <c r="B150" s="14">
        <v>146</v>
      </c>
      <c r="C150" s="28" t="str">
        <f>IF(Coureurs!C150="","",Coureurs!C150)</f>
        <v/>
      </c>
      <c r="D150" s="131" t="str">
        <f>IF(Coureurs!D150="","",Coureurs!D150)</f>
        <v>70</v>
      </c>
      <c r="E150" s="87" t="str">
        <f>IF(Coureurs!F150="","",Coureurs!F150)</f>
        <v/>
      </c>
      <c r="F150" s="87" t="str">
        <f>IF(Coureurs!G150="","",Coureurs!G150)</f>
        <v/>
      </c>
      <c r="G150" s="50" t="str">
        <f>IF(Coureurs!J150="","",Coureurs!J150)</f>
        <v/>
      </c>
      <c r="H150" s="25"/>
      <c r="I150" s="41"/>
      <c r="J150" s="8" t="str">
        <f>IF(I150="PM","",IF(H150=0," ",I150-HLOOKUP('Course 3'!H150,'tab3'!$C$3:$N$4,2)))</f>
        <v xml:space="preserve"> </v>
      </c>
      <c r="K150" s="23" t="str">
        <f>IF(I150="PM","",IF(H150=0," ",J150/'Règles et points'!$F$23))</f>
        <v xml:space="preserve"> </v>
      </c>
      <c r="L150" s="3" t="str">
        <f>IF(H150=0,"",IF(I150="PM",30,VLOOKUP(H150,'Règles et points'!$C$5:$AG$19,(HLOOKUP('Course 3'!C150,'Règles et points'!$C$5:$AG$5,1)+1))))</f>
        <v/>
      </c>
      <c r="M150" s="23">
        <f t="shared" si="3"/>
        <v>0</v>
      </c>
      <c r="N150" s="80"/>
      <c r="O150" s="51"/>
      <c r="P150" s="52"/>
    </row>
    <row r="151" spans="2:16" ht="12.75">
      <c r="B151" s="14">
        <v>147</v>
      </c>
      <c r="C151" s="28" t="str">
        <f>IF(Coureurs!C151="","",Coureurs!C151)</f>
        <v/>
      </c>
      <c r="D151" s="131" t="str">
        <f>IF(Coureurs!D151="","",Coureurs!D151)</f>
        <v>70</v>
      </c>
      <c r="E151" s="87" t="str">
        <f>IF(Coureurs!F151="","",Coureurs!F151)</f>
        <v/>
      </c>
      <c r="F151" s="87" t="str">
        <f>IF(Coureurs!G151="","",Coureurs!G151)</f>
        <v/>
      </c>
      <c r="G151" s="50" t="str">
        <f>IF(Coureurs!J151="","",Coureurs!J151)</f>
        <v/>
      </c>
      <c r="H151" s="25"/>
      <c r="I151" s="41"/>
      <c r="J151" s="8" t="str">
        <f>IF(I151="PM","",IF(H151=0," ",I151-HLOOKUP('Course 3'!H151,'tab3'!$C$3:$N$4,2)))</f>
        <v xml:space="preserve"> </v>
      </c>
      <c r="K151" s="23" t="str">
        <f>IF(I151="PM","",IF(H151=0," ",J151/'Règles et points'!$F$23))</f>
        <v xml:space="preserve"> </v>
      </c>
      <c r="L151" s="3" t="str">
        <f>IF(H151=0,"",IF(I151="PM",30,VLOOKUP(H151,'Règles et points'!$C$5:$AG$19,(HLOOKUP('Course 3'!C151,'Règles et points'!$C$5:$AG$5,1)+1))))</f>
        <v/>
      </c>
      <c r="M151" s="23">
        <f t="shared" si="3"/>
        <v>0</v>
      </c>
      <c r="N151" s="80"/>
      <c r="O151" s="51"/>
      <c r="P151" s="52"/>
    </row>
    <row r="152" spans="2:16" ht="12.75">
      <c r="B152" s="14">
        <v>148</v>
      </c>
      <c r="C152" s="28" t="str">
        <f>IF(Coureurs!C152="","",Coureurs!C152)</f>
        <v/>
      </c>
      <c r="D152" s="131" t="str">
        <f>IF(Coureurs!D152="","",Coureurs!D152)</f>
        <v>70</v>
      </c>
      <c r="E152" s="87" t="str">
        <f>IF(Coureurs!F152="","",Coureurs!F152)</f>
        <v/>
      </c>
      <c r="F152" s="87" t="str">
        <f>IF(Coureurs!G152="","",Coureurs!G152)</f>
        <v/>
      </c>
      <c r="G152" s="50" t="str">
        <f>IF(Coureurs!J152="","",Coureurs!J152)</f>
        <v/>
      </c>
      <c r="H152" s="25"/>
      <c r="I152" s="41"/>
      <c r="J152" s="8" t="str">
        <f>IF(I152="PM","",IF(H152=0," ",I152-HLOOKUP('Course 3'!H152,'tab3'!$C$3:$N$4,2)))</f>
        <v xml:space="preserve"> </v>
      </c>
      <c r="K152" s="23" t="str">
        <f>IF(I152="PM","",IF(H152=0," ",J152/'Règles et points'!$F$23))</f>
        <v xml:space="preserve"> </v>
      </c>
      <c r="L152" s="3" t="str">
        <f>IF(H152=0,"",IF(I152="PM",30,VLOOKUP(H152,'Règles et points'!$C$5:$AG$19,(HLOOKUP('Course 3'!C152,'Règles et points'!$C$5:$AG$5,1)+1))))</f>
        <v/>
      </c>
      <c r="M152" s="23">
        <f t="shared" si="3"/>
        <v>0</v>
      </c>
      <c r="N152" s="80"/>
      <c r="O152" s="51"/>
      <c r="P152" s="52"/>
    </row>
    <row r="153" spans="2:16" ht="12.75">
      <c r="B153" s="14">
        <v>149</v>
      </c>
      <c r="C153" s="28" t="str">
        <f>IF(Coureurs!C153="","",Coureurs!C153)</f>
        <v/>
      </c>
      <c r="D153" s="131" t="str">
        <f>IF(Coureurs!D153="","",Coureurs!D153)</f>
        <v>70</v>
      </c>
      <c r="E153" s="87" t="str">
        <f>IF(Coureurs!F153="","",Coureurs!F153)</f>
        <v/>
      </c>
      <c r="F153" s="87" t="str">
        <f>IF(Coureurs!G153="","",Coureurs!G153)</f>
        <v/>
      </c>
      <c r="G153" s="50" t="str">
        <f>IF(Coureurs!J153="","",Coureurs!J153)</f>
        <v/>
      </c>
      <c r="H153" s="25"/>
      <c r="I153" s="41"/>
      <c r="J153" s="8" t="str">
        <f>IF(I153="PM","",IF(H153=0," ",I153-HLOOKUP('Course 3'!H153,'tab3'!$C$3:$N$4,2)))</f>
        <v xml:space="preserve"> </v>
      </c>
      <c r="K153" s="23" t="str">
        <f>IF(I153="PM","",IF(H153=0," ",J153/'Règles et points'!$F$23))</f>
        <v xml:space="preserve"> </v>
      </c>
      <c r="L153" s="3" t="str">
        <f>IF(H153=0,"",IF(I153="PM",30,VLOOKUP(H153,'Règles et points'!$C$5:$AG$19,(HLOOKUP('Course 3'!C153,'Règles et points'!$C$5:$AG$5,1)+1))))</f>
        <v/>
      </c>
      <c r="M153" s="23">
        <f t="shared" si="3"/>
        <v>0</v>
      </c>
      <c r="N153" s="80"/>
      <c r="O153" s="51"/>
      <c r="P153" s="52"/>
    </row>
    <row r="154" spans="2:16" ht="12.75">
      <c r="B154" s="14">
        <v>150</v>
      </c>
      <c r="C154" s="28" t="str">
        <f>IF(Coureurs!C154="","",Coureurs!C154)</f>
        <v/>
      </c>
      <c r="D154" s="131" t="str">
        <f>IF(Coureurs!D154="","",Coureurs!D154)</f>
        <v>70</v>
      </c>
      <c r="E154" s="87" t="str">
        <f>IF(Coureurs!F154="","",Coureurs!F154)</f>
        <v/>
      </c>
      <c r="F154" s="87" t="str">
        <f>IF(Coureurs!G154="","",Coureurs!G154)</f>
        <v/>
      </c>
      <c r="G154" s="50" t="str">
        <f>IF(Coureurs!J154="","",Coureurs!J154)</f>
        <v/>
      </c>
      <c r="H154" s="25"/>
      <c r="I154" s="41"/>
      <c r="J154" s="8" t="str">
        <f>IF(I154="PM","",IF(H154=0," ",I154-HLOOKUP('Course 3'!H154,'tab3'!$C$3:$N$4,2)))</f>
        <v xml:space="preserve"> </v>
      </c>
      <c r="K154" s="23" t="str">
        <f>IF(I154="PM","",IF(H154=0," ",J154/'Règles et points'!$F$23))</f>
        <v xml:space="preserve"> </v>
      </c>
      <c r="L154" s="3" t="str">
        <f>IF(H154=0,"",IF(I154="PM",30,VLOOKUP(H154,'Règles et points'!$C$5:$AG$19,(HLOOKUP('Course 3'!C154,'Règles et points'!$C$5:$AG$5,1)+1))))</f>
        <v/>
      </c>
      <c r="M154" s="23">
        <f t="shared" si="3"/>
        <v>0</v>
      </c>
      <c r="N154" s="80"/>
      <c r="O154" s="51"/>
      <c r="P154" s="52"/>
    </row>
    <row r="155" spans="2:16" ht="12.75">
      <c r="B155" s="14">
        <v>151</v>
      </c>
      <c r="C155" s="28" t="str">
        <f>IF(Coureurs!C155="","",Coureurs!C155)</f>
        <v/>
      </c>
      <c r="D155" s="131" t="str">
        <f>IF(Coureurs!D155="","",Coureurs!D155)</f>
        <v>70</v>
      </c>
      <c r="E155" s="87" t="str">
        <f>IF(Coureurs!F155="","",Coureurs!F155)</f>
        <v/>
      </c>
      <c r="F155" s="87" t="str">
        <f>IF(Coureurs!G155="","",Coureurs!G155)</f>
        <v/>
      </c>
      <c r="G155" s="50" t="str">
        <f>IF(Coureurs!J155="","",Coureurs!J155)</f>
        <v/>
      </c>
      <c r="H155" s="25"/>
      <c r="I155" s="41"/>
      <c r="J155" s="8" t="str">
        <f>IF(I155="PM","",IF(H155=0," ",I155-HLOOKUP('Course 3'!H155,'tab3'!$C$3:$N$4,2)))</f>
        <v xml:space="preserve"> </v>
      </c>
      <c r="K155" s="23" t="str">
        <f>IF(I155="PM","",IF(H155=0," ",J155/'Règles et points'!$F$23))</f>
        <v xml:space="preserve"> </v>
      </c>
      <c r="L155" s="3" t="str">
        <f>IF(H155=0,"",IF(I155="PM",30,VLOOKUP(H155,'Règles et points'!$C$5:$AG$19,(HLOOKUP('Course 3'!C155,'Règles et points'!$C$5:$AG$5,1)+1))))</f>
        <v/>
      </c>
      <c r="M155" s="23">
        <f t="shared" si="3"/>
        <v>0</v>
      </c>
      <c r="N155" s="80"/>
      <c r="O155" s="51"/>
      <c r="P155" s="52"/>
    </row>
    <row r="156" spans="2:16" ht="12.75">
      <c r="B156" s="14">
        <v>152</v>
      </c>
      <c r="C156" s="28" t="str">
        <f>IF(Coureurs!C156="","",Coureurs!C156)</f>
        <v/>
      </c>
      <c r="D156" s="131" t="str">
        <f>IF(Coureurs!D156="","",Coureurs!D156)</f>
        <v>70</v>
      </c>
      <c r="E156" s="87" t="str">
        <f>IF(Coureurs!F156="","",Coureurs!F156)</f>
        <v/>
      </c>
      <c r="F156" s="87" t="str">
        <f>IF(Coureurs!G156="","",Coureurs!G156)</f>
        <v/>
      </c>
      <c r="G156" s="50" t="str">
        <f>IF(Coureurs!J156="","",Coureurs!J156)</f>
        <v/>
      </c>
      <c r="H156" s="25"/>
      <c r="I156" s="41"/>
      <c r="J156" s="8" t="str">
        <f>IF(I156="PM","",IF(H156=0," ",I156-HLOOKUP('Course 3'!H156,'tab3'!$C$3:$N$4,2)))</f>
        <v xml:space="preserve"> </v>
      </c>
      <c r="K156" s="23" t="str">
        <f>IF(I156="PM","",IF(H156=0," ",J156/'Règles et points'!$F$23))</f>
        <v xml:space="preserve"> </v>
      </c>
      <c r="L156" s="3" t="str">
        <f>IF(H156=0,"",IF(I156="PM",30,VLOOKUP(H156,'Règles et points'!$C$5:$AG$19,(HLOOKUP('Course 3'!C156,'Règles et points'!$C$5:$AG$5,1)+1))))</f>
        <v/>
      </c>
      <c r="M156" s="23">
        <f t="shared" si="3"/>
        <v>0</v>
      </c>
      <c r="N156" s="80"/>
      <c r="O156" s="51"/>
      <c r="P156" s="52"/>
    </row>
    <row r="157" spans="2:16" ht="12.75">
      <c r="B157" s="14">
        <v>153</v>
      </c>
      <c r="C157" s="28" t="str">
        <f>IF(Coureurs!C157="","",Coureurs!C157)</f>
        <v/>
      </c>
      <c r="D157" s="131" t="str">
        <f>IF(Coureurs!D157="","",Coureurs!D157)</f>
        <v>70</v>
      </c>
      <c r="E157" s="87" t="str">
        <f>IF(Coureurs!F157="","",Coureurs!F157)</f>
        <v/>
      </c>
      <c r="F157" s="87" t="str">
        <f>IF(Coureurs!G157="","",Coureurs!G157)</f>
        <v/>
      </c>
      <c r="G157" s="50" t="str">
        <f>IF(Coureurs!J157="","",Coureurs!J157)</f>
        <v/>
      </c>
      <c r="H157" s="25"/>
      <c r="I157" s="41"/>
      <c r="J157" s="8" t="str">
        <f>IF(I157="PM","",IF(H157=0," ",I157-HLOOKUP('Course 3'!H157,'tab3'!$C$3:$N$4,2)))</f>
        <v xml:space="preserve"> </v>
      </c>
      <c r="K157" s="23" t="str">
        <f>IF(I157="PM","",IF(H157=0," ",J157/'Règles et points'!$F$23))</f>
        <v xml:space="preserve"> </v>
      </c>
      <c r="L157" s="3" t="str">
        <f>IF(H157=0,"",IF(I157="PM",30,VLOOKUP(H157,'Règles et points'!$C$5:$AG$19,(HLOOKUP('Course 3'!C157,'Règles et points'!$C$5:$AG$5,1)+1))))</f>
        <v/>
      </c>
      <c r="M157" s="23">
        <f t="shared" si="3"/>
        <v>0</v>
      </c>
      <c r="N157" s="80"/>
      <c r="O157" s="51"/>
      <c r="P157" s="52"/>
    </row>
    <row r="158" spans="2:16" ht="12.75">
      <c r="B158" s="14">
        <v>154</v>
      </c>
      <c r="C158" s="28" t="str">
        <f>IF(Coureurs!C158="","",Coureurs!C158)</f>
        <v/>
      </c>
      <c r="D158" s="131" t="str">
        <f>IF(Coureurs!D158="","",Coureurs!D158)</f>
        <v>70</v>
      </c>
      <c r="E158" s="87" t="str">
        <f>IF(Coureurs!F158="","",Coureurs!F158)</f>
        <v/>
      </c>
      <c r="F158" s="87" t="str">
        <f>IF(Coureurs!G158="","",Coureurs!G158)</f>
        <v/>
      </c>
      <c r="G158" s="50" t="str">
        <f>IF(Coureurs!J158="","",Coureurs!J158)</f>
        <v/>
      </c>
      <c r="H158" s="25"/>
      <c r="I158" s="41"/>
      <c r="J158" s="8" t="str">
        <f>IF(I158="PM","",IF(H158=0," ",I158-HLOOKUP('Course 3'!H158,'tab3'!$C$3:$N$4,2)))</f>
        <v xml:space="preserve"> </v>
      </c>
      <c r="K158" s="23" t="str">
        <f>IF(I158="PM","",IF(H158=0," ",J158/'Règles et points'!$F$23))</f>
        <v xml:space="preserve"> </v>
      </c>
      <c r="L158" s="3" t="str">
        <f>IF(H158=0,"",IF(I158="PM",30,VLOOKUP(H158,'Règles et points'!$C$5:$AG$19,(HLOOKUP('Course 3'!C158,'Règles et points'!$C$5:$AG$5,1)+1))))</f>
        <v/>
      </c>
      <c r="M158" s="23">
        <f t="shared" si="3"/>
        <v>0</v>
      </c>
      <c r="N158" s="80"/>
      <c r="O158" s="51"/>
      <c r="P158" s="52"/>
    </row>
    <row r="159" spans="2:16" ht="12.75">
      <c r="B159" s="14">
        <v>155</v>
      </c>
      <c r="C159" s="28" t="str">
        <f>IF(Coureurs!C159="","",Coureurs!C159)</f>
        <v/>
      </c>
      <c r="D159" s="131" t="str">
        <f>IF(Coureurs!D159="","",Coureurs!D159)</f>
        <v>70</v>
      </c>
      <c r="E159" s="87" t="str">
        <f>IF(Coureurs!F159="","",Coureurs!F159)</f>
        <v/>
      </c>
      <c r="F159" s="87" t="str">
        <f>IF(Coureurs!G159="","",Coureurs!G159)</f>
        <v/>
      </c>
      <c r="G159" s="50" t="str">
        <f>IF(Coureurs!J159="","",Coureurs!J159)</f>
        <v/>
      </c>
      <c r="H159" s="25"/>
      <c r="I159" s="41"/>
      <c r="J159" s="8" t="str">
        <f>IF(I159="PM","",IF(H159=0," ",I159-HLOOKUP('Course 3'!H159,'tab3'!$C$3:$N$4,2)))</f>
        <v xml:space="preserve"> </v>
      </c>
      <c r="K159" s="23" t="str">
        <f>IF(I159="PM","",IF(H159=0," ",J159/'Règles et points'!$F$23))</f>
        <v xml:space="preserve"> </v>
      </c>
      <c r="L159" s="3" t="str">
        <f>IF(H159=0,"",IF(I159="PM",30,VLOOKUP(H159,'Règles et points'!$C$5:$AG$19,(HLOOKUP('Course 3'!C159,'Règles et points'!$C$5:$AG$5,1)+1))))</f>
        <v/>
      </c>
      <c r="M159" s="23">
        <f t="shared" si="3"/>
        <v>0</v>
      </c>
      <c r="N159" s="80"/>
      <c r="O159" s="51"/>
      <c r="P159" s="52"/>
    </row>
    <row r="160" spans="2:16" ht="12.75">
      <c r="B160" s="14">
        <v>156</v>
      </c>
      <c r="C160" s="28" t="str">
        <f>IF(Coureurs!C160="","",Coureurs!C160)</f>
        <v/>
      </c>
      <c r="D160" s="131" t="str">
        <f>IF(Coureurs!D160="","",Coureurs!D160)</f>
        <v>70</v>
      </c>
      <c r="E160" s="87" t="str">
        <f>IF(Coureurs!F160="","",Coureurs!F160)</f>
        <v/>
      </c>
      <c r="F160" s="87" t="str">
        <f>IF(Coureurs!G160="","",Coureurs!G160)</f>
        <v/>
      </c>
      <c r="G160" s="50" t="str">
        <f>IF(Coureurs!J160="","",Coureurs!J160)</f>
        <v/>
      </c>
      <c r="H160" s="25"/>
      <c r="I160" s="41"/>
      <c r="J160" s="8" t="str">
        <f>IF(I160="PM","",IF(H160=0," ",I160-HLOOKUP('Course 3'!H160,'tab3'!$C$3:$N$4,2)))</f>
        <v xml:space="preserve"> </v>
      </c>
      <c r="K160" s="23" t="str">
        <f>IF(I160="PM","",IF(H160=0," ",J160/'Règles et points'!$F$23))</f>
        <v xml:space="preserve"> </v>
      </c>
      <c r="L160" s="3" t="str">
        <f>IF(H160=0,"",IF(I160="PM",30,VLOOKUP(H160,'Règles et points'!$C$5:$AG$19,(HLOOKUP('Course 3'!C160,'Règles et points'!$C$5:$AG$5,1)+1))))</f>
        <v/>
      </c>
      <c r="M160" s="23">
        <f t="shared" si="3"/>
        <v>0</v>
      </c>
      <c r="N160" s="80"/>
      <c r="O160" s="51"/>
      <c r="P160" s="52"/>
    </row>
    <row r="161" spans="2:16" ht="12.75">
      <c r="B161" s="14">
        <v>157</v>
      </c>
      <c r="C161" s="28" t="str">
        <f>IF(Coureurs!C161="","",Coureurs!C161)</f>
        <v/>
      </c>
      <c r="D161" s="131" t="str">
        <f>IF(Coureurs!D161="","",Coureurs!D161)</f>
        <v>70</v>
      </c>
      <c r="E161" s="87" t="str">
        <f>IF(Coureurs!F161="","",Coureurs!F161)</f>
        <v/>
      </c>
      <c r="F161" s="87" t="str">
        <f>IF(Coureurs!G161="","",Coureurs!G161)</f>
        <v/>
      </c>
      <c r="G161" s="50" t="str">
        <f>IF(Coureurs!J161="","",Coureurs!J161)</f>
        <v/>
      </c>
      <c r="H161" s="25"/>
      <c r="I161" s="41"/>
      <c r="J161" s="8" t="str">
        <f>IF(I161="PM","",IF(H161=0," ",I161-HLOOKUP('Course 3'!H161,'tab3'!$C$3:$N$4,2)))</f>
        <v xml:space="preserve"> </v>
      </c>
      <c r="K161" s="23" t="str">
        <f>IF(I161="PM","",IF(H161=0," ",J161/'Règles et points'!$F$23))</f>
        <v xml:space="preserve"> </v>
      </c>
      <c r="L161" s="3" t="str">
        <f>IF(H161=0,"",IF(I161="PM",30,VLOOKUP(H161,'Règles et points'!$C$5:$AG$19,(HLOOKUP('Course 3'!C161,'Règles et points'!$C$5:$AG$5,1)+1))))</f>
        <v/>
      </c>
      <c r="M161" s="23">
        <f t="shared" si="3"/>
        <v>0</v>
      </c>
      <c r="N161" s="80"/>
      <c r="O161" s="51"/>
      <c r="P161" s="52"/>
    </row>
    <row r="162" spans="2:16" ht="12.75">
      <c r="B162" s="14">
        <v>158</v>
      </c>
      <c r="C162" s="28" t="str">
        <f>IF(Coureurs!C162="","",Coureurs!C162)</f>
        <v/>
      </c>
      <c r="D162" s="131" t="str">
        <f>IF(Coureurs!D162="","",Coureurs!D162)</f>
        <v>70</v>
      </c>
      <c r="E162" s="87" t="str">
        <f>IF(Coureurs!F162="","",Coureurs!F162)</f>
        <v/>
      </c>
      <c r="F162" s="87" t="str">
        <f>IF(Coureurs!G162="","",Coureurs!G162)</f>
        <v/>
      </c>
      <c r="G162" s="50" t="str">
        <f>IF(Coureurs!J162="","",Coureurs!J162)</f>
        <v/>
      </c>
      <c r="H162" s="25"/>
      <c r="I162" s="41"/>
      <c r="J162" s="8" t="str">
        <f>IF(I162="PM","",IF(H162=0," ",I162-HLOOKUP('Course 3'!H162,'tab3'!$C$3:$N$4,2)))</f>
        <v xml:space="preserve"> </v>
      </c>
      <c r="K162" s="23" t="str">
        <f>IF(I162="PM","",IF(H162=0," ",J162/'Règles et points'!$F$23))</f>
        <v xml:space="preserve"> </v>
      </c>
      <c r="L162" s="3" t="str">
        <f>IF(H162=0,"",IF(I162="PM",30,VLOOKUP(H162,'Règles et points'!$C$5:$AG$19,(HLOOKUP('Course 3'!C162,'Règles et points'!$C$5:$AG$5,1)+1))))</f>
        <v/>
      </c>
      <c r="M162" s="23">
        <f t="shared" si="3"/>
        <v>0</v>
      </c>
      <c r="N162" s="80"/>
      <c r="O162" s="51"/>
      <c r="P162" s="52"/>
    </row>
    <row r="163" spans="2:16" ht="12.75">
      <c r="B163" s="14">
        <v>159</v>
      </c>
      <c r="C163" s="28" t="str">
        <f>IF(Coureurs!C163="","",Coureurs!C163)</f>
        <v/>
      </c>
      <c r="D163" s="131" t="str">
        <f>IF(Coureurs!D163="","",Coureurs!D163)</f>
        <v>70</v>
      </c>
      <c r="E163" s="87" t="str">
        <f>IF(Coureurs!F163="","",Coureurs!F163)</f>
        <v/>
      </c>
      <c r="F163" s="87" t="str">
        <f>IF(Coureurs!G163="","",Coureurs!G163)</f>
        <v/>
      </c>
      <c r="G163" s="50" t="str">
        <f>IF(Coureurs!J163="","",Coureurs!J163)</f>
        <v/>
      </c>
      <c r="H163" s="25"/>
      <c r="I163" s="41"/>
      <c r="J163" s="8" t="str">
        <f>IF(I163="PM","",IF(H163=0," ",I163-HLOOKUP('Course 3'!H163,'tab3'!$C$3:$N$4,2)))</f>
        <v xml:space="preserve"> </v>
      </c>
      <c r="K163" s="23" t="str">
        <f>IF(I163="PM","",IF(H163=0," ",J163/'Règles et points'!$F$23))</f>
        <v xml:space="preserve"> </v>
      </c>
      <c r="L163" s="3" t="str">
        <f>IF(H163=0,"",IF(I163="PM",30,VLOOKUP(H163,'Règles et points'!$C$5:$AG$19,(HLOOKUP('Course 3'!C163,'Règles et points'!$C$5:$AG$5,1)+1))))</f>
        <v/>
      </c>
      <c r="M163" s="23">
        <f t="shared" si="3"/>
        <v>0</v>
      </c>
      <c r="N163" s="80"/>
      <c r="O163" s="51"/>
      <c r="P163" s="52"/>
    </row>
    <row r="164" spans="2:16" ht="12.75">
      <c r="B164" s="14">
        <v>160</v>
      </c>
      <c r="C164" s="28" t="str">
        <f>IF(Coureurs!C164="","",Coureurs!C164)</f>
        <v/>
      </c>
      <c r="D164" s="131" t="str">
        <f>IF(Coureurs!D164="","",Coureurs!D164)</f>
        <v>70</v>
      </c>
      <c r="E164" s="87" t="str">
        <f>IF(Coureurs!F164="","",Coureurs!F164)</f>
        <v/>
      </c>
      <c r="F164" s="87" t="str">
        <f>IF(Coureurs!G164="","",Coureurs!G164)</f>
        <v/>
      </c>
      <c r="G164" s="50" t="str">
        <f>IF(Coureurs!J164="","",Coureurs!J164)</f>
        <v/>
      </c>
      <c r="H164" s="25"/>
      <c r="I164" s="41"/>
      <c r="J164" s="8" t="str">
        <f>IF(I164="PM","",IF(H164=0," ",I164-HLOOKUP('Course 3'!H164,'tab3'!$C$3:$N$4,2)))</f>
        <v xml:space="preserve"> </v>
      </c>
      <c r="K164" s="23" t="str">
        <f>IF(I164="PM","",IF(H164=0," ",J164/'Règles et points'!$F$23))</f>
        <v xml:space="preserve"> </v>
      </c>
      <c r="L164" s="3" t="str">
        <f>IF(H164=0,"",IF(I164="PM",30,VLOOKUP(H164,'Règles et points'!$C$5:$AG$19,(HLOOKUP('Course 3'!C164,'Règles et points'!$C$5:$AG$5,1)+1))))</f>
        <v/>
      </c>
      <c r="M164" s="23">
        <f t="shared" si="3"/>
        <v>0</v>
      </c>
      <c r="N164" s="80"/>
      <c r="O164" s="51"/>
      <c r="P164" s="52"/>
    </row>
    <row r="165" spans="2:16" ht="12.75">
      <c r="B165" s="14">
        <v>161</v>
      </c>
      <c r="C165" s="28" t="str">
        <f>IF(Coureurs!C165="","",Coureurs!C165)</f>
        <v/>
      </c>
      <c r="D165" s="131" t="str">
        <f>IF(Coureurs!D165="","",Coureurs!D165)</f>
        <v>70</v>
      </c>
      <c r="E165" s="87" t="str">
        <f>IF(Coureurs!F165="","",Coureurs!F165)</f>
        <v/>
      </c>
      <c r="F165" s="87" t="str">
        <f>IF(Coureurs!G165="","",Coureurs!G165)</f>
        <v/>
      </c>
      <c r="G165" s="50" t="str">
        <f>IF(Coureurs!J165="","",Coureurs!J165)</f>
        <v/>
      </c>
      <c r="H165" s="25"/>
      <c r="I165" s="41"/>
      <c r="J165" s="8" t="str">
        <f>IF(I165="PM","",IF(H165=0," ",I165-HLOOKUP('Course 3'!H165,'tab3'!$C$3:$N$4,2)))</f>
        <v xml:space="preserve"> </v>
      </c>
      <c r="K165" s="23" t="str">
        <f>IF(I165="PM","",IF(H165=0," ",J165/'Règles et points'!$F$23))</f>
        <v xml:space="preserve"> </v>
      </c>
      <c r="L165" s="3" t="str">
        <f>IF(H165=0,"",IF(I165="PM",30,VLOOKUP(H165,'Règles et points'!$C$5:$AG$19,(HLOOKUP('Course 3'!C165,'Règles et points'!$C$5:$AG$5,1)+1))))</f>
        <v/>
      </c>
      <c r="M165" s="23">
        <f t="shared" si="3"/>
        <v>0</v>
      </c>
      <c r="N165" s="80"/>
      <c r="O165" s="51"/>
      <c r="P165" s="52"/>
    </row>
    <row r="166" spans="2:16" ht="12.75">
      <c r="B166" s="14">
        <v>162</v>
      </c>
      <c r="C166" s="28" t="str">
        <f>IF(Coureurs!C166="","",Coureurs!C166)</f>
        <v/>
      </c>
      <c r="D166" s="131" t="str">
        <f>IF(Coureurs!D166="","",Coureurs!D166)</f>
        <v>70</v>
      </c>
      <c r="E166" s="87" t="str">
        <f>IF(Coureurs!F166="","",Coureurs!F166)</f>
        <v/>
      </c>
      <c r="F166" s="87" t="str">
        <f>IF(Coureurs!G166="","",Coureurs!G166)</f>
        <v/>
      </c>
      <c r="G166" s="50" t="str">
        <f>IF(Coureurs!J166="","",Coureurs!J166)</f>
        <v/>
      </c>
      <c r="H166" s="25"/>
      <c r="I166" s="41"/>
      <c r="J166" s="8" t="str">
        <f>IF(I166="PM","",IF(H166=0," ",I166-HLOOKUP('Course 3'!H166,'tab3'!$C$3:$N$4,2)))</f>
        <v xml:space="preserve"> </v>
      </c>
      <c r="K166" s="23" t="str">
        <f>IF(I166="PM","",IF(H166=0," ",J166/'Règles et points'!$F$23))</f>
        <v xml:space="preserve"> </v>
      </c>
      <c r="L166" s="3" t="str">
        <f>IF(H166=0,"",IF(I166="PM",30,VLOOKUP(H166,'Règles et points'!$C$5:$AG$19,(HLOOKUP('Course 3'!C166,'Règles et points'!$C$5:$AG$5,1)+1))))</f>
        <v/>
      </c>
      <c r="M166" s="23">
        <f t="shared" si="3"/>
        <v>0</v>
      </c>
      <c r="N166" s="80"/>
      <c r="O166" s="51"/>
      <c r="P166" s="52"/>
    </row>
    <row r="167" spans="2:16" ht="12.75">
      <c r="B167" s="14">
        <v>163</v>
      </c>
      <c r="C167" s="28" t="str">
        <f>IF(Coureurs!C167="","",Coureurs!C167)</f>
        <v/>
      </c>
      <c r="D167" s="131" t="str">
        <f>IF(Coureurs!D167="","",Coureurs!D167)</f>
        <v>70</v>
      </c>
      <c r="E167" s="87" t="str">
        <f>IF(Coureurs!F167="","",Coureurs!F167)</f>
        <v/>
      </c>
      <c r="F167" s="87" t="str">
        <f>IF(Coureurs!G167="","",Coureurs!G167)</f>
        <v/>
      </c>
      <c r="G167" s="50" t="str">
        <f>IF(Coureurs!J167="","",Coureurs!J167)</f>
        <v/>
      </c>
      <c r="H167" s="25"/>
      <c r="I167" s="41"/>
      <c r="J167" s="8" t="str">
        <f>IF(I167="PM","",IF(H167=0," ",I167-HLOOKUP('Course 3'!H167,'tab3'!$C$3:$N$4,2)))</f>
        <v xml:space="preserve"> </v>
      </c>
      <c r="K167" s="23" t="str">
        <f>IF(I167="PM","",IF(H167=0," ",J167/'Règles et points'!$F$23))</f>
        <v xml:space="preserve"> </v>
      </c>
      <c r="L167" s="3" t="str">
        <f>IF(H167=0,"",IF(I167="PM",30,VLOOKUP(H167,'Règles et points'!$C$5:$AG$19,(HLOOKUP('Course 3'!C167,'Règles et points'!$C$5:$AG$5,1)+1))))</f>
        <v/>
      </c>
      <c r="M167" s="23">
        <f t="shared" si="3"/>
        <v>0</v>
      </c>
      <c r="N167" s="80"/>
      <c r="O167" s="51"/>
      <c r="P167" s="52"/>
    </row>
    <row r="168" spans="2:16" ht="12.75">
      <c r="B168" s="14">
        <v>164</v>
      </c>
      <c r="C168" s="28" t="str">
        <f>IF(Coureurs!C168="","",Coureurs!C168)</f>
        <v/>
      </c>
      <c r="D168" s="131" t="str">
        <f>IF(Coureurs!D168="","",Coureurs!D168)</f>
        <v>70</v>
      </c>
      <c r="E168" s="87" t="str">
        <f>IF(Coureurs!F168="","",Coureurs!F168)</f>
        <v/>
      </c>
      <c r="F168" s="87" t="str">
        <f>IF(Coureurs!G168="","",Coureurs!G168)</f>
        <v/>
      </c>
      <c r="G168" s="50" t="str">
        <f>IF(Coureurs!J168="","",Coureurs!J168)</f>
        <v/>
      </c>
      <c r="H168" s="25"/>
      <c r="I168" s="41"/>
      <c r="J168" s="8" t="str">
        <f>IF(I168="PM","",IF(H168=0," ",I168-HLOOKUP('Course 3'!H168,'tab3'!$C$3:$N$4,2)))</f>
        <v xml:space="preserve"> </v>
      </c>
      <c r="K168" s="23" t="str">
        <f>IF(I168="PM","",IF(H168=0," ",J168/'Règles et points'!$F$23))</f>
        <v xml:space="preserve"> </v>
      </c>
      <c r="L168" s="3" t="str">
        <f>IF(H168=0,"",IF(I168="PM",30,VLOOKUP(H168,'Règles et points'!$C$5:$AG$19,(HLOOKUP('Course 3'!C168,'Règles et points'!$C$5:$AG$5,1)+1))))</f>
        <v/>
      </c>
      <c r="M168" s="23">
        <f t="shared" si="3"/>
        <v>0</v>
      </c>
      <c r="N168" s="80"/>
      <c r="O168" s="51"/>
      <c r="P168" s="52"/>
    </row>
    <row r="169" spans="2:16" ht="12.75">
      <c r="B169" s="14">
        <v>165</v>
      </c>
      <c r="C169" s="28" t="str">
        <f>IF(Coureurs!C169="","",Coureurs!C169)</f>
        <v/>
      </c>
      <c r="D169" s="131" t="str">
        <f>IF(Coureurs!D169="","",Coureurs!D169)</f>
        <v>70</v>
      </c>
      <c r="E169" s="87" t="str">
        <f>IF(Coureurs!F169="","",Coureurs!F169)</f>
        <v/>
      </c>
      <c r="F169" s="87" t="str">
        <f>IF(Coureurs!G169="","",Coureurs!G169)</f>
        <v/>
      </c>
      <c r="G169" s="50" t="str">
        <f>IF(Coureurs!J169="","",Coureurs!J169)</f>
        <v/>
      </c>
      <c r="H169" s="25"/>
      <c r="I169" s="41"/>
      <c r="J169" s="8" t="str">
        <f>IF(I169="PM","",IF(H169=0," ",I169-HLOOKUP('Course 3'!H169,'tab3'!$C$3:$N$4,2)))</f>
        <v xml:space="preserve"> </v>
      </c>
      <c r="K169" s="23" t="str">
        <f>IF(I169="PM","",IF(H169=0," ",J169/'Règles et points'!$F$23))</f>
        <v xml:space="preserve"> </v>
      </c>
      <c r="L169" s="3" t="str">
        <f>IF(H169=0,"",IF(I169="PM",30,VLOOKUP(H169,'Règles et points'!$C$5:$AG$19,(HLOOKUP('Course 3'!C169,'Règles et points'!$C$5:$AG$5,1)+1))))</f>
        <v/>
      </c>
      <c r="M169" s="23">
        <f t="shared" si="3"/>
        <v>0</v>
      </c>
      <c r="N169" s="80"/>
      <c r="O169" s="51"/>
      <c r="P169" s="52"/>
    </row>
    <row r="170" spans="2:16" ht="12.75">
      <c r="B170" s="14">
        <v>166</v>
      </c>
      <c r="C170" s="28" t="str">
        <f>IF(Coureurs!C170="","",Coureurs!C170)</f>
        <v/>
      </c>
      <c r="D170" s="131" t="str">
        <f>IF(Coureurs!D170="","",Coureurs!D170)</f>
        <v>70</v>
      </c>
      <c r="E170" s="87" t="str">
        <f>IF(Coureurs!F170="","",Coureurs!F170)</f>
        <v/>
      </c>
      <c r="F170" s="87" t="str">
        <f>IF(Coureurs!G170="","",Coureurs!G170)</f>
        <v/>
      </c>
      <c r="G170" s="50" t="str">
        <f>IF(Coureurs!J170="","",Coureurs!J170)</f>
        <v/>
      </c>
      <c r="H170" s="25"/>
      <c r="I170" s="41"/>
      <c r="J170" s="8" t="str">
        <f>IF(I170="PM","",IF(H170=0," ",I170-HLOOKUP('Course 3'!H170,'tab3'!$C$3:$N$4,2)))</f>
        <v xml:space="preserve"> </v>
      </c>
      <c r="K170" s="23" t="str">
        <f>IF(I170="PM","",IF(H170=0," ",J170/'Règles et points'!$F$23))</f>
        <v xml:space="preserve"> </v>
      </c>
      <c r="L170" s="3" t="str">
        <f>IF(H170=0,"",IF(I170="PM",30,VLOOKUP(H170,'Règles et points'!$C$5:$AG$19,(HLOOKUP('Course 3'!C170,'Règles et points'!$C$5:$AG$5,1)+1))))</f>
        <v/>
      </c>
      <c r="M170" s="23">
        <f t="shared" si="3"/>
        <v>0</v>
      </c>
      <c r="N170" s="80"/>
      <c r="O170" s="51"/>
      <c r="P170" s="52"/>
    </row>
    <row r="171" spans="2:16" ht="12.75">
      <c r="B171" s="14">
        <v>167</v>
      </c>
      <c r="C171" s="28" t="str">
        <f>IF(Coureurs!C171="","",Coureurs!C171)</f>
        <v/>
      </c>
      <c r="D171" s="131" t="str">
        <f>IF(Coureurs!D171="","",Coureurs!D171)</f>
        <v>70</v>
      </c>
      <c r="E171" s="87" t="str">
        <f>IF(Coureurs!F171="","",Coureurs!F171)</f>
        <v/>
      </c>
      <c r="F171" s="87" t="str">
        <f>IF(Coureurs!G171="","",Coureurs!G171)</f>
        <v/>
      </c>
      <c r="G171" s="50" t="str">
        <f>IF(Coureurs!J171="","",Coureurs!J171)</f>
        <v/>
      </c>
      <c r="H171" s="25"/>
      <c r="I171" s="41"/>
      <c r="J171" s="8" t="str">
        <f>IF(I171="PM","",IF(H171=0," ",I171-HLOOKUP('Course 3'!H171,'tab3'!$C$3:$N$4,2)))</f>
        <v xml:space="preserve"> </v>
      </c>
      <c r="K171" s="23" t="str">
        <f>IF(I171="PM","",IF(H171=0," ",J171/'Règles et points'!$F$23))</f>
        <v xml:space="preserve"> </v>
      </c>
      <c r="L171" s="3" t="str">
        <f>IF(H171=0,"",IF(I171="PM",30,VLOOKUP(H171,'Règles et points'!$C$5:$AG$19,(HLOOKUP('Course 3'!C171,'Règles et points'!$C$5:$AG$5,1)+1))))</f>
        <v/>
      </c>
      <c r="M171" s="23">
        <f t="shared" si="3"/>
        <v>0</v>
      </c>
      <c r="N171" s="80"/>
      <c r="O171" s="51"/>
      <c r="P171" s="52"/>
    </row>
    <row r="172" spans="2:16" ht="12.75">
      <c r="B172" s="14">
        <v>168</v>
      </c>
      <c r="C172" s="28" t="str">
        <f>IF(Coureurs!C172="","",Coureurs!C172)</f>
        <v/>
      </c>
      <c r="D172" s="131" t="str">
        <f>IF(Coureurs!D172="","",Coureurs!D172)</f>
        <v>70</v>
      </c>
      <c r="E172" s="87" t="str">
        <f>IF(Coureurs!F172="","",Coureurs!F172)</f>
        <v/>
      </c>
      <c r="F172" s="87" t="str">
        <f>IF(Coureurs!G172="","",Coureurs!G172)</f>
        <v/>
      </c>
      <c r="G172" s="50" t="str">
        <f>IF(Coureurs!J172="","",Coureurs!J172)</f>
        <v/>
      </c>
      <c r="H172" s="25"/>
      <c r="I172" s="41"/>
      <c r="J172" s="8" t="str">
        <f>IF(I172="PM","",IF(H172=0," ",I172-HLOOKUP('Course 3'!H172,'tab3'!$C$3:$N$4,2)))</f>
        <v xml:space="preserve"> </v>
      </c>
      <c r="K172" s="23" t="str">
        <f>IF(I172="PM","",IF(H172=0," ",J172/'Règles et points'!$F$23))</f>
        <v xml:space="preserve"> </v>
      </c>
      <c r="L172" s="3" t="str">
        <f>IF(H172=0,"",IF(I172="PM",30,VLOOKUP(H172,'Règles et points'!$C$5:$AG$19,(HLOOKUP('Course 3'!C172,'Règles et points'!$C$5:$AG$5,1)+1))))</f>
        <v/>
      </c>
      <c r="M172" s="23">
        <f t="shared" si="3"/>
        <v>0</v>
      </c>
      <c r="N172" s="80"/>
      <c r="O172" s="51"/>
      <c r="P172" s="52"/>
    </row>
    <row r="173" spans="2:16" ht="12.75">
      <c r="B173" s="14">
        <v>169</v>
      </c>
      <c r="C173" s="28" t="str">
        <f>IF(Coureurs!C173="","",Coureurs!C173)</f>
        <v/>
      </c>
      <c r="D173" s="131" t="str">
        <f>IF(Coureurs!D173="","",Coureurs!D173)</f>
        <v>70</v>
      </c>
      <c r="E173" s="87" t="str">
        <f>IF(Coureurs!F173="","",Coureurs!F173)</f>
        <v/>
      </c>
      <c r="F173" s="87" t="str">
        <f>IF(Coureurs!G173="","",Coureurs!G173)</f>
        <v/>
      </c>
      <c r="G173" s="50" t="str">
        <f>IF(Coureurs!J173="","",Coureurs!J173)</f>
        <v/>
      </c>
      <c r="H173" s="25"/>
      <c r="I173" s="41"/>
      <c r="J173" s="8" t="str">
        <f>IF(I173="PM","",IF(H173=0," ",I173-HLOOKUP('Course 3'!H173,'tab3'!$C$3:$N$4,2)))</f>
        <v xml:space="preserve"> </v>
      </c>
      <c r="K173" s="23" t="str">
        <f>IF(I173="PM","",IF(H173=0," ",J173/'Règles et points'!$F$23))</f>
        <v xml:space="preserve"> </v>
      </c>
      <c r="L173" s="3" t="str">
        <f>IF(H173=0,"",IF(I173="PM",30,VLOOKUP(H173,'Règles et points'!$C$5:$AG$19,(HLOOKUP('Course 3'!C173,'Règles et points'!$C$5:$AG$5,1)+1))))</f>
        <v/>
      </c>
      <c r="M173" s="23">
        <f t="shared" si="3"/>
        <v>0</v>
      </c>
      <c r="N173" s="80"/>
      <c r="O173" s="51"/>
      <c r="P173" s="52"/>
    </row>
    <row r="174" spans="2:16" ht="12.75">
      <c r="B174" s="14">
        <v>170</v>
      </c>
      <c r="C174" s="28" t="str">
        <f>IF(Coureurs!C174="","",Coureurs!C174)</f>
        <v/>
      </c>
      <c r="D174" s="131" t="str">
        <f>IF(Coureurs!D174="","",Coureurs!D174)</f>
        <v>70</v>
      </c>
      <c r="E174" s="87" t="str">
        <f>IF(Coureurs!F174="","",Coureurs!F174)</f>
        <v/>
      </c>
      <c r="F174" s="87" t="str">
        <f>IF(Coureurs!G174="","",Coureurs!G174)</f>
        <v/>
      </c>
      <c r="G174" s="50" t="str">
        <f>IF(Coureurs!J174="","",Coureurs!J174)</f>
        <v/>
      </c>
      <c r="H174" s="25"/>
      <c r="I174" s="41"/>
      <c r="J174" s="8" t="str">
        <f>IF(I174="PM","",IF(H174=0," ",I174-HLOOKUP('Course 3'!H174,'tab3'!$C$3:$N$4,2)))</f>
        <v xml:space="preserve"> </v>
      </c>
      <c r="K174" s="23" t="str">
        <f>IF(I174="PM","",IF(H174=0," ",J174/'Règles et points'!$F$23))</f>
        <v xml:space="preserve"> </v>
      </c>
      <c r="L174" s="3" t="str">
        <f>IF(H174=0,"",IF(I174="PM",30,VLOOKUP(H174,'Règles et points'!$C$5:$AG$19,(HLOOKUP('Course 3'!C174,'Règles et points'!$C$5:$AG$5,1)+1))))</f>
        <v/>
      </c>
      <c r="M174" s="23">
        <f t="shared" si="3"/>
        <v>0</v>
      </c>
      <c r="N174" s="80"/>
      <c r="O174" s="51"/>
      <c r="P174" s="52"/>
    </row>
    <row r="175" spans="2:16" ht="12.75">
      <c r="B175" s="14">
        <v>171</v>
      </c>
      <c r="C175" s="28" t="str">
        <f>IF(Coureurs!C175="","",Coureurs!C175)</f>
        <v/>
      </c>
      <c r="D175" s="131" t="str">
        <f>IF(Coureurs!D175="","",Coureurs!D175)</f>
        <v>70</v>
      </c>
      <c r="E175" s="87" t="str">
        <f>IF(Coureurs!F175="","",Coureurs!F175)</f>
        <v/>
      </c>
      <c r="F175" s="87" t="str">
        <f>IF(Coureurs!G175="","",Coureurs!G175)</f>
        <v/>
      </c>
      <c r="G175" s="50" t="str">
        <f>IF(Coureurs!J175="","",Coureurs!J175)</f>
        <v/>
      </c>
      <c r="H175" s="25"/>
      <c r="I175" s="41"/>
      <c r="J175" s="8" t="str">
        <f>IF(I175="PM","",IF(H175=0," ",I175-HLOOKUP('Course 3'!H175,'tab3'!$C$3:$N$4,2)))</f>
        <v xml:space="preserve"> </v>
      </c>
      <c r="K175" s="23" t="str">
        <f>IF(I175="PM","",IF(H175=0," ",J175/'Règles et points'!$F$23))</f>
        <v xml:space="preserve"> </v>
      </c>
      <c r="L175" s="3" t="str">
        <f>IF(H175=0,"",IF(I175="PM",30,VLOOKUP(H175,'Règles et points'!$C$5:$AG$19,(HLOOKUP('Course 3'!C175,'Règles et points'!$C$5:$AG$5,1)+1))))</f>
        <v/>
      </c>
      <c r="M175" s="23">
        <f t="shared" si="3"/>
        <v>0</v>
      </c>
      <c r="N175" s="80"/>
      <c r="O175" s="51"/>
      <c r="P175" s="52"/>
    </row>
    <row r="176" spans="2:16" ht="12.75">
      <c r="B176" s="14">
        <v>172</v>
      </c>
      <c r="C176" s="28" t="str">
        <f>IF(Coureurs!C176="","",Coureurs!C176)</f>
        <v/>
      </c>
      <c r="D176" s="131" t="str">
        <f>IF(Coureurs!D176="","",Coureurs!D176)</f>
        <v>70</v>
      </c>
      <c r="E176" s="87" t="str">
        <f>IF(Coureurs!F176="","",Coureurs!F176)</f>
        <v/>
      </c>
      <c r="F176" s="87" t="str">
        <f>IF(Coureurs!G176="","",Coureurs!G176)</f>
        <v/>
      </c>
      <c r="G176" s="50" t="str">
        <f>IF(Coureurs!J176="","",Coureurs!J176)</f>
        <v/>
      </c>
      <c r="H176" s="25"/>
      <c r="I176" s="41"/>
      <c r="J176" s="8" t="str">
        <f>IF(I176="PM","",IF(H176=0," ",I176-HLOOKUP('Course 3'!H176,'tab3'!$C$3:$N$4,2)))</f>
        <v xml:space="preserve"> </v>
      </c>
      <c r="K176" s="23" t="str">
        <f>IF(I176="PM","",IF(H176=0," ",J176/'Règles et points'!$F$23))</f>
        <v xml:space="preserve"> </v>
      </c>
      <c r="L176" s="3" t="str">
        <f>IF(H176=0,"",IF(I176="PM",30,VLOOKUP(H176,'Règles et points'!$C$5:$AG$19,(HLOOKUP('Course 3'!C176,'Règles et points'!$C$5:$AG$5,1)+1))))</f>
        <v/>
      </c>
      <c r="M176" s="23">
        <f t="shared" si="3"/>
        <v>0</v>
      </c>
      <c r="N176" s="80"/>
      <c r="O176" s="51"/>
      <c r="P176" s="52"/>
    </row>
    <row r="177" spans="2:16" ht="12.75">
      <c r="B177" s="14">
        <v>173</v>
      </c>
      <c r="C177" s="28" t="str">
        <f>IF(Coureurs!C177="","",Coureurs!C177)</f>
        <v/>
      </c>
      <c r="D177" s="131" t="str">
        <f>IF(Coureurs!D177="","",Coureurs!D177)</f>
        <v>70</v>
      </c>
      <c r="E177" s="87" t="str">
        <f>IF(Coureurs!F177="","",Coureurs!F177)</f>
        <v/>
      </c>
      <c r="F177" s="87" t="str">
        <f>IF(Coureurs!G177="","",Coureurs!G177)</f>
        <v/>
      </c>
      <c r="G177" s="50" t="str">
        <f>IF(Coureurs!J177="","",Coureurs!J177)</f>
        <v/>
      </c>
      <c r="H177" s="25"/>
      <c r="I177" s="41"/>
      <c r="J177" s="8" t="str">
        <f>IF(I177="PM","",IF(H177=0," ",I177-HLOOKUP('Course 3'!H177,'tab3'!$C$3:$N$4,2)))</f>
        <v xml:space="preserve"> </v>
      </c>
      <c r="K177" s="23" t="str">
        <f>IF(I177="PM","",IF(H177=0," ",J177/'Règles et points'!$F$23))</f>
        <v xml:space="preserve"> </v>
      </c>
      <c r="L177" s="3" t="str">
        <f>IF(H177=0,"",IF(I177="PM",30,VLOOKUP(H177,'Règles et points'!$C$5:$AG$19,(HLOOKUP('Course 3'!C177,'Règles et points'!$C$5:$AG$5,1)+1))))</f>
        <v/>
      </c>
      <c r="M177" s="23">
        <f t="shared" si="3"/>
        <v>0</v>
      </c>
      <c r="N177" s="80"/>
      <c r="O177" s="51"/>
      <c r="P177" s="52"/>
    </row>
    <row r="178" spans="2:16" ht="12.75">
      <c r="B178" s="14">
        <v>174</v>
      </c>
      <c r="C178" s="28" t="str">
        <f>IF(Coureurs!C178="","",Coureurs!C178)</f>
        <v/>
      </c>
      <c r="D178" s="131" t="str">
        <f>IF(Coureurs!D178="","",Coureurs!D178)</f>
        <v>70</v>
      </c>
      <c r="E178" s="87" t="str">
        <f>IF(Coureurs!F178="","",Coureurs!F178)</f>
        <v/>
      </c>
      <c r="F178" s="87" t="str">
        <f>IF(Coureurs!G178="","",Coureurs!G178)</f>
        <v/>
      </c>
      <c r="G178" s="50" t="str">
        <f>IF(Coureurs!J178="","",Coureurs!J178)</f>
        <v/>
      </c>
      <c r="H178" s="25"/>
      <c r="I178" s="41"/>
      <c r="J178" s="8" t="str">
        <f>IF(I178="PM","",IF(H178=0," ",I178-HLOOKUP('Course 3'!H178,'tab3'!$C$3:$N$4,2)))</f>
        <v xml:space="preserve"> </v>
      </c>
      <c r="K178" s="23" t="str">
        <f>IF(I178="PM","",IF(H178=0," ",J178/'Règles et points'!$F$23))</f>
        <v xml:space="preserve"> </v>
      </c>
      <c r="L178" s="3" t="str">
        <f>IF(H178=0,"",IF(I178="PM",30,VLOOKUP(H178,'Règles et points'!$C$5:$AG$19,(HLOOKUP('Course 3'!C178,'Règles et points'!$C$5:$AG$5,1)+1))))</f>
        <v/>
      </c>
      <c r="M178" s="23">
        <f t="shared" si="3"/>
        <v>0</v>
      </c>
      <c r="N178" s="80"/>
      <c r="O178" s="51"/>
      <c r="P178" s="52"/>
    </row>
    <row r="179" spans="2:16" ht="12.75">
      <c r="B179" s="14">
        <v>175</v>
      </c>
      <c r="C179" s="28" t="str">
        <f>IF(Coureurs!C179="","",Coureurs!C179)</f>
        <v/>
      </c>
      <c r="D179" s="131" t="str">
        <f>IF(Coureurs!D179="","",Coureurs!D179)</f>
        <v>70</v>
      </c>
      <c r="E179" s="87" t="str">
        <f>IF(Coureurs!F179="","",Coureurs!F179)</f>
        <v/>
      </c>
      <c r="F179" s="87" t="str">
        <f>IF(Coureurs!G179="","",Coureurs!G179)</f>
        <v/>
      </c>
      <c r="G179" s="50" t="str">
        <f>IF(Coureurs!J179="","",Coureurs!J179)</f>
        <v/>
      </c>
      <c r="H179" s="25"/>
      <c r="I179" s="41"/>
      <c r="J179" s="8" t="str">
        <f>IF(I179="PM","",IF(H179=0," ",I179-HLOOKUP('Course 3'!H179,'tab3'!$C$3:$N$4,2)))</f>
        <v xml:space="preserve"> </v>
      </c>
      <c r="K179" s="23" t="str">
        <f>IF(I179="PM","",IF(H179=0," ",J179/'Règles et points'!$F$23))</f>
        <v xml:space="preserve"> </v>
      </c>
      <c r="L179" s="3" t="str">
        <f>IF(H179=0,"",IF(I179="PM",30,VLOOKUP(H179,'Règles et points'!$C$5:$AG$19,(HLOOKUP('Course 3'!C179,'Règles et points'!$C$5:$AG$5,1)+1))))</f>
        <v/>
      </c>
      <c r="M179" s="23">
        <f t="shared" si="3"/>
        <v>0</v>
      </c>
      <c r="N179" s="80"/>
      <c r="O179" s="51"/>
      <c r="P179" s="52"/>
    </row>
    <row r="180" spans="2:16" ht="12.75">
      <c r="B180" s="14">
        <v>176</v>
      </c>
      <c r="C180" s="28" t="str">
        <f>IF(Coureurs!C180="","",Coureurs!C180)</f>
        <v/>
      </c>
      <c r="D180" s="131" t="str">
        <f>IF(Coureurs!D180="","",Coureurs!D180)</f>
        <v>70</v>
      </c>
      <c r="E180" s="87" t="str">
        <f>IF(Coureurs!F180="","",Coureurs!F180)</f>
        <v/>
      </c>
      <c r="F180" s="87" t="str">
        <f>IF(Coureurs!G180="","",Coureurs!G180)</f>
        <v/>
      </c>
      <c r="G180" s="50" t="str">
        <f>IF(Coureurs!J180="","",Coureurs!J180)</f>
        <v/>
      </c>
      <c r="H180" s="25"/>
      <c r="I180" s="41"/>
      <c r="J180" s="8" t="str">
        <f>IF(I180="PM","",IF(H180=0," ",I180-HLOOKUP('Course 3'!H180,'tab3'!$C$3:$N$4,2)))</f>
        <v xml:space="preserve"> </v>
      </c>
      <c r="K180" s="23" t="str">
        <f>IF(I180="PM","",IF(H180=0," ",J180/'Règles et points'!$F$23))</f>
        <v xml:space="preserve"> </v>
      </c>
      <c r="L180" s="3" t="str">
        <f>IF(H180=0,"",IF(I180="PM",30,VLOOKUP(H180,'Règles et points'!$C$5:$AG$19,(HLOOKUP('Course 3'!C180,'Règles et points'!$C$5:$AG$5,1)+1))))</f>
        <v/>
      </c>
      <c r="M180" s="23">
        <f t="shared" si="3"/>
        <v>0</v>
      </c>
      <c r="N180" s="80"/>
      <c r="O180" s="51"/>
      <c r="P180" s="52"/>
    </row>
    <row r="181" spans="2:16" ht="12.75">
      <c r="B181" s="14">
        <v>177</v>
      </c>
      <c r="C181" s="28" t="str">
        <f>IF(Coureurs!C181="","",Coureurs!C181)</f>
        <v/>
      </c>
      <c r="D181" s="131" t="str">
        <f>IF(Coureurs!D181="","",Coureurs!D181)</f>
        <v>70</v>
      </c>
      <c r="E181" s="87" t="str">
        <f>IF(Coureurs!F181="","",Coureurs!F181)</f>
        <v/>
      </c>
      <c r="F181" s="87" t="str">
        <f>IF(Coureurs!G181="","",Coureurs!G181)</f>
        <v/>
      </c>
      <c r="G181" s="50" t="str">
        <f>IF(Coureurs!J181="","",Coureurs!J181)</f>
        <v/>
      </c>
      <c r="H181" s="25"/>
      <c r="I181" s="41"/>
      <c r="J181" s="8" t="str">
        <f>IF(I181="PM","",IF(H181=0," ",I181-HLOOKUP('Course 3'!H181,'tab3'!$C$3:$N$4,2)))</f>
        <v xml:space="preserve"> </v>
      </c>
      <c r="K181" s="23" t="str">
        <f>IF(I181="PM","",IF(H181=0," ",J181/'Règles et points'!$F$23))</f>
        <v xml:space="preserve"> </v>
      </c>
      <c r="L181" s="3" t="str">
        <f>IF(H181=0,"",IF(I181="PM",30,VLOOKUP(H181,'Règles et points'!$C$5:$AG$19,(HLOOKUP('Course 3'!C181,'Règles et points'!$C$5:$AG$5,1)+1))))</f>
        <v/>
      </c>
      <c r="M181" s="23">
        <f t="shared" si="3"/>
        <v>0</v>
      </c>
      <c r="N181" s="80"/>
      <c r="O181" s="51"/>
      <c r="P181" s="52"/>
    </row>
    <row r="182" spans="2:16" ht="12.75">
      <c r="B182" s="14">
        <v>178</v>
      </c>
      <c r="C182" s="28" t="str">
        <f>IF(Coureurs!C182="","",Coureurs!C182)</f>
        <v/>
      </c>
      <c r="D182" s="131" t="str">
        <f>IF(Coureurs!D182="","",Coureurs!D182)</f>
        <v>70</v>
      </c>
      <c r="E182" s="87" t="str">
        <f>IF(Coureurs!F182="","",Coureurs!F182)</f>
        <v/>
      </c>
      <c r="F182" s="87" t="str">
        <f>IF(Coureurs!G182="","",Coureurs!G182)</f>
        <v/>
      </c>
      <c r="G182" s="50" t="str">
        <f>IF(Coureurs!J182="","",Coureurs!J182)</f>
        <v/>
      </c>
      <c r="H182" s="25"/>
      <c r="I182" s="41"/>
      <c r="J182" s="8" t="str">
        <f>IF(I182="PM","",IF(H182=0," ",I182-HLOOKUP('Course 3'!H182,'tab3'!$C$3:$N$4,2)))</f>
        <v xml:space="preserve"> </v>
      </c>
      <c r="K182" s="23" t="str">
        <f>IF(I182="PM","",IF(H182=0," ",J182/'Règles et points'!$F$23))</f>
        <v xml:space="preserve"> </v>
      </c>
      <c r="L182" s="3" t="str">
        <f>IF(H182=0,"",IF(I182="PM",30,VLOOKUP(H182,'Règles et points'!$C$5:$AG$19,(HLOOKUP('Course 3'!C182,'Règles et points'!$C$5:$AG$5,1)+1))))</f>
        <v/>
      </c>
      <c r="M182" s="23">
        <f t="shared" si="3"/>
        <v>0</v>
      </c>
      <c r="N182" s="80"/>
      <c r="O182" s="51"/>
      <c r="P182" s="52"/>
    </row>
    <row r="183" spans="2:16" ht="12.75">
      <c r="B183" s="14">
        <v>179</v>
      </c>
      <c r="C183" s="28" t="str">
        <f>IF(Coureurs!C183="","",Coureurs!C183)</f>
        <v/>
      </c>
      <c r="D183" s="131" t="str">
        <f>IF(Coureurs!D183="","",Coureurs!D183)</f>
        <v>70</v>
      </c>
      <c r="E183" s="87" t="str">
        <f>IF(Coureurs!F183="","",Coureurs!F183)</f>
        <v/>
      </c>
      <c r="F183" s="87" t="str">
        <f>IF(Coureurs!G183="","",Coureurs!G183)</f>
        <v/>
      </c>
      <c r="G183" s="50" t="str">
        <f>IF(Coureurs!J183="","",Coureurs!J183)</f>
        <v/>
      </c>
      <c r="H183" s="25"/>
      <c r="I183" s="41"/>
      <c r="J183" s="8" t="str">
        <f>IF(I183="PM","",IF(H183=0," ",I183-HLOOKUP('Course 3'!H183,'tab3'!$C$3:$N$4,2)))</f>
        <v xml:space="preserve"> </v>
      </c>
      <c r="K183" s="23" t="str">
        <f>IF(I183="PM","",IF(H183=0," ",J183/'Règles et points'!$F$23))</f>
        <v xml:space="preserve"> </v>
      </c>
      <c r="L183" s="3" t="str">
        <f>IF(H183=0,"",IF(I183="PM",30,VLOOKUP(H183,'Règles et points'!$C$5:$AG$19,(HLOOKUP('Course 3'!C183,'Règles et points'!$C$5:$AG$5,1)+1))))</f>
        <v/>
      </c>
      <c r="M183" s="23">
        <f t="shared" si="3"/>
        <v>0</v>
      </c>
      <c r="N183" s="80"/>
      <c r="O183" s="51"/>
      <c r="P183" s="52"/>
    </row>
    <row r="184" spans="2:16" ht="12.75">
      <c r="B184" s="14">
        <v>180</v>
      </c>
      <c r="C184" s="28" t="str">
        <f>IF(Coureurs!C184="","",Coureurs!C184)</f>
        <v/>
      </c>
      <c r="D184" s="131" t="str">
        <f>IF(Coureurs!D184="","",Coureurs!D184)</f>
        <v>70</v>
      </c>
      <c r="E184" s="87" t="str">
        <f>IF(Coureurs!F184="","",Coureurs!F184)</f>
        <v/>
      </c>
      <c r="F184" s="87" t="str">
        <f>IF(Coureurs!G184="","",Coureurs!G184)</f>
        <v/>
      </c>
      <c r="G184" s="50" t="str">
        <f>IF(Coureurs!J184="","",Coureurs!J184)</f>
        <v/>
      </c>
      <c r="H184" s="25"/>
      <c r="I184" s="41"/>
      <c r="J184" s="8" t="str">
        <f>IF(I184="PM","",IF(H184=0," ",I184-HLOOKUP('Course 3'!H184,'tab3'!$C$3:$N$4,2)))</f>
        <v xml:space="preserve"> </v>
      </c>
      <c r="K184" s="23" t="str">
        <f>IF(I184="PM","",IF(H184=0," ",J184/'Règles et points'!$F$23))</f>
        <v xml:space="preserve"> </v>
      </c>
      <c r="L184" s="3" t="str">
        <f>IF(H184=0,"",IF(I184="PM",30,VLOOKUP(H184,'Règles et points'!$C$5:$AG$19,(HLOOKUP('Course 3'!C184,'Règles et points'!$C$5:$AG$5,1)+1))))</f>
        <v/>
      </c>
      <c r="M184" s="23">
        <f t="shared" si="3"/>
        <v>0</v>
      </c>
      <c r="N184" s="80"/>
      <c r="O184" s="51"/>
      <c r="P184" s="52"/>
    </row>
    <row r="185" spans="2:16" ht="12.75">
      <c r="B185" s="14">
        <v>181</v>
      </c>
      <c r="C185" s="28" t="str">
        <f>IF(Coureurs!C185="","",Coureurs!C185)</f>
        <v/>
      </c>
      <c r="D185" s="131" t="str">
        <f>IF(Coureurs!D185="","",Coureurs!D185)</f>
        <v>70</v>
      </c>
      <c r="E185" s="87" t="str">
        <f>IF(Coureurs!F185="","",Coureurs!F185)</f>
        <v/>
      </c>
      <c r="F185" s="87" t="str">
        <f>IF(Coureurs!G185="","",Coureurs!G185)</f>
        <v/>
      </c>
      <c r="G185" s="50" t="str">
        <f>IF(Coureurs!J185="","",Coureurs!J185)</f>
        <v/>
      </c>
      <c r="H185" s="25"/>
      <c r="I185" s="41"/>
      <c r="J185" s="8" t="str">
        <f>IF(I185="PM","",IF(H185=0," ",I185-HLOOKUP('Course 3'!H185,'tab3'!$C$3:$N$4,2)))</f>
        <v xml:space="preserve"> </v>
      </c>
      <c r="K185" s="23" t="str">
        <f>IF(I185="PM","",IF(H185=0," ",J185/'Règles et points'!$F$23))</f>
        <v xml:space="preserve"> </v>
      </c>
      <c r="L185" s="3" t="str">
        <f>IF(H185=0,"",IF(I185="PM",30,VLOOKUP(H185,'Règles et points'!$C$5:$AG$19,(HLOOKUP('Course 3'!C185,'Règles et points'!$C$5:$AG$5,1)+1))))</f>
        <v/>
      </c>
      <c r="M185" s="23">
        <f t="shared" si="3"/>
        <v>0</v>
      </c>
      <c r="N185" s="80"/>
      <c r="O185" s="51"/>
      <c r="P185" s="52"/>
    </row>
    <row r="186" spans="2:16" ht="12.75">
      <c r="B186" s="14">
        <v>182</v>
      </c>
      <c r="C186" s="28" t="str">
        <f>IF(Coureurs!C186="","",Coureurs!C186)</f>
        <v/>
      </c>
      <c r="D186" s="131" t="str">
        <f>IF(Coureurs!D186="","",Coureurs!D186)</f>
        <v>70</v>
      </c>
      <c r="E186" s="87" t="str">
        <f>IF(Coureurs!F186="","",Coureurs!F186)</f>
        <v/>
      </c>
      <c r="F186" s="87" t="str">
        <f>IF(Coureurs!G186="","",Coureurs!G186)</f>
        <v/>
      </c>
      <c r="G186" s="50" t="str">
        <f>IF(Coureurs!J186="","",Coureurs!J186)</f>
        <v/>
      </c>
      <c r="H186" s="25"/>
      <c r="I186" s="41"/>
      <c r="J186" s="8" t="str">
        <f>IF(I186="PM","",IF(H186=0," ",I186-HLOOKUP('Course 3'!H186,'tab3'!$C$3:$N$4,2)))</f>
        <v xml:space="preserve"> </v>
      </c>
      <c r="K186" s="23" t="str">
        <f>IF(I186="PM","",IF(H186=0," ",J186/'Règles et points'!$F$23))</f>
        <v xml:space="preserve"> </v>
      </c>
      <c r="L186" s="3" t="str">
        <f>IF(H186=0,"",IF(I186="PM",30,VLOOKUP(H186,'Règles et points'!$C$5:$AG$19,(HLOOKUP('Course 3'!C186,'Règles et points'!$C$5:$AG$5,1)+1))))</f>
        <v/>
      </c>
      <c r="M186" s="23">
        <f t="shared" si="3"/>
        <v>0</v>
      </c>
      <c r="N186" s="80"/>
      <c r="O186" s="51"/>
      <c r="P186" s="52"/>
    </row>
    <row r="187" spans="2:16" ht="12.75">
      <c r="B187" s="14">
        <v>183</v>
      </c>
      <c r="C187" s="28" t="str">
        <f>IF(Coureurs!C187="","",Coureurs!C187)</f>
        <v/>
      </c>
      <c r="D187" s="131" t="str">
        <f>IF(Coureurs!D187="","",Coureurs!D187)</f>
        <v>70</v>
      </c>
      <c r="E187" s="87" t="str">
        <f>IF(Coureurs!F187="","",Coureurs!F187)</f>
        <v/>
      </c>
      <c r="F187" s="87" t="str">
        <f>IF(Coureurs!G187="","",Coureurs!G187)</f>
        <v/>
      </c>
      <c r="G187" s="50" t="str">
        <f>IF(Coureurs!J187="","",Coureurs!J187)</f>
        <v/>
      </c>
      <c r="H187" s="25"/>
      <c r="I187" s="41"/>
      <c r="J187" s="8" t="str">
        <f>IF(I187="PM","",IF(H187=0," ",I187-HLOOKUP('Course 3'!H187,'tab3'!$C$3:$N$4,2)))</f>
        <v xml:space="preserve"> </v>
      </c>
      <c r="K187" s="23" t="str">
        <f>IF(I187="PM","",IF(H187=0," ",J187/'Règles et points'!$F$23))</f>
        <v xml:space="preserve"> </v>
      </c>
      <c r="L187" s="3" t="str">
        <f>IF(H187=0,"",IF(I187="PM",30,VLOOKUP(H187,'Règles et points'!$C$5:$AG$19,(HLOOKUP('Course 3'!C187,'Règles et points'!$C$5:$AG$5,1)+1))))</f>
        <v/>
      </c>
      <c r="M187" s="23">
        <f t="shared" si="3"/>
        <v>0</v>
      </c>
      <c r="N187" s="80"/>
      <c r="O187" s="51"/>
      <c r="P187" s="52"/>
    </row>
    <row r="188" spans="2:16" ht="12.75">
      <c r="B188" s="14">
        <v>184</v>
      </c>
      <c r="C188" s="28" t="str">
        <f>IF(Coureurs!C188="","",Coureurs!C188)</f>
        <v/>
      </c>
      <c r="D188" s="131" t="str">
        <f>IF(Coureurs!D188="","",Coureurs!D188)</f>
        <v>70</v>
      </c>
      <c r="E188" s="87" t="str">
        <f>IF(Coureurs!F188="","",Coureurs!F188)</f>
        <v/>
      </c>
      <c r="F188" s="87" t="str">
        <f>IF(Coureurs!G188="","",Coureurs!G188)</f>
        <v/>
      </c>
      <c r="G188" s="50" t="str">
        <f>IF(Coureurs!J188="","",Coureurs!J188)</f>
        <v/>
      </c>
      <c r="H188" s="25"/>
      <c r="I188" s="41"/>
      <c r="J188" s="8" t="str">
        <f>IF(I188="PM","",IF(H188=0," ",I188-HLOOKUP('Course 3'!H188,'tab3'!$C$3:$N$4,2)))</f>
        <v xml:space="preserve"> </v>
      </c>
      <c r="K188" s="23" t="str">
        <f>IF(I188="PM","",IF(H188=0," ",J188/'Règles et points'!$F$23))</f>
        <v xml:space="preserve"> </v>
      </c>
      <c r="L188" s="3" t="str">
        <f>IF(H188=0,"",IF(I188="PM",30,VLOOKUP(H188,'Règles et points'!$C$5:$AG$19,(HLOOKUP('Course 3'!C188,'Règles et points'!$C$5:$AG$5,1)+1))))</f>
        <v/>
      </c>
      <c r="M188" s="23">
        <f t="shared" si="3"/>
        <v>0</v>
      </c>
      <c r="N188" s="80"/>
      <c r="O188" s="51"/>
      <c r="P188" s="52"/>
    </row>
    <row r="189" spans="2:16" ht="12.75">
      <c r="B189" s="14">
        <v>185</v>
      </c>
      <c r="C189" s="28" t="str">
        <f>IF(Coureurs!C189="","",Coureurs!C189)</f>
        <v/>
      </c>
      <c r="D189" s="131" t="str">
        <f>IF(Coureurs!D189="","",Coureurs!D189)</f>
        <v>70</v>
      </c>
      <c r="E189" s="87" t="str">
        <f>IF(Coureurs!F189="","",Coureurs!F189)</f>
        <v/>
      </c>
      <c r="F189" s="87" t="str">
        <f>IF(Coureurs!G189="","",Coureurs!G189)</f>
        <v/>
      </c>
      <c r="G189" s="50" t="str">
        <f>IF(Coureurs!J189="","",Coureurs!J189)</f>
        <v/>
      </c>
      <c r="H189" s="25"/>
      <c r="I189" s="41"/>
      <c r="J189" s="8" t="str">
        <f>IF(I189="PM","",IF(H189=0," ",I189-HLOOKUP('Course 3'!H189,'tab3'!$C$3:$N$4,2)))</f>
        <v xml:space="preserve"> </v>
      </c>
      <c r="K189" s="23" t="str">
        <f>IF(I189="PM","",IF(H189=0," ",J189/'Règles et points'!$F$23))</f>
        <v xml:space="preserve"> </v>
      </c>
      <c r="L189" s="3" t="str">
        <f>IF(H189=0,"",IF(I189="PM",30,VLOOKUP(H189,'Règles et points'!$C$5:$AG$19,(HLOOKUP('Course 3'!C189,'Règles et points'!$C$5:$AG$5,1)+1))))</f>
        <v/>
      </c>
      <c r="M189" s="23">
        <f t="shared" si="3"/>
        <v>0</v>
      </c>
      <c r="N189" s="80"/>
      <c r="O189" s="51"/>
      <c r="P189" s="52"/>
    </row>
    <row r="190" spans="2:16" ht="12.75">
      <c r="B190" s="14">
        <v>186</v>
      </c>
      <c r="C190" s="28" t="str">
        <f>IF(Coureurs!C190="","",Coureurs!C190)</f>
        <v/>
      </c>
      <c r="D190" s="131" t="str">
        <f>IF(Coureurs!D190="","",Coureurs!D190)</f>
        <v>70</v>
      </c>
      <c r="E190" s="87" t="str">
        <f>IF(Coureurs!F190="","",Coureurs!F190)</f>
        <v/>
      </c>
      <c r="F190" s="87" t="str">
        <f>IF(Coureurs!G190="","",Coureurs!G190)</f>
        <v/>
      </c>
      <c r="G190" s="50" t="str">
        <f>IF(Coureurs!J190="","",Coureurs!J190)</f>
        <v/>
      </c>
      <c r="H190" s="25"/>
      <c r="I190" s="41"/>
      <c r="J190" s="8" t="str">
        <f>IF(I190="PM","",IF(H190=0," ",I190-HLOOKUP('Course 3'!H190,'tab3'!$C$3:$N$4,2)))</f>
        <v xml:space="preserve"> </v>
      </c>
      <c r="K190" s="23" t="str">
        <f>IF(I190="PM","",IF(H190=0," ",J190/'Règles et points'!$F$23))</f>
        <v xml:space="preserve"> </v>
      </c>
      <c r="L190" s="3" t="str">
        <f>IF(H190=0,"",IF(I190="PM",30,VLOOKUP(H190,'Règles et points'!$C$5:$AG$19,(HLOOKUP('Course 3'!C190,'Règles et points'!$C$5:$AG$5,1)+1))))</f>
        <v/>
      </c>
      <c r="M190" s="23">
        <f t="shared" si="3"/>
        <v>0</v>
      </c>
      <c r="N190" s="80"/>
      <c r="O190" s="51"/>
      <c r="P190" s="52"/>
    </row>
    <row r="191" spans="2:16" ht="12.75">
      <c r="B191" s="14">
        <v>187</v>
      </c>
      <c r="C191" s="28" t="str">
        <f>IF(Coureurs!C191="","",Coureurs!C191)</f>
        <v/>
      </c>
      <c r="D191" s="131" t="str">
        <f>IF(Coureurs!D191="","",Coureurs!D191)</f>
        <v>70</v>
      </c>
      <c r="E191" s="87" t="str">
        <f>IF(Coureurs!F191="","",Coureurs!F191)</f>
        <v/>
      </c>
      <c r="F191" s="87" t="str">
        <f>IF(Coureurs!G191="","",Coureurs!G191)</f>
        <v/>
      </c>
      <c r="G191" s="50" t="str">
        <f>IF(Coureurs!J191="","",Coureurs!J191)</f>
        <v/>
      </c>
      <c r="H191" s="25"/>
      <c r="I191" s="41"/>
      <c r="J191" s="8" t="str">
        <f>IF(I191="PM","",IF(H191=0," ",I191-HLOOKUP('Course 3'!H191,'tab3'!$C$3:$N$4,2)))</f>
        <v xml:space="preserve"> </v>
      </c>
      <c r="K191" s="23" t="str">
        <f>IF(I191="PM","",IF(H191=0," ",J191/'Règles et points'!$F$23))</f>
        <v xml:space="preserve"> </v>
      </c>
      <c r="L191" s="3" t="str">
        <f>IF(H191=0,"",IF(I191="PM",30,VLOOKUP(H191,'Règles et points'!$C$5:$AG$19,(HLOOKUP('Course 3'!C191,'Règles et points'!$C$5:$AG$5,1)+1))))</f>
        <v/>
      </c>
      <c r="M191" s="23">
        <f t="shared" si="3"/>
        <v>0</v>
      </c>
      <c r="N191" s="80"/>
      <c r="O191" s="51"/>
      <c r="P191" s="52"/>
    </row>
    <row r="192" spans="2:16" ht="12.75">
      <c r="B192" s="14">
        <v>188</v>
      </c>
      <c r="C192" s="28" t="str">
        <f>IF(Coureurs!C192="","",Coureurs!C192)</f>
        <v/>
      </c>
      <c r="D192" s="131" t="str">
        <f>IF(Coureurs!D192="","",Coureurs!D192)</f>
        <v>70</v>
      </c>
      <c r="E192" s="87" t="str">
        <f>IF(Coureurs!F192="","",Coureurs!F192)</f>
        <v/>
      </c>
      <c r="F192" s="87" t="str">
        <f>IF(Coureurs!G192="","",Coureurs!G192)</f>
        <v/>
      </c>
      <c r="G192" s="50" t="str">
        <f>IF(Coureurs!J192="","",Coureurs!J192)</f>
        <v/>
      </c>
      <c r="H192" s="25"/>
      <c r="I192" s="41"/>
      <c r="J192" s="8" t="str">
        <f>IF(I192="PM","",IF(H192=0," ",I192-HLOOKUP('Course 3'!H192,'tab3'!$C$3:$N$4,2)))</f>
        <v xml:space="preserve"> </v>
      </c>
      <c r="K192" s="23" t="str">
        <f>IF(I192="PM","",IF(H192=0," ",J192/'Règles et points'!$F$23))</f>
        <v xml:space="preserve"> </v>
      </c>
      <c r="L192" s="3" t="str">
        <f>IF(H192=0,"",IF(I192="PM",30,VLOOKUP(H192,'Règles et points'!$C$5:$AG$19,(HLOOKUP('Course 3'!C192,'Règles et points'!$C$5:$AG$5,1)+1))))</f>
        <v/>
      </c>
      <c r="M192" s="23">
        <f t="shared" si="3"/>
        <v>0</v>
      </c>
      <c r="N192" s="80"/>
      <c r="O192" s="51"/>
      <c r="P192" s="52"/>
    </row>
    <row r="193" spans="2:16" ht="12.75">
      <c r="B193" s="14">
        <v>189</v>
      </c>
      <c r="C193" s="28" t="str">
        <f>IF(Coureurs!C193="","",Coureurs!C193)</f>
        <v/>
      </c>
      <c r="D193" s="131" t="str">
        <f>IF(Coureurs!D193="","",Coureurs!D193)</f>
        <v>70</v>
      </c>
      <c r="E193" s="87" t="str">
        <f>IF(Coureurs!F193="","",Coureurs!F193)</f>
        <v/>
      </c>
      <c r="F193" s="87" t="str">
        <f>IF(Coureurs!G193="","",Coureurs!G193)</f>
        <v/>
      </c>
      <c r="G193" s="50" t="str">
        <f>IF(Coureurs!J193="","",Coureurs!J193)</f>
        <v/>
      </c>
      <c r="H193" s="25"/>
      <c r="I193" s="41"/>
      <c r="J193" s="8" t="str">
        <f>IF(I193="PM","",IF(H193=0," ",I193-HLOOKUP('Course 3'!H193,'tab3'!$C$3:$N$4,2)))</f>
        <v xml:space="preserve"> </v>
      </c>
      <c r="K193" s="23" t="str">
        <f>IF(I193="PM","",IF(H193=0," ",J193/'Règles et points'!$F$23))</f>
        <v xml:space="preserve"> </v>
      </c>
      <c r="L193" s="3" t="str">
        <f>IF(H193=0,"",IF(I193="PM",30,VLOOKUP(H193,'Règles et points'!$C$5:$AG$19,(HLOOKUP('Course 3'!C193,'Règles et points'!$C$5:$AG$5,1)+1))))</f>
        <v/>
      </c>
      <c r="M193" s="23">
        <f t="shared" si="3"/>
        <v>0</v>
      </c>
      <c r="N193" s="80"/>
      <c r="O193" s="51"/>
      <c r="P193" s="52"/>
    </row>
    <row r="194" spans="2:16" ht="12.75">
      <c r="B194" s="14">
        <v>190</v>
      </c>
      <c r="C194" s="28" t="str">
        <f>IF(Coureurs!C194="","",Coureurs!C194)</f>
        <v/>
      </c>
      <c r="D194" s="131" t="str">
        <f>IF(Coureurs!D194="","",Coureurs!D194)</f>
        <v>70</v>
      </c>
      <c r="E194" s="87" t="str">
        <f>IF(Coureurs!F194="","",Coureurs!F194)</f>
        <v/>
      </c>
      <c r="F194" s="87" t="str">
        <f>IF(Coureurs!G194="","",Coureurs!G194)</f>
        <v/>
      </c>
      <c r="G194" s="50" t="str">
        <f>IF(Coureurs!J194="","",Coureurs!J194)</f>
        <v/>
      </c>
      <c r="H194" s="25"/>
      <c r="I194" s="41"/>
      <c r="J194" s="8" t="str">
        <f>IF(I194="PM","",IF(H194=0," ",I194-HLOOKUP('Course 3'!H194,'tab3'!$C$3:$N$4,2)))</f>
        <v xml:space="preserve"> </v>
      </c>
      <c r="K194" s="23" t="str">
        <f>IF(I194="PM","",IF(H194=0," ",J194/'Règles et points'!$F$23))</f>
        <v xml:space="preserve"> </v>
      </c>
      <c r="L194" s="3" t="str">
        <f>IF(H194=0,"",IF(I194="PM",30,VLOOKUP(H194,'Règles et points'!$C$5:$AG$19,(HLOOKUP('Course 3'!C194,'Règles et points'!$C$5:$AG$5,1)+1))))</f>
        <v/>
      </c>
      <c r="M194" s="23">
        <f t="shared" si="3"/>
        <v>0</v>
      </c>
      <c r="N194" s="80"/>
      <c r="O194" s="51"/>
      <c r="P194" s="52"/>
    </row>
    <row r="195" spans="2:16" ht="12.75">
      <c r="B195" s="14">
        <v>191</v>
      </c>
      <c r="C195" s="28" t="str">
        <f>IF(Coureurs!C195="","",Coureurs!C195)</f>
        <v/>
      </c>
      <c r="D195" s="131" t="str">
        <f>IF(Coureurs!D195="","",Coureurs!D195)</f>
        <v>70</v>
      </c>
      <c r="E195" s="87" t="str">
        <f>IF(Coureurs!F195="","",Coureurs!F195)</f>
        <v/>
      </c>
      <c r="F195" s="87" t="str">
        <f>IF(Coureurs!G195="","",Coureurs!G195)</f>
        <v/>
      </c>
      <c r="G195" s="50" t="str">
        <f>IF(Coureurs!J195="","",Coureurs!J195)</f>
        <v/>
      </c>
      <c r="H195" s="25"/>
      <c r="I195" s="41"/>
      <c r="J195" s="8" t="str">
        <f>IF(I195="PM","",IF(H195=0," ",I195-HLOOKUP('Course 3'!H195,'tab3'!$C$3:$N$4,2)))</f>
        <v xml:space="preserve"> </v>
      </c>
      <c r="K195" s="23" t="str">
        <f>IF(I195="PM","",IF(H195=0," ",J195/'Règles et points'!$F$23))</f>
        <v xml:space="preserve"> </v>
      </c>
      <c r="L195" s="3" t="str">
        <f>IF(H195=0,"",IF(I195="PM",30,VLOOKUP(H195,'Règles et points'!$C$5:$AG$19,(HLOOKUP('Course 3'!C195,'Règles et points'!$C$5:$AG$5,1)+1))))</f>
        <v/>
      </c>
      <c r="M195" s="23">
        <f t="shared" si="3"/>
        <v>0</v>
      </c>
      <c r="N195" s="80"/>
      <c r="O195" s="51"/>
      <c r="P195" s="52"/>
    </row>
    <row r="196" spans="2:16" ht="12.75">
      <c r="B196" s="14">
        <v>192</v>
      </c>
      <c r="C196" s="28" t="str">
        <f>IF(Coureurs!C196="","",Coureurs!C196)</f>
        <v/>
      </c>
      <c r="D196" s="131" t="str">
        <f>IF(Coureurs!D196="","",Coureurs!D196)</f>
        <v>70</v>
      </c>
      <c r="E196" s="87" t="str">
        <f>IF(Coureurs!F196="","",Coureurs!F196)</f>
        <v/>
      </c>
      <c r="F196" s="87" t="str">
        <f>IF(Coureurs!G196="","",Coureurs!G196)</f>
        <v/>
      </c>
      <c r="G196" s="50" t="str">
        <f>IF(Coureurs!J196="","",Coureurs!J196)</f>
        <v/>
      </c>
      <c r="H196" s="25"/>
      <c r="I196" s="41"/>
      <c r="J196" s="8" t="str">
        <f>IF(I196="PM","",IF(H196=0," ",I196-HLOOKUP('Course 3'!H196,'tab3'!$C$3:$N$4,2)))</f>
        <v xml:space="preserve"> </v>
      </c>
      <c r="K196" s="23" t="str">
        <f>IF(I196="PM","",IF(H196=0," ",J196/'Règles et points'!$F$23))</f>
        <v xml:space="preserve"> </v>
      </c>
      <c r="L196" s="3" t="str">
        <f>IF(H196=0,"",IF(I196="PM",30,VLOOKUP(H196,'Règles et points'!$C$5:$AG$19,(HLOOKUP('Course 3'!C196,'Règles et points'!$C$5:$AG$5,1)+1))))</f>
        <v/>
      </c>
      <c r="M196" s="23">
        <f t="shared" si="3"/>
        <v>0</v>
      </c>
      <c r="N196" s="80"/>
      <c r="O196" s="51"/>
      <c r="P196" s="52"/>
    </row>
    <row r="197" spans="2:16" ht="12.75">
      <c r="B197" s="14">
        <v>193</v>
      </c>
      <c r="C197" s="28" t="str">
        <f>IF(Coureurs!C197="","",Coureurs!C197)</f>
        <v/>
      </c>
      <c r="D197" s="131" t="str">
        <f>IF(Coureurs!D197="","",Coureurs!D197)</f>
        <v>70</v>
      </c>
      <c r="E197" s="87" t="str">
        <f>IF(Coureurs!F197="","",Coureurs!F197)</f>
        <v/>
      </c>
      <c r="F197" s="87" t="str">
        <f>IF(Coureurs!G197="","",Coureurs!G197)</f>
        <v/>
      </c>
      <c r="G197" s="50" t="str">
        <f>IF(Coureurs!J197="","",Coureurs!J197)</f>
        <v/>
      </c>
      <c r="H197" s="25"/>
      <c r="I197" s="41"/>
      <c r="J197" s="8" t="str">
        <f>IF(I197="PM","",IF(H197=0," ",I197-HLOOKUP('Course 3'!H197,'tab3'!$C$3:$N$4,2)))</f>
        <v xml:space="preserve"> </v>
      </c>
      <c r="K197" s="23" t="str">
        <f>IF(I197="PM","",IF(H197=0," ",J197/'Règles et points'!$F$23))</f>
        <v xml:space="preserve"> </v>
      </c>
      <c r="L197" s="3" t="str">
        <f>IF(H197=0,"",IF(I197="PM",30,VLOOKUP(H197,'Règles et points'!$C$5:$AG$19,(HLOOKUP('Course 3'!C197,'Règles et points'!$C$5:$AG$5,1)+1))))</f>
        <v/>
      </c>
      <c r="M197" s="23">
        <f t="shared" si="3"/>
        <v>0</v>
      </c>
      <c r="N197" s="80"/>
      <c r="O197" s="51"/>
      <c r="P197" s="52"/>
    </row>
    <row r="198" spans="2:16" ht="12.75">
      <c r="B198" s="14">
        <v>194</v>
      </c>
      <c r="C198" s="28" t="str">
        <f>IF(Coureurs!C198="","",Coureurs!C198)</f>
        <v/>
      </c>
      <c r="D198" s="131" t="str">
        <f>IF(Coureurs!D198="","",Coureurs!D198)</f>
        <v>70</v>
      </c>
      <c r="E198" s="87" t="str">
        <f>IF(Coureurs!F198="","",Coureurs!F198)</f>
        <v/>
      </c>
      <c r="F198" s="87" t="str">
        <f>IF(Coureurs!G198="","",Coureurs!G198)</f>
        <v/>
      </c>
      <c r="G198" s="50" t="str">
        <f>IF(Coureurs!J198="","",Coureurs!J198)</f>
        <v/>
      </c>
      <c r="H198" s="25"/>
      <c r="I198" s="41"/>
      <c r="J198" s="8" t="str">
        <f>IF(I198="PM","",IF(H198=0," ",I198-HLOOKUP('Course 3'!H198,'tab3'!$C$3:$N$4,2)))</f>
        <v xml:space="preserve"> </v>
      </c>
      <c r="K198" s="23" t="str">
        <f>IF(I198="PM","",IF(H198=0," ",J198/'Règles et points'!$F$23))</f>
        <v xml:space="preserve"> </v>
      </c>
      <c r="L198" s="3" t="str">
        <f>IF(H198=0,"",IF(I198="PM",30,VLOOKUP(H198,'Règles et points'!$C$5:$AG$19,(HLOOKUP('Course 3'!C198,'Règles et points'!$C$5:$AG$5,1)+1))))</f>
        <v/>
      </c>
      <c r="M198" s="23">
        <f t="shared" ref="M198:M261" si="4">IF(I198="PM",30,IF(H198=0,0,L198-K198))+N198</f>
        <v>0</v>
      </c>
      <c r="N198" s="80"/>
      <c r="O198" s="51"/>
      <c r="P198" s="52"/>
    </row>
    <row r="199" spans="2:16" ht="12.75">
      <c r="B199" s="14">
        <v>195</v>
      </c>
      <c r="C199" s="28" t="str">
        <f>IF(Coureurs!C199="","",Coureurs!C199)</f>
        <v/>
      </c>
      <c r="D199" s="131" t="str">
        <f>IF(Coureurs!D199="","",Coureurs!D199)</f>
        <v>70</v>
      </c>
      <c r="E199" s="87" t="str">
        <f>IF(Coureurs!F199="","",Coureurs!F199)</f>
        <v/>
      </c>
      <c r="F199" s="87" t="str">
        <f>IF(Coureurs!G199="","",Coureurs!G199)</f>
        <v/>
      </c>
      <c r="G199" s="50" t="str">
        <f>IF(Coureurs!J199="","",Coureurs!J199)</f>
        <v/>
      </c>
      <c r="H199" s="25"/>
      <c r="I199" s="41"/>
      <c r="J199" s="8" t="str">
        <f>IF(I199="PM","",IF(H199=0," ",I199-HLOOKUP('Course 3'!H199,'tab3'!$C$3:$N$4,2)))</f>
        <v xml:space="preserve"> </v>
      </c>
      <c r="K199" s="23" t="str">
        <f>IF(I199="PM","",IF(H199=0," ",J199/'Règles et points'!$F$23))</f>
        <v xml:space="preserve"> </v>
      </c>
      <c r="L199" s="3" t="str">
        <f>IF(H199=0,"",IF(I199="PM",30,VLOOKUP(H199,'Règles et points'!$C$5:$AG$19,(HLOOKUP('Course 3'!C199,'Règles et points'!$C$5:$AG$5,1)+1))))</f>
        <v/>
      </c>
      <c r="M199" s="23">
        <f t="shared" si="4"/>
        <v>0</v>
      </c>
      <c r="N199" s="80"/>
      <c r="O199" s="51"/>
      <c r="P199" s="52"/>
    </row>
    <row r="200" spans="2:16" ht="12.75">
      <c r="B200" s="14">
        <v>196</v>
      </c>
      <c r="C200" s="28" t="str">
        <f>IF(Coureurs!C200="","",Coureurs!C200)</f>
        <v/>
      </c>
      <c r="D200" s="131" t="str">
        <f>IF(Coureurs!D200="","",Coureurs!D200)</f>
        <v>70</v>
      </c>
      <c r="E200" s="87" t="str">
        <f>IF(Coureurs!F200="","",Coureurs!F200)</f>
        <v/>
      </c>
      <c r="F200" s="87" t="str">
        <f>IF(Coureurs!G200="","",Coureurs!G200)</f>
        <v/>
      </c>
      <c r="G200" s="50" t="str">
        <f>IF(Coureurs!J200="","",Coureurs!J200)</f>
        <v/>
      </c>
      <c r="H200" s="25"/>
      <c r="I200" s="41"/>
      <c r="J200" s="8" t="str">
        <f>IF(I200="PM","",IF(H200=0," ",I200-HLOOKUP('Course 3'!H200,'tab3'!$C$3:$N$4,2)))</f>
        <v xml:space="preserve"> </v>
      </c>
      <c r="K200" s="23" t="str">
        <f>IF(I200="PM","",IF(H200=0," ",J200/'Règles et points'!$F$23))</f>
        <v xml:space="preserve"> </v>
      </c>
      <c r="L200" s="3" t="str">
        <f>IF(H200=0,"",IF(I200="PM",30,VLOOKUP(H200,'Règles et points'!$C$5:$AG$19,(HLOOKUP('Course 3'!C200,'Règles et points'!$C$5:$AG$5,1)+1))))</f>
        <v/>
      </c>
      <c r="M200" s="23">
        <f t="shared" si="4"/>
        <v>0</v>
      </c>
      <c r="N200" s="80"/>
      <c r="O200" s="51"/>
      <c r="P200" s="52"/>
    </row>
    <row r="201" spans="2:16" ht="12.75">
      <c r="B201" s="14">
        <v>197</v>
      </c>
      <c r="C201" s="28" t="str">
        <f>IF(Coureurs!C201="","",Coureurs!C201)</f>
        <v/>
      </c>
      <c r="D201" s="131" t="str">
        <f>IF(Coureurs!D201="","",Coureurs!D201)</f>
        <v>70</v>
      </c>
      <c r="E201" s="87" t="str">
        <f>IF(Coureurs!F201="","",Coureurs!F201)</f>
        <v/>
      </c>
      <c r="F201" s="87" t="str">
        <f>IF(Coureurs!G201="","",Coureurs!G201)</f>
        <v/>
      </c>
      <c r="G201" s="50" t="str">
        <f>IF(Coureurs!J201="","",Coureurs!J201)</f>
        <v/>
      </c>
      <c r="H201" s="25"/>
      <c r="I201" s="41"/>
      <c r="J201" s="8" t="str">
        <f>IF(I201="PM","",IF(H201=0," ",I201-HLOOKUP('Course 3'!H201,'tab3'!$C$3:$N$4,2)))</f>
        <v xml:space="preserve"> </v>
      </c>
      <c r="K201" s="23" t="str">
        <f>IF(I201="PM","",IF(H201=0," ",J201/'Règles et points'!$F$23))</f>
        <v xml:space="preserve"> </v>
      </c>
      <c r="L201" s="3" t="str">
        <f>IF(H201=0,"",IF(I201="PM",30,VLOOKUP(H201,'Règles et points'!$C$5:$AG$19,(HLOOKUP('Course 3'!C201,'Règles et points'!$C$5:$AG$5,1)+1))))</f>
        <v/>
      </c>
      <c r="M201" s="23">
        <f t="shared" si="4"/>
        <v>0</v>
      </c>
      <c r="N201" s="80"/>
      <c r="O201" s="51"/>
      <c r="P201" s="52"/>
    </row>
    <row r="202" spans="2:16" ht="12.75">
      <c r="B202" s="14">
        <v>198</v>
      </c>
      <c r="C202" s="28" t="str">
        <f>IF(Coureurs!C202="","",Coureurs!C202)</f>
        <v/>
      </c>
      <c r="D202" s="131" t="str">
        <f>IF(Coureurs!D202="","",Coureurs!D202)</f>
        <v>70</v>
      </c>
      <c r="E202" s="87" t="str">
        <f>IF(Coureurs!F202="","",Coureurs!F202)</f>
        <v/>
      </c>
      <c r="F202" s="87" t="str">
        <f>IF(Coureurs!G202="","",Coureurs!G202)</f>
        <v/>
      </c>
      <c r="G202" s="50" t="str">
        <f>IF(Coureurs!J202="","",Coureurs!J202)</f>
        <v/>
      </c>
      <c r="H202" s="25"/>
      <c r="I202" s="41"/>
      <c r="J202" s="8" t="str">
        <f>IF(I202="PM","",IF(H202=0," ",I202-HLOOKUP('Course 3'!H202,'tab3'!$C$3:$N$4,2)))</f>
        <v xml:space="preserve"> </v>
      </c>
      <c r="K202" s="23" t="str">
        <f>IF(I202="PM","",IF(H202=0," ",J202/'Règles et points'!$F$23))</f>
        <v xml:space="preserve"> </v>
      </c>
      <c r="L202" s="3" t="str">
        <f>IF(H202=0,"",IF(I202="PM",30,VLOOKUP(H202,'Règles et points'!$C$5:$AG$19,(HLOOKUP('Course 3'!C202,'Règles et points'!$C$5:$AG$5,1)+1))))</f>
        <v/>
      </c>
      <c r="M202" s="23">
        <f t="shared" si="4"/>
        <v>0</v>
      </c>
      <c r="N202" s="80"/>
      <c r="O202" s="51"/>
      <c r="P202" s="52"/>
    </row>
    <row r="203" spans="2:16" ht="12.75">
      <c r="B203" s="14">
        <v>199</v>
      </c>
      <c r="C203" s="28" t="str">
        <f>IF(Coureurs!C203="","",Coureurs!C203)</f>
        <v/>
      </c>
      <c r="D203" s="131" t="str">
        <f>IF(Coureurs!D203="","",Coureurs!D203)</f>
        <v>70</v>
      </c>
      <c r="E203" s="87" t="str">
        <f>IF(Coureurs!F203="","",Coureurs!F203)</f>
        <v/>
      </c>
      <c r="F203" s="87" t="str">
        <f>IF(Coureurs!G203="","",Coureurs!G203)</f>
        <v/>
      </c>
      <c r="G203" s="50" t="str">
        <f>IF(Coureurs!J203="","",Coureurs!J203)</f>
        <v/>
      </c>
      <c r="H203" s="25"/>
      <c r="I203" s="41"/>
      <c r="J203" s="8" t="str">
        <f>IF(I203="PM","",IF(H203=0," ",I203-HLOOKUP('Course 3'!H203,'tab3'!$C$3:$N$4,2)))</f>
        <v xml:space="preserve"> </v>
      </c>
      <c r="K203" s="23" t="str">
        <f>IF(I203="PM","",IF(H203=0," ",J203/'Règles et points'!$F$23))</f>
        <v xml:space="preserve"> </v>
      </c>
      <c r="L203" s="3" t="str">
        <f>IF(H203=0,"",IF(I203="PM",30,VLOOKUP(H203,'Règles et points'!$C$5:$AG$19,(HLOOKUP('Course 3'!C203,'Règles et points'!$C$5:$AG$5,1)+1))))</f>
        <v/>
      </c>
      <c r="M203" s="23">
        <f t="shared" si="4"/>
        <v>0</v>
      </c>
      <c r="N203" s="80"/>
      <c r="O203" s="51"/>
      <c r="P203" s="52"/>
    </row>
    <row r="204" spans="2:16" ht="12.75">
      <c r="B204" s="14">
        <v>200</v>
      </c>
      <c r="C204" s="28" t="str">
        <f>IF(Coureurs!C204="","",Coureurs!C204)</f>
        <v/>
      </c>
      <c r="D204" s="131" t="str">
        <f>IF(Coureurs!D204="","",Coureurs!D204)</f>
        <v>70</v>
      </c>
      <c r="E204" s="87" t="str">
        <f>IF(Coureurs!F204="","",Coureurs!F204)</f>
        <v/>
      </c>
      <c r="F204" s="87" t="str">
        <f>IF(Coureurs!G204="","",Coureurs!G204)</f>
        <v/>
      </c>
      <c r="G204" s="50" t="str">
        <f>IF(Coureurs!J204="","",Coureurs!J204)</f>
        <v/>
      </c>
      <c r="H204" s="25"/>
      <c r="I204" s="41"/>
      <c r="J204" s="8" t="str">
        <f>IF(I204="PM","",IF(H204=0," ",I204-HLOOKUP('Course 3'!H204,'tab3'!$C$3:$N$4,2)))</f>
        <v xml:space="preserve"> </v>
      </c>
      <c r="K204" s="23" t="str">
        <f>IF(I204="PM","",IF(H204=0," ",J204/'Règles et points'!$F$23))</f>
        <v xml:space="preserve"> </v>
      </c>
      <c r="L204" s="3" t="str">
        <f>IF(H204=0,"",IF(I204="PM",30,VLOOKUP(H204,'Règles et points'!$C$5:$AG$19,(HLOOKUP('Course 3'!C204,'Règles et points'!$C$5:$AG$5,1)+1))))</f>
        <v/>
      </c>
      <c r="M204" s="23">
        <f t="shared" si="4"/>
        <v>0</v>
      </c>
      <c r="N204" s="80"/>
      <c r="O204" s="51"/>
      <c r="P204" s="52"/>
    </row>
    <row r="205" spans="2:16" ht="12.75">
      <c r="B205" s="14">
        <v>201</v>
      </c>
      <c r="C205" s="28" t="str">
        <f>IF(Coureurs!C205="","",Coureurs!C205)</f>
        <v/>
      </c>
      <c r="D205" s="131" t="str">
        <f>IF(Coureurs!D205="","",Coureurs!D205)</f>
        <v>70</v>
      </c>
      <c r="E205" s="87" t="str">
        <f>IF(Coureurs!F205="","",Coureurs!F205)</f>
        <v/>
      </c>
      <c r="F205" s="87" t="str">
        <f>IF(Coureurs!G205="","",Coureurs!G205)</f>
        <v/>
      </c>
      <c r="G205" s="50" t="str">
        <f>IF(Coureurs!J205="","",Coureurs!J205)</f>
        <v/>
      </c>
      <c r="H205" s="25"/>
      <c r="I205" s="41"/>
      <c r="J205" s="8" t="str">
        <f>IF(I205="PM","",IF(H205=0," ",I205-HLOOKUP('Course 3'!H205,'tab3'!$C$3:$N$4,2)))</f>
        <v xml:space="preserve"> </v>
      </c>
      <c r="K205" s="23" t="str">
        <f>IF(I205="PM","",IF(H205=0," ",J205/'Règles et points'!$F$23))</f>
        <v xml:space="preserve"> </v>
      </c>
      <c r="L205" s="3" t="str">
        <f>IF(H205=0,"",IF(I205="PM",30,VLOOKUP(H205,'Règles et points'!$C$5:$AG$19,(HLOOKUP('Course 3'!C205,'Règles et points'!$C$5:$AG$5,1)+1))))</f>
        <v/>
      </c>
      <c r="M205" s="23">
        <f t="shared" si="4"/>
        <v>0</v>
      </c>
      <c r="N205" s="80"/>
      <c r="O205" s="51"/>
      <c r="P205" s="52"/>
    </row>
    <row r="206" spans="2:16" ht="12.75">
      <c r="B206" s="14">
        <v>202</v>
      </c>
      <c r="C206" s="28" t="str">
        <f>IF(Coureurs!C206="","",Coureurs!C206)</f>
        <v/>
      </c>
      <c r="D206" s="131" t="str">
        <f>IF(Coureurs!D206="","",Coureurs!D206)</f>
        <v>70</v>
      </c>
      <c r="E206" s="87" t="str">
        <f>IF(Coureurs!F206="","",Coureurs!F206)</f>
        <v/>
      </c>
      <c r="F206" s="87" t="str">
        <f>IF(Coureurs!G206="","",Coureurs!G206)</f>
        <v/>
      </c>
      <c r="G206" s="50" t="str">
        <f>IF(Coureurs!J206="","",Coureurs!J206)</f>
        <v/>
      </c>
      <c r="H206" s="25"/>
      <c r="I206" s="41"/>
      <c r="J206" s="8" t="str">
        <f>IF(I206="PM","",IF(H206=0," ",I206-HLOOKUP('Course 3'!H206,'tab3'!$C$3:$N$4,2)))</f>
        <v xml:space="preserve"> </v>
      </c>
      <c r="K206" s="23" t="str">
        <f>IF(I206="PM","",IF(H206=0," ",J206/'Règles et points'!$F$23))</f>
        <v xml:space="preserve"> </v>
      </c>
      <c r="L206" s="3" t="str">
        <f>IF(H206=0,"",IF(I206="PM",30,VLOOKUP(H206,'Règles et points'!$C$5:$AG$19,(HLOOKUP('Course 3'!C206,'Règles et points'!$C$5:$AG$5,1)+1))))</f>
        <v/>
      </c>
      <c r="M206" s="23">
        <f t="shared" si="4"/>
        <v>0</v>
      </c>
      <c r="N206" s="80"/>
      <c r="O206" s="51"/>
      <c r="P206" s="52"/>
    </row>
    <row r="207" spans="2:16" ht="12.75">
      <c r="B207" s="14">
        <v>203</v>
      </c>
      <c r="C207" s="28" t="str">
        <f>IF(Coureurs!C207="","",Coureurs!C207)</f>
        <v/>
      </c>
      <c r="D207" s="131" t="str">
        <f>IF(Coureurs!D207="","",Coureurs!D207)</f>
        <v>70</v>
      </c>
      <c r="E207" s="87" t="str">
        <f>IF(Coureurs!F207="","",Coureurs!F207)</f>
        <v/>
      </c>
      <c r="F207" s="87" t="str">
        <f>IF(Coureurs!G207="","",Coureurs!G207)</f>
        <v/>
      </c>
      <c r="G207" s="50" t="str">
        <f>IF(Coureurs!J207="","",Coureurs!J207)</f>
        <v/>
      </c>
      <c r="H207" s="25"/>
      <c r="I207" s="41"/>
      <c r="J207" s="8" t="str">
        <f>IF(I207="PM","",IF(H207=0," ",I207-HLOOKUP('Course 3'!H207,'tab3'!$C$3:$N$4,2)))</f>
        <v xml:space="preserve"> </v>
      </c>
      <c r="K207" s="23" t="str">
        <f>IF(I207="PM","",IF(H207=0," ",J207/'Règles et points'!$F$23))</f>
        <v xml:space="preserve"> </v>
      </c>
      <c r="L207" s="3" t="str">
        <f>IF(H207=0,"",IF(I207="PM",30,VLOOKUP(H207,'Règles et points'!$C$5:$AG$19,(HLOOKUP('Course 3'!C207,'Règles et points'!$C$5:$AG$5,1)+1))))</f>
        <v/>
      </c>
      <c r="M207" s="23">
        <f t="shared" si="4"/>
        <v>0</v>
      </c>
      <c r="N207" s="80"/>
      <c r="O207" s="51"/>
      <c r="P207" s="52"/>
    </row>
    <row r="208" spans="2:16" ht="12.75">
      <c r="B208" s="14">
        <v>204</v>
      </c>
      <c r="C208" s="28" t="str">
        <f>IF(Coureurs!C208="","",Coureurs!C208)</f>
        <v/>
      </c>
      <c r="D208" s="131" t="str">
        <f>IF(Coureurs!D208="","",Coureurs!D208)</f>
        <v>70</v>
      </c>
      <c r="E208" s="87" t="str">
        <f>IF(Coureurs!F208="","",Coureurs!F208)</f>
        <v/>
      </c>
      <c r="F208" s="87" t="str">
        <f>IF(Coureurs!G208="","",Coureurs!G208)</f>
        <v/>
      </c>
      <c r="G208" s="50" t="str">
        <f>IF(Coureurs!J208="","",Coureurs!J208)</f>
        <v/>
      </c>
      <c r="H208" s="25"/>
      <c r="I208" s="41"/>
      <c r="J208" s="8" t="str">
        <f>IF(I208="PM","",IF(H208=0," ",I208-HLOOKUP('Course 3'!H208,'tab3'!$C$3:$N$4,2)))</f>
        <v xml:space="preserve"> </v>
      </c>
      <c r="K208" s="23" t="str">
        <f>IF(I208="PM","",IF(H208=0," ",J208/'Règles et points'!$F$23))</f>
        <v xml:space="preserve"> </v>
      </c>
      <c r="L208" s="3" t="str">
        <f>IF(H208=0,"",IF(I208="PM",30,VLOOKUP(H208,'Règles et points'!$C$5:$AG$19,(HLOOKUP('Course 3'!C208,'Règles et points'!$C$5:$AG$5,1)+1))))</f>
        <v/>
      </c>
      <c r="M208" s="23">
        <f t="shared" si="4"/>
        <v>0</v>
      </c>
      <c r="N208" s="80"/>
      <c r="O208" s="51"/>
      <c r="P208" s="52"/>
    </row>
    <row r="209" spans="2:16" ht="12.75">
      <c r="B209" s="14">
        <v>205</v>
      </c>
      <c r="C209" s="28" t="str">
        <f>IF(Coureurs!C209="","",Coureurs!C209)</f>
        <v/>
      </c>
      <c r="D209" s="131" t="str">
        <f>IF(Coureurs!D209="","",Coureurs!D209)</f>
        <v>70</v>
      </c>
      <c r="E209" s="87" t="str">
        <f>IF(Coureurs!F209="","",Coureurs!F209)</f>
        <v/>
      </c>
      <c r="F209" s="87" t="str">
        <f>IF(Coureurs!G209="","",Coureurs!G209)</f>
        <v/>
      </c>
      <c r="G209" s="50" t="str">
        <f>IF(Coureurs!J209="","",Coureurs!J209)</f>
        <v/>
      </c>
      <c r="H209" s="25"/>
      <c r="I209" s="41"/>
      <c r="J209" s="8" t="str">
        <f>IF(I209="PM","",IF(H209=0," ",I209-HLOOKUP('Course 3'!H209,'tab3'!$C$3:$N$4,2)))</f>
        <v xml:space="preserve"> </v>
      </c>
      <c r="K209" s="23" t="str">
        <f>IF(I209="PM","",IF(H209=0," ",J209/'Règles et points'!$F$23))</f>
        <v xml:space="preserve"> </v>
      </c>
      <c r="L209" s="3" t="str">
        <f>IF(H209=0,"",IF(I209="PM",30,VLOOKUP(H209,'Règles et points'!$C$5:$AG$19,(HLOOKUP('Course 3'!C209,'Règles et points'!$C$5:$AG$5,1)+1))))</f>
        <v/>
      </c>
      <c r="M209" s="23">
        <f t="shared" si="4"/>
        <v>0</v>
      </c>
      <c r="N209" s="80"/>
      <c r="O209" s="51"/>
      <c r="P209" s="52"/>
    </row>
    <row r="210" spans="2:16" ht="12.75">
      <c r="B210" s="14">
        <v>206</v>
      </c>
      <c r="C210" s="28" t="str">
        <f>IF(Coureurs!C210="","",Coureurs!C210)</f>
        <v/>
      </c>
      <c r="D210" s="131" t="str">
        <f>IF(Coureurs!D210="","",Coureurs!D210)</f>
        <v>70</v>
      </c>
      <c r="E210" s="87" t="str">
        <f>IF(Coureurs!F210="","",Coureurs!F210)</f>
        <v/>
      </c>
      <c r="F210" s="87" t="str">
        <f>IF(Coureurs!G210="","",Coureurs!G210)</f>
        <v/>
      </c>
      <c r="G210" s="50" t="str">
        <f>IF(Coureurs!J210="","",Coureurs!J210)</f>
        <v/>
      </c>
      <c r="H210" s="25"/>
      <c r="I210" s="41"/>
      <c r="J210" s="8" t="str">
        <f>IF(I210="PM","",IF(H210=0," ",I210-HLOOKUP('Course 3'!H210,'tab3'!$C$3:$N$4,2)))</f>
        <v xml:space="preserve"> </v>
      </c>
      <c r="K210" s="23" t="str">
        <f>IF(I210="PM","",IF(H210=0," ",J210/'Règles et points'!$F$23))</f>
        <v xml:space="preserve"> </v>
      </c>
      <c r="L210" s="3" t="str">
        <f>IF(H210=0,"",IF(I210="PM",30,VLOOKUP(H210,'Règles et points'!$C$5:$AG$19,(HLOOKUP('Course 3'!C210,'Règles et points'!$C$5:$AG$5,1)+1))))</f>
        <v/>
      </c>
      <c r="M210" s="23">
        <f t="shared" si="4"/>
        <v>0</v>
      </c>
      <c r="N210" s="80"/>
      <c r="O210" s="51"/>
      <c r="P210" s="52"/>
    </row>
    <row r="211" spans="2:16" ht="12.75">
      <c r="B211" s="14">
        <v>207</v>
      </c>
      <c r="C211" s="28" t="str">
        <f>IF(Coureurs!C211="","",Coureurs!C211)</f>
        <v/>
      </c>
      <c r="D211" s="131" t="str">
        <f>IF(Coureurs!D211="","",Coureurs!D211)</f>
        <v>70</v>
      </c>
      <c r="E211" s="87" t="str">
        <f>IF(Coureurs!F211="","",Coureurs!F211)</f>
        <v/>
      </c>
      <c r="F211" s="87" t="str">
        <f>IF(Coureurs!G211="","",Coureurs!G211)</f>
        <v/>
      </c>
      <c r="G211" s="50" t="str">
        <f>IF(Coureurs!J211="","",Coureurs!J211)</f>
        <v/>
      </c>
      <c r="H211" s="25"/>
      <c r="I211" s="41"/>
      <c r="J211" s="8" t="str">
        <f>IF(I211="PM","",IF(H211=0," ",I211-HLOOKUP('Course 3'!H211,'tab3'!$C$3:$N$4,2)))</f>
        <v xml:space="preserve"> </v>
      </c>
      <c r="K211" s="23" t="str">
        <f>IF(I211="PM","",IF(H211=0," ",J211/'Règles et points'!$F$23))</f>
        <v xml:space="preserve"> </v>
      </c>
      <c r="L211" s="3" t="str">
        <f>IF(H211=0,"",IF(I211="PM",30,VLOOKUP(H211,'Règles et points'!$C$5:$AG$19,(HLOOKUP('Course 3'!C211,'Règles et points'!$C$5:$AG$5,1)+1))))</f>
        <v/>
      </c>
      <c r="M211" s="23">
        <f t="shared" si="4"/>
        <v>0</v>
      </c>
      <c r="N211" s="80"/>
      <c r="O211" s="51"/>
      <c r="P211" s="52"/>
    </row>
    <row r="212" spans="2:16" ht="12.75">
      <c r="B212" s="14">
        <v>208</v>
      </c>
      <c r="C212" s="28" t="str">
        <f>IF(Coureurs!C212="","",Coureurs!C212)</f>
        <v/>
      </c>
      <c r="D212" s="131" t="str">
        <f>IF(Coureurs!D212="","",Coureurs!D212)</f>
        <v>70</v>
      </c>
      <c r="E212" s="87" t="str">
        <f>IF(Coureurs!F212="","",Coureurs!F212)</f>
        <v/>
      </c>
      <c r="F212" s="87" t="str">
        <f>IF(Coureurs!G212="","",Coureurs!G212)</f>
        <v/>
      </c>
      <c r="G212" s="50" t="str">
        <f>IF(Coureurs!J212="","",Coureurs!J212)</f>
        <v/>
      </c>
      <c r="H212" s="25"/>
      <c r="I212" s="41"/>
      <c r="J212" s="8" t="str">
        <f>IF(I212="PM","",IF(H212=0," ",I212-HLOOKUP('Course 3'!H212,'tab3'!$C$3:$N$4,2)))</f>
        <v xml:space="preserve"> </v>
      </c>
      <c r="K212" s="23" t="str">
        <f>IF(I212="PM","",IF(H212=0," ",J212/'Règles et points'!$F$23))</f>
        <v xml:space="preserve"> </v>
      </c>
      <c r="L212" s="3" t="str">
        <f>IF(H212=0,"",IF(I212="PM",30,VLOOKUP(H212,'Règles et points'!$C$5:$AG$19,(HLOOKUP('Course 3'!C212,'Règles et points'!$C$5:$AG$5,1)+1))))</f>
        <v/>
      </c>
      <c r="M212" s="23">
        <f t="shared" si="4"/>
        <v>0</v>
      </c>
      <c r="N212" s="80"/>
      <c r="O212" s="51"/>
      <c r="P212" s="52"/>
    </row>
    <row r="213" spans="2:16" ht="12.75">
      <c r="B213" s="14">
        <v>209</v>
      </c>
      <c r="C213" s="28" t="str">
        <f>IF(Coureurs!C213="","",Coureurs!C213)</f>
        <v/>
      </c>
      <c r="D213" s="131" t="str">
        <f>IF(Coureurs!D213="","",Coureurs!D213)</f>
        <v>70</v>
      </c>
      <c r="E213" s="87" t="str">
        <f>IF(Coureurs!F213="","",Coureurs!F213)</f>
        <v/>
      </c>
      <c r="F213" s="87" t="str">
        <f>IF(Coureurs!G213="","",Coureurs!G213)</f>
        <v/>
      </c>
      <c r="G213" s="50" t="str">
        <f>IF(Coureurs!J213="","",Coureurs!J213)</f>
        <v/>
      </c>
      <c r="H213" s="25"/>
      <c r="I213" s="41"/>
      <c r="J213" s="8" t="str">
        <f>IF(I213="PM","",IF(H213=0," ",I213-HLOOKUP('Course 3'!H213,'tab3'!$C$3:$N$4,2)))</f>
        <v xml:space="preserve"> </v>
      </c>
      <c r="K213" s="23" t="str">
        <f>IF(I213="PM","",IF(H213=0," ",J213/'Règles et points'!$F$23))</f>
        <v xml:space="preserve"> </v>
      </c>
      <c r="L213" s="3" t="str">
        <f>IF(H213=0,"",IF(I213="PM",30,VLOOKUP(H213,'Règles et points'!$C$5:$AG$19,(HLOOKUP('Course 3'!C213,'Règles et points'!$C$5:$AG$5,1)+1))))</f>
        <v/>
      </c>
      <c r="M213" s="23">
        <f t="shared" si="4"/>
        <v>0</v>
      </c>
      <c r="N213" s="80"/>
      <c r="O213" s="51"/>
      <c r="P213" s="52"/>
    </row>
    <row r="214" spans="2:16" ht="12.75">
      <c r="B214" s="14">
        <v>210</v>
      </c>
      <c r="C214" s="28" t="str">
        <f>IF(Coureurs!C214="","",Coureurs!C214)</f>
        <v/>
      </c>
      <c r="D214" s="131" t="str">
        <f>IF(Coureurs!D214="","",Coureurs!D214)</f>
        <v>70</v>
      </c>
      <c r="E214" s="87" t="str">
        <f>IF(Coureurs!F214="","",Coureurs!F214)</f>
        <v/>
      </c>
      <c r="F214" s="87" t="str">
        <f>IF(Coureurs!G214="","",Coureurs!G214)</f>
        <v/>
      </c>
      <c r="G214" s="50" t="str">
        <f>IF(Coureurs!J214="","",Coureurs!J214)</f>
        <v/>
      </c>
      <c r="H214" s="25"/>
      <c r="I214" s="41"/>
      <c r="J214" s="8" t="str">
        <f>IF(I214="PM","",IF(H214=0," ",I214-HLOOKUP('Course 3'!H214,'tab3'!$C$3:$N$4,2)))</f>
        <v xml:space="preserve"> </v>
      </c>
      <c r="K214" s="23" t="str">
        <f>IF(I214="PM","",IF(H214=0," ",J214/'Règles et points'!$F$23))</f>
        <v xml:space="preserve"> </v>
      </c>
      <c r="L214" s="3" t="str">
        <f>IF(H214=0,"",IF(I214="PM",30,VLOOKUP(H214,'Règles et points'!$C$5:$AG$19,(HLOOKUP('Course 3'!C214,'Règles et points'!$C$5:$AG$5,1)+1))))</f>
        <v/>
      </c>
      <c r="M214" s="23">
        <f t="shared" si="4"/>
        <v>0</v>
      </c>
      <c r="N214" s="80"/>
      <c r="O214" s="51"/>
      <c r="P214" s="52"/>
    </row>
    <row r="215" spans="2:16" ht="12.75">
      <c r="B215" s="14">
        <v>211</v>
      </c>
      <c r="C215" s="28" t="str">
        <f>IF(Coureurs!C215="","",Coureurs!C215)</f>
        <v/>
      </c>
      <c r="D215" s="131" t="str">
        <f>IF(Coureurs!D215="","",Coureurs!D215)</f>
        <v>70</v>
      </c>
      <c r="E215" s="87" t="str">
        <f>IF(Coureurs!F215="","",Coureurs!F215)</f>
        <v/>
      </c>
      <c r="F215" s="87" t="str">
        <f>IF(Coureurs!G215="","",Coureurs!G215)</f>
        <v/>
      </c>
      <c r="G215" s="50" t="str">
        <f>IF(Coureurs!J215="","",Coureurs!J215)</f>
        <v/>
      </c>
      <c r="H215" s="25"/>
      <c r="I215" s="41"/>
      <c r="J215" s="8" t="str">
        <f>IF(I215="PM","",IF(H215=0," ",I215-HLOOKUP('Course 3'!H215,'tab3'!$C$3:$N$4,2)))</f>
        <v xml:space="preserve"> </v>
      </c>
      <c r="K215" s="23" t="str">
        <f>IF(I215="PM","",IF(H215=0," ",J215/'Règles et points'!$F$23))</f>
        <v xml:space="preserve"> </v>
      </c>
      <c r="L215" s="3" t="str">
        <f>IF(H215=0,"",IF(I215="PM",30,VLOOKUP(H215,'Règles et points'!$C$5:$AG$19,(HLOOKUP('Course 3'!C215,'Règles et points'!$C$5:$AG$5,1)+1))))</f>
        <v/>
      </c>
      <c r="M215" s="23">
        <f t="shared" si="4"/>
        <v>0</v>
      </c>
      <c r="N215" s="80"/>
      <c r="O215" s="51"/>
      <c r="P215" s="52"/>
    </row>
    <row r="216" spans="2:16" ht="12.75">
      <c r="B216" s="14">
        <v>212</v>
      </c>
      <c r="C216" s="28" t="str">
        <f>IF(Coureurs!C216="","",Coureurs!C216)</f>
        <v/>
      </c>
      <c r="D216" s="131" t="str">
        <f>IF(Coureurs!D216="","",Coureurs!D216)</f>
        <v>70</v>
      </c>
      <c r="E216" s="87" t="str">
        <f>IF(Coureurs!F216="","",Coureurs!F216)</f>
        <v/>
      </c>
      <c r="F216" s="87" t="str">
        <f>IF(Coureurs!G216="","",Coureurs!G216)</f>
        <v/>
      </c>
      <c r="G216" s="50" t="str">
        <f>IF(Coureurs!J216="","",Coureurs!J216)</f>
        <v/>
      </c>
      <c r="H216" s="25"/>
      <c r="I216" s="41"/>
      <c r="J216" s="8" t="str">
        <f>IF(I216="PM","",IF(H216=0," ",I216-HLOOKUP('Course 3'!H216,'tab3'!$C$3:$N$4,2)))</f>
        <v xml:space="preserve"> </v>
      </c>
      <c r="K216" s="23" t="str">
        <f>IF(I216="PM","",IF(H216=0," ",J216/'Règles et points'!$F$23))</f>
        <v xml:space="preserve"> </v>
      </c>
      <c r="L216" s="3" t="str">
        <f>IF(H216=0,"",IF(I216="PM",30,VLOOKUP(H216,'Règles et points'!$C$5:$AG$19,(HLOOKUP('Course 3'!C216,'Règles et points'!$C$5:$AG$5,1)+1))))</f>
        <v/>
      </c>
      <c r="M216" s="23">
        <f t="shared" si="4"/>
        <v>0</v>
      </c>
      <c r="N216" s="80"/>
      <c r="O216" s="51"/>
      <c r="P216" s="52"/>
    </row>
    <row r="217" spans="2:16" ht="12.75">
      <c r="B217" s="14">
        <v>213</v>
      </c>
      <c r="C217" s="28" t="str">
        <f>IF(Coureurs!C217="","",Coureurs!C217)</f>
        <v/>
      </c>
      <c r="D217" s="131" t="str">
        <f>IF(Coureurs!D217="","",Coureurs!D217)</f>
        <v>70</v>
      </c>
      <c r="E217" s="87" t="str">
        <f>IF(Coureurs!F217="","",Coureurs!F217)</f>
        <v/>
      </c>
      <c r="F217" s="87" t="str">
        <f>IF(Coureurs!G217="","",Coureurs!G217)</f>
        <v/>
      </c>
      <c r="G217" s="50" t="str">
        <f>IF(Coureurs!J217="","",Coureurs!J217)</f>
        <v/>
      </c>
      <c r="H217" s="25"/>
      <c r="I217" s="41"/>
      <c r="J217" s="8" t="str">
        <f>IF(I217="PM","",IF(H217=0," ",I217-HLOOKUP('Course 3'!H217,'tab3'!$C$3:$N$4,2)))</f>
        <v xml:space="preserve"> </v>
      </c>
      <c r="K217" s="23" t="str">
        <f>IF(I217="PM","",IF(H217=0," ",J217/'Règles et points'!$F$23))</f>
        <v xml:space="preserve"> </v>
      </c>
      <c r="L217" s="3" t="str">
        <f>IF(H217=0,"",IF(I217="PM",30,VLOOKUP(H217,'Règles et points'!$C$5:$AG$19,(HLOOKUP('Course 3'!C217,'Règles et points'!$C$5:$AG$5,1)+1))))</f>
        <v/>
      </c>
      <c r="M217" s="23">
        <f t="shared" si="4"/>
        <v>0</v>
      </c>
      <c r="N217" s="80"/>
      <c r="O217" s="51"/>
      <c r="P217" s="52"/>
    </row>
    <row r="218" spans="2:16" ht="12.75">
      <c r="B218" s="14">
        <v>214</v>
      </c>
      <c r="C218" s="28" t="str">
        <f>IF(Coureurs!C218="","",Coureurs!C218)</f>
        <v/>
      </c>
      <c r="D218" s="131" t="str">
        <f>IF(Coureurs!D218="","",Coureurs!D218)</f>
        <v>70</v>
      </c>
      <c r="E218" s="87" t="str">
        <f>IF(Coureurs!F218="","",Coureurs!F218)</f>
        <v/>
      </c>
      <c r="F218" s="87" t="str">
        <f>IF(Coureurs!G218="","",Coureurs!G218)</f>
        <v/>
      </c>
      <c r="G218" s="50" t="str">
        <f>IF(Coureurs!J218="","",Coureurs!J218)</f>
        <v/>
      </c>
      <c r="H218" s="25"/>
      <c r="I218" s="41"/>
      <c r="J218" s="8" t="str">
        <f>IF(I218="PM","",IF(H218=0," ",I218-HLOOKUP('Course 3'!H218,'tab3'!$C$3:$N$4,2)))</f>
        <v xml:space="preserve"> </v>
      </c>
      <c r="K218" s="23" t="str">
        <f>IF(I218="PM","",IF(H218=0," ",J218/'Règles et points'!$F$23))</f>
        <v xml:space="preserve"> </v>
      </c>
      <c r="L218" s="3" t="str">
        <f>IF(H218=0,"",IF(I218="PM",30,VLOOKUP(H218,'Règles et points'!$C$5:$AG$19,(HLOOKUP('Course 3'!C218,'Règles et points'!$C$5:$AG$5,1)+1))))</f>
        <v/>
      </c>
      <c r="M218" s="23">
        <f t="shared" si="4"/>
        <v>0</v>
      </c>
      <c r="N218" s="80"/>
      <c r="O218" s="51"/>
      <c r="P218" s="52"/>
    </row>
    <row r="219" spans="2:16" ht="12.75">
      <c r="B219" s="14">
        <v>215</v>
      </c>
      <c r="C219" s="28" t="str">
        <f>IF(Coureurs!C219="","",Coureurs!C219)</f>
        <v/>
      </c>
      <c r="D219" s="131" t="str">
        <f>IF(Coureurs!D219="","",Coureurs!D219)</f>
        <v>70</v>
      </c>
      <c r="E219" s="87" t="str">
        <f>IF(Coureurs!F219="","",Coureurs!F219)</f>
        <v/>
      </c>
      <c r="F219" s="87" t="str">
        <f>IF(Coureurs!G219="","",Coureurs!G219)</f>
        <v/>
      </c>
      <c r="G219" s="50" t="str">
        <f>IF(Coureurs!J219="","",Coureurs!J219)</f>
        <v/>
      </c>
      <c r="H219" s="25"/>
      <c r="I219" s="41"/>
      <c r="J219" s="8" t="str">
        <f>IF(I219="PM","",IF(H219=0," ",I219-HLOOKUP('Course 3'!H219,'tab3'!$C$3:$N$4,2)))</f>
        <v xml:space="preserve"> </v>
      </c>
      <c r="K219" s="23" t="str">
        <f>IF(I219="PM","",IF(H219=0," ",J219/'Règles et points'!$F$23))</f>
        <v xml:space="preserve"> </v>
      </c>
      <c r="L219" s="3" t="str">
        <f>IF(H219=0,"",IF(I219="PM",30,VLOOKUP(H219,'Règles et points'!$C$5:$AG$19,(HLOOKUP('Course 3'!C219,'Règles et points'!$C$5:$AG$5,1)+1))))</f>
        <v/>
      </c>
      <c r="M219" s="23">
        <f t="shared" si="4"/>
        <v>0</v>
      </c>
      <c r="N219" s="80"/>
      <c r="O219" s="51"/>
      <c r="P219" s="52"/>
    </row>
    <row r="220" spans="2:16" ht="12.75">
      <c r="B220" s="14">
        <v>216</v>
      </c>
      <c r="C220" s="28" t="str">
        <f>IF(Coureurs!C220="","",Coureurs!C220)</f>
        <v/>
      </c>
      <c r="D220" s="131" t="str">
        <f>IF(Coureurs!D220="","",Coureurs!D220)</f>
        <v>70</v>
      </c>
      <c r="E220" s="87" t="str">
        <f>IF(Coureurs!F220="","",Coureurs!F220)</f>
        <v/>
      </c>
      <c r="F220" s="87" t="str">
        <f>IF(Coureurs!G220="","",Coureurs!G220)</f>
        <v/>
      </c>
      <c r="G220" s="50" t="str">
        <f>IF(Coureurs!J220="","",Coureurs!J220)</f>
        <v/>
      </c>
      <c r="H220" s="25"/>
      <c r="I220" s="41"/>
      <c r="J220" s="8" t="str">
        <f>IF(I220="PM","",IF(H220=0," ",I220-HLOOKUP('Course 3'!H220,'tab3'!$C$3:$N$4,2)))</f>
        <v xml:space="preserve"> </v>
      </c>
      <c r="K220" s="23" t="str">
        <f>IF(I220="PM","",IF(H220=0," ",J220/'Règles et points'!$F$23))</f>
        <v xml:space="preserve"> </v>
      </c>
      <c r="L220" s="3" t="str">
        <f>IF(H220=0,"",IF(I220="PM",30,VLOOKUP(H220,'Règles et points'!$C$5:$AG$19,(HLOOKUP('Course 3'!C220,'Règles et points'!$C$5:$AG$5,1)+1))))</f>
        <v/>
      </c>
      <c r="M220" s="23">
        <f t="shared" si="4"/>
        <v>0</v>
      </c>
      <c r="N220" s="80"/>
      <c r="O220" s="51"/>
      <c r="P220" s="52"/>
    </row>
    <row r="221" spans="2:16" ht="12.75">
      <c r="B221" s="14">
        <v>217</v>
      </c>
      <c r="C221" s="28" t="str">
        <f>IF(Coureurs!C221="","",Coureurs!C221)</f>
        <v/>
      </c>
      <c r="D221" s="131" t="str">
        <f>IF(Coureurs!D221="","",Coureurs!D221)</f>
        <v>70</v>
      </c>
      <c r="E221" s="87" t="str">
        <f>IF(Coureurs!F221="","",Coureurs!F221)</f>
        <v/>
      </c>
      <c r="F221" s="87" t="str">
        <f>IF(Coureurs!G221="","",Coureurs!G221)</f>
        <v/>
      </c>
      <c r="G221" s="50" t="str">
        <f>IF(Coureurs!J221="","",Coureurs!J221)</f>
        <v/>
      </c>
      <c r="H221" s="25"/>
      <c r="I221" s="41"/>
      <c r="J221" s="8" t="str">
        <f>IF(I221="PM","",IF(H221=0," ",I221-HLOOKUP('Course 3'!H221,'tab3'!$C$3:$N$4,2)))</f>
        <v xml:space="preserve"> </v>
      </c>
      <c r="K221" s="23" t="str">
        <f>IF(I221="PM","",IF(H221=0," ",J221/'Règles et points'!$F$23))</f>
        <v xml:space="preserve"> </v>
      </c>
      <c r="L221" s="3" t="str">
        <f>IF(H221=0,"",IF(I221="PM",30,VLOOKUP(H221,'Règles et points'!$C$5:$AG$19,(HLOOKUP('Course 3'!C221,'Règles et points'!$C$5:$AG$5,1)+1))))</f>
        <v/>
      </c>
      <c r="M221" s="23">
        <f t="shared" si="4"/>
        <v>0</v>
      </c>
      <c r="N221" s="80"/>
      <c r="O221" s="51"/>
      <c r="P221" s="52"/>
    </row>
    <row r="222" spans="2:16" ht="12.75">
      <c r="B222" s="14">
        <v>218</v>
      </c>
      <c r="C222" s="28" t="str">
        <f>IF(Coureurs!C222="","",Coureurs!C222)</f>
        <v/>
      </c>
      <c r="D222" s="131" t="str">
        <f>IF(Coureurs!D222="","",Coureurs!D222)</f>
        <v>70</v>
      </c>
      <c r="E222" s="87" t="str">
        <f>IF(Coureurs!F222="","",Coureurs!F222)</f>
        <v/>
      </c>
      <c r="F222" s="87" t="str">
        <f>IF(Coureurs!G222="","",Coureurs!G222)</f>
        <v/>
      </c>
      <c r="G222" s="50" t="str">
        <f>IF(Coureurs!J222="","",Coureurs!J222)</f>
        <v/>
      </c>
      <c r="H222" s="25"/>
      <c r="I222" s="41"/>
      <c r="J222" s="8" t="str">
        <f>IF(I222="PM","",IF(H222=0," ",I222-HLOOKUP('Course 3'!H222,'tab3'!$C$3:$N$4,2)))</f>
        <v xml:space="preserve"> </v>
      </c>
      <c r="K222" s="23" t="str">
        <f>IF(I222="PM","",IF(H222=0," ",J222/'Règles et points'!$F$23))</f>
        <v xml:space="preserve"> </v>
      </c>
      <c r="L222" s="3" t="str">
        <f>IF(H222=0,"",IF(I222="PM",30,VLOOKUP(H222,'Règles et points'!$C$5:$AG$19,(HLOOKUP('Course 3'!C222,'Règles et points'!$C$5:$AG$5,1)+1))))</f>
        <v/>
      </c>
      <c r="M222" s="23">
        <f t="shared" si="4"/>
        <v>0</v>
      </c>
      <c r="N222" s="80"/>
      <c r="O222" s="51"/>
      <c r="P222" s="52"/>
    </row>
    <row r="223" spans="2:16" ht="12.75">
      <c r="B223" s="14">
        <v>219</v>
      </c>
      <c r="C223" s="28" t="str">
        <f>IF(Coureurs!C223="","",Coureurs!C223)</f>
        <v/>
      </c>
      <c r="D223" s="131" t="str">
        <f>IF(Coureurs!D223="","",Coureurs!D223)</f>
        <v>70</v>
      </c>
      <c r="E223" s="87" t="str">
        <f>IF(Coureurs!F223="","",Coureurs!F223)</f>
        <v/>
      </c>
      <c r="F223" s="87" t="str">
        <f>IF(Coureurs!G223="","",Coureurs!G223)</f>
        <v/>
      </c>
      <c r="G223" s="50" t="str">
        <f>IF(Coureurs!J223="","",Coureurs!J223)</f>
        <v/>
      </c>
      <c r="H223" s="25"/>
      <c r="I223" s="41"/>
      <c r="J223" s="8" t="str">
        <f>IF(I223="PM","",IF(H223=0," ",I223-HLOOKUP('Course 3'!H223,'tab3'!$C$3:$N$4,2)))</f>
        <v xml:space="preserve"> </v>
      </c>
      <c r="K223" s="23" t="str">
        <f>IF(I223="PM","",IF(H223=0," ",J223/'Règles et points'!$F$23))</f>
        <v xml:space="preserve"> </v>
      </c>
      <c r="L223" s="3" t="str">
        <f>IF(H223=0,"",IF(I223="PM",30,VLOOKUP(H223,'Règles et points'!$C$5:$AG$19,(HLOOKUP('Course 3'!C223,'Règles et points'!$C$5:$AG$5,1)+1))))</f>
        <v/>
      </c>
      <c r="M223" s="23">
        <f t="shared" si="4"/>
        <v>0</v>
      </c>
      <c r="N223" s="80"/>
      <c r="O223" s="51"/>
      <c r="P223" s="52"/>
    </row>
    <row r="224" spans="2:16" ht="12.75">
      <c r="B224" s="14">
        <v>220</v>
      </c>
      <c r="C224" s="28" t="str">
        <f>IF(Coureurs!C224="","",Coureurs!C224)</f>
        <v/>
      </c>
      <c r="D224" s="131" t="str">
        <f>IF(Coureurs!D224="","",Coureurs!D224)</f>
        <v>70</v>
      </c>
      <c r="E224" s="87" t="str">
        <f>IF(Coureurs!F224="","",Coureurs!F224)</f>
        <v/>
      </c>
      <c r="F224" s="87" t="str">
        <f>IF(Coureurs!G224="","",Coureurs!G224)</f>
        <v/>
      </c>
      <c r="G224" s="50" t="str">
        <f>IF(Coureurs!J224="","",Coureurs!J224)</f>
        <v/>
      </c>
      <c r="H224" s="25"/>
      <c r="I224" s="41"/>
      <c r="J224" s="8" t="str">
        <f>IF(I224="PM","",IF(H224=0," ",I224-HLOOKUP('Course 3'!H224,'tab3'!$C$3:$N$4,2)))</f>
        <v xml:space="preserve"> </v>
      </c>
      <c r="K224" s="23" t="str">
        <f>IF(I224="PM","",IF(H224=0," ",J224/'Règles et points'!$F$23))</f>
        <v xml:space="preserve"> </v>
      </c>
      <c r="L224" s="3" t="str">
        <f>IF(H224=0,"",IF(I224="PM",30,VLOOKUP(H224,'Règles et points'!$C$5:$AG$19,(HLOOKUP('Course 3'!C224,'Règles et points'!$C$5:$AG$5,1)+1))))</f>
        <v/>
      </c>
      <c r="M224" s="23">
        <f t="shared" si="4"/>
        <v>0</v>
      </c>
      <c r="N224" s="80"/>
      <c r="O224" s="51"/>
      <c r="P224" s="52"/>
    </row>
    <row r="225" spans="2:16" ht="12.75">
      <c r="B225" s="14">
        <v>221</v>
      </c>
      <c r="C225" s="28" t="str">
        <f>IF(Coureurs!C225="","",Coureurs!C225)</f>
        <v/>
      </c>
      <c r="D225" s="131" t="str">
        <f>IF(Coureurs!D225="","",Coureurs!D225)</f>
        <v>70</v>
      </c>
      <c r="E225" s="87" t="str">
        <f>IF(Coureurs!F225="","",Coureurs!F225)</f>
        <v/>
      </c>
      <c r="F225" s="87" t="str">
        <f>IF(Coureurs!G225="","",Coureurs!G225)</f>
        <v/>
      </c>
      <c r="G225" s="50" t="str">
        <f>IF(Coureurs!J225="","",Coureurs!J225)</f>
        <v/>
      </c>
      <c r="H225" s="25"/>
      <c r="I225" s="41"/>
      <c r="J225" s="8" t="str">
        <f>IF(I225="PM","",IF(H225=0," ",I225-HLOOKUP('Course 3'!H225,'tab3'!$C$3:$N$4,2)))</f>
        <v xml:space="preserve"> </v>
      </c>
      <c r="K225" s="23" t="str">
        <f>IF(I225="PM","",IF(H225=0," ",J225/'Règles et points'!$F$23))</f>
        <v xml:space="preserve"> </v>
      </c>
      <c r="L225" s="3" t="str">
        <f>IF(H225=0,"",IF(I225="PM",30,VLOOKUP(H225,'Règles et points'!$C$5:$AG$19,(HLOOKUP('Course 3'!C225,'Règles et points'!$C$5:$AG$5,1)+1))))</f>
        <v/>
      </c>
      <c r="M225" s="23">
        <f t="shared" si="4"/>
        <v>0</v>
      </c>
      <c r="N225" s="80"/>
      <c r="O225" s="51"/>
      <c r="P225" s="52"/>
    </row>
    <row r="226" spans="2:16" ht="12.75">
      <c r="B226" s="14">
        <v>222</v>
      </c>
      <c r="C226" s="28" t="str">
        <f>IF(Coureurs!C226="","",Coureurs!C226)</f>
        <v/>
      </c>
      <c r="D226" s="131" t="str">
        <f>IF(Coureurs!D226="","",Coureurs!D226)</f>
        <v>70</v>
      </c>
      <c r="E226" s="87" t="str">
        <f>IF(Coureurs!F226="","",Coureurs!F226)</f>
        <v/>
      </c>
      <c r="F226" s="87" t="str">
        <f>IF(Coureurs!G226="","",Coureurs!G226)</f>
        <v/>
      </c>
      <c r="G226" s="50" t="str">
        <f>IF(Coureurs!J226="","",Coureurs!J226)</f>
        <v/>
      </c>
      <c r="H226" s="25"/>
      <c r="I226" s="41"/>
      <c r="J226" s="8" t="str">
        <f>IF(I226="PM","",IF(H226=0," ",I226-HLOOKUP('Course 3'!H226,'tab3'!$C$3:$N$4,2)))</f>
        <v xml:space="preserve"> </v>
      </c>
      <c r="K226" s="23" t="str">
        <f>IF(I226="PM","",IF(H226=0," ",J226/'Règles et points'!$F$23))</f>
        <v xml:space="preserve"> </v>
      </c>
      <c r="L226" s="3" t="str">
        <f>IF(H226=0,"",IF(I226="PM",30,VLOOKUP(H226,'Règles et points'!$C$5:$AG$19,(HLOOKUP('Course 3'!C226,'Règles et points'!$C$5:$AG$5,1)+1))))</f>
        <v/>
      </c>
      <c r="M226" s="23">
        <f t="shared" si="4"/>
        <v>0</v>
      </c>
      <c r="N226" s="80"/>
      <c r="O226" s="51"/>
      <c r="P226" s="52"/>
    </row>
    <row r="227" spans="2:16" ht="12.75">
      <c r="B227" s="14">
        <v>223</v>
      </c>
      <c r="C227" s="28" t="str">
        <f>IF(Coureurs!C227="","",Coureurs!C227)</f>
        <v/>
      </c>
      <c r="D227" s="131" t="str">
        <f>IF(Coureurs!D227="","",Coureurs!D227)</f>
        <v>70</v>
      </c>
      <c r="E227" s="87" t="str">
        <f>IF(Coureurs!F227="","",Coureurs!F227)</f>
        <v/>
      </c>
      <c r="F227" s="87" t="str">
        <f>IF(Coureurs!G227="","",Coureurs!G227)</f>
        <v/>
      </c>
      <c r="G227" s="50" t="str">
        <f>IF(Coureurs!J227="","",Coureurs!J227)</f>
        <v/>
      </c>
      <c r="H227" s="25"/>
      <c r="I227" s="41"/>
      <c r="J227" s="8" t="str">
        <f>IF(I227="PM","",IF(H227=0," ",I227-HLOOKUP('Course 3'!H227,'tab3'!$C$3:$N$4,2)))</f>
        <v xml:space="preserve"> </v>
      </c>
      <c r="K227" s="23" t="str">
        <f>IF(I227="PM","",IF(H227=0," ",J227/'Règles et points'!$F$23))</f>
        <v xml:space="preserve"> </v>
      </c>
      <c r="L227" s="3" t="str">
        <f>IF(H227=0,"",IF(I227="PM",30,VLOOKUP(H227,'Règles et points'!$C$5:$AG$19,(HLOOKUP('Course 3'!C227,'Règles et points'!$C$5:$AG$5,1)+1))))</f>
        <v/>
      </c>
      <c r="M227" s="23">
        <f t="shared" si="4"/>
        <v>0</v>
      </c>
      <c r="N227" s="80"/>
      <c r="O227" s="51"/>
      <c r="P227" s="52"/>
    </row>
    <row r="228" spans="2:16" ht="12.75">
      <c r="B228" s="14">
        <v>224</v>
      </c>
      <c r="C228" s="28" t="str">
        <f>IF(Coureurs!C228="","",Coureurs!C228)</f>
        <v/>
      </c>
      <c r="D228" s="131" t="str">
        <f>IF(Coureurs!D228="","",Coureurs!D228)</f>
        <v>70</v>
      </c>
      <c r="E228" s="87" t="str">
        <f>IF(Coureurs!F228="","",Coureurs!F228)</f>
        <v/>
      </c>
      <c r="F228" s="87" t="str">
        <f>IF(Coureurs!G228="","",Coureurs!G228)</f>
        <v/>
      </c>
      <c r="G228" s="50" t="str">
        <f>IF(Coureurs!J228="","",Coureurs!J228)</f>
        <v/>
      </c>
      <c r="H228" s="25"/>
      <c r="I228" s="41"/>
      <c r="J228" s="8" t="str">
        <f>IF(I228="PM","",IF(H228=0," ",I228-HLOOKUP('Course 3'!H228,'tab3'!$C$3:$N$4,2)))</f>
        <v xml:space="preserve"> </v>
      </c>
      <c r="K228" s="23" t="str">
        <f>IF(I228="PM","",IF(H228=0," ",J228/'Règles et points'!$F$23))</f>
        <v xml:space="preserve"> </v>
      </c>
      <c r="L228" s="3" t="str">
        <f>IF(H228=0,"",IF(I228="PM",30,VLOOKUP(H228,'Règles et points'!$C$5:$AG$19,(HLOOKUP('Course 3'!C228,'Règles et points'!$C$5:$AG$5,1)+1))))</f>
        <v/>
      </c>
      <c r="M228" s="23">
        <f t="shared" si="4"/>
        <v>0</v>
      </c>
      <c r="N228" s="80"/>
      <c r="O228" s="51"/>
      <c r="P228" s="52"/>
    </row>
    <row r="229" spans="2:16" ht="12.75">
      <c r="B229" s="14">
        <v>225</v>
      </c>
      <c r="C229" s="28" t="str">
        <f>IF(Coureurs!C229="","",Coureurs!C229)</f>
        <v/>
      </c>
      <c r="D229" s="131" t="str">
        <f>IF(Coureurs!D229="","",Coureurs!D229)</f>
        <v>70</v>
      </c>
      <c r="E229" s="87" t="str">
        <f>IF(Coureurs!F229="","",Coureurs!F229)</f>
        <v/>
      </c>
      <c r="F229" s="87" t="str">
        <f>IF(Coureurs!G229="","",Coureurs!G229)</f>
        <v/>
      </c>
      <c r="G229" s="50" t="str">
        <f>IF(Coureurs!J229="","",Coureurs!J229)</f>
        <v/>
      </c>
      <c r="H229" s="25"/>
      <c r="I229" s="41"/>
      <c r="J229" s="8" t="str">
        <f>IF(I229="PM","",IF(H229=0," ",I229-HLOOKUP('Course 3'!H229,'tab3'!$C$3:$N$4,2)))</f>
        <v xml:space="preserve"> </v>
      </c>
      <c r="K229" s="23" t="str">
        <f>IF(I229="PM","",IF(H229=0," ",J229/'Règles et points'!$F$23))</f>
        <v xml:space="preserve"> </v>
      </c>
      <c r="L229" s="3" t="str">
        <f>IF(H229=0,"",IF(I229="PM",30,VLOOKUP(H229,'Règles et points'!$C$5:$AG$19,(HLOOKUP('Course 3'!C229,'Règles et points'!$C$5:$AG$5,1)+1))))</f>
        <v/>
      </c>
      <c r="M229" s="23">
        <f t="shared" si="4"/>
        <v>0</v>
      </c>
      <c r="N229" s="80"/>
      <c r="O229" s="51"/>
      <c r="P229" s="52"/>
    </row>
    <row r="230" spans="2:16" ht="12.75">
      <c r="B230" s="14">
        <v>226</v>
      </c>
      <c r="C230" s="28" t="str">
        <f>IF(Coureurs!C230="","",Coureurs!C230)</f>
        <v/>
      </c>
      <c r="D230" s="131" t="str">
        <f>IF(Coureurs!D230="","",Coureurs!D230)</f>
        <v>70</v>
      </c>
      <c r="E230" s="87" t="str">
        <f>IF(Coureurs!F230="","",Coureurs!F230)</f>
        <v/>
      </c>
      <c r="F230" s="87" t="str">
        <f>IF(Coureurs!G230="","",Coureurs!G230)</f>
        <v/>
      </c>
      <c r="G230" s="50" t="str">
        <f>IF(Coureurs!J230="","",Coureurs!J230)</f>
        <v/>
      </c>
      <c r="H230" s="25"/>
      <c r="I230" s="41"/>
      <c r="J230" s="8" t="str">
        <f>IF(I230="PM","",IF(H230=0," ",I230-HLOOKUP('Course 3'!H230,'tab3'!$C$3:$N$4,2)))</f>
        <v xml:space="preserve"> </v>
      </c>
      <c r="K230" s="23" t="str">
        <f>IF(I230="PM","",IF(H230=0," ",J230/'Règles et points'!$F$23))</f>
        <v xml:space="preserve"> </v>
      </c>
      <c r="L230" s="3" t="str">
        <f>IF(H230=0,"",IF(I230="PM",30,VLOOKUP(H230,'Règles et points'!$C$5:$AG$19,(HLOOKUP('Course 3'!C230,'Règles et points'!$C$5:$AG$5,1)+1))))</f>
        <v/>
      </c>
      <c r="M230" s="23">
        <f t="shared" si="4"/>
        <v>0</v>
      </c>
      <c r="N230" s="80"/>
      <c r="O230" s="51"/>
      <c r="P230" s="52"/>
    </row>
    <row r="231" spans="2:16" ht="12.75">
      <c r="B231" s="14">
        <v>227</v>
      </c>
      <c r="C231" s="28" t="str">
        <f>IF(Coureurs!C231="","",Coureurs!C231)</f>
        <v/>
      </c>
      <c r="D231" s="131" t="str">
        <f>IF(Coureurs!D231="","",Coureurs!D231)</f>
        <v>70</v>
      </c>
      <c r="E231" s="87" t="str">
        <f>IF(Coureurs!F231="","",Coureurs!F231)</f>
        <v/>
      </c>
      <c r="F231" s="87" t="str">
        <f>IF(Coureurs!G231="","",Coureurs!G231)</f>
        <v/>
      </c>
      <c r="G231" s="50" t="str">
        <f>IF(Coureurs!J231="","",Coureurs!J231)</f>
        <v/>
      </c>
      <c r="H231" s="25"/>
      <c r="I231" s="41"/>
      <c r="J231" s="8" t="str">
        <f>IF(I231="PM","",IF(H231=0," ",I231-HLOOKUP('Course 3'!H231,'tab3'!$C$3:$N$4,2)))</f>
        <v xml:space="preserve"> </v>
      </c>
      <c r="K231" s="23" t="str">
        <f>IF(I231="PM","",IF(H231=0," ",J231/'Règles et points'!$F$23))</f>
        <v xml:space="preserve"> </v>
      </c>
      <c r="L231" s="3" t="str">
        <f>IF(H231=0,"",IF(I231="PM",30,VLOOKUP(H231,'Règles et points'!$C$5:$AG$19,(HLOOKUP('Course 3'!C231,'Règles et points'!$C$5:$AG$5,1)+1))))</f>
        <v/>
      </c>
      <c r="M231" s="23">
        <f t="shared" si="4"/>
        <v>0</v>
      </c>
      <c r="N231" s="80"/>
      <c r="O231" s="51"/>
      <c r="P231" s="52"/>
    </row>
    <row r="232" spans="2:16" ht="12.75">
      <c r="B232" s="14">
        <v>228</v>
      </c>
      <c r="C232" s="28" t="str">
        <f>IF(Coureurs!C232="","",Coureurs!C232)</f>
        <v/>
      </c>
      <c r="D232" s="131" t="str">
        <f>IF(Coureurs!D232="","",Coureurs!D232)</f>
        <v>70</v>
      </c>
      <c r="E232" s="87" t="str">
        <f>IF(Coureurs!F232="","",Coureurs!F232)</f>
        <v/>
      </c>
      <c r="F232" s="87" t="str">
        <f>IF(Coureurs!G232="","",Coureurs!G232)</f>
        <v/>
      </c>
      <c r="G232" s="50" t="str">
        <f>IF(Coureurs!J232="","",Coureurs!J232)</f>
        <v/>
      </c>
      <c r="H232" s="25"/>
      <c r="I232" s="41"/>
      <c r="J232" s="8" t="str">
        <f>IF(I232="PM","",IF(H232=0," ",I232-HLOOKUP('Course 3'!H232,'tab3'!$C$3:$N$4,2)))</f>
        <v xml:space="preserve"> </v>
      </c>
      <c r="K232" s="23" t="str">
        <f>IF(I232="PM","",IF(H232=0," ",J232/'Règles et points'!$F$23))</f>
        <v xml:space="preserve"> </v>
      </c>
      <c r="L232" s="3" t="str">
        <f>IF(H232=0,"",IF(I232="PM",30,VLOOKUP(H232,'Règles et points'!$C$5:$AG$19,(HLOOKUP('Course 3'!C232,'Règles et points'!$C$5:$AG$5,1)+1))))</f>
        <v/>
      </c>
      <c r="M232" s="23">
        <f t="shared" si="4"/>
        <v>0</v>
      </c>
      <c r="N232" s="80"/>
      <c r="O232" s="51"/>
      <c r="P232" s="52"/>
    </row>
    <row r="233" spans="2:16" ht="12.75">
      <c r="B233" s="14">
        <v>229</v>
      </c>
      <c r="C233" s="28" t="str">
        <f>IF(Coureurs!C233="","",Coureurs!C233)</f>
        <v/>
      </c>
      <c r="D233" s="131" t="str">
        <f>IF(Coureurs!D233="","",Coureurs!D233)</f>
        <v>70</v>
      </c>
      <c r="E233" s="87" t="str">
        <f>IF(Coureurs!F233="","",Coureurs!F233)</f>
        <v/>
      </c>
      <c r="F233" s="87" t="str">
        <f>IF(Coureurs!G233="","",Coureurs!G233)</f>
        <v/>
      </c>
      <c r="G233" s="50" t="str">
        <f>IF(Coureurs!J233="","",Coureurs!J233)</f>
        <v/>
      </c>
      <c r="H233" s="25"/>
      <c r="I233" s="41"/>
      <c r="J233" s="8" t="str">
        <f>IF(I233="PM","",IF(H233=0," ",I233-HLOOKUP('Course 3'!H233,'tab3'!$C$3:$N$4,2)))</f>
        <v xml:space="preserve"> </v>
      </c>
      <c r="K233" s="23" t="str">
        <f>IF(I233="PM","",IF(H233=0," ",J233/'Règles et points'!$F$23))</f>
        <v xml:space="preserve"> </v>
      </c>
      <c r="L233" s="3" t="str">
        <f>IF(H233=0,"",IF(I233="PM",30,VLOOKUP(H233,'Règles et points'!$C$5:$AG$19,(HLOOKUP('Course 3'!C233,'Règles et points'!$C$5:$AG$5,1)+1))))</f>
        <v/>
      </c>
      <c r="M233" s="23">
        <f t="shared" si="4"/>
        <v>0</v>
      </c>
      <c r="N233" s="80"/>
      <c r="O233" s="51"/>
      <c r="P233" s="52"/>
    </row>
    <row r="234" spans="2:16" ht="12.75">
      <c r="B234" s="14">
        <v>230</v>
      </c>
      <c r="C234" s="28" t="str">
        <f>IF(Coureurs!C234="","",Coureurs!C234)</f>
        <v/>
      </c>
      <c r="D234" s="131" t="str">
        <f>IF(Coureurs!D234="","",Coureurs!D234)</f>
        <v>70</v>
      </c>
      <c r="E234" s="87" t="str">
        <f>IF(Coureurs!F234="","",Coureurs!F234)</f>
        <v/>
      </c>
      <c r="F234" s="87" t="str">
        <f>IF(Coureurs!G234="","",Coureurs!G234)</f>
        <v/>
      </c>
      <c r="G234" s="50" t="str">
        <f>IF(Coureurs!J234="","",Coureurs!J234)</f>
        <v/>
      </c>
      <c r="H234" s="25"/>
      <c r="I234" s="41"/>
      <c r="J234" s="8" t="str">
        <f>IF(I234="PM","",IF(H234=0," ",I234-HLOOKUP('Course 3'!H234,'tab3'!$C$3:$N$4,2)))</f>
        <v xml:space="preserve"> </v>
      </c>
      <c r="K234" s="23" t="str">
        <f>IF(I234="PM","",IF(H234=0," ",J234/'Règles et points'!$F$23))</f>
        <v xml:space="preserve"> </v>
      </c>
      <c r="L234" s="3" t="str">
        <f>IF(H234=0,"",IF(I234="PM",30,VLOOKUP(H234,'Règles et points'!$C$5:$AG$19,(HLOOKUP('Course 3'!C234,'Règles et points'!$C$5:$AG$5,1)+1))))</f>
        <v/>
      </c>
      <c r="M234" s="23">
        <f t="shared" si="4"/>
        <v>0</v>
      </c>
      <c r="N234" s="80"/>
      <c r="O234" s="51"/>
      <c r="P234" s="52"/>
    </row>
    <row r="235" spans="2:16" ht="12.75">
      <c r="B235" s="14">
        <v>231</v>
      </c>
      <c r="C235" s="28" t="str">
        <f>IF(Coureurs!C235="","",Coureurs!C235)</f>
        <v/>
      </c>
      <c r="D235" s="131" t="str">
        <f>IF(Coureurs!D235="","",Coureurs!D235)</f>
        <v>70</v>
      </c>
      <c r="E235" s="87" t="str">
        <f>IF(Coureurs!F235="","",Coureurs!F235)</f>
        <v/>
      </c>
      <c r="F235" s="87" t="str">
        <f>IF(Coureurs!G235="","",Coureurs!G235)</f>
        <v/>
      </c>
      <c r="G235" s="50" t="str">
        <f>IF(Coureurs!J235="","",Coureurs!J235)</f>
        <v/>
      </c>
      <c r="H235" s="25"/>
      <c r="I235" s="41"/>
      <c r="J235" s="8" t="str">
        <f>IF(I235="PM","",IF(H235=0," ",I235-HLOOKUP('Course 3'!H235,'tab3'!$C$3:$N$4,2)))</f>
        <v xml:space="preserve"> </v>
      </c>
      <c r="K235" s="23" t="str">
        <f>IF(I235="PM","",IF(H235=0," ",J235/'Règles et points'!$F$23))</f>
        <v xml:space="preserve"> </v>
      </c>
      <c r="L235" s="3" t="str">
        <f>IF(H235=0,"",IF(I235="PM",30,VLOOKUP(H235,'Règles et points'!$C$5:$AG$19,(HLOOKUP('Course 3'!C235,'Règles et points'!$C$5:$AG$5,1)+1))))</f>
        <v/>
      </c>
      <c r="M235" s="23">
        <f t="shared" si="4"/>
        <v>0</v>
      </c>
      <c r="N235" s="80"/>
      <c r="O235" s="51"/>
      <c r="P235" s="52"/>
    </row>
    <row r="236" spans="2:16" ht="12.75">
      <c r="B236" s="14">
        <v>232</v>
      </c>
      <c r="C236" s="28" t="str">
        <f>IF(Coureurs!C236="","",Coureurs!C236)</f>
        <v/>
      </c>
      <c r="D236" s="131" t="str">
        <f>IF(Coureurs!D236="","",Coureurs!D236)</f>
        <v>70</v>
      </c>
      <c r="E236" s="87" t="str">
        <f>IF(Coureurs!F236="","",Coureurs!F236)</f>
        <v/>
      </c>
      <c r="F236" s="87" t="str">
        <f>IF(Coureurs!G236="","",Coureurs!G236)</f>
        <v/>
      </c>
      <c r="G236" s="50" t="str">
        <f>IF(Coureurs!J236="","",Coureurs!J236)</f>
        <v/>
      </c>
      <c r="H236" s="25"/>
      <c r="I236" s="41"/>
      <c r="J236" s="8" t="str">
        <f>IF(I236="PM","",IF(H236=0," ",I236-HLOOKUP('Course 3'!H236,'tab3'!$C$3:$N$4,2)))</f>
        <v xml:space="preserve"> </v>
      </c>
      <c r="K236" s="23" t="str">
        <f>IF(I236="PM","",IF(H236=0," ",J236/'Règles et points'!$F$23))</f>
        <v xml:space="preserve"> </v>
      </c>
      <c r="L236" s="3" t="str">
        <f>IF(H236=0,"",IF(I236="PM",30,VLOOKUP(H236,'Règles et points'!$C$5:$AG$19,(HLOOKUP('Course 3'!C236,'Règles et points'!$C$5:$AG$5,1)+1))))</f>
        <v/>
      </c>
      <c r="M236" s="23">
        <f t="shared" si="4"/>
        <v>0</v>
      </c>
      <c r="N236" s="80"/>
      <c r="O236" s="51"/>
      <c r="P236" s="52"/>
    </row>
    <row r="237" spans="2:16" ht="12.75">
      <c r="B237" s="14">
        <v>233</v>
      </c>
      <c r="C237" s="28" t="str">
        <f>IF(Coureurs!C237="","",Coureurs!C237)</f>
        <v/>
      </c>
      <c r="D237" s="131" t="str">
        <f>IF(Coureurs!D237="","",Coureurs!D237)</f>
        <v>70</v>
      </c>
      <c r="E237" s="87" t="str">
        <f>IF(Coureurs!F237="","",Coureurs!F237)</f>
        <v/>
      </c>
      <c r="F237" s="87" t="str">
        <f>IF(Coureurs!G237="","",Coureurs!G237)</f>
        <v/>
      </c>
      <c r="G237" s="50" t="str">
        <f>IF(Coureurs!J237="","",Coureurs!J237)</f>
        <v/>
      </c>
      <c r="H237" s="25"/>
      <c r="I237" s="41"/>
      <c r="J237" s="8" t="str">
        <f>IF(I237="PM","",IF(H237=0," ",I237-HLOOKUP('Course 3'!H237,'tab3'!$C$3:$N$4,2)))</f>
        <v xml:space="preserve"> </v>
      </c>
      <c r="K237" s="23" t="str">
        <f>IF(I237="PM","",IF(H237=0," ",J237/'Règles et points'!$F$23))</f>
        <v xml:space="preserve"> </v>
      </c>
      <c r="L237" s="3" t="str">
        <f>IF(H237=0,"",IF(I237="PM",30,VLOOKUP(H237,'Règles et points'!$C$5:$AG$19,(HLOOKUP('Course 3'!C237,'Règles et points'!$C$5:$AG$5,1)+1))))</f>
        <v/>
      </c>
      <c r="M237" s="23">
        <f t="shared" si="4"/>
        <v>0</v>
      </c>
      <c r="N237" s="80"/>
      <c r="O237" s="51"/>
      <c r="P237" s="52"/>
    </row>
    <row r="238" spans="2:16" ht="12.75">
      <c r="B238" s="14">
        <v>234</v>
      </c>
      <c r="C238" s="28" t="str">
        <f>IF(Coureurs!C238="","",Coureurs!C238)</f>
        <v/>
      </c>
      <c r="D238" s="131" t="str">
        <f>IF(Coureurs!D238="","",Coureurs!D238)</f>
        <v>70</v>
      </c>
      <c r="E238" s="87" t="str">
        <f>IF(Coureurs!F238="","",Coureurs!F238)</f>
        <v/>
      </c>
      <c r="F238" s="87" t="str">
        <f>IF(Coureurs!G238="","",Coureurs!G238)</f>
        <v/>
      </c>
      <c r="G238" s="50" t="str">
        <f>IF(Coureurs!J238="","",Coureurs!J238)</f>
        <v/>
      </c>
      <c r="H238" s="25"/>
      <c r="I238" s="41"/>
      <c r="J238" s="8" t="str">
        <f>IF(I238="PM","",IF(H238=0," ",I238-HLOOKUP('Course 3'!H238,'tab3'!$C$3:$N$4,2)))</f>
        <v xml:space="preserve"> </v>
      </c>
      <c r="K238" s="23" t="str">
        <f>IF(I238="PM","",IF(H238=0," ",J238/'Règles et points'!$F$23))</f>
        <v xml:space="preserve"> </v>
      </c>
      <c r="L238" s="3" t="str">
        <f>IF(H238=0,"",IF(I238="PM",30,VLOOKUP(H238,'Règles et points'!$C$5:$AG$19,(HLOOKUP('Course 3'!C238,'Règles et points'!$C$5:$AG$5,1)+1))))</f>
        <v/>
      </c>
      <c r="M238" s="23">
        <f t="shared" si="4"/>
        <v>0</v>
      </c>
      <c r="N238" s="80"/>
      <c r="O238" s="51"/>
      <c r="P238" s="52"/>
    </row>
    <row r="239" spans="2:16" ht="12.75">
      <c r="B239" s="14">
        <v>235</v>
      </c>
      <c r="C239" s="28" t="str">
        <f>IF(Coureurs!C239="","",Coureurs!C239)</f>
        <v/>
      </c>
      <c r="D239" s="131" t="str">
        <f>IF(Coureurs!D239="","",Coureurs!D239)</f>
        <v>70</v>
      </c>
      <c r="E239" s="87" t="str">
        <f>IF(Coureurs!F239="","",Coureurs!F239)</f>
        <v/>
      </c>
      <c r="F239" s="87" t="str">
        <f>IF(Coureurs!G239="","",Coureurs!G239)</f>
        <v/>
      </c>
      <c r="G239" s="50" t="str">
        <f>IF(Coureurs!J239="","",Coureurs!J239)</f>
        <v/>
      </c>
      <c r="H239" s="25"/>
      <c r="I239" s="41"/>
      <c r="J239" s="8" t="str">
        <f>IF(I239="PM","",IF(H239=0," ",I239-HLOOKUP('Course 3'!H239,'tab3'!$C$3:$N$4,2)))</f>
        <v xml:space="preserve"> </v>
      </c>
      <c r="K239" s="23" t="str">
        <f>IF(I239="PM","",IF(H239=0," ",J239/'Règles et points'!$F$23))</f>
        <v xml:space="preserve"> </v>
      </c>
      <c r="L239" s="3" t="str">
        <f>IF(H239=0,"",IF(I239="PM",30,VLOOKUP(H239,'Règles et points'!$C$5:$AG$19,(HLOOKUP('Course 3'!C239,'Règles et points'!$C$5:$AG$5,1)+1))))</f>
        <v/>
      </c>
      <c r="M239" s="23">
        <f t="shared" si="4"/>
        <v>0</v>
      </c>
      <c r="N239" s="80"/>
      <c r="O239" s="51"/>
      <c r="P239" s="52"/>
    </row>
    <row r="240" spans="2:16" ht="12.75">
      <c r="B240" s="14">
        <v>236</v>
      </c>
      <c r="C240" s="28" t="str">
        <f>IF(Coureurs!C240="","",Coureurs!C240)</f>
        <v/>
      </c>
      <c r="D240" s="131" t="str">
        <f>IF(Coureurs!D240="","",Coureurs!D240)</f>
        <v>70</v>
      </c>
      <c r="E240" s="87" t="str">
        <f>IF(Coureurs!F240="","",Coureurs!F240)</f>
        <v/>
      </c>
      <c r="F240" s="87" t="str">
        <f>IF(Coureurs!G240="","",Coureurs!G240)</f>
        <v/>
      </c>
      <c r="G240" s="50" t="str">
        <f>IF(Coureurs!J240="","",Coureurs!J240)</f>
        <v/>
      </c>
      <c r="H240" s="25"/>
      <c r="I240" s="41"/>
      <c r="J240" s="8" t="str">
        <f>IF(I240="PM","",IF(H240=0," ",I240-HLOOKUP('Course 3'!H240,'tab3'!$C$3:$N$4,2)))</f>
        <v xml:space="preserve"> </v>
      </c>
      <c r="K240" s="23" t="str">
        <f>IF(I240="PM","",IF(H240=0," ",J240/'Règles et points'!$F$23))</f>
        <v xml:space="preserve"> </v>
      </c>
      <c r="L240" s="3" t="str">
        <f>IF(H240=0,"",IF(I240="PM",30,VLOOKUP(H240,'Règles et points'!$C$5:$AG$19,(HLOOKUP('Course 3'!C240,'Règles et points'!$C$5:$AG$5,1)+1))))</f>
        <v/>
      </c>
      <c r="M240" s="23">
        <f t="shared" si="4"/>
        <v>0</v>
      </c>
      <c r="N240" s="80"/>
      <c r="O240" s="51"/>
      <c r="P240" s="52"/>
    </row>
    <row r="241" spans="2:16" ht="12.75">
      <c r="B241" s="14">
        <v>237</v>
      </c>
      <c r="C241" s="28" t="str">
        <f>IF(Coureurs!C241="","",Coureurs!C241)</f>
        <v/>
      </c>
      <c r="D241" s="131" t="str">
        <f>IF(Coureurs!D241="","",Coureurs!D241)</f>
        <v>70</v>
      </c>
      <c r="E241" s="87" t="str">
        <f>IF(Coureurs!F241="","",Coureurs!F241)</f>
        <v/>
      </c>
      <c r="F241" s="87" t="str">
        <f>IF(Coureurs!G241="","",Coureurs!G241)</f>
        <v/>
      </c>
      <c r="G241" s="50" t="str">
        <f>IF(Coureurs!J241="","",Coureurs!J241)</f>
        <v/>
      </c>
      <c r="H241" s="25"/>
      <c r="I241" s="41"/>
      <c r="J241" s="8" t="str">
        <f>IF(I241="PM","",IF(H241=0," ",I241-HLOOKUP('Course 3'!H241,'tab3'!$C$3:$N$4,2)))</f>
        <v xml:space="preserve"> </v>
      </c>
      <c r="K241" s="23" t="str">
        <f>IF(I241="PM","",IF(H241=0," ",J241/'Règles et points'!$F$23))</f>
        <v xml:space="preserve"> </v>
      </c>
      <c r="L241" s="3" t="str">
        <f>IF(H241=0,"",IF(I241="PM",30,VLOOKUP(H241,'Règles et points'!$C$5:$AG$19,(HLOOKUP('Course 3'!C241,'Règles et points'!$C$5:$AG$5,1)+1))))</f>
        <v/>
      </c>
      <c r="M241" s="23">
        <f t="shared" si="4"/>
        <v>0</v>
      </c>
      <c r="N241" s="80"/>
      <c r="O241" s="51"/>
      <c r="P241" s="52"/>
    </row>
    <row r="242" spans="2:16" ht="12.75">
      <c r="B242" s="14">
        <v>238</v>
      </c>
      <c r="C242" s="28" t="str">
        <f>IF(Coureurs!C242="","",Coureurs!C242)</f>
        <v/>
      </c>
      <c r="D242" s="131" t="str">
        <f>IF(Coureurs!D242="","",Coureurs!D242)</f>
        <v>70</v>
      </c>
      <c r="E242" s="87" t="str">
        <f>IF(Coureurs!F242="","",Coureurs!F242)</f>
        <v/>
      </c>
      <c r="F242" s="87" t="str">
        <f>IF(Coureurs!G242="","",Coureurs!G242)</f>
        <v/>
      </c>
      <c r="G242" s="50" t="str">
        <f>IF(Coureurs!J242="","",Coureurs!J242)</f>
        <v/>
      </c>
      <c r="H242" s="25"/>
      <c r="I242" s="41"/>
      <c r="J242" s="8" t="str">
        <f>IF(I242="PM","",IF(H242=0," ",I242-HLOOKUP('Course 3'!H242,'tab3'!$C$3:$N$4,2)))</f>
        <v xml:space="preserve"> </v>
      </c>
      <c r="K242" s="23" t="str">
        <f>IF(I242="PM","",IF(H242=0," ",J242/'Règles et points'!$F$23))</f>
        <v xml:space="preserve"> </v>
      </c>
      <c r="L242" s="3" t="str">
        <f>IF(H242=0,"",IF(I242="PM",30,VLOOKUP(H242,'Règles et points'!$C$5:$AG$19,(HLOOKUP('Course 3'!C242,'Règles et points'!$C$5:$AG$5,1)+1))))</f>
        <v/>
      </c>
      <c r="M242" s="23">
        <f t="shared" si="4"/>
        <v>0</v>
      </c>
      <c r="N242" s="80"/>
      <c r="O242" s="51"/>
      <c r="P242" s="52"/>
    </row>
    <row r="243" spans="2:16" ht="12.75">
      <c r="B243" s="14">
        <v>239</v>
      </c>
      <c r="C243" s="28" t="str">
        <f>IF(Coureurs!C243="","",Coureurs!C243)</f>
        <v/>
      </c>
      <c r="D243" s="131" t="str">
        <f>IF(Coureurs!D243="","",Coureurs!D243)</f>
        <v>70</v>
      </c>
      <c r="E243" s="87" t="str">
        <f>IF(Coureurs!F243="","",Coureurs!F243)</f>
        <v/>
      </c>
      <c r="F243" s="87" t="str">
        <f>IF(Coureurs!G243="","",Coureurs!G243)</f>
        <v/>
      </c>
      <c r="G243" s="50" t="str">
        <f>IF(Coureurs!J243="","",Coureurs!J243)</f>
        <v/>
      </c>
      <c r="H243" s="25"/>
      <c r="I243" s="41"/>
      <c r="J243" s="8" t="str">
        <f>IF(I243="PM","",IF(H243=0," ",I243-HLOOKUP('Course 3'!H243,'tab3'!$C$3:$N$4,2)))</f>
        <v xml:space="preserve"> </v>
      </c>
      <c r="K243" s="23" t="str">
        <f>IF(I243="PM","",IF(H243=0," ",J243/'Règles et points'!$F$23))</f>
        <v xml:space="preserve"> </v>
      </c>
      <c r="L243" s="3" t="str">
        <f>IF(H243=0,"",IF(I243="PM",30,VLOOKUP(H243,'Règles et points'!$C$5:$AG$19,(HLOOKUP('Course 3'!C243,'Règles et points'!$C$5:$AG$5,1)+1))))</f>
        <v/>
      </c>
      <c r="M243" s="23">
        <f t="shared" si="4"/>
        <v>0</v>
      </c>
      <c r="N243" s="80"/>
      <c r="O243" s="51"/>
      <c r="P243" s="52"/>
    </row>
    <row r="244" spans="2:16" ht="12.75">
      <c r="B244" s="14">
        <v>240</v>
      </c>
      <c r="C244" s="28" t="str">
        <f>IF(Coureurs!C244="","",Coureurs!C244)</f>
        <v/>
      </c>
      <c r="D244" s="131" t="str">
        <f>IF(Coureurs!D244="","",Coureurs!D244)</f>
        <v>70</v>
      </c>
      <c r="E244" s="87" t="str">
        <f>IF(Coureurs!F244="","",Coureurs!F244)</f>
        <v/>
      </c>
      <c r="F244" s="87" t="str">
        <f>IF(Coureurs!G244="","",Coureurs!G244)</f>
        <v/>
      </c>
      <c r="G244" s="50" t="str">
        <f>IF(Coureurs!J244="","",Coureurs!J244)</f>
        <v/>
      </c>
      <c r="H244" s="25"/>
      <c r="I244" s="41"/>
      <c r="J244" s="8" t="str">
        <f>IF(I244="PM","",IF(H244=0," ",I244-HLOOKUP('Course 3'!H244,'tab3'!$C$3:$N$4,2)))</f>
        <v xml:space="preserve"> </v>
      </c>
      <c r="K244" s="23" t="str">
        <f>IF(I244="PM","",IF(H244=0," ",J244/'Règles et points'!$F$23))</f>
        <v xml:space="preserve"> </v>
      </c>
      <c r="L244" s="3" t="str">
        <f>IF(H244=0,"",IF(I244="PM",30,VLOOKUP(H244,'Règles et points'!$C$5:$AG$19,(HLOOKUP('Course 3'!C244,'Règles et points'!$C$5:$AG$5,1)+1))))</f>
        <v/>
      </c>
      <c r="M244" s="23">
        <f t="shared" si="4"/>
        <v>0</v>
      </c>
      <c r="N244" s="80"/>
      <c r="O244" s="51"/>
      <c r="P244" s="52"/>
    </row>
    <row r="245" spans="2:16" ht="12.75">
      <c r="B245" s="14">
        <v>241</v>
      </c>
      <c r="C245" s="28" t="str">
        <f>IF(Coureurs!C245="","",Coureurs!C245)</f>
        <v/>
      </c>
      <c r="D245" s="131" t="str">
        <f>IF(Coureurs!D245="","",Coureurs!D245)</f>
        <v>70</v>
      </c>
      <c r="E245" s="87" t="str">
        <f>IF(Coureurs!F245="","",Coureurs!F245)</f>
        <v/>
      </c>
      <c r="F245" s="87" t="str">
        <f>IF(Coureurs!G245="","",Coureurs!G245)</f>
        <v/>
      </c>
      <c r="G245" s="50" t="str">
        <f>IF(Coureurs!J245="","",Coureurs!J245)</f>
        <v/>
      </c>
      <c r="H245" s="25"/>
      <c r="I245" s="41"/>
      <c r="J245" s="8" t="str">
        <f>IF(I245="PM","",IF(H245=0," ",I245-HLOOKUP('Course 3'!H245,'tab3'!$C$3:$N$4,2)))</f>
        <v xml:space="preserve"> </v>
      </c>
      <c r="K245" s="23" t="str">
        <f>IF(I245="PM","",IF(H245=0," ",J245/'Règles et points'!$F$23))</f>
        <v xml:space="preserve"> </v>
      </c>
      <c r="L245" s="3" t="str">
        <f>IF(H245=0,"",IF(I245="PM",30,VLOOKUP(H245,'Règles et points'!$C$5:$AG$19,(HLOOKUP('Course 3'!C245,'Règles et points'!$C$5:$AG$5,1)+1))))</f>
        <v/>
      </c>
      <c r="M245" s="23">
        <f t="shared" si="4"/>
        <v>0</v>
      </c>
      <c r="N245" s="80"/>
      <c r="O245" s="51"/>
      <c r="P245" s="52"/>
    </row>
    <row r="246" spans="2:16" ht="12.75">
      <c r="B246" s="14">
        <v>242</v>
      </c>
      <c r="C246" s="28" t="str">
        <f>IF(Coureurs!C246="","",Coureurs!C246)</f>
        <v/>
      </c>
      <c r="D246" s="131" t="str">
        <f>IF(Coureurs!D246="","",Coureurs!D246)</f>
        <v>70</v>
      </c>
      <c r="E246" s="87" t="str">
        <f>IF(Coureurs!F246="","",Coureurs!F246)</f>
        <v/>
      </c>
      <c r="F246" s="87" t="str">
        <f>IF(Coureurs!G246="","",Coureurs!G246)</f>
        <v/>
      </c>
      <c r="G246" s="50" t="str">
        <f>IF(Coureurs!J246="","",Coureurs!J246)</f>
        <v/>
      </c>
      <c r="H246" s="25"/>
      <c r="I246" s="41"/>
      <c r="J246" s="8" t="str">
        <f>IF(I246="PM","",IF(H246=0," ",I246-HLOOKUP('Course 3'!H246,'tab3'!$C$3:$N$4,2)))</f>
        <v xml:space="preserve"> </v>
      </c>
      <c r="K246" s="23" t="str">
        <f>IF(I246="PM","",IF(H246=0," ",J246/'Règles et points'!$F$23))</f>
        <v xml:space="preserve"> </v>
      </c>
      <c r="L246" s="3" t="str">
        <f>IF(H246=0,"",IF(I246="PM",30,VLOOKUP(H246,'Règles et points'!$C$5:$AG$19,(HLOOKUP('Course 3'!C246,'Règles et points'!$C$5:$AG$5,1)+1))))</f>
        <v/>
      </c>
      <c r="M246" s="23">
        <f t="shared" si="4"/>
        <v>0</v>
      </c>
      <c r="N246" s="80"/>
      <c r="O246" s="51"/>
      <c r="P246" s="52"/>
    </row>
    <row r="247" spans="2:16" ht="12.75">
      <c r="B247" s="14">
        <v>243</v>
      </c>
      <c r="C247" s="28" t="str">
        <f>IF(Coureurs!C247="","",Coureurs!C247)</f>
        <v/>
      </c>
      <c r="D247" s="131" t="str">
        <f>IF(Coureurs!D247="","",Coureurs!D247)</f>
        <v>70</v>
      </c>
      <c r="E247" s="87" t="str">
        <f>IF(Coureurs!F247="","",Coureurs!F247)</f>
        <v/>
      </c>
      <c r="F247" s="87" t="str">
        <f>IF(Coureurs!G247="","",Coureurs!G247)</f>
        <v/>
      </c>
      <c r="G247" s="50" t="str">
        <f>IF(Coureurs!J247="","",Coureurs!J247)</f>
        <v/>
      </c>
      <c r="H247" s="25"/>
      <c r="I247" s="41"/>
      <c r="J247" s="8" t="str">
        <f>IF(I247="PM","",IF(H247=0," ",I247-HLOOKUP('Course 3'!H247,'tab3'!$C$3:$N$4,2)))</f>
        <v xml:space="preserve"> </v>
      </c>
      <c r="K247" s="23" t="str">
        <f>IF(I247="PM","",IF(H247=0," ",J247/'Règles et points'!$F$23))</f>
        <v xml:space="preserve"> </v>
      </c>
      <c r="L247" s="3" t="str">
        <f>IF(H247=0,"",IF(I247="PM",30,VLOOKUP(H247,'Règles et points'!$C$5:$AG$19,(HLOOKUP('Course 3'!C247,'Règles et points'!$C$5:$AG$5,1)+1))))</f>
        <v/>
      </c>
      <c r="M247" s="23">
        <f t="shared" si="4"/>
        <v>0</v>
      </c>
      <c r="N247" s="80"/>
      <c r="O247" s="51"/>
      <c r="P247" s="52"/>
    </row>
    <row r="248" spans="2:16" ht="12.75">
      <c r="B248" s="14">
        <v>244</v>
      </c>
      <c r="C248" s="28" t="str">
        <f>IF(Coureurs!C248="","",Coureurs!C248)</f>
        <v/>
      </c>
      <c r="D248" s="131" t="str">
        <f>IF(Coureurs!D248="","",Coureurs!D248)</f>
        <v>70</v>
      </c>
      <c r="E248" s="87" t="str">
        <f>IF(Coureurs!F248="","",Coureurs!F248)</f>
        <v/>
      </c>
      <c r="F248" s="87" t="str">
        <f>IF(Coureurs!G248="","",Coureurs!G248)</f>
        <v/>
      </c>
      <c r="G248" s="50" t="str">
        <f>IF(Coureurs!J248="","",Coureurs!J248)</f>
        <v/>
      </c>
      <c r="H248" s="25"/>
      <c r="I248" s="41"/>
      <c r="J248" s="8" t="str">
        <f>IF(I248="PM","",IF(H248=0," ",I248-HLOOKUP('Course 3'!H248,'tab3'!$C$3:$N$4,2)))</f>
        <v xml:space="preserve"> </v>
      </c>
      <c r="K248" s="23" t="str">
        <f>IF(I248="PM","",IF(H248=0," ",J248/'Règles et points'!$F$23))</f>
        <v xml:space="preserve"> </v>
      </c>
      <c r="L248" s="3" t="str">
        <f>IF(H248=0,"",IF(I248="PM",30,VLOOKUP(H248,'Règles et points'!$C$5:$AG$19,(HLOOKUP('Course 3'!C248,'Règles et points'!$C$5:$AG$5,1)+1))))</f>
        <v/>
      </c>
      <c r="M248" s="23">
        <f t="shared" si="4"/>
        <v>0</v>
      </c>
      <c r="N248" s="80"/>
      <c r="O248" s="51"/>
      <c r="P248" s="52"/>
    </row>
    <row r="249" spans="2:16" ht="12.75">
      <c r="B249" s="14">
        <v>245</v>
      </c>
      <c r="C249" s="28" t="str">
        <f>IF(Coureurs!C249="","",Coureurs!C249)</f>
        <v/>
      </c>
      <c r="D249" s="131" t="str">
        <f>IF(Coureurs!D249="","",Coureurs!D249)</f>
        <v>70</v>
      </c>
      <c r="E249" s="87" t="str">
        <f>IF(Coureurs!F249="","",Coureurs!F249)</f>
        <v/>
      </c>
      <c r="F249" s="87" t="str">
        <f>IF(Coureurs!G249="","",Coureurs!G249)</f>
        <v/>
      </c>
      <c r="G249" s="50" t="str">
        <f>IF(Coureurs!J249="","",Coureurs!J249)</f>
        <v/>
      </c>
      <c r="H249" s="25"/>
      <c r="I249" s="41"/>
      <c r="J249" s="8" t="str">
        <f>IF(I249="PM","",IF(H249=0," ",I249-HLOOKUP('Course 3'!H249,'tab3'!$C$3:$N$4,2)))</f>
        <v xml:space="preserve"> </v>
      </c>
      <c r="K249" s="23" t="str">
        <f>IF(I249="PM","",IF(H249=0," ",J249/'Règles et points'!$F$23))</f>
        <v xml:space="preserve"> </v>
      </c>
      <c r="L249" s="3" t="str">
        <f>IF(H249=0,"",IF(I249="PM",30,VLOOKUP(H249,'Règles et points'!$C$5:$AG$19,(HLOOKUP('Course 3'!C249,'Règles et points'!$C$5:$AG$5,1)+1))))</f>
        <v/>
      </c>
      <c r="M249" s="23">
        <f t="shared" si="4"/>
        <v>0</v>
      </c>
      <c r="N249" s="80"/>
      <c r="O249" s="51"/>
      <c r="P249" s="52"/>
    </row>
    <row r="250" spans="2:16" ht="12.75">
      <c r="B250" s="14">
        <v>246</v>
      </c>
      <c r="C250" s="28" t="str">
        <f>IF(Coureurs!C250="","",Coureurs!C250)</f>
        <v/>
      </c>
      <c r="D250" s="131" t="str">
        <f>IF(Coureurs!D250="","",Coureurs!D250)</f>
        <v>70</v>
      </c>
      <c r="E250" s="87" t="str">
        <f>IF(Coureurs!F250="","",Coureurs!F250)</f>
        <v/>
      </c>
      <c r="F250" s="87" t="str">
        <f>IF(Coureurs!G250="","",Coureurs!G250)</f>
        <v/>
      </c>
      <c r="G250" s="50" t="str">
        <f>IF(Coureurs!J250="","",Coureurs!J250)</f>
        <v/>
      </c>
      <c r="H250" s="25"/>
      <c r="I250" s="41"/>
      <c r="J250" s="8" t="str">
        <f>IF(I250="PM","",IF(H250=0," ",I250-HLOOKUP('Course 3'!H250,'tab3'!$C$3:$N$4,2)))</f>
        <v xml:space="preserve"> </v>
      </c>
      <c r="K250" s="23" t="str">
        <f>IF(I250="PM","",IF(H250=0," ",J250/'Règles et points'!$F$23))</f>
        <v xml:space="preserve"> </v>
      </c>
      <c r="L250" s="3" t="str">
        <f>IF(H250=0,"",IF(I250="PM",30,VLOOKUP(H250,'Règles et points'!$C$5:$AG$19,(HLOOKUP('Course 3'!C250,'Règles et points'!$C$5:$AG$5,1)+1))))</f>
        <v/>
      </c>
      <c r="M250" s="23">
        <f t="shared" si="4"/>
        <v>0</v>
      </c>
      <c r="N250" s="80"/>
      <c r="O250" s="51"/>
      <c r="P250" s="52"/>
    </row>
    <row r="251" spans="2:16" ht="12.75">
      <c r="B251" s="14">
        <v>247</v>
      </c>
      <c r="C251" s="28" t="str">
        <f>IF(Coureurs!C251="","",Coureurs!C251)</f>
        <v/>
      </c>
      <c r="D251" s="131" t="str">
        <f>IF(Coureurs!D251="","",Coureurs!D251)</f>
        <v>70</v>
      </c>
      <c r="E251" s="87" t="str">
        <f>IF(Coureurs!F251="","",Coureurs!F251)</f>
        <v/>
      </c>
      <c r="F251" s="87" t="str">
        <f>IF(Coureurs!G251="","",Coureurs!G251)</f>
        <v/>
      </c>
      <c r="G251" s="50" t="str">
        <f>IF(Coureurs!J251="","",Coureurs!J251)</f>
        <v/>
      </c>
      <c r="H251" s="25"/>
      <c r="I251" s="41"/>
      <c r="J251" s="8" t="str">
        <f>IF(I251="PM","",IF(H251=0," ",I251-HLOOKUP('Course 3'!H251,'tab3'!$C$3:$N$4,2)))</f>
        <v xml:space="preserve"> </v>
      </c>
      <c r="K251" s="23" t="str">
        <f>IF(I251="PM","",IF(H251=0," ",J251/'Règles et points'!$F$23))</f>
        <v xml:space="preserve"> </v>
      </c>
      <c r="L251" s="3" t="str">
        <f>IF(H251=0,"",IF(I251="PM",30,VLOOKUP(H251,'Règles et points'!$C$5:$AG$19,(HLOOKUP('Course 3'!C251,'Règles et points'!$C$5:$AG$5,1)+1))))</f>
        <v/>
      </c>
      <c r="M251" s="23">
        <f t="shared" si="4"/>
        <v>0</v>
      </c>
      <c r="N251" s="80"/>
      <c r="O251" s="51"/>
      <c r="P251" s="52"/>
    </row>
    <row r="252" spans="2:16" ht="12.75">
      <c r="B252" s="14">
        <v>248</v>
      </c>
      <c r="C252" s="28" t="str">
        <f>IF(Coureurs!C252="","",Coureurs!C252)</f>
        <v/>
      </c>
      <c r="D252" s="131" t="str">
        <f>IF(Coureurs!D252="","",Coureurs!D252)</f>
        <v>70</v>
      </c>
      <c r="E252" s="87" t="str">
        <f>IF(Coureurs!F252="","",Coureurs!F252)</f>
        <v/>
      </c>
      <c r="F252" s="87" t="str">
        <f>IF(Coureurs!G252="","",Coureurs!G252)</f>
        <v/>
      </c>
      <c r="G252" s="50" t="str">
        <f>IF(Coureurs!J252="","",Coureurs!J252)</f>
        <v/>
      </c>
      <c r="H252" s="25"/>
      <c r="I252" s="41"/>
      <c r="J252" s="8" t="str">
        <f>IF(I252="PM","",IF(H252=0," ",I252-HLOOKUP('Course 3'!H252,'tab3'!$C$3:$N$4,2)))</f>
        <v xml:space="preserve"> </v>
      </c>
      <c r="K252" s="23" t="str">
        <f>IF(I252="PM","",IF(H252=0," ",J252/'Règles et points'!$F$23))</f>
        <v xml:space="preserve"> </v>
      </c>
      <c r="L252" s="3" t="str">
        <f>IF(H252=0,"",IF(I252="PM",30,VLOOKUP(H252,'Règles et points'!$C$5:$AG$19,(HLOOKUP('Course 3'!C252,'Règles et points'!$C$5:$AG$5,1)+1))))</f>
        <v/>
      </c>
      <c r="M252" s="23">
        <f t="shared" si="4"/>
        <v>0</v>
      </c>
      <c r="N252" s="80"/>
      <c r="O252" s="51"/>
      <c r="P252" s="52"/>
    </row>
    <row r="253" spans="2:16" ht="12.75">
      <c r="B253" s="14">
        <v>249</v>
      </c>
      <c r="C253" s="28" t="str">
        <f>IF(Coureurs!C253="","",Coureurs!C253)</f>
        <v/>
      </c>
      <c r="D253" s="131" t="str">
        <f>IF(Coureurs!D253="","",Coureurs!D253)</f>
        <v>70</v>
      </c>
      <c r="E253" s="87" t="str">
        <f>IF(Coureurs!F253="","",Coureurs!F253)</f>
        <v/>
      </c>
      <c r="F253" s="87" t="str">
        <f>IF(Coureurs!G253="","",Coureurs!G253)</f>
        <v/>
      </c>
      <c r="G253" s="50" t="str">
        <f>IF(Coureurs!J253="","",Coureurs!J253)</f>
        <v/>
      </c>
      <c r="H253" s="25"/>
      <c r="I253" s="41"/>
      <c r="J253" s="8" t="str">
        <f>IF(I253="PM","",IF(H253=0," ",I253-HLOOKUP('Course 3'!H253,'tab3'!$C$3:$N$4,2)))</f>
        <v xml:space="preserve"> </v>
      </c>
      <c r="K253" s="23" t="str">
        <f>IF(I253="PM","",IF(H253=0," ",J253/'Règles et points'!$F$23))</f>
        <v xml:space="preserve"> </v>
      </c>
      <c r="L253" s="3" t="str">
        <f>IF(H253=0,"",IF(I253="PM",30,VLOOKUP(H253,'Règles et points'!$C$5:$AG$19,(HLOOKUP('Course 3'!C253,'Règles et points'!$C$5:$AG$5,1)+1))))</f>
        <v/>
      </c>
      <c r="M253" s="23">
        <f t="shared" si="4"/>
        <v>0</v>
      </c>
      <c r="N253" s="80"/>
      <c r="O253" s="51"/>
      <c r="P253" s="52"/>
    </row>
    <row r="254" spans="2:16" ht="12.75">
      <c r="B254" s="14">
        <v>250</v>
      </c>
      <c r="C254" s="28" t="str">
        <f>IF(Coureurs!C254="","",Coureurs!C254)</f>
        <v/>
      </c>
      <c r="D254" s="131" t="str">
        <f>IF(Coureurs!D254="","",Coureurs!D254)</f>
        <v>70</v>
      </c>
      <c r="E254" s="87" t="str">
        <f>IF(Coureurs!F254="","",Coureurs!F254)</f>
        <v/>
      </c>
      <c r="F254" s="87" t="str">
        <f>IF(Coureurs!G254="","",Coureurs!G254)</f>
        <v/>
      </c>
      <c r="G254" s="50" t="str">
        <f>IF(Coureurs!J254="","",Coureurs!J254)</f>
        <v/>
      </c>
      <c r="H254" s="25"/>
      <c r="I254" s="41"/>
      <c r="J254" s="8" t="str">
        <f>IF(I254="PM","",IF(H254=0," ",I254-HLOOKUP('Course 3'!H254,'tab3'!$C$3:$N$4,2)))</f>
        <v xml:space="preserve"> </v>
      </c>
      <c r="K254" s="23" t="str">
        <f>IF(I254="PM","",IF(H254=0," ",J254/'Règles et points'!$F$23))</f>
        <v xml:space="preserve"> </v>
      </c>
      <c r="L254" s="3" t="str">
        <f>IF(H254=0,"",IF(I254="PM",30,VLOOKUP(H254,'Règles et points'!$C$5:$AG$19,(HLOOKUP('Course 3'!C254,'Règles et points'!$C$5:$AG$5,1)+1))))</f>
        <v/>
      </c>
      <c r="M254" s="23">
        <f t="shared" si="4"/>
        <v>0</v>
      </c>
      <c r="N254" s="80"/>
      <c r="O254" s="51"/>
      <c r="P254" s="52"/>
    </row>
    <row r="255" spans="2:16" ht="12.75">
      <c r="B255" s="14">
        <v>251</v>
      </c>
      <c r="C255" s="28" t="str">
        <f>IF(Coureurs!C255="","",Coureurs!C255)</f>
        <v/>
      </c>
      <c r="D255" s="131" t="str">
        <f>IF(Coureurs!D255="","",Coureurs!D255)</f>
        <v>70</v>
      </c>
      <c r="E255" s="87" t="str">
        <f>IF(Coureurs!F255="","",Coureurs!F255)</f>
        <v/>
      </c>
      <c r="F255" s="87" t="str">
        <f>IF(Coureurs!G255="","",Coureurs!G255)</f>
        <v/>
      </c>
      <c r="G255" s="50" t="str">
        <f>IF(Coureurs!J255="","",Coureurs!J255)</f>
        <v/>
      </c>
      <c r="H255" s="25"/>
      <c r="I255" s="41"/>
      <c r="J255" s="8" t="str">
        <f>IF(I255="PM","",IF(H255=0," ",I255-HLOOKUP('Course 3'!H255,'tab3'!$C$3:$N$4,2)))</f>
        <v xml:space="preserve"> </v>
      </c>
      <c r="K255" s="23" t="str">
        <f>IF(I255="PM","",IF(H255=0," ",J255/'Règles et points'!$F$23))</f>
        <v xml:space="preserve"> </v>
      </c>
      <c r="L255" s="3" t="str">
        <f>IF(H255=0,"",IF(I255="PM",30,VLOOKUP(H255,'Règles et points'!$C$5:$AG$19,(HLOOKUP('Course 3'!C255,'Règles et points'!$C$5:$AG$5,1)+1))))</f>
        <v/>
      </c>
      <c r="M255" s="23">
        <f t="shared" si="4"/>
        <v>0</v>
      </c>
      <c r="N255" s="80"/>
      <c r="O255" s="51"/>
      <c r="P255" s="52"/>
    </row>
    <row r="256" spans="2:16" ht="12.75">
      <c r="B256" s="14">
        <v>252</v>
      </c>
      <c r="C256" s="28" t="str">
        <f>IF(Coureurs!C256="","",Coureurs!C256)</f>
        <v/>
      </c>
      <c r="D256" s="131" t="str">
        <f>IF(Coureurs!D256="","",Coureurs!D256)</f>
        <v>70</v>
      </c>
      <c r="E256" s="87" t="str">
        <f>IF(Coureurs!F256="","",Coureurs!F256)</f>
        <v/>
      </c>
      <c r="F256" s="87" t="str">
        <f>IF(Coureurs!G256="","",Coureurs!G256)</f>
        <v/>
      </c>
      <c r="G256" s="50" t="str">
        <f>IF(Coureurs!J256="","",Coureurs!J256)</f>
        <v/>
      </c>
      <c r="H256" s="25"/>
      <c r="I256" s="41"/>
      <c r="J256" s="8" t="str">
        <f>IF(I256="PM","",IF(H256=0," ",I256-HLOOKUP('Course 3'!H256,'tab3'!$C$3:$N$4,2)))</f>
        <v xml:space="preserve"> </v>
      </c>
      <c r="K256" s="23" t="str">
        <f>IF(I256="PM","",IF(H256=0," ",J256/'Règles et points'!$F$23))</f>
        <v xml:space="preserve"> </v>
      </c>
      <c r="L256" s="3" t="str">
        <f>IF(H256=0,"",IF(I256="PM",30,VLOOKUP(H256,'Règles et points'!$C$5:$AG$19,(HLOOKUP('Course 3'!C256,'Règles et points'!$C$5:$AG$5,1)+1))))</f>
        <v/>
      </c>
      <c r="M256" s="23">
        <f t="shared" si="4"/>
        <v>0</v>
      </c>
      <c r="N256" s="80"/>
      <c r="O256" s="51"/>
      <c r="P256" s="52"/>
    </row>
    <row r="257" spans="2:16" ht="12.75">
      <c r="B257" s="14">
        <v>253</v>
      </c>
      <c r="C257" s="28" t="str">
        <f>IF(Coureurs!C257="","",Coureurs!C257)</f>
        <v/>
      </c>
      <c r="D257" s="131" t="str">
        <f>IF(Coureurs!D257="","",Coureurs!D257)</f>
        <v>70</v>
      </c>
      <c r="E257" s="87" t="str">
        <f>IF(Coureurs!F257="","",Coureurs!F257)</f>
        <v/>
      </c>
      <c r="F257" s="87" t="str">
        <f>IF(Coureurs!G257="","",Coureurs!G257)</f>
        <v/>
      </c>
      <c r="G257" s="50" t="str">
        <f>IF(Coureurs!J257="","",Coureurs!J257)</f>
        <v/>
      </c>
      <c r="H257" s="25"/>
      <c r="I257" s="41"/>
      <c r="J257" s="8" t="str">
        <f>IF(I257="PM","",IF(H257=0," ",I257-HLOOKUP('Course 3'!H257,'tab3'!$C$3:$N$4,2)))</f>
        <v xml:space="preserve"> </v>
      </c>
      <c r="K257" s="23" t="str">
        <f>IF(I257="PM","",IF(H257=0," ",J257/'Règles et points'!$F$23))</f>
        <v xml:space="preserve"> </v>
      </c>
      <c r="L257" s="3" t="str">
        <f>IF(H257=0,"",IF(I257="PM",30,VLOOKUP(H257,'Règles et points'!$C$5:$AG$19,(HLOOKUP('Course 3'!C257,'Règles et points'!$C$5:$AG$5,1)+1))))</f>
        <v/>
      </c>
      <c r="M257" s="23">
        <f t="shared" si="4"/>
        <v>0</v>
      </c>
      <c r="N257" s="80"/>
      <c r="O257" s="51"/>
      <c r="P257" s="52"/>
    </row>
    <row r="258" spans="2:16" ht="12.75">
      <c r="B258" s="14">
        <v>254</v>
      </c>
      <c r="C258" s="28" t="str">
        <f>IF(Coureurs!C258="","",Coureurs!C258)</f>
        <v/>
      </c>
      <c r="D258" s="131" t="str">
        <f>IF(Coureurs!D258="","",Coureurs!D258)</f>
        <v>70</v>
      </c>
      <c r="E258" s="87" t="str">
        <f>IF(Coureurs!F258="","",Coureurs!F258)</f>
        <v/>
      </c>
      <c r="F258" s="87" t="str">
        <f>IF(Coureurs!G258="","",Coureurs!G258)</f>
        <v/>
      </c>
      <c r="G258" s="50" t="str">
        <f>IF(Coureurs!J258="","",Coureurs!J258)</f>
        <v/>
      </c>
      <c r="H258" s="25"/>
      <c r="I258" s="41"/>
      <c r="J258" s="8" t="str">
        <f>IF(I258="PM","",IF(H258=0," ",I258-HLOOKUP('Course 3'!H258,'tab3'!$C$3:$N$4,2)))</f>
        <v xml:space="preserve"> </v>
      </c>
      <c r="K258" s="23" t="str">
        <f>IF(I258="PM","",IF(H258=0," ",J258/'Règles et points'!$F$23))</f>
        <v xml:space="preserve"> </v>
      </c>
      <c r="L258" s="3" t="str">
        <f>IF(H258=0,"",IF(I258="PM",30,VLOOKUP(H258,'Règles et points'!$C$5:$AG$19,(HLOOKUP('Course 3'!C258,'Règles et points'!$C$5:$AG$5,1)+1))))</f>
        <v/>
      </c>
      <c r="M258" s="23">
        <f t="shared" si="4"/>
        <v>0</v>
      </c>
      <c r="N258" s="80"/>
      <c r="O258" s="51"/>
      <c r="P258" s="52"/>
    </row>
    <row r="259" spans="2:16" ht="12.75">
      <c r="B259" s="14">
        <v>255</v>
      </c>
      <c r="C259" s="28" t="str">
        <f>IF(Coureurs!C259="","",Coureurs!C259)</f>
        <v/>
      </c>
      <c r="D259" s="131" t="str">
        <f>IF(Coureurs!D259="","",Coureurs!D259)</f>
        <v>70</v>
      </c>
      <c r="E259" s="87" t="str">
        <f>IF(Coureurs!F259="","",Coureurs!F259)</f>
        <v/>
      </c>
      <c r="F259" s="87" t="str">
        <f>IF(Coureurs!G259="","",Coureurs!G259)</f>
        <v/>
      </c>
      <c r="G259" s="50" t="str">
        <f>IF(Coureurs!J259="","",Coureurs!J259)</f>
        <v/>
      </c>
      <c r="H259" s="25"/>
      <c r="I259" s="41"/>
      <c r="J259" s="8" t="str">
        <f>IF(I259="PM","",IF(H259=0," ",I259-HLOOKUP('Course 3'!H259,'tab3'!$C$3:$N$4,2)))</f>
        <v xml:space="preserve"> </v>
      </c>
      <c r="K259" s="23" t="str">
        <f>IF(I259="PM","",IF(H259=0," ",J259/'Règles et points'!$F$23))</f>
        <v xml:space="preserve"> </v>
      </c>
      <c r="L259" s="3" t="str">
        <f>IF(H259=0,"",IF(I259="PM",30,VLOOKUP(H259,'Règles et points'!$C$5:$AG$19,(HLOOKUP('Course 3'!C259,'Règles et points'!$C$5:$AG$5,1)+1))))</f>
        <v/>
      </c>
      <c r="M259" s="23">
        <f t="shared" si="4"/>
        <v>0</v>
      </c>
      <c r="N259" s="80"/>
      <c r="O259" s="51"/>
      <c r="P259" s="52"/>
    </row>
    <row r="260" spans="2:16" ht="12.75">
      <c r="B260" s="14">
        <v>256</v>
      </c>
      <c r="C260" s="28" t="str">
        <f>IF(Coureurs!C260="","",Coureurs!C260)</f>
        <v/>
      </c>
      <c r="D260" s="131" t="str">
        <f>IF(Coureurs!D260="","",Coureurs!D260)</f>
        <v>70</v>
      </c>
      <c r="E260" s="87" t="str">
        <f>IF(Coureurs!F260="","",Coureurs!F260)</f>
        <v/>
      </c>
      <c r="F260" s="87" t="str">
        <f>IF(Coureurs!G260="","",Coureurs!G260)</f>
        <v/>
      </c>
      <c r="G260" s="50" t="str">
        <f>IF(Coureurs!J260="","",Coureurs!J260)</f>
        <v/>
      </c>
      <c r="H260" s="25"/>
      <c r="I260" s="41"/>
      <c r="J260" s="8" t="str">
        <f>IF(I260="PM","",IF(H260=0," ",I260-HLOOKUP('Course 3'!H260,'tab3'!$C$3:$N$4,2)))</f>
        <v xml:space="preserve"> </v>
      </c>
      <c r="K260" s="23" t="str">
        <f>IF(I260="PM","",IF(H260=0," ",J260/'Règles et points'!$F$23))</f>
        <v xml:space="preserve"> </v>
      </c>
      <c r="L260" s="3" t="str">
        <f>IF(H260=0,"",IF(I260="PM",30,VLOOKUP(H260,'Règles et points'!$C$5:$AG$19,(HLOOKUP('Course 3'!C260,'Règles et points'!$C$5:$AG$5,1)+1))))</f>
        <v/>
      </c>
      <c r="M260" s="23">
        <f t="shared" si="4"/>
        <v>0</v>
      </c>
      <c r="N260" s="80"/>
      <c r="O260" s="51"/>
      <c r="P260" s="52"/>
    </row>
    <row r="261" spans="2:16" ht="12.75">
      <c r="B261" s="14">
        <v>257</v>
      </c>
      <c r="C261" s="28" t="str">
        <f>IF(Coureurs!C261="","",Coureurs!C261)</f>
        <v/>
      </c>
      <c r="D261" s="131" t="str">
        <f>IF(Coureurs!D261="","",Coureurs!D261)</f>
        <v>70</v>
      </c>
      <c r="E261" s="87" t="str">
        <f>IF(Coureurs!F261="","",Coureurs!F261)</f>
        <v/>
      </c>
      <c r="F261" s="87" t="str">
        <f>IF(Coureurs!G261="","",Coureurs!G261)</f>
        <v/>
      </c>
      <c r="G261" s="50" t="str">
        <f>IF(Coureurs!J261="","",Coureurs!J261)</f>
        <v/>
      </c>
      <c r="H261" s="25"/>
      <c r="I261" s="41"/>
      <c r="J261" s="8" t="str">
        <f>IF(I261="PM","",IF(H261=0," ",I261-HLOOKUP('Course 3'!H261,'tab3'!$C$3:$N$4,2)))</f>
        <v xml:space="preserve"> </v>
      </c>
      <c r="K261" s="23" t="str">
        <f>IF(I261="PM","",IF(H261=0," ",J261/'Règles et points'!$F$23))</f>
        <v xml:space="preserve"> </v>
      </c>
      <c r="L261" s="3" t="str">
        <f>IF(H261=0,"",IF(I261="PM",30,VLOOKUP(H261,'Règles et points'!$C$5:$AG$19,(HLOOKUP('Course 3'!C261,'Règles et points'!$C$5:$AG$5,1)+1))))</f>
        <v/>
      </c>
      <c r="M261" s="23">
        <f t="shared" si="4"/>
        <v>0</v>
      </c>
      <c r="N261" s="80"/>
      <c r="O261" s="51"/>
      <c r="P261" s="52"/>
    </row>
    <row r="262" spans="2:16" ht="12.75">
      <c r="B262" s="14">
        <v>258</v>
      </c>
      <c r="C262" s="28" t="str">
        <f>IF(Coureurs!C262="","",Coureurs!C262)</f>
        <v/>
      </c>
      <c r="D262" s="131" t="str">
        <f>IF(Coureurs!D262="","",Coureurs!D262)</f>
        <v>70</v>
      </c>
      <c r="E262" s="87" t="str">
        <f>IF(Coureurs!F262="","",Coureurs!F262)</f>
        <v/>
      </c>
      <c r="F262" s="87" t="str">
        <f>IF(Coureurs!G262="","",Coureurs!G262)</f>
        <v/>
      </c>
      <c r="G262" s="50" t="str">
        <f>IF(Coureurs!J262="","",Coureurs!J262)</f>
        <v/>
      </c>
      <c r="H262" s="25"/>
      <c r="I262" s="41"/>
      <c r="J262" s="8" t="str">
        <f>IF(I262="PM","",IF(H262=0," ",I262-HLOOKUP('Course 3'!H262,'tab3'!$C$3:$N$4,2)))</f>
        <v xml:space="preserve"> </v>
      </c>
      <c r="K262" s="23" t="str">
        <f>IF(I262="PM","",IF(H262=0," ",J262/'Règles et points'!$F$23))</f>
        <v xml:space="preserve"> </v>
      </c>
      <c r="L262" s="3" t="str">
        <f>IF(H262=0,"",IF(I262="PM",30,VLOOKUP(H262,'Règles et points'!$C$5:$AG$19,(HLOOKUP('Course 3'!C262,'Règles et points'!$C$5:$AG$5,1)+1))))</f>
        <v/>
      </c>
      <c r="M262" s="23">
        <f t="shared" ref="M262:M304" si="5">IF(I262="PM",30,IF(H262=0,0,L262-K262))+N262</f>
        <v>0</v>
      </c>
      <c r="N262" s="80"/>
      <c r="O262" s="51"/>
      <c r="P262" s="52"/>
    </row>
    <row r="263" spans="2:16" ht="12.75">
      <c r="B263" s="14">
        <v>259</v>
      </c>
      <c r="C263" s="28" t="str">
        <f>IF(Coureurs!C263="","",Coureurs!C263)</f>
        <v/>
      </c>
      <c r="D263" s="131" t="str">
        <f>IF(Coureurs!D263="","",Coureurs!D263)</f>
        <v>70</v>
      </c>
      <c r="E263" s="87" t="str">
        <f>IF(Coureurs!F263="","",Coureurs!F263)</f>
        <v/>
      </c>
      <c r="F263" s="87" t="str">
        <f>IF(Coureurs!G263="","",Coureurs!G263)</f>
        <v/>
      </c>
      <c r="G263" s="50" t="str">
        <f>IF(Coureurs!J263="","",Coureurs!J263)</f>
        <v/>
      </c>
      <c r="H263" s="25"/>
      <c r="I263" s="41"/>
      <c r="J263" s="8" t="str">
        <f>IF(I263="PM","",IF(H263=0," ",I263-HLOOKUP('Course 3'!H263,'tab3'!$C$3:$N$4,2)))</f>
        <v xml:space="preserve"> </v>
      </c>
      <c r="K263" s="23" t="str">
        <f>IF(I263="PM","",IF(H263=0," ",J263/'Règles et points'!$F$23))</f>
        <v xml:space="preserve"> </v>
      </c>
      <c r="L263" s="3" t="str">
        <f>IF(H263=0,"",IF(I263="PM",30,VLOOKUP(H263,'Règles et points'!$C$5:$AG$19,(HLOOKUP('Course 3'!C263,'Règles et points'!$C$5:$AG$5,1)+1))))</f>
        <v/>
      </c>
      <c r="M263" s="23">
        <f t="shared" si="5"/>
        <v>0</v>
      </c>
      <c r="N263" s="80"/>
      <c r="O263" s="51"/>
      <c r="P263" s="52"/>
    </row>
    <row r="264" spans="2:16" ht="12.75">
      <c r="B264" s="14">
        <v>260</v>
      </c>
      <c r="C264" s="28" t="str">
        <f>IF(Coureurs!C264="","",Coureurs!C264)</f>
        <v/>
      </c>
      <c r="D264" s="131" t="str">
        <f>IF(Coureurs!D264="","",Coureurs!D264)</f>
        <v>70</v>
      </c>
      <c r="E264" s="87" t="str">
        <f>IF(Coureurs!F264="","",Coureurs!F264)</f>
        <v/>
      </c>
      <c r="F264" s="87" t="str">
        <f>IF(Coureurs!G264="","",Coureurs!G264)</f>
        <v/>
      </c>
      <c r="G264" s="50" t="str">
        <f>IF(Coureurs!J264="","",Coureurs!J264)</f>
        <v/>
      </c>
      <c r="H264" s="25"/>
      <c r="I264" s="41"/>
      <c r="J264" s="8" t="str">
        <f>IF(I264="PM","",IF(H264=0," ",I264-HLOOKUP('Course 3'!H264,'tab3'!$C$3:$N$4,2)))</f>
        <v xml:space="preserve"> </v>
      </c>
      <c r="K264" s="23" t="str">
        <f>IF(I264="PM","",IF(H264=0," ",J264/'Règles et points'!$F$23))</f>
        <v xml:space="preserve"> </v>
      </c>
      <c r="L264" s="3" t="str">
        <f>IF(H264=0,"",IF(I264="PM",30,VLOOKUP(H264,'Règles et points'!$C$5:$AG$19,(HLOOKUP('Course 3'!C264,'Règles et points'!$C$5:$AG$5,1)+1))))</f>
        <v/>
      </c>
      <c r="M264" s="23">
        <f t="shared" si="5"/>
        <v>0</v>
      </c>
      <c r="N264" s="80"/>
      <c r="O264" s="51"/>
      <c r="P264" s="52"/>
    </row>
    <row r="265" spans="2:16" ht="12.75">
      <c r="B265" s="14">
        <v>261</v>
      </c>
      <c r="C265" s="28" t="str">
        <f>IF(Coureurs!C265="","",Coureurs!C265)</f>
        <v/>
      </c>
      <c r="D265" s="131" t="str">
        <f>IF(Coureurs!D265="","",Coureurs!D265)</f>
        <v>70</v>
      </c>
      <c r="E265" s="87" t="str">
        <f>IF(Coureurs!F265="","",Coureurs!F265)</f>
        <v/>
      </c>
      <c r="F265" s="87" t="str">
        <f>IF(Coureurs!G265="","",Coureurs!G265)</f>
        <v/>
      </c>
      <c r="G265" s="50" t="str">
        <f>IF(Coureurs!J265="","",Coureurs!J265)</f>
        <v/>
      </c>
      <c r="H265" s="25"/>
      <c r="I265" s="41"/>
      <c r="J265" s="8" t="str">
        <f>IF(I265="PM","",IF(H265=0," ",I265-HLOOKUP('Course 3'!H265,'tab3'!$C$3:$N$4,2)))</f>
        <v xml:space="preserve"> </v>
      </c>
      <c r="K265" s="23" t="str">
        <f>IF(I265="PM","",IF(H265=0," ",J265/'Règles et points'!$F$23))</f>
        <v xml:space="preserve"> </v>
      </c>
      <c r="L265" s="3" t="str">
        <f>IF(H265=0,"",IF(I265="PM",30,VLOOKUP(H265,'Règles et points'!$C$5:$AG$19,(HLOOKUP('Course 3'!C265,'Règles et points'!$C$5:$AG$5,1)+1))))</f>
        <v/>
      </c>
      <c r="M265" s="23">
        <f t="shared" si="5"/>
        <v>0</v>
      </c>
      <c r="N265" s="80"/>
      <c r="O265" s="51"/>
      <c r="P265" s="52"/>
    </row>
    <row r="266" spans="2:16" ht="12.75">
      <c r="B266" s="14">
        <v>262</v>
      </c>
      <c r="C266" s="28" t="str">
        <f>IF(Coureurs!C266="","",Coureurs!C266)</f>
        <v/>
      </c>
      <c r="D266" s="131" t="str">
        <f>IF(Coureurs!D266="","",Coureurs!D266)</f>
        <v>70</v>
      </c>
      <c r="E266" s="87" t="str">
        <f>IF(Coureurs!F266="","",Coureurs!F266)</f>
        <v/>
      </c>
      <c r="F266" s="87" t="str">
        <f>IF(Coureurs!G266="","",Coureurs!G266)</f>
        <v/>
      </c>
      <c r="G266" s="50" t="str">
        <f>IF(Coureurs!J266="","",Coureurs!J266)</f>
        <v/>
      </c>
      <c r="H266" s="25"/>
      <c r="I266" s="41"/>
      <c r="J266" s="8" t="str">
        <f>IF(I266="PM","",IF(H266=0," ",I266-HLOOKUP('Course 3'!H266,'tab3'!$C$3:$N$4,2)))</f>
        <v xml:space="preserve"> </v>
      </c>
      <c r="K266" s="23" t="str">
        <f>IF(I266="PM","",IF(H266=0," ",J266/'Règles et points'!$F$23))</f>
        <v xml:space="preserve"> </v>
      </c>
      <c r="L266" s="3" t="str">
        <f>IF(H266=0,"",IF(I266="PM",30,VLOOKUP(H266,'Règles et points'!$C$5:$AG$19,(HLOOKUP('Course 3'!C266,'Règles et points'!$C$5:$AG$5,1)+1))))</f>
        <v/>
      </c>
      <c r="M266" s="23">
        <f t="shared" si="5"/>
        <v>0</v>
      </c>
      <c r="N266" s="80"/>
      <c r="O266" s="51"/>
      <c r="P266" s="52"/>
    </row>
    <row r="267" spans="2:16" ht="12.75">
      <c r="B267" s="14">
        <v>263</v>
      </c>
      <c r="C267" s="28" t="str">
        <f>IF(Coureurs!C267="","",Coureurs!C267)</f>
        <v/>
      </c>
      <c r="D267" s="131" t="str">
        <f>IF(Coureurs!D267="","",Coureurs!D267)</f>
        <v>70</v>
      </c>
      <c r="E267" s="87" t="str">
        <f>IF(Coureurs!F267="","",Coureurs!F267)</f>
        <v/>
      </c>
      <c r="F267" s="87" t="str">
        <f>IF(Coureurs!G267="","",Coureurs!G267)</f>
        <v/>
      </c>
      <c r="G267" s="50" t="str">
        <f>IF(Coureurs!J267="","",Coureurs!J267)</f>
        <v/>
      </c>
      <c r="H267" s="25"/>
      <c r="I267" s="41"/>
      <c r="J267" s="8" t="str">
        <f>IF(I267="PM","",IF(H267=0," ",I267-HLOOKUP('Course 3'!H267,'tab3'!$C$3:$N$4,2)))</f>
        <v xml:space="preserve"> </v>
      </c>
      <c r="K267" s="23" t="str">
        <f>IF(I267="PM","",IF(H267=0," ",J267/'Règles et points'!$F$23))</f>
        <v xml:space="preserve"> </v>
      </c>
      <c r="L267" s="3" t="str">
        <f>IF(H267=0,"",IF(I267="PM",30,VLOOKUP(H267,'Règles et points'!$C$5:$AG$19,(HLOOKUP('Course 3'!C267,'Règles et points'!$C$5:$AG$5,1)+1))))</f>
        <v/>
      </c>
      <c r="M267" s="23">
        <f t="shared" si="5"/>
        <v>0</v>
      </c>
      <c r="N267" s="80"/>
      <c r="O267" s="51"/>
      <c r="P267" s="52"/>
    </row>
    <row r="268" spans="2:16" ht="12.75">
      <c r="B268" s="14">
        <v>264</v>
      </c>
      <c r="C268" s="28" t="str">
        <f>IF(Coureurs!C268="","",Coureurs!C268)</f>
        <v/>
      </c>
      <c r="D268" s="131" t="str">
        <f>IF(Coureurs!D268="","",Coureurs!D268)</f>
        <v>70</v>
      </c>
      <c r="E268" s="87" t="str">
        <f>IF(Coureurs!F268="","",Coureurs!F268)</f>
        <v/>
      </c>
      <c r="F268" s="87" t="str">
        <f>IF(Coureurs!G268="","",Coureurs!G268)</f>
        <v/>
      </c>
      <c r="G268" s="50" t="str">
        <f>IF(Coureurs!J268="","",Coureurs!J268)</f>
        <v/>
      </c>
      <c r="H268" s="25"/>
      <c r="I268" s="41"/>
      <c r="J268" s="8" t="str">
        <f>IF(I268="PM","",IF(H268=0," ",I268-HLOOKUP('Course 3'!H268,'tab3'!$C$3:$N$4,2)))</f>
        <v xml:space="preserve"> </v>
      </c>
      <c r="K268" s="23" t="str">
        <f>IF(I268="PM","",IF(H268=0," ",J268/'Règles et points'!$F$23))</f>
        <v xml:space="preserve"> </v>
      </c>
      <c r="L268" s="3" t="str">
        <f>IF(H268=0,"",IF(I268="PM",30,VLOOKUP(H268,'Règles et points'!$C$5:$AG$19,(HLOOKUP('Course 3'!C268,'Règles et points'!$C$5:$AG$5,1)+1))))</f>
        <v/>
      </c>
      <c r="M268" s="23">
        <f t="shared" si="5"/>
        <v>0</v>
      </c>
      <c r="N268" s="80"/>
      <c r="O268" s="51"/>
      <c r="P268" s="52"/>
    </row>
    <row r="269" spans="2:16" ht="12.75">
      <c r="B269" s="14">
        <v>265</v>
      </c>
      <c r="C269" s="28" t="str">
        <f>IF(Coureurs!C269="","",Coureurs!C269)</f>
        <v/>
      </c>
      <c r="D269" s="131" t="str">
        <f>IF(Coureurs!D269="","",Coureurs!D269)</f>
        <v>70</v>
      </c>
      <c r="E269" s="87" t="str">
        <f>IF(Coureurs!F269="","",Coureurs!F269)</f>
        <v/>
      </c>
      <c r="F269" s="87" t="str">
        <f>IF(Coureurs!G269="","",Coureurs!G269)</f>
        <v/>
      </c>
      <c r="G269" s="50" t="str">
        <f>IF(Coureurs!J269="","",Coureurs!J269)</f>
        <v/>
      </c>
      <c r="H269" s="25"/>
      <c r="I269" s="41"/>
      <c r="J269" s="8" t="str">
        <f>IF(I269="PM","",IF(H269=0," ",I269-HLOOKUP('Course 3'!H269,'tab3'!$C$3:$N$4,2)))</f>
        <v xml:space="preserve"> </v>
      </c>
      <c r="K269" s="23" t="str">
        <f>IF(I269="PM","",IF(H269=0," ",J269/'Règles et points'!$F$23))</f>
        <v xml:space="preserve"> </v>
      </c>
      <c r="L269" s="3" t="str">
        <f>IF(H269=0,"",IF(I269="PM",30,VLOOKUP(H269,'Règles et points'!$C$5:$AG$19,(HLOOKUP('Course 3'!C269,'Règles et points'!$C$5:$AG$5,1)+1))))</f>
        <v/>
      </c>
      <c r="M269" s="23">
        <f t="shared" si="5"/>
        <v>0</v>
      </c>
      <c r="N269" s="80"/>
      <c r="O269" s="51"/>
      <c r="P269" s="52"/>
    </row>
    <row r="270" spans="2:16" ht="12.75">
      <c r="B270" s="14">
        <v>266</v>
      </c>
      <c r="C270" s="28" t="str">
        <f>IF(Coureurs!C270="","",Coureurs!C270)</f>
        <v/>
      </c>
      <c r="D270" s="131" t="str">
        <f>IF(Coureurs!D270="","",Coureurs!D270)</f>
        <v>70</v>
      </c>
      <c r="E270" s="87" t="str">
        <f>IF(Coureurs!F270="","",Coureurs!F270)</f>
        <v/>
      </c>
      <c r="F270" s="87" t="str">
        <f>IF(Coureurs!G270="","",Coureurs!G270)</f>
        <v/>
      </c>
      <c r="G270" s="50" t="str">
        <f>IF(Coureurs!J270="","",Coureurs!J270)</f>
        <v/>
      </c>
      <c r="H270" s="25"/>
      <c r="I270" s="41"/>
      <c r="J270" s="8" t="str">
        <f>IF(I270="PM","",IF(H270=0," ",I270-HLOOKUP('Course 3'!H270,'tab3'!$C$3:$N$4,2)))</f>
        <v xml:space="preserve"> </v>
      </c>
      <c r="K270" s="23" t="str">
        <f>IF(I270="PM","",IF(H270=0," ",J270/'Règles et points'!$F$23))</f>
        <v xml:space="preserve"> </v>
      </c>
      <c r="L270" s="3" t="str">
        <f>IF(H270=0,"",IF(I270="PM",30,VLOOKUP(H270,'Règles et points'!$C$5:$AG$19,(HLOOKUP('Course 3'!C270,'Règles et points'!$C$5:$AG$5,1)+1))))</f>
        <v/>
      </c>
      <c r="M270" s="23">
        <f t="shared" si="5"/>
        <v>0</v>
      </c>
      <c r="N270" s="80"/>
      <c r="O270" s="51"/>
      <c r="P270" s="52"/>
    </row>
    <row r="271" spans="2:16" ht="12.75">
      <c r="B271" s="14">
        <v>267</v>
      </c>
      <c r="C271" s="28" t="str">
        <f>IF(Coureurs!C271="","",Coureurs!C271)</f>
        <v/>
      </c>
      <c r="D271" s="131" t="str">
        <f>IF(Coureurs!D271="","",Coureurs!D271)</f>
        <v>70</v>
      </c>
      <c r="E271" s="87" t="str">
        <f>IF(Coureurs!F271="","",Coureurs!F271)</f>
        <v/>
      </c>
      <c r="F271" s="87" t="str">
        <f>IF(Coureurs!G271="","",Coureurs!G271)</f>
        <v/>
      </c>
      <c r="G271" s="50" t="str">
        <f>IF(Coureurs!J271="","",Coureurs!J271)</f>
        <v/>
      </c>
      <c r="H271" s="25"/>
      <c r="I271" s="41"/>
      <c r="J271" s="8" t="str">
        <f>IF(I271="PM","",IF(H271=0," ",I271-HLOOKUP('Course 3'!H271,'tab3'!$C$3:$N$4,2)))</f>
        <v xml:space="preserve"> </v>
      </c>
      <c r="K271" s="23" t="str">
        <f>IF(I271="PM","",IF(H271=0," ",J271/'Règles et points'!$F$23))</f>
        <v xml:space="preserve"> </v>
      </c>
      <c r="L271" s="3" t="str">
        <f>IF(H271=0,"",IF(I271="PM",30,VLOOKUP(H271,'Règles et points'!$C$5:$AG$19,(HLOOKUP('Course 3'!C271,'Règles et points'!$C$5:$AG$5,1)+1))))</f>
        <v/>
      </c>
      <c r="M271" s="23">
        <f t="shared" si="5"/>
        <v>0</v>
      </c>
      <c r="N271" s="80"/>
      <c r="O271" s="51"/>
      <c r="P271" s="52"/>
    </row>
    <row r="272" spans="2:16" ht="12.75">
      <c r="B272" s="14">
        <v>268</v>
      </c>
      <c r="C272" s="28" t="str">
        <f>IF(Coureurs!C272="","",Coureurs!C272)</f>
        <v/>
      </c>
      <c r="D272" s="131" t="str">
        <f>IF(Coureurs!D272="","",Coureurs!D272)</f>
        <v>70</v>
      </c>
      <c r="E272" s="87" t="str">
        <f>IF(Coureurs!F272="","",Coureurs!F272)</f>
        <v/>
      </c>
      <c r="F272" s="87" t="str">
        <f>IF(Coureurs!G272="","",Coureurs!G272)</f>
        <v/>
      </c>
      <c r="G272" s="50" t="str">
        <f>IF(Coureurs!J272="","",Coureurs!J272)</f>
        <v/>
      </c>
      <c r="H272" s="25"/>
      <c r="I272" s="41"/>
      <c r="J272" s="8" t="str">
        <f>IF(I272="PM","",IF(H272=0," ",I272-HLOOKUP('Course 3'!H272,'tab3'!$C$3:$N$4,2)))</f>
        <v xml:space="preserve"> </v>
      </c>
      <c r="K272" s="23" t="str">
        <f>IF(I272="PM","",IF(H272=0," ",J272/'Règles et points'!$F$23))</f>
        <v xml:space="preserve"> </v>
      </c>
      <c r="L272" s="3" t="str">
        <f>IF(H272=0,"",IF(I272="PM",30,VLOOKUP(H272,'Règles et points'!$C$5:$AG$19,(HLOOKUP('Course 3'!C272,'Règles et points'!$C$5:$AG$5,1)+1))))</f>
        <v/>
      </c>
      <c r="M272" s="23">
        <f t="shared" si="5"/>
        <v>0</v>
      </c>
      <c r="N272" s="80"/>
      <c r="O272" s="51"/>
      <c r="P272" s="52"/>
    </row>
    <row r="273" spans="2:16" ht="12.75">
      <c r="B273" s="14">
        <v>269</v>
      </c>
      <c r="C273" s="28" t="str">
        <f>IF(Coureurs!C273="","",Coureurs!C273)</f>
        <v/>
      </c>
      <c r="D273" s="131" t="str">
        <f>IF(Coureurs!D273="","",Coureurs!D273)</f>
        <v>70</v>
      </c>
      <c r="E273" s="87" t="str">
        <f>IF(Coureurs!F273="","",Coureurs!F273)</f>
        <v/>
      </c>
      <c r="F273" s="87" t="str">
        <f>IF(Coureurs!G273="","",Coureurs!G273)</f>
        <v/>
      </c>
      <c r="G273" s="50" t="str">
        <f>IF(Coureurs!J273="","",Coureurs!J273)</f>
        <v/>
      </c>
      <c r="H273" s="25"/>
      <c r="I273" s="41"/>
      <c r="J273" s="8" t="str">
        <f>IF(I273="PM","",IF(H273=0," ",I273-HLOOKUP('Course 3'!H273,'tab3'!$C$3:$N$4,2)))</f>
        <v xml:space="preserve"> </v>
      </c>
      <c r="K273" s="23" t="str">
        <f>IF(I273="PM","",IF(H273=0," ",J273/'Règles et points'!$F$23))</f>
        <v xml:space="preserve"> </v>
      </c>
      <c r="L273" s="3" t="str">
        <f>IF(H273=0,"",IF(I273="PM",30,VLOOKUP(H273,'Règles et points'!$C$5:$AG$19,(HLOOKUP('Course 3'!C273,'Règles et points'!$C$5:$AG$5,1)+1))))</f>
        <v/>
      </c>
      <c r="M273" s="23">
        <f t="shared" si="5"/>
        <v>0</v>
      </c>
      <c r="N273" s="80"/>
      <c r="O273" s="51"/>
      <c r="P273" s="52"/>
    </row>
    <row r="274" spans="2:16" ht="12.75">
      <c r="B274" s="14">
        <v>270</v>
      </c>
      <c r="C274" s="28" t="str">
        <f>IF(Coureurs!C274="","",Coureurs!C274)</f>
        <v/>
      </c>
      <c r="D274" s="131" t="str">
        <f>IF(Coureurs!D274="","",Coureurs!D274)</f>
        <v>70</v>
      </c>
      <c r="E274" s="87" t="str">
        <f>IF(Coureurs!F274="","",Coureurs!F274)</f>
        <v/>
      </c>
      <c r="F274" s="87" t="str">
        <f>IF(Coureurs!G274="","",Coureurs!G274)</f>
        <v/>
      </c>
      <c r="G274" s="50" t="str">
        <f>IF(Coureurs!J274="","",Coureurs!J274)</f>
        <v/>
      </c>
      <c r="H274" s="25"/>
      <c r="I274" s="41"/>
      <c r="J274" s="8" t="str">
        <f>IF(I274="PM","",IF(H274=0," ",I274-HLOOKUP('Course 3'!H274,'tab3'!$C$3:$N$4,2)))</f>
        <v xml:space="preserve"> </v>
      </c>
      <c r="K274" s="23" t="str">
        <f>IF(I274="PM","",IF(H274=0," ",J274/'Règles et points'!$F$23))</f>
        <v xml:space="preserve"> </v>
      </c>
      <c r="L274" s="3" t="str">
        <f>IF(H274=0,"",IF(I274="PM",30,VLOOKUP(H274,'Règles et points'!$C$5:$AG$19,(HLOOKUP('Course 3'!C274,'Règles et points'!$C$5:$AG$5,1)+1))))</f>
        <v/>
      </c>
      <c r="M274" s="23">
        <f t="shared" si="5"/>
        <v>0</v>
      </c>
      <c r="N274" s="80"/>
      <c r="O274" s="51"/>
      <c r="P274" s="52"/>
    </row>
    <row r="275" spans="2:16" ht="12.75">
      <c r="B275" s="14">
        <v>271</v>
      </c>
      <c r="C275" s="28" t="str">
        <f>IF(Coureurs!C275="","",Coureurs!C275)</f>
        <v/>
      </c>
      <c r="D275" s="131" t="str">
        <f>IF(Coureurs!D275="","",Coureurs!D275)</f>
        <v>70</v>
      </c>
      <c r="E275" s="87" t="str">
        <f>IF(Coureurs!F275="","",Coureurs!F275)</f>
        <v/>
      </c>
      <c r="F275" s="87" t="str">
        <f>IF(Coureurs!G275="","",Coureurs!G275)</f>
        <v/>
      </c>
      <c r="G275" s="50" t="str">
        <f>IF(Coureurs!J275="","",Coureurs!J275)</f>
        <v/>
      </c>
      <c r="H275" s="25"/>
      <c r="I275" s="41"/>
      <c r="J275" s="8" t="str">
        <f>IF(I275="PM","",IF(H275=0," ",I275-HLOOKUP('Course 3'!H275,'tab3'!$C$3:$N$4,2)))</f>
        <v xml:space="preserve"> </v>
      </c>
      <c r="K275" s="23" t="str">
        <f>IF(I275="PM","",IF(H275=0," ",J275/'Règles et points'!$F$23))</f>
        <v xml:space="preserve"> </v>
      </c>
      <c r="L275" s="3" t="str">
        <f>IF(H275=0,"",IF(I275="PM",30,VLOOKUP(H275,'Règles et points'!$C$5:$AG$19,(HLOOKUP('Course 3'!C275,'Règles et points'!$C$5:$AG$5,1)+1))))</f>
        <v/>
      </c>
      <c r="M275" s="23">
        <f t="shared" si="5"/>
        <v>0</v>
      </c>
      <c r="N275" s="80"/>
      <c r="O275" s="51"/>
      <c r="P275" s="52"/>
    </row>
    <row r="276" spans="2:16" ht="12.75">
      <c r="B276" s="14">
        <v>272</v>
      </c>
      <c r="C276" s="28" t="str">
        <f>IF(Coureurs!C276="","",Coureurs!C276)</f>
        <v/>
      </c>
      <c r="D276" s="131" t="str">
        <f>IF(Coureurs!D276="","",Coureurs!D276)</f>
        <v>70</v>
      </c>
      <c r="E276" s="87" t="str">
        <f>IF(Coureurs!F276="","",Coureurs!F276)</f>
        <v/>
      </c>
      <c r="F276" s="87" t="str">
        <f>IF(Coureurs!G276="","",Coureurs!G276)</f>
        <v/>
      </c>
      <c r="G276" s="50" t="str">
        <f>IF(Coureurs!J276="","",Coureurs!J276)</f>
        <v/>
      </c>
      <c r="H276" s="25"/>
      <c r="I276" s="41"/>
      <c r="J276" s="8" t="str">
        <f>IF(I276="PM","",IF(H276=0," ",I276-HLOOKUP('Course 3'!H276,'tab3'!$C$3:$N$4,2)))</f>
        <v xml:space="preserve"> </v>
      </c>
      <c r="K276" s="23" t="str">
        <f>IF(I276="PM","",IF(H276=0," ",J276/'Règles et points'!$F$23))</f>
        <v xml:space="preserve"> </v>
      </c>
      <c r="L276" s="3" t="str">
        <f>IF(H276=0,"",IF(I276="PM",30,VLOOKUP(H276,'Règles et points'!$C$5:$AG$19,(HLOOKUP('Course 3'!C276,'Règles et points'!$C$5:$AG$5,1)+1))))</f>
        <v/>
      </c>
      <c r="M276" s="23">
        <f t="shared" si="5"/>
        <v>0</v>
      </c>
      <c r="N276" s="80"/>
      <c r="O276" s="51"/>
      <c r="P276" s="52"/>
    </row>
    <row r="277" spans="2:16" ht="12.75">
      <c r="B277" s="14">
        <v>273</v>
      </c>
      <c r="C277" s="28" t="str">
        <f>IF(Coureurs!C277="","",Coureurs!C277)</f>
        <v/>
      </c>
      <c r="D277" s="131" t="str">
        <f>IF(Coureurs!D277="","",Coureurs!D277)</f>
        <v>70</v>
      </c>
      <c r="E277" s="87" t="str">
        <f>IF(Coureurs!F277="","",Coureurs!F277)</f>
        <v/>
      </c>
      <c r="F277" s="87" t="str">
        <f>IF(Coureurs!G277="","",Coureurs!G277)</f>
        <v/>
      </c>
      <c r="G277" s="50" t="str">
        <f>IF(Coureurs!J277="","",Coureurs!J277)</f>
        <v/>
      </c>
      <c r="H277" s="25"/>
      <c r="I277" s="41"/>
      <c r="J277" s="8" t="str">
        <f>IF(I277="PM","",IF(H277=0," ",I277-HLOOKUP('Course 3'!H277,'tab3'!$C$3:$N$4,2)))</f>
        <v xml:space="preserve"> </v>
      </c>
      <c r="K277" s="23" t="str">
        <f>IF(I277="PM","",IF(H277=0," ",J277/'Règles et points'!$F$23))</f>
        <v xml:space="preserve"> </v>
      </c>
      <c r="L277" s="3" t="str">
        <f>IF(H277=0,"",IF(I277="PM",30,VLOOKUP(H277,'Règles et points'!$C$5:$AG$19,(HLOOKUP('Course 3'!C277,'Règles et points'!$C$5:$AG$5,1)+1))))</f>
        <v/>
      </c>
      <c r="M277" s="23">
        <f t="shared" si="5"/>
        <v>0</v>
      </c>
      <c r="N277" s="80"/>
      <c r="O277" s="51"/>
      <c r="P277" s="52"/>
    </row>
    <row r="278" spans="2:16" ht="12.75">
      <c r="B278" s="14">
        <v>274</v>
      </c>
      <c r="C278" s="28" t="str">
        <f>IF(Coureurs!C278="","",Coureurs!C278)</f>
        <v/>
      </c>
      <c r="D278" s="131" t="str">
        <f>IF(Coureurs!D278="","",Coureurs!D278)</f>
        <v>70</v>
      </c>
      <c r="E278" s="87" t="str">
        <f>IF(Coureurs!F278="","",Coureurs!F278)</f>
        <v/>
      </c>
      <c r="F278" s="87" t="str">
        <f>IF(Coureurs!G278="","",Coureurs!G278)</f>
        <v/>
      </c>
      <c r="G278" s="50" t="str">
        <f>IF(Coureurs!J278="","",Coureurs!J278)</f>
        <v/>
      </c>
      <c r="H278" s="25"/>
      <c r="I278" s="41"/>
      <c r="J278" s="8" t="str">
        <f>IF(I278="PM","",IF(H278=0," ",I278-HLOOKUP('Course 3'!H278,'tab3'!$C$3:$N$4,2)))</f>
        <v xml:space="preserve"> </v>
      </c>
      <c r="K278" s="23" t="str">
        <f>IF(I278="PM","",IF(H278=0," ",J278/'Règles et points'!$F$23))</f>
        <v xml:space="preserve"> </v>
      </c>
      <c r="L278" s="3" t="str">
        <f>IF(H278=0,"",IF(I278="PM",30,VLOOKUP(H278,'Règles et points'!$C$5:$AG$19,(HLOOKUP('Course 3'!C278,'Règles et points'!$C$5:$AG$5,1)+1))))</f>
        <v/>
      </c>
      <c r="M278" s="23">
        <f t="shared" si="5"/>
        <v>0</v>
      </c>
      <c r="N278" s="80"/>
      <c r="O278" s="51"/>
      <c r="P278" s="52"/>
    </row>
    <row r="279" spans="2:16" ht="12.75">
      <c r="B279" s="14">
        <v>275</v>
      </c>
      <c r="C279" s="28" t="str">
        <f>IF(Coureurs!C279="","",Coureurs!C279)</f>
        <v/>
      </c>
      <c r="D279" s="131" t="str">
        <f>IF(Coureurs!D279="","",Coureurs!D279)</f>
        <v>70</v>
      </c>
      <c r="E279" s="87" t="str">
        <f>IF(Coureurs!F279="","",Coureurs!F279)</f>
        <v/>
      </c>
      <c r="F279" s="87" t="str">
        <f>IF(Coureurs!G279="","",Coureurs!G279)</f>
        <v/>
      </c>
      <c r="G279" s="50" t="str">
        <f>IF(Coureurs!J279="","",Coureurs!J279)</f>
        <v/>
      </c>
      <c r="H279" s="25"/>
      <c r="I279" s="41"/>
      <c r="J279" s="8" t="str">
        <f>IF(I279="PM","",IF(H279=0," ",I279-HLOOKUP('Course 3'!H279,'tab3'!$C$3:$N$4,2)))</f>
        <v xml:space="preserve"> </v>
      </c>
      <c r="K279" s="23" t="str">
        <f>IF(I279="PM","",IF(H279=0," ",J279/'Règles et points'!$F$23))</f>
        <v xml:space="preserve"> </v>
      </c>
      <c r="L279" s="3" t="str">
        <f>IF(H279=0,"",IF(I279="PM",30,VLOOKUP(H279,'Règles et points'!$C$5:$AG$19,(HLOOKUP('Course 3'!C279,'Règles et points'!$C$5:$AG$5,1)+1))))</f>
        <v/>
      </c>
      <c r="M279" s="23">
        <f t="shared" si="5"/>
        <v>0</v>
      </c>
      <c r="N279" s="80"/>
      <c r="O279" s="51"/>
      <c r="P279" s="52"/>
    </row>
    <row r="280" spans="2:16" ht="12.75">
      <c r="B280" s="14">
        <v>276</v>
      </c>
      <c r="C280" s="28" t="str">
        <f>IF(Coureurs!C280="","",Coureurs!C280)</f>
        <v/>
      </c>
      <c r="D280" s="131" t="str">
        <f>IF(Coureurs!D280="","",Coureurs!D280)</f>
        <v>70</v>
      </c>
      <c r="E280" s="87" t="str">
        <f>IF(Coureurs!F280="","",Coureurs!F280)</f>
        <v/>
      </c>
      <c r="F280" s="87" t="str">
        <f>IF(Coureurs!G280="","",Coureurs!G280)</f>
        <v/>
      </c>
      <c r="G280" s="50" t="str">
        <f>IF(Coureurs!J280="","",Coureurs!J280)</f>
        <v/>
      </c>
      <c r="H280" s="25"/>
      <c r="I280" s="41"/>
      <c r="J280" s="8" t="str">
        <f>IF(I280="PM","",IF(H280=0," ",I280-HLOOKUP('Course 3'!H280,'tab3'!$C$3:$N$4,2)))</f>
        <v xml:space="preserve"> </v>
      </c>
      <c r="K280" s="23" t="str">
        <f>IF(I280="PM","",IF(H280=0," ",J280/'Règles et points'!$F$23))</f>
        <v xml:space="preserve"> </v>
      </c>
      <c r="L280" s="3" t="str">
        <f>IF(H280=0,"",IF(I280="PM",30,VLOOKUP(H280,'Règles et points'!$C$5:$AG$19,(HLOOKUP('Course 3'!C280,'Règles et points'!$C$5:$AG$5,1)+1))))</f>
        <v/>
      </c>
      <c r="M280" s="23">
        <f t="shared" si="5"/>
        <v>0</v>
      </c>
      <c r="N280" s="80"/>
      <c r="O280" s="51"/>
      <c r="P280" s="52"/>
    </row>
    <row r="281" spans="2:16" ht="12.75">
      <c r="B281" s="14">
        <v>277</v>
      </c>
      <c r="C281" s="28" t="str">
        <f>IF(Coureurs!C281="","",Coureurs!C281)</f>
        <v/>
      </c>
      <c r="D281" s="131" t="str">
        <f>IF(Coureurs!D281="","",Coureurs!D281)</f>
        <v>70</v>
      </c>
      <c r="E281" s="87" t="str">
        <f>IF(Coureurs!F281="","",Coureurs!F281)</f>
        <v/>
      </c>
      <c r="F281" s="87" t="str">
        <f>IF(Coureurs!G281="","",Coureurs!G281)</f>
        <v/>
      </c>
      <c r="G281" s="50" t="str">
        <f>IF(Coureurs!J281="","",Coureurs!J281)</f>
        <v/>
      </c>
      <c r="H281" s="25"/>
      <c r="I281" s="41"/>
      <c r="J281" s="8" t="str">
        <f>IF(I281="PM","",IF(H281=0," ",I281-HLOOKUP('Course 3'!H281,'tab3'!$C$3:$N$4,2)))</f>
        <v xml:space="preserve"> </v>
      </c>
      <c r="K281" s="23" t="str">
        <f>IF(I281="PM","",IF(H281=0," ",J281/'Règles et points'!$F$23))</f>
        <v xml:space="preserve"> </v>
      </c>
      <c r="L281" s="3" t="str">
        <f>IF(H281=0,"",IF(I281="PM",30,VLOOKUP(H281,'Règles et points'!$C$5:$AG$19,(HLOOKUP('Course 3'!C281,'Règles et points'!$C$5:$AG$5,1)+1))))</f>
        <v/>
      </c>
      <c r="M281" s="23">
        <f t="shared" si="5"/>
        <v>0</v>
      </c>
      <c r="N281" s="80"/>
      <c r="O281" s="51"/>
      <c r="P281" s="52"/>
    </row>
    <row r="282" spans="2:16" ht="12.75">
      <c r="B282" s="14">
        <v>278</v>
      </c>
      <c r="C282" s="28" t="str">
        <f>IF(Coureurs!C282="","",Coureurs!C282)</f>
        <v/>
      </c>
      <c r="D282" s="131" t="str">
        <f>IF(Coureurs!D282="","",Coureurs!D282)</f>
        <v>70</v>
      </c>
      <c r="E282" s="87" t="str">
        <f>IF(Coureurs!F282="","",Coureurs!F282)</f>
        <v/>
      </c>
      <c r="F282" s="87" t="str">
        <f>IF(Coureurs!G282="","",Coureurs!G282)</f>
        <v/>
      </c>
      <c r="G282" s="50" t="str">
        <f>IF(Coureurs!J282="","",Coureurs!J282)</f>
        <v/>
      </c>
      <c r="H282" s="25"/>
      <c r="I282" s="41"/>
      <c r="J282" s="8" t="str">
        <f>IF(I282="PM","",IF(H282=0," ",I282-HLOOKUP('Course 3'!H282,'tab3'!$C$3:$N$4,2)))</f>
        <v xml:space="preserve"> </v>
      </c>
      <c r="K282" s="23" t="str">
        <f>IF(I282="PM","",IF(H282=0," ",J282/'Règles et points'!$F$23))</f>
        <v xml:space="preserve"> </v>
      </c>
      <c r="L282" s="3" t="str">
        <f>IF(H282=0,"",IF(I282="PM",30,VLOOKUP(H282,'Règles et points'!$C$5:$AG$19,(HLOOKUP('Course 3'!C282,'Règles et points'!$C$5:$AG$5,1)+1))))</f>
        <v/>
      </c>
      <c r="M282" s="23">
        <f t="shared" si="5"/>
        <v>0</v>
      </c>
      <c r="N282" s="80"/>
      <c r="O282" s="51"/>
      <c r="P282" s="52"/>
    </row>
    <row r="283" spans="2:16" ht="12.75">
      <c r="B283" s="14">
        <v>279</v>
      </c>
      <c r="C283" s="28" t="str">
        <f>IF(Coureurs!C283="","",Coureurs!C283)</f>
        <v/>
      </c>
      <c r="D283" s="131" t="str">
        <f>IF(Coureurs!D283="","",Coureurs!D283)</f>
        <v>70</v>
      </c>
      <c r="E283" s="87" t="str">
        <f>IF(Coureurs!F283="","",Coureurs!F283)</f>
        <v/>
      </c>
      <c r="F283" s="87" t="str">
        <f>IF(Coureurs!G283="","",Coureurs!G283)</f>
        <v/>
      </c>
      <c r="G283" s="50" t="str">
        <f>IF(Coureurs!J283="","",Coureurs!J283)</f>
        <v/>
      </c>
      <c r="H283" s="25"/>
      <c r="I283" s="41"/>
      <c r="J283" s="8" t="str">
        <f>IF(I283="PM","",IF(H283=0," ",I283-HLOOKUP('Course 3'!H283,'tab3'!$C$3:$N$4,2)))</f>
        <v xml:space="preserve"> </v>
      </c>
      <c r="K283" s="23" t="str">
        <f>IF(I283="PM","",IF(H283=0," ",J283/'Règles et points'!$F$23))</f>
        <v xml:space="preserve"> </v>
      </c>
      <c r="L283" s="3" t="str">
        <f>IF(H283=0,"",IF(I283="PM",30,VLOOKUP(H283,'Règles et points'!$C$5:$AG$19,(HLOOKUP('Course 3'!C283,'Règles et points'!$C$5:$AG$5,1)+1))))</f>
        <v/>
      </c>
      <c r="M283" s="23">
        <f t="shared" si="5"/>
        <v>0</v>
      </c>
      <c r="N283" s="80"/>
      <c r="O283" s="51"/>
      <c r="P283" s="52"/>
    </row>
    <row r="284" spans="2:16" ht="12.75">
      <c r="B284" s="14">
        <v>280</v>
      </c>
      <c r="C284" s="28" t="str">
        <f>IF(Coureurs!C284="","",Coureurs!C284)</f>
        <v/>
      </c>
      <c r="D284" s="131" t="str">
        <f>IF(Coureurs!D284="","",Coureurs!D284)</f>
        <v>70</v>
      </c>
      <c r="E284" s="87" t="str">
        <f>IF(Coureurs!F284="","",Coureurs!F284)</f>
        <v/>
      </c>
      <c r="F284" s="87" t="str">
        <f>IF(Coureurs!G284="","",Coureurs!G284)</f>
        <v/>
      </c>
      <c r="G284" s="50" t="str">
        <f>IF(Coureurs!J284="","",Coureurs!J284)</f>
        <v/>
      </c>
      <c r="H284" s="25"/>
      <c r="I284" s="41"/>
      <c r="J284" s="8" t="str">
        <f>IF(I284="PM","",IF(H284=0," ",I284-HLOOKUP('Course 3'!H284,'tab3'!$C$3:$N$4,2)))</f>
        <v xml:space="preserve"> </v>
      </c>
      <c r="K284" s="23" t="str">
        <f>IF(I284="PM","",IF(H284=0," ",J284/'Règles et points'!$F$23))</f>
        <v xml:space="preserve"> </v>
      </c>
      <c r="L284" s="3" t="str">
        <f>IF(H284=0,"",IF(I284="PM",30,VLOOKUP(H284,'Règles et points'!$C$5:$AG$19,(HLOOKUP('Course 3'!C284,'Règles et points'!$C$5:$AG$5,1)+1))))</f>
        <v/>
      </c>
      <c r="M284" s="23">
        <f t="shared" si="5"/>
        <v>0</v>
      </c>
      <c r="N284" s="80"/>
      <c r="O284" s="51"/>
      <c r="P284" s="52"/>
    </row>
    <row r="285" spans="2:16" ht="12.75">
      <c r="B285" s="14">
        <v>281</v>
      </c>
      <c r="C285" s="28" t="str">
        <f>IF(Coureurs!C285="","",Coureurs!C285)</f>
        <v/>
      </c>
      <c r="D285" s="131" t="str">
        <f>IF(Coureurs!D285="","",Coureurs!D285)</f>
        <v>70</v>
      </c>
      <c r="E285" s="87" t="str">
        <f>IF(Coureurs!F285="","",Coureurs!F285)</f>
        <v/>
      </c>
      <c r="F285" s="87" t="str">
        <f>IF(Coureurs!G285="","",Coureurs!G285)</f>
        <v/>
      </c>
      <c r="G285" s="50" t="str">
        <f>IF(Coureurs!J285="","",Coureurs!J285)</f>
        <v/>
      </c>
      <c r="H285" s="25"/>
      <c r="I285" s="41"/>
      <c r="J285" s="8" t="str">
        <f>IF(I285="PM","",IF(H285=0," ",I285-HLOOKUP('Course 3'!H285,'tab3'!$C$3:$N$4,2)))</f>
        <v xml:space="preserve"> </v>
      </c>
      <c r="K285" s="23" t="str">
        <f>IF(I285="PM","",IF(H285=0," ",J285/'Règles et points'!$F$23))</f>
        <v xml:space="preserve"> </v>
      </c>
      <c r="L285" s="3" t="str">
        <f>IF(H285=0,"",IF(I285="PM",30,VLOOKUP(H285,'Règles et points'!$C$5:$AG$19,(HLOOKUP('Course 3'!C285,'Règles et points'!$C$5:$AG$5,1)+1))))</f>
        <v/>
      </c>
      <c r="M285" s="23">
        <f t="shared" si="5"/>
        <v>0</v>
      </c>
      <c r="N285" s="80"/>
      <c r="O285" s="51"/>
      <c r="P285" s="52"/>
    </row>
    <row r="286" spans="2:16" ht="12.75">
      <c r="B286" s="14">
        <v>282</v>
      </c>
      <c r="C286" s="28" t="str">
        <f>IF(Coureurs!C286="","",Coureurs!C286)</f>
        <v/>
      </c>
      <c r="D286" s="131" t="str">
        <f>IF(Coureurs!D286="","",Coureurs!D286)</f>
        <v>70</v>
      </c>
      <c r="E286" s="87" t="str">
        <f>IF(Coureurs!F286="","",Coureurs!F286)</f>
        <v/>
      </c>
      <c r="F286" s="87" t="str">
        <f>IF(Coureurs!G286="","",Coureurs!G286)</f>
        <v/>
      </c>
      <c r="G286" s="50" t="str">
        <f>IF(Coureurs!J286="","",Coureurs!J286)</f>
        <v/>
      </c>
      <c r="H286" s="25"/>
      <c r="I286" s="41"/>
      <c r="J286" s="8" t="str">
        <f>IF(I286="PM","",IF(H286=0," ",I286-HLOOKUP('Course 3'!H286,'tab3'!$C$3:$N$4,2)))</f>
        <v xml:space="preserve"> </v>
      </c>
      <c r="K286" s="23" t="str">
        <f>IF(I286="PM","",IF(H286=0," ",J286/'Règles et points'!$F$23))</f>
        <v xml:space="preserve"> </v>
      </c>
      <c r="L286" s="3" t="str">
        <f>IF(H286=0,"",IF(I286="PM",30,VLOOKUP(H286,'Règles et points'!$C$5:$AG$19,(HLOOKUP('Course 3'!C286,'Règles et points'!$C$5:$AG$5,1)+1))))</f>
        <v/>
      </c>
      <c r="M286" s="23">
        <f t="shared" si="5"/>
        <v>0</v>
      </c>
      <c r="N286" s="80"/>
      <c r="O286" s="51"/>
      <c r="P286" s="52"/>
    </row>
    <row r="287" spans="2:16" ht="12.75">
      <c r="B287" s="14">
        <v>283</v>
      </c>
      <c r="C287" s="28" t="str">
        <f>IF(Coureurs!C287="","",Coureurs!C287)</f>
        <v/>
      </c>
      <c r="D287" s="131" t="str">
        <f>IF(Coureurs!D287="","",Coureurs!D287)</f>
        <v>70</v>
      </c>
      <c r="E287" s="87" t="str">
        <f>IF(Coureurs!F287="","",Coureurs!F287)</f>
        <v/>
      </c>
      <c r="F287" s="87" t="str">
        <f>IF(Coureurs!G287="","",Coureurs!G287)</f>
        <v/>
      </c>
      <c r="G287" s="50" t="str">
        <f>IF(Coureurs!J287="","",Coureurs!J287)</f>
        <v/>
      </c>
      <c r="H287" s="25"/>
      <c r="I287" s="41"/>
      <c r="J287" s="8" t="str">
        <f>IF(I287="PM","",IF(H287=0," ",I287-HLOOKUP('Course 3'!H287,'tab3'!$C$3:$N$4,2)))</f>
        <v xml:space="preserve"> </v>
      </c>
      <c r="K287" s="23" t="str">
        <f>IF(I287="PM","",IF(H287=0," ",J287/'Règles et points'!$F$23))</f>
        <v xml:space="preserve"> </v>
      </c>
      <c r="L287" s="3" t="str">
        <f>IF(H287=0,"",IF(I287="PM",30,VLOOKUP(H287,'Règles et points'!$C$5:$AG$19,(HLOOKUP('Course 3'!C287,'Règles et points'!$C$5:$AG$5,1)+1))))</f>
        <v/>
      </c>
      <c r="M287" s="23">
        <f t="shared" si="5"/>
        <v>0</v>
      </c>
      <c r="N287" s="80"/>
      <c r="O287" s="51"/>
      <c r="P287" s="52"/>
    </row>
    <row r="288" spans="2:16" ht="12.75">
      <c r="B288" s="14">
        <v>284</v>
      </c>
      <c r="C288" s="28" t="str">
        <f>IF(Coureurs!C288="","",Coureurs!C288)</f>
        <v/>
      </c>
      <c r="D288" s="131" t="str">
        <f>IF(Coureurs!D288="","",Coureurs!D288)</f>
        <v>70</v>
      </c>
      <c r="E288" s="87" t="str">
        <f>IF(Coureurs!F288="","",Coureurs!F288)</f>
        <v/>
      </c>
      <c r="F288" s="87" t="str">
        <f>IF(Coureurs!G288="","",Coureurs!G288)</f>
        <v/>
      </c>
      <c r="G288" s="50" t="str">
        <f>IF(Coureurs!J288="","",Coureurs!J288)</f>
        <v/>
      </c>
      <c r="H288" s="25"/>
      <c r="I288" s="41"/>
      <c r="J288" s="8" t="str">
        <f>IF(I288="PM","",IF(H288=0," ",I288-HLOOKUP('Course 3'!H288,'tab3'!$C$3:$N$4,2)))</f>
        <v xml:space="preserve"> </v>
      </c>
      <c r="K288" s="23" t="str">
        <f>IF(I288="PM","",IF(H288=0," ",J288/'Règles et points'!$F$23))</f>
        <v xml:space="preserve"> </v>
      </c>
      <c r="L288" s="3" t="str">
        <f>IF(H288=0,"",IF(I288="PM",30,VLOOKUP(H288,'Règles et points'!$C$5:$AG$19,(HLOOKUP('Course 3'!C288,'Règles et points'!$C$5:$AG$5,1)+1))))</f>
        <v/>
      </c>
      <c r="M288" s="23">
        <f t="shared" si="5"/>
        <v>0</v>
      </c>
      <c r="N288" s="80"/>
      <c r="O288" s="51"/>
      <c r="P288" s="52"/>
    </row>
    <row r="289" spans="2:16" ht="12.75">
      <c r="B289" s="14">
        <v>285</v>
      </c>
      <c r="C289" s="28" t="str">
        <f>IF(Coureurs!C289="","",Coureurs!C289)</f>
        <v/>
      </c>
      <c r="D289" s="131" t="str">
        <f>IF(Coureurs!D289="","",Coureurs!D289)</f>
        <v>70</v>
      </c>
      <c r="E289" s="87" t="str">
        <f>IF(Coureurs!F289="","",Coureurs!F289)</f>
        <v/>
      </c>
      <c r="F289" s="87" t="str">
        <f>IF(Coureurs!G289="","",Coureurs!G289)</f>
        <v/>
      </c>
      <c r="G289" s="50" t="str">
        <f>IF(Coureurs!J289="","",Coureurs!J289)</f>
        <v/>
      </c>
      <c r="H289" s="25"/>
      <c r="I289" s="41"/>
      <c r="J289" s="8" t="str">
        <f>IF(I289="PM","",IF(H289=0," ",I289-HLOOKUP('Course 3'!H289,'tab3'!$C$3:$N$4,2)))</f>
        <v xml:space="preserve"> </v>
      </c>
      <c r="K289" s="23" t="str">
        <f>IF(I289="PM","",IF(H289=0," ",J289/'Règles et points'!$F$23))</f>
        <v xml:space="preserve"> </v>
      </c>
      <c r="L289" s="3" t="str">
        <f>IF(H289=0,"",IF(I289="PM",30,VLOOKUP(H289,'Règles et points'!$C$5:$AG$19,(HLOOKUP('Course 3'!C289,'Règles et points'!$C$5:$AG$5,1)+1))))</f>
        <v/>
      </c>
      <c r="M289" s="23">
        <f t="shared" si="5"/>
        <v>0</v>
      </c>
      <c r="N289" s="80"/>
      <c r="O289" s="51"/>
      <c r="P289" s="52"/>
    </row>
    <row r="290" spans="2:16" ht="12.75">
      <c r="B290" s="14">
        <v>286</v>
      </c>
      <c r="C290" s="28" t="str">
        <f>IF(Coureurs!C290="","",Coureurs!C290)</f>
        <v/>
      </c>
      <c r="D290" s="131" t="str">
        <f>IF(Coureurs!D290="","",Coureurs!D290)</f>
        <v>70</v>
      </c>
      <c r="E290" s="87" t="str">
        <f>IF(Coureurs!F290="","",Coureurs!F290)</f>
        <v/>
      </c>
      <c r="F290" s="87" t="str">
        <f>IF(Coureurs!G290="","",Coureurs!G290)</f>
        <v/>
      </c>
      <c r="G290" s="50" t="str">
        <f>IF(Coureurs!J290="","",Coureurs!J290)</f>
        <v/>
      </c>
      <c r="H290" s="25"/>
      <c r="I290" s="41"/>
      <c r="J290" s="8" t="str">
        <f>IF(I290="PM","",IF(H290=0," ",I290-HLOOKUP('Course 3'!H290,'tab3'!$C$3:$N$4,2)))</f>
        <v xml:space="preserve"> </v>
      </c>
      <c r="K290" s="23" t="str">
        <f>IF(I290="PM","",IF(H290=0," ",J290/'Règles et points'!$F$23))</f>
        <v xml:space="preserve"> </v>
      </c>
      <c r="L290" s="3" t="str">
        <f>IF(H290=0,"",IF(I290="PM",30,VLOOKUP(H290,'Règles et points'!$C$5:$AG$19,(HLOOKUP('Course 3'!C290,'Règles et points'!$C$5:$AG$5,1)+1))))</f>
        <v/>
      </c>
      <c r="M290" s="23">
        <f t="shared" si="5"/>
        <v>0</v>
      </c>
      <c r="N290" s="80"/>
      <c r="O290" s="51"/>
      <c r="P290" s="52"/>
    </row>
    <row r="291" spans="2:16" ht="12.75">
      <c r="B291" s="14">
        <v>287</v>
      </c>
      <c r="C291" s="28" t="str">
        <f>IF(Coureurs!C291="","",Coureurs!C291)</f>
        <v/>
      </c>
      <c r="D291" s="131" t="str">
        <f>IF(Coureurs!D291="","",Coureurs!D291)</f>
        <v>70</v>
      </c>
      <c r="E291" s="87" t="str">
        <f>IF(Coureurs!F291="","",Coureurs!F291)</f>
        <v/>
      </c>
      <c r="F291" s="87" t="str">
        <f>IF(Coureurs!G291="","",Coureurs!G291)</f>
        <v/>
      </c>
      <c r="G291" s="50" t="str">
        <f>IF(Coureurs!J291="","",Coureurs!J291)</f>
        <v/>
      </c>
      <c r="H291" s="25"/>
      <c r="I291" s="41"/>
      <c r="J291" s="8" t="str">
        <f>IF(I291="PM","",IF(H291=0," ",I291-HLOOKUP('Course 3'!H291,'tab3'!$C$3:$N$4,2)))</f>
        <v xml:space="preserve"> </v>
      </c>
      <c r="K291" s="23" t="str">
        <f>IF(I291="PM","",IF(H291=0," ",J291/'Règles et points'!$F$23))</f>
        <v xml:space="preserve"> </v>
      </c>
      <c r="L291" s="3" t="str">
        <f>IF(H291=0,"",IF(I291="PM",30,VLOOKUP(H291,'Règles et points'!$C$5:$AG$19,(HLOOKUP('Course 3'!C291,'Règles et points'!$C$5:$AG$5,1)+1))))</f>
        <v/>
      </c>
      <c r="M291" s="23">
        <f t="shared" si="5"/>
        <v>0</v>
      </c>
      <c r="N291" s="80"/>
      <c r="O291" s="51"/>
      <c r="P291" s="52"/>
    </row>
    <row r="292" spans="2:16" ht="12.75">
      <c r="B292" s="14">
        <v>288</v>
      </c>
      <c r="C292" s="28" t="str">
        <f>IF(Coureurs!C292="","",Coureurs!C292)</f>
        <v/>
      </c>
      <c r="D292" s="131" t="str">
        <f>IF(Coureurs!D292="","",Coureurs!D292)</f>
        <v>70</v>
      </c>
      <c r="E292" s="87" t="str">
        <f>IF(Coureurs!F292="","",Coureurs!F292)</f>
        <v/>
      </c>
      <c r="F292" s="87" t="str">
        <f>IF(Coureurs!G292="","",Coureurs!G292)</f>
        <v/>
      </c>
      <c r="G292" s="50" t="str">
        <f>IF(Coureurs!J292="","",Coureurs!J292)</f>
        <v/>
      </c>
      <c r="H292" s="25"/>
      <c r="I292" s="41"/>
      <c r="J292" s="8" t="str">
        <f>IF(I292="PM","",IF(H292=0," ",I292-HLOOKUP('Course 3'!H292,'tab3'!$C$3:$N$4,2)))</f>
        <v xml:space="preserve"> </v>
      </c>
      <c r="K292" s="23" t="str">
        <f>IF(I292="PM","",IF(H292=0," ",J292/'Règles et points'!$F$23))</f>
        <v xml:space="preserve"> </v>
      </c>
      <c r="L292" s="3" t="str">
        <f>IF(H292=0,"",IF(I292="PM",30,VLOOKUP(H292,'Règles et points'!$C$5:$AG$19,(HLOOKUP('Course 3'!C292,'Règles et points'!$C$5:$AG$5,1)+1))))</f>
        <v/>
      </c>
      <c r="M292" s="23">
        <f t="shared" si="5"/>
        <v>0</v>
      </c>
      <c r="N292" s="80"/>
      <c r="O292" s="51"/>
      <c r="P292" s="52"/>
    </row>
    <row r="293" spans="2:16" ht="12.75">
      <c r="B293" s="14">
        <v>289</v>
      </c>
      <c r="C293" s="28" t="str">
        <f>IF(Coureurs!C293="","",Coureurs!C293)</f>
        <v/>
      </c>
      <c r="D293" s="131" t="str">
        <f>IF(Coureurs!D293="","",Coureurs!D293)</f>
        <v>70</v>
      </c>
      <c r="E293" s="87" t="str">
        <f>IF(Coureurs!F293="","",Coureurs!F293)</f>
        <v/>
      </c>
      <c r="F293" s="87" t="str">
        <f>IF(Coureurs!G293="","",Coureurs!G293)</f>
        <v/>
      </c>
      <c r="G293" s="50" t="str">
        <f>IF(Coureurs!J293="","",Coureurs!J293)</f>
        <v/>
      </c>
      <c r="H293" s="25"/>
      <c r="I293" s="41"/>
      <c r="J293" s="8" t="str">
        <f>IF(I293="PM","",IF(H293=0," ",I293-HLOOKUP('Course 3'!H293,'tab3'!$C$3:$N$4,2)))</f>
        <v xml:space="preserve"> </v>
      </c>
      <c r="K293" s="23" t="str">
        <f>IF(I293="PM","",IF(H293=0," ",J293/'Règles et points'!$F$23))</f>
        <v xml:space="preserve"> </v>
      </c>
      <c r="L293" s="3" t="str">
        <f>IF(H293=0,"",IF(I293="PM",30,VLOOKUP(H293,'Règles et points'!$C$5:$AG$19,(HLOOKUP('Course 3'!C293,'Règles et points'!$C$5:$AG$5,1)+1))))</f>
        <v/>
      </c>
      <c r="M293" s="23">
        <f t="shared" si="5"/>
        <v>0</v>
      </c>
      <c r="N293" s="80"/>
      <c r="O293" s="51"/>
      <c r="P293" s="52"/>
    </row>
    <row r="294" spans="2:16" ht="12.75">
      <c r="B294" s="14">
        <v>290</v>
      </c>
      <c r="C294" s="28" t="str">
        <f>IF(Coureurs!C294="","",Coureurs!C294)</f>
        <v/>
      </c>
      <c r="D294" s="131" t="str">
        <f>IF(Coureurs!D294="","",Coureurs!D294)</f>
        <v>70</v>
      </c>
      <c r="E294" s="87" t="str">
        <f>IF(Coureurs!F294="","",Coureurs!F294)</f>
        <v/>
      </c>
      <c r="F294" s="87" t="str">
        <f>IF(Coureurs!G294="","",Coureurs!G294)</f>
        <v/>
      </c>
      <c r="G294" s="50" t="str">
        <f>IF(Coureurs!J294="","",Coureurs!J294)</f>
        <v/>
      </c>
      <c r="H294" s="25"/>
      <c r="I294" s="41"/>
      <c r="J294" s="8" t="str">
        <f>IF(I294="PM","",IF(H294=0," ",I294-HLOOKUP('Course 3'!H294,'tab3'!$C$3:$N$4,2)))</f>
        <v xml:space="preserve"> </v>
      </c>
      <c r="K294" s="23" t="str">
        <f>IF(I294="PM","",IF(H294=0," ",J294/'Règles et points'!$F$23))</f>
        <v xml:space="preserve"> </v>
      </c>
      <c r="L294" s="3" t="str">
        <f>IF(H294=0,"",IF(I294="PM",30,VLOOKUP(H294,'Règles et points'!$C$5:$AG$19,(HLOOKUP('Course 3'!C294,'Règles et points'!$C$5:$AG$5,1)+1))))</f>
        <v/>
      </c>
      <c r="M294" s="23">
        <f t="shared" si="5"/>
        <v>0</v>
      </c>
      <c r="N294" s="80"/>
      <c r="O294" s="51"/>
      <c r="P294" s="52"/>
    </row>
    <row r="295" spans="2:16" ht="12.75">
      <c r="B295" s="14">
        <v>291</v>
      </c>
      <c r="C295" s="28" t="str">
        <f>IF(Coureurs!C295="","",Coureurs!C295)</f>
        <v/>
      </c>
      <c r="D295" s="131" t="str">
        <f>IF(Coureurs!D295="","",Coureurs!D295)</f>
        <v>70</v>
      </c>
      <c r="E295" s="87" t="str">
        <f>IF(Coureurs!F295="","",Coureurs!F295)</f>
        <v/>
      </c>
      <c r="F295" s="87" t="str">
        <f>IF(Coureurs!G295="","",Coureurs!G295)</f>
        <v/>
      </c>
      <c r="G295" s="50" t="str">
        <f>IF(Coureurs!J295="","",Coureurs!J295)</f>
        <v/>
      </c>
      <c r="H295" s="25"/>
      <c r="I295" s="41"/>
      <c r="J295" s="8" t="str">
        <f>IF(I295="PM","",IF(H295=0," ",I295-HLOOKUP('Course 3'!H295,'tab3'!$C$3:$N$4,2)))</f>
        <v xml:space="preserve"> </v>
      </c>
      <c r="K295" s="23" t="str">
        <f>IF(I295="PM","",IF(H295=0," ",J295/'Règles et points'!$F$23))</f>
        <v xml:space="preserve"> </v>
      </c>
      <c r="L295" s="3" t="str">
        <f>IF(H295=0,"",IF(I295="PM",30,VLOOKUP(H295,'Règles et points'!$C$5:$AG$19,(HLOOKUP('Course 3'!C295,'Règles et points'!$C$5:$AG$5,1)+1))))</f>
        <v/>
      </c>
      <c r="M295" s="23">
        <f t="shared" si="5"/>
        <v>0</v>
      </c>
      <c r="N295" s="80"/>
      <c r="O295" s="51"/>
      <c r="P295" s="52"/>
    </row>
    <row r="296" spans="2:16" ht="12.75">
      <c r="B296" s="14">
        <v>292</v>
      </c>
      <c r="C296" s="28" t="str">
        <f>IF(Coureurs!C296="","",Coureurs!C296)</f>
        <v/>
      </c>
      <c r="D296" s="131" t="str">
        <f>IF(Coureurs!D296="","",Coureurs!D296)</f>
        <v>70</v>
      </c>
      <c r="E296" s="87" t="str">
        <f>IF(Coureurs!F296="","",Coureurs!F296)</f>
        <v/>
      </c>
      <c r="F296" s="87" t="str">
        <f>IF(Coureurs!G296="","",Coureurs!G296)</f>
        <v/>
      </c>
      <c r="G296" s="50" t="str">
        <f>IF(Coureurs!J296="","",Coureurs!J296)</f>
        <v/>
      </c>
      <c r="H296" s="25"/>
      <c r="I296" s="41"/>
      <c r="J296" s="8" t="str">
        <f>IF(I296="PM","",IF(H296=0," ",I296-HLOOKUP('Course 3'!H296,'tab3'!$C$3:$N$4,2)))</f>
        <v xml:space="preserve"> </v>
      </c>
      <c r="K296" s="23" t="str">
        <f>IF(I296="PM","",IF(H296=0," ",J296/'Règles et points'!$F$23))</f>
        <v xml:space="preserve"> </v>
      </c>
      <c r="L296" s="3" t="str">
        <f>IF(H296=0,"",IF(I296="PM",30,VLOOKUP(H296,'Règles et points'!$C$5:$AG$19,(HLOOKUP('Course 3'!C296,'Règles et points'!$C$5:$AG$5,1)+1))))</f>
        <v/>
      </c>
      <c r="M296" s="23">
        <f t="shared" si="5"/>
        <v>0</v>
      </c>
      <c r="N296" s="80"/>
      <c r="O296" s="51"/>
      <c r="P296" s="52"/>
    </row>
    <row r="297" spans="2:16" ht="12.75">
      <c r="B297" s="14">
        <v>293</v>
      </c>
      <c r="C297" s="28" t="str">
        <f>IF(Coureurs!C297="","",Coureurs!C297)</f>
        <v/>
      </c>
      <c r="D297" s="131" t="str">
        <f>IF(Coureurs!D297="","",Coureurs!D297)</f>
        <v>70</v>
      </c>
      <c r="E297" s="87" t="str">
        <f>IF(Coureurs!F297="","",Coureurs!F297)</f>
        <v/>
      </c>
      <c r="F297" s="87" t="str">
        <f>IF(Coureurs!G297="","",Coureurs!G297)</f>
        <v/>
      </c>
      <c r="G297" s="50" t="str">
        <f>IF(Coureurs!J297="","",Coureurs!J297)</f>
        <v/>
      </c>
      <c r="H297" s="25"/>
      <c r="I297" s="41"/>
      <c r="J297" s="8" t="str">
        <f>IF(I297="PM","",IF(H297=0," ",I297-HLOOKUP('Course 3'!H297,'tab3'!$C$3:$N$4,2)))</f>
        <v xml:space="preserve"> </v>
      </c>
      <c r="K297" s="23" t="str">
        <f>IF(I297="PM","",IF(H297=0," ",J297/'Règles et points'!$F$23))</f>
        <v xml:space="preserve"> </v>
      </c>
      <c r="L297" s="3" t="str">
        <f>IF(H297=0,"",IF(I297="PM",30,VLOOKUP(H297,'Règles et points'!$C$5:$AG$19,(HLOOKUP('Course 3'!C297,'Règles et points'!$C$5:$AG$5,1)+1))))</f>
        <v/>
      </c>
      <c r="M297" s="23">
        <f t="shared" si="5"/>
        <v>0</v>
      </c>
      <c r="N297" s="80"/>
      <c r="O297" s="51"/>
      <c r="P297" s="52"/>
    </row>
    <row r="298" spans="2:16" ht="12.75">
      <c r="B298" s="14">
        <v>294</v>
      </c>
      <c r="C298" s="28" t="str">
        <f>IF(Coureurs!C298="","",Coureurs!C298)</f>
        <v/>
      </c>
      <c r="D298" s="131" t="str">
        <f>IF(Coureurs!D298="","",Coureurs!D298)</f>
        <v>70</v>
      </c>
      <c r="E298" s="87" t="str">
        <f>IF(Coureurs!F298="","",Coureurs!F298)</f>
        <v/>
      </c>
      <c r="F298" s="87" t="str">
        <f>IF(Coureurs!G298="","",Coureurs!G298)</f>
        <v/>
      </c>
      <c r="G298" s="50" t="str">
        <f>IF(Coureurs!J298="","",Coureurs!J298)</f>
        <v/>
      </c>
      <c r="H298" s="25"/>
      <c r="I298" s="41"/>
      <c r="J298" s="8" t="str">
        <f>IF(I298="PM","",IF(H298=0," ",I298-HLOOKUP('Course 3'!H298,'tab3'!$C$3:$N$4,2)))</f>
        <v xml:space="preserve"> </v>
      </c>
      <c r="K298" s="23" t="str">
        <f>IF(I298="PM","",IF(H298=0," ",J298/'Règles et points'!$F$23))</f>
        <v xml:space="preserve"> </v>
      </c>
      <c r="L298" s="3" t="str">
        <f>IF(H298=0,"",IF(I298="PM",30,VLOOKUP(H298,'Règles et points'!$C$5:$AG$19,(HLOOKUP('Course 3'!C298,'Règles et points'!$C$5:$AG$5,1)+1))))</f>
        <v/>
      </c>
      <c r="M298" s="23">
        <f t="shared" si="5"/>
        <v>0</v>
      </c>
      <c r="N298" s="80"/>
      <c r="O298" s="51"/>
      <c r="P298" s="52"/>
    </row>
    <row r="299" spans="2:16" ht="12.75">
      <c r="B299" s="14">
        <v>295</v>
      </c>
      <c r="C299" s="28" t="str">
        <f>IF(Coureurs!C299="","",Coureurs!C299)</f>
        <v/>
      </c>
      <c r="D299" s="131" t="str">
        <f>IF(Coureurs!D299="","",Coureurs!D299)</f>
        <v>70</v>
      </c>
      <c r="E299" s="87" t="str">
        <f>IF(Coureurs!F299="","",Coureurs!F299)</f>
        <v/>
      </c>
      <c r="F299" s="87" t="str">
        <f>IF(Coureurs!G299="","",Coureurs!G299)</f>
        <v/>
      </c>
      <c r="G299" s="50" t="str">
        <f>IF(Coureurs!J299="","",Coureurs!J299)</f>
        <v/>
      </c>
      <c r="H299" s="25"/>
      <c r="I299" s="41"/>
      <c r="J299" s="8" t="str">
        <f>IF(I299="PM","",IF(H299=0," ",I299-HLOOKUP('Course 3'!H299,'tab3'!$C$3:$N$4,2)))</f>
        <v xml:space="preserve"> </v>
      </c>
      <c r="K299" s="23" t="str">
        <f>IF(I299="PM","",IF(H299=0," ",J299/'Règles et points'!$F$23))</f>
        <v xml:space="preserve"> </v>
      </c>
      <c r="L299" s="3" t="str">
        <f>IF(H299=0,"",IF(I299="PM",30,VLOOKUP(H299,'Règles et points'!$C$5:$AG$19,(HLOOKUP('Course 3'!C299,'Règles et points'!$C$5:$AG$5,1)+1))))</f>
        <v/>
      </c>
      <c r="M299" s="23">
        <f t="shared" si="5"/>
        <v>0</v>
      </c>
      <c r="N299" s="80"/>
      <c r="O299" s="51"/>
      <c r="P299" s="52"/>
    </row>
    <row r="300" spans="2:16" ht="12.75">
      <c r="B300" s="14">
        <v>296</v>
      </c>
      <c r="C300" s="28" t="str">
        <f>IF(Coureurs!C300="","",Coureurs!C300)</f>
        <v/>
      </c>
      <c r="D300" s="131" t="str">
        <f>IF(Coureurs!D300="","",Coureurs!D300)</f>
        <v>70</v>
      </c>
      <c r="E300" s="87" t="str">
        <f>IF(Coureurs!F300="","",Coureurs!F300)</f>
        <v/>
      </c>
      <c r="F300" s="87" t="str">
        <f>IF(Coureurs!G300="","",Coureurs!G300)</f>
        <v/>
      </c>
      <c r="G300" s="50" t="str">
        <f>IF(Coureurs!J300="","",Coureurs!J300)</f>
        <v/>
      </c>
      <c r="H300" s="25"/>
      <c r="I300" s="41"/>
      <c r="J300" s="8" t="str">
        <f>IF(I300="PM","",IF(H300=0," ",I300-HLOOKUP('Course 3'!H300,'tab3'!$C$3:$N$4,2)))</f>
        <v xml:space="preserve"> </v>
      </c>
      <c r="K300" s="23" t="str">
        <f>IF(I300="PM","",IF(H300=0," ",J300/'Règles et points'!$F$23))</f>
        <v xml:space="preserve"> </v>
      </c>
      <c r="L300" s="3" t="str">
        <f>IF(H300=0,"",IF(I300="PM",30,VLOOKUP(H300,'Règles et points'!$C$5:$AG$19,(HLOOKUP('Course 3'!C300,'Règles et points'!$C$5:$AG$5,1)+1))))</f>
        <v/>
      </c>
      <c r="M300" s="23">
        <f t="shared" si="5"/>
        <v>0</v>
      </c>
      <c r="N300" s="80"/>
      <c r="O300" s="51"/>
      <c r="P300" s="52"/>
    </row>
    <row r="301" spans="2:16" ht="12.75">
      <c r="B301" s="14">
        <v>297</v>
      </c>
      <c r="C301" s="28" t="str">
        <f>IF(Coureurs!C301="","",Coureurs!C301)</f>
        <v/>
      </c>
      <c r="D301" s="131" t="str">
        <f>IF(Coureurs!D301="","",Coureurs!D301)</f>
        <v>70</v>
      </c>
      <c r="E301" s="87" t="str">
        <f>IF(Coureurs!F301="","",Coureurs!F301)</f>
        <v/>
      </c>
      <c r="F301" s="87" t="str">
        <f>IF(Coureurs!G301="","",Coureurs!G301)</f>
        <v/>
      </c>
      <c r="G301" s="50" t="str">
        <f>IF(Coureurs!J301="","",Coureurs!J301)</f>
        <v/>
      </c>
      <c r="H301" s="25"/>
      <c r="I301" s="41"/>
      <c r="J301" s="8" t="str">
        <f>IF(I301="PM","",IF(H301=0," ",I301-HLOOKUP('Course 3'!H301,'tab3'!$C$3:$N$4,2)))</f>
        <v xml:space="preserve"> </v>
      </c>
      <c r="K301" s="23" t="str">
        <f>IF(I301="PM","",IF(H301=0," ",J301/'Règles et points'!$F$23))</f>
        <v xml:space="preserve"> </v>
      </c>
      <c r="L301" s="3" t="str">
        <f>IF(H301=0,"",IF(I301="PM",30,VLOOKUP(H301,'Règles et points'!$C$5:$AG$19,(HLOOKUP('Course 3'!C301,'Règles et points'!$C$5:$AG$5,1)+1))))</f>
        <v/>
      </c>
      <c r="M301" s="23">
        <f t="shared" si="5"/>
        <v>0</v>
      </c>
      <c r="N301" s="80"/>
      <c r="O301" s="51"/>
      <c r="P301" s="52"/>
    </row>
    <row r="302" spans="2:16" ht="12.75">
      <c r="B302" s="14">
        <v>298</v>
      </c>
      <c r="C302" s="28" t="str">
        <f>IF(Coureurs!C302="","",Coureurs!C302)</f>
        <v/>
      </c>
      <c r="D302" s="131" t="str">
        <f>IF(Coureurs!D302="","",Coureurs!D302)</f>
        <v>70</v>
      </c>
      <c r="E302" s="87" t="str">
        <f>IF(Coureurs!F302="","",Coureurs!F302)</f>
        <v/>
      </c>
      <c r="F302" s="87" t="str">
        <f>IF(Coureurs!G302="","",Coureurs!G302)</f>
        <v/>
      </c>
      <c r="G302" s="50" t="str">
        <f>IF(Coureurs!J302="","",Coureurs!J302)</f>
        <v/>
      </c>
      <c r="H302" s="25"/>
      <c r="I302" s="88"/>
      <c r="J302" s="8" t="str">
        <f>IF(I302="PM","",IF(H302=0," ",I302-HLOOKUP('Course 3'!H302,'tab3'!$C$3:$N$4,2)))</f>
        <v xml:space="preserve"> </v>
      </c>
      <c r="K302" s="23" t="str">
        <f>IF(I302="PM","",IF(H302=0," ",J302/'Règles et points'!$F$23))</f>
        <v xml:space="preserve"> </v>
      </c>
      <c r="L302" s="3" t="str">
        <f>IF(H302=0,"",IF(I302="PM",30,VLOOKUP(H302,'Règles et points'!$C$5:$AG$19,(HLOOKUP('Course 3'!C302,'Règles et points'!$C$5:$AG$5,1)+1))))</f>
        <v/>
      </c>
      <c r="M302" s="23">
        <f t="shared" si="5"/>
        <v>0</v>
      </c>
      <c r="N302" s="80"/>
      <c r="O302" s="51"/>
      <c r="P302" s="52"/>
    </row>
    <row r="303" spans="2:16" ht="12.75">
      <c r="B303" s="14">
        <v>299</v>
      </c>
      <c r="C303" s="28" t="str">
        <f>IF(Coureurs!C303="","",Coureurs!C303)</f>
        <v/>
      </c>
      <c r="D303" s="131" t="str">
        <f>IF(Coureurs!D303="","",Coureurs!D303)</f>
        <v>70</v>
      </c>
      <c r="E303" s="87" t="str">
        <f>IF(Coureurs!F303="","",Coureurs!F303)</f>
        <v/>
      </c>
      <c r="F303" s="87" t="str">
        <f>IF(Coureurs!G303="","",Coureurs!G303)</f>
        <v/>
      </c>
      <c r="G303" s="50" t="str">
        <f>IF(Coureurs!J303="","",Coureurs!J303)</f>
        <v/>
      </c>
      <c r="H303" s="25"/>
      <c r="I303" s="88"/>
      <c r="J303" s="8" t="str">
        <f>IF(I303="PM","",IF(H303=0," ",I303-HLOOKUP('Course 3'!H303,'tab3'!$C$3:$N$4,2)))</f>
        <v xml:space="preserve"> </v>
      </c>
      <c r="K303" s="23" t="str">
        <f>IF(I303="PM","",IF(H303=0," ",J303/'Règles et points'!$F$23))</f>
        <v xml:space="preserve"> </v>
      </c>
      <c r="L303" s="3" t="str">
        <f>IF(H303=0,"",IF(I303="PM",30,VLOOKUP(H303,'Règles et points'!$C$5:$AG$19,(HLOOKUP('Course 3'!C303,'Règles et points'!$C$5:$AG$5,1)+1))))</f>
        <v/>
      </c>
      <c r="M303" s="23">
        <f t="shared" si="5"/>
        <v>0</v>
      </c>
      <c r="N303" s="80"/>
      <c r="O303" s="51"/>
      <c r="P303" s="52"/>
    </row>
    <row r="304" spans="2:16" ht="12.75">
      <c r="B304" s="14">
        <v>300</v>
      </c>
      <c r="C304" s="28" t="str">
        <f>IF(Coureurs!C304="","",Coureurs!C304)</f>
        <v/>
      </c>
      <c r="D304" s="131" t="str">
        <f>IF(Coureurs!D304="","",Coureurs!D304)</f>
        <v>70</v>
      </c>
      <c r="E304" s="87" t="str">
        <f>IF(Coureurs!F304="","",Coureurs!F304)</f>
        <v/>
      </c>
      <c r="F304" s="87" t="str">
        <f>IF(Coureurs!G304="","",Coureurs!G304)</f>
        <v/>
      </c>
      <c r="G304" s="50" t="str">
        <f>IF(Coureurs!J304="","",Coureurs!J304)</f>
        <v/>
      </c>
      <c r="H304" s="25"/>
      <c r="I304" s="88"/>
      <c r="J304" s="8" t="str">
        <f>IF(I304="PM","",IF(H304=0," ",I304-HLOOKUP('Course 3'!H304,'tab3'!$C$3:$N$4,2)))</f>
        <v xml:space="preserve"> </v>
      </c>
      <c r="K304" s="23" t="str">
        <f>IF(I304="PM","",IF(H304=0," ",J304/'Règles et points'!$F$23))</f>
        <v xml:space="preserve"> </v>
      </c>
      <c r="L304" s="3" t="str">
        <f>IF(H304=0,"",IF(I304="PM",30,VLOOKUP(H304,'Règles et points'!$C$5:$AG$19,(HLOOKUP('Course 3'!C304,'Règles et points'!$C$5:$AG$5,1)+1))))</f>
        <v/>
      </c>
      <c r="M304" s="23">
        <f t="shared" si="5"/>
        <v>0</v>
      </c>
      <c r="N304" s="80"/>
      <c r="O304" s="51"/>
      <c r="P304" s="52"/>
    </row>
  </sheetData>
  <sheetProtection password="CFA8" sheet="1" objects="1" scenarios="1" selectLockedCells="1"/>
  <mergeCells count="1">
    <mergeCell ref="D1:P1"/>
  </mergeCells>
  <phoneticPr fontId="0" type="noConversion"/>
  <pageMargins left="0.25" right="0.25" top="0.75" bottom="0.75" header="0.3" footer="0.3"/>
  <pageSetup paperSize="9" orientation="landscape" horizontalDpi="4294967293" verticalDpi="4294967293"/>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sheetPr codeName="Feuil6" enableFormatConditionsCalculation="0"/>
  <dimension ref="B1:S304"/>
  <sheetViews>
    <sheetView tabSelected="1" workbookViewId="0">
      <pane ySplit="3" topLeftCell="A4" activePane="bottomLeft" state="frozen"/>
      <selection activeCell="C1" sqref="C1"/>
      <selection pane="bottomLeft" activeCell="H5" sqref="H5"/>
    </sheetView>
  </sheetViews>
  <sheetFormatPr baseColWidth="10" defaultRowHeight="15.75"/>
  <cols>
    <col min="1" max="1" width="9.42578125" customWidth="1"/>
    <col min="2" max="2" width="9" hidden="1" customWidth="1"/>
    <col min="3" max="3" width="12.28515625" style="33" hidden="1" customWidth="1"/>
    <col min="4" max="4" width="12.28515625" style="29" customWidth="1"/>
    <col min="5" max="5" width="15.140625" customWidth="1"/>
    <col min="6" max="6" width="11.85546875" customWidth="1"/>
    <col min="7" max="7" width="4.7109375" style="14" customWidth="1"/>
    <col min="8" max="8" width="9.42578125" style="14" customWidth="1"/>
    <col min="9" max="9" width="12.28515625" style="38" customWidth="1"/>
    <col min="10" max="13" width="12.28515625" customWidth="1"/>
    <col min="14" max="14" width="9.42578125" customWidth="1"/>
    <col min="15" max="15" width="9.42578125" style="2" customWidth="1"/>
    <col min="16" max="16" width="21.42578125" customWidth="1"/>
    <col min="17" max="17" width="4.140625" customWidth="1"/>
    <col min="19" max="20" width="10.85546875" customWidth="1"/>
  </cols>
  <sheetData>
    <row r="1" spans="2:19" ht="45" customHeight="1" thickBot="1">
      <c r="D1" s="189" t="s">
        <v>82</v>
      </c>
      <c r="E1" s="189"/>
      <c r="F1" s="189"/>
      <c r="G1" s="189"/>
      <c r="H1" s="189"/>
      <c r="I1" s="189"/>
      <c r="J1" s="189"/>
      <c r="K1" s="189"/>
      <c r="L1" s="189"/>
      <c r="M1" s="189"/>
      <c r="N1" s="189"/>
      <c r="O1" s="189"/>
      <c r="P1" s="189"/>
    </row>
    <row r="2" spans="2:19" ht="65.099999999999994" customHeight="1" thickBot="1">
      <c r="C2" s="128" t="s">
        <v>78</v>
      </c>
      <c r="D2" s="138" t="s">
        <v>1</v>
      </c>
      <c r="E2" s="139" t="s">
        <v>14</v>
      </c>
      <c r="F2" s="139" t="s">
        <v>25</v>
      </c>
      <c r="G2" s="139" t="s">
        <v>16</v>
      </c>
      <c r="H2" s="139" t="s">
        <v>0</v>
      </c>
      <c r="I2" s="135" t="s">
        <v>29</v>
      </c>
      <c r="J2" s="136" t="s">
        <v>22</v>
      </c>
      <c r="K2" s="136" t="s">
        <v>23</v>
      </c>
      <c r="L2" s="135" t="s">
        <v>24</v>
      </c>
      <c r="M2" s="139" t="s">
        <v>15</v>
      </c>
      <c r="N2" s="134" t="s">
        <v>43</v>
      </c>
      <c r="O2" s="137" t="s">
        <v>36</v>
      </c>
      <c r="P2" s="140" t="s">
        <v>37</v>
      </c>
    </row>
    <row r="3" spans="2:19" ht="41.1" customHeight="1" thickBot="1">
      <c r="C3" s="28" t="e">
        <f>IF(Coureurs!#REF!="","",Coureurs!#REF!)</f>
        <v>#REF!</v>
      </c>
      <c r="D3" s="125"/>
      <c r="E3" s="126"/>
      <c r="F3" s="156" t="s">
        <v>75</v>
      </c>
      <c r="G3" s="127"/>
      <c r="H3" s="126"/>
      <c r="I3" s="127"/>
      <c r="J3" s="157"/>
      <c r="K3" s="158"/>
      <c r="L3" s="159"/>
      <c r="M3" s="158"/>
      <c r="N3" s="158"/>
      <c r="O3" s="157"/>
      <c r="P3" s="160"/>
      <c r="S3" s="112"/>
    </row>
    <row r="4" spans="2:19" ht="21" hidden="1" customHeight="1">
      <c r="C4" s="28" t="str">
        <f>IF(Coureurs!C4="","",Coureurs!C4)</f>
        <v/>
      </c>
      <c r="D4" s="130" t="str">
        <f>IF(Coureurs!D4="","",Coureurs!D4)</f>
        <v/>
      </c>
      <c r="E4" s="97" t="str">
        <f>IF(Coureurs!F4="","",Coureurs!F4)</f>
        <v/>
      </c>
      <c r="F4" s="97" t="str">
        <f>IF(Coureurs!G4="","",Coureurs!G4)</f>
        <v/>
      </c>
      <c r="G4" s="96" t="str">
        <f>IF(Coureurs!J4="","",Coureurs!J4)</f>
        <v/>
      </c>
      <c r="H4" s="120"/>
      <c r="I4" s="121"/>
      <c r="J4" s="98" t="str">
        <f>IF(I4="PM","",IF(H4=0," ",I4-HLOOKUP('Course 4'!H4,'tab4'!$C$3:$N$4,2)))</f>
        <v xml:space="preserve"> </v>
      </c>
      <c r="K4" s="99" t="str">
        <f>IF(I4="PM","",IF(H4=0," ",J4/'Règles et points'!$F$23))</f>
        <v xml:space="preserve"> </v>
      </c>
      <c r="L4" s="100" t="str">
        <f>IF(H4=0,"",VLOOKUP(H4,'Règles et points'!$C$5:$AG$19,(HLOOKUP('Course 4'!C4,'Règles et points'!$C$5:$AG$5,1)+1)))</f>
        <v/>
      </c>
      <c r="M4" s="99">
        <f t="shared" ref="M4:M67" si="0">IF(I4="PM",0,IF(H4=0,0,L4-K4))+N4</f>
        <v>0</v>
      </c>
      <c r="N4" s="101"/>
      <c r="O4" s="102"/>
      <c r="P4" s="103"/>
      <c r="S4" s="112"/>
    </row>
    <row r="5" spans="2:19" ht="12.75">
      <c r="B5" s="14">
        <v>1</v>
      </c>
      <c r="C5" s="28">
        <f>IF(Coureurs!C5="","",Coureurs!C5)</f>
        <v>24</v>
      </c>
      <c r="D5" s="131" t="str">
        <f>IF(Coureurs!D5="","",Coureurs!D5)</f>
        <v>H40</v>
      </c>
      <c r="E5" s="87" t="str">
        <f>IF(Coureurs!F5="","",Coureurs!F5)</f>
        <v>GARDEUR</v>
      </c>
      <c r="F5" s="87" t="str">
        <f>IF(Coureurs!G5="","",Coureurs!G5)</f>
        <v>Julien</v>
      </c>
      <c r="G5" s="50">
        <f>IF(Coureurs!J5="","",Coureurs!J5)</f>
        <v>35002</v>
      </c>
      <c r="H5" s="108"/>
      <c r="I5" s="40"/>
      <c r="J5" s="8" t="str">
        <f>IF(I5="PM","",IF(H5=0," ",I5-HLOOKUP('Course 4'!H5,'tab4'!$C$3:$N$4,2)))</f>
        <v xml:space="preserve"> </v>
      </c>
      <c r="K5" s="23" t="str">
        <f>IF(I5="PM","",IF(H5=0," ",J5/'Règles et points'!$F$23))</f>
        <v xml:space="preserve"> </v>
      </c>
      <c r="L5" s="3" t="str">
        <f>IF(H5=0,"",VLOOKUP(H5,'Règles et points'!$C$5:$AG$19,(HLOOKUP('Course 4'!C5,'Règles et points'!$C$5:$AG$5,1)+1)))</f>
        <v/>
      </c>
      <c r="M5" s="23">
        <f t="shared" si="0"/>
        <v>0</v>
      </c>
      <c r="N5" s="80"/>
      <c r="O5" s="51"/>
      <c r="P5" s="52"/>
    </row>
    <row r="6" spans="2:19" ht="12.75">
      <c r="B6" s="14">
        <v>2</v>
      </c>
      <c r="C6" s="28">
        <f>IF(Coureurs!C6="","",Coureurs!C6)</f>
        <v>26</v>
      </c>
      <c r="D6" s="131" t="str">
        <f>IF(Coureurs!D6="","",Coureurs!D6)</f>
        <v>H50</v>
      </c>
      <c r="E6" s="87" t="str">
        <f>IF(Coureurs!F6="","",Coureurs!F6)</f>
        <v>TOUSSAINT</v>
      </c>
      <c r="F6" s="87" t="str">
        <f>IF(Coureurs!G6="","",Coureurs!G6)</f>
        <v>Stéphane</v>
      </c>
      <c r="G6" s="50">
        <f>IF(Coureurs!J6="","",Coureurs!J6)</f>
        <v>1770314</v>
      </c>
      <c r="H6" s="25"/>
      <c r="I6" s="40"/>
      <c r="J6" s="8" t="str">
        <f>IF(I6="PM","",IF(H6=0," ",I6-HLOOKUP('Course 4'!H6,'tab4'!$C$3:$N$4,2)))</f>
        <v xml:space="preserve"> </v>
      </c>
      <c r="K6" s="23" t="str">
        <f>IF(I6="PM","",IF(H6=0," ",J6/'Règles et points'!$F$23))</f>
        <v xml:space="preserve"> </v>
      </c>
      <c r="L6" s="3" t="str">
        <f>IF(H6=0,"",VLOOKUP(H6,'Règles et points'!$C$5:$AG$19,(HLOOKUP('Course 4'!C6,'Règles et points'!$C$5:$AG$5,1)+1)))</f>
        <v/>
      </c>
      <c r="M6" s="23">
        <f t="shared" si="0"/>
        <v>0</v>
      </c>
      <c r="N6" s="80"/>
      <c r="O6" s="51"/>
      <c r="P6" s="52"/>
    </row>
    <row r="7" spans="2:19" ht="12.75">
      <c r="B7" s="14">
        <v>3</v>
      </c>
      <c r="C7" s="28">
        <f>IF(Coureurs!C7="","",Coureurs!C7)</f>
        <v>25</v>
      </c>
      <c r="D7" s="131" t="str">
        <f>IF(Coureurs!D7="","",Coureurs!D7)</f>
        <v>H45</v>
      </c>
      <c r="E7" s="87" t="str">
        <f>IF(Coureurs!F7="","",Coureurs!F7)</f>
        <v>VANNIER</v>
      </c>
      <c r="F7" s="87" t="str">
        <f>IF(Coureurs!G7="","",Coureurs!G7)</f>
        <v>Fabrice</v>
      </c>
      <c r="G7" s="50">
        <f>IF(Coureurs!J7="","",Coureurs!J7)</f>
        <v>1770320</v>
      </c>
      <c r="H7" s="106"/>
      <c r="I7" s="40"/>
      <c r="J7" s="8" t="str">
        <f>IF(I7="PM","",IF(H7=0," ",I7-HLOOKUP('Course 4'!H7,'tab4'!$C$3:$N$4,2)))</f>
        <v xml:space="preserve"> </v>
      </c>
      <c r="K7" s="23" t="str">
        <f>IF(I7="PM","",IF(H7=0," ",J7/'Règles et points'!$F$23))</f>
        <v xml:space="preserve"> </v>
      </c>
      <c r="L7" s="3" t="str">
        <f>IF(H7=0,"",VLOOKUP(H7,'Règles et points'!$C$5:$AG$19,(HLOOKUP('Course 4'!C7,'Règles et points'!$C$5:$AG$5,1)+1)))</f>
        <v/>
      </c>
      <c r="M7" s="23">
        <f t="shared" si="0"/>
        <v>0</v>
      </c>
      <c r="N7" s="80"/>
      <c r="O7" s="51"/>
      <c r="P7" s="52"/>
    </row>
    <row r="8" spans="2:19" ht="12.75">
      <c r="B8" s="14">
        <v>4</v>
      </c>
      <c r="C8" s="28">
        <f>IF(Coureurs!C8="","",Coureurs!C8)</f>
        <v>30</v>
      </c>
      <c r="D8" s="131" t="str">
        <f>IF(Coureurs!D8="","",Coureurs!D8)</f>
        <v>H70</v>
      </c>
      <c r="E8" s="87" t="str">
        <f>IF(Coureurs!F8="","",Coureurs!F8)</f>
        <v>HAMON</v>
      </c>
      <c r="F8" s="87" t="str">
        <f>IF(Coureurs!G8="","",Coureurs!G8)</f>
        <v>Patrick</v>
      </c>
      <c r="G8" s="50">
        <f>IF(Coureurs!J8="","",Coureurs!J8)</f>
        <v>9001020</v>
      </c>
      <c r="H8" s="25"/>
      <c r="I8" s="40"/>
      <c r="J8" s="8" t="str">
        <f>IF(I8="PM","",IF(H8=0," ",I8-HLOOKUP('Course 4'!H8,'tab4'!$C$3:$N$4,2)))</f>
        <v xml:space="preserve"> </v>
      </c>
      <c r="K8" s="23" t="str">
        <f>IF(I8="PM","",IF(H8=0," ",J8/'Règles et points'!$F$23))</f>
        <v xml:space="preserve"> </v>
      </c>
      <c r="L8" s="3" t="str">
        <f>IF(H8=0,"",VLOOKUP(H8,'Règles et points'!$C$5:$AG$19,(HLOOKUP('Course 4'!C8,'Règles et points'!$C$5:$AG$5,1)+1)))</f>
        <v/>
      </c>
      <c r="M8" s="23">
        <f t="shared" si="0"/>
        <v>0</v>
      </c>
      <c r="N8" s="80"/>
      <c r="O8" s="40"/>
      <c r="P8" s="52"/>
    </row>
    <row r="9" spans="2:19" ht="12.75">
      <c r="B9" s="14">
        <v>5</v>
      </c>
      <c r="C9" s="28">
        <f>IF(Coureurs!C9="","",Coureurs!C9)</f>
        <v>27</v>
      </c>
      <c r="D9" s="131" t="str">
        <f>IF(Coureurs!D9="","",Coureurs!D9)</f>
        <v>H55</v>
      </c>
      <c r="E9" s="87" t="str">
        <f>IF(Coureurs!F9="","",Coureurs!F9)</f>
        <v>GILLARD</v>
      </c>
      <c r="F9" s="87" t="str">
        <f>IF(Coureurs!G9="","",Coureurs!G9)</f>
        <v>Hugues</v>
      </c>
      <c r="G9" s="50">
        <f>IF(Coureurs!J9="","",Coureurs!J9)</f>
        <v>1000717</v>
      </c>
      <c r="H9" s="106"/>
      <c r="I9" s="40"/>
      <c r="J9" s="8" t="str">
        <f>IF(I9="PM","",IF(H9=0," ",I9-HLOOKUP('Course 4'!H9,'tab4'!$C$3:$N$4,2)))</f>
        <v xml:space="preserve"> </v>
      </c>
      <c r="K9" s="23" t="str">
        <f>IF(I9="PM","",IF(H9=0," ",J9/'Règles et points'!$F$23))</f>
        <v xml:space="preserve"> </v>
      </c>
      <c r="L9" s="3" t="str">
        <f>IF(H9=0,"",VLOOKUP(H9,'Règles et points'!$C$5:$AG$19,(HLOOKUP('Course 4'!C9,'Règles et points'!$C$5:$AG$5,1)+1)))</f>
        <v/>
      </c>
      <c r="M9" s="23">
        <f t="shared" si="0"/>
        <v>0</v>
      </c>
      <c r="N9" s="80"/>
      <c r="O9" s="40"/>
      <c r="P9" s="52"/>
      <c r="S9" s="34"/>
    </row>
    <row r="10" spans="2:19" ht="12.75">
      <c r="B10" s="14">
        <v>6</v>
      </c>
      <c r="C10" s="28">
        <f>IF(Coureurs!C10="","",Coureurs!C10)</f>
        <v>11</v>
      </c>
      <c r="D10" s="131" t="str">
        <f>IF(Coureurs!D10="","",Coureurs!D10)</f>
        <v>D50</v>
      </c>
      <c r="E10" s="87" t="str">
        <f>IF(Coureurs!F10="","",Coureurs!F10)</f>
        <v>OLIVIER</v>
      </c>
      <c r="F10" s="87" t="str">
        <f>IF(Coureurs!G10="","",Coureurs!G10)</f>
        <v>Sandra</v>
      </c>
      <c r="G10" s="50">
        <f>IF(Coureurs!J10="","",Coureurs!J10)</f>
        <v>8001980</v>
      </c>
      <c r="H10" s="25"/>
      <c r="I10" s="40"/>
      <c r="J10" s="8" t="str">
        <f>IF(I10="PM","",IF(H10=0," ",I10-HLOOKUP('Course 4'!H10,'tab4'!$C$3:$N$4,2)))</f>
        <v xml:space="preserve"> </v>
      </c>
      <c r="K10" s="23" t="str">
        <f>IF(I10="PM","",IF(H10=0," ",J10/'Règles et points'!$F$23))</f>
        <v xml:space="preserve"> </v>
      </c>
      <c r="L10" s="3" t="str">
        <f>IF(H10=0,"",VLOOKUP(H10,'Règles et points'!$C$5:$AG$19,(HLOOKUP('Course 4'!C10,'Règles et points'!$C$5:$AG$5,1)+1)))</f>
        <v/>
      </c>
      <c r="M10" s="23">
        <f t="shared" si="0"/>
        <v>0</v>
      </c>
      <c r="N10" s="80"/>
      <c r="O10" s="51"/>
      <c r="P10" s="52"/>
      <c r="S10" s="34"/>
    </row>
    <row r="11" spans="2:19" ht="12.75">
      <c r="B11" s="14">
        <v>7</v>
      </c>
      <c r="C11" s="28">
        <f>IF(Coureurs!C11="","",Coureurs!C11)</f>
        <v>13</v>
      </c>
      <c r="D11" s="131" t="str">
        <f>IF(Coureurs!D11="","",Coureurs!D11)</f>
        <v>D60</v>
      </c>
      <c r="E11" s="87" t="str">
        <f>IF(Coureurs!F11="","",Coureurs!F11)</f>
        <v>MOLINIER</v>
      </c>
      <c r="F11" s="87" t="str">
        <f>IF(Coureurs!G11="","",Coureurs!G11)</f>
        <v>Frederique</v>
      </c>
      <c r="G11" s="50">
        <f>IF(Coureurs!J11="","",Coureurs!J11)</f>
        <v>1000979</v>
      </c>
      <c r="H11" s="25"/>
      <c r="I11" s="40"/>
      <c r="J11" s="8" t="str">
        <f>IF(I11="PM","",IF(H11=0," ",I11-HLOOKUP('Course 4'!H11,'tab4'!$C$3:$N$4,2)))</f>
        <v xml:space="preserve"> </v>
      </c>
      <c r="K11" s="23" t="str">
        <f>IF(I11="PM","",IF(H11=0," ",J11/'Règles et points'!$F$23))</f>
        <v xml:space="preserve"> </v>
      </c>
      <c r="L11" s="3" t="str">
        <f>IF(H11=0,"",VLOOKUP(H11,'Règles et points'!$C$5:$AG$19,(HLOOKUP('Course 4'!C11,'Règles et points'!$C$5:$AG$5,1)+1)))</f>
        <v/>
      </c>
      <c r="M11" s="23">
        <f t="shared" si="0"/>
        <v>0</v>
      </c>
      <c r="N11" s="80"/>
      <c r="O11" s="51"/>
      <c r="P11" s="52"/>
    </row>
    <row r="12" spans="2:19" ht="12.75">
      <c r="B12" s="14">
        <v>8</v>
      </c>
      <c r="C12" s="28">
        <f>IF(Coureurs!C12="","",Coureurs!C12)</f>
        <v>7</v>
      </c>
      <c r="D12" s="131" t="str">
        <f>IF(Coureurs!D12="","",Coureurs!D12)</f>
        <v>D21</v>
      </c>
      <c r="E12" s="87" t="str">
        <f>IF(Coureurs!F12="","",Coureurs!F12)</f>
        <v>MOLINIER</v>
      </c>
      <c r="F12" s="87" t="str">
        <f>IF(Coureurs!G12="","",Coureurs!G12)</f>
        <v>Caroline</v>
      </c>
      <c r="G12" s="50">
        <f>IF(Coureurs!J12="","",Coureurs!J12)</f>
        <v>31320</v>
      </c>
      <c r="H12" s="25"/>
      <c r="I12" s="40"/>
      <c r="J12" s="8" t="str">
        <f>IF(I12="PM","",IF(H12=0," ",I12-HLOOKUP('Course 4'!H12,'tab4'!$C$3:$N$4,2)))</f>
        <v xml:space="preserve"> </v>
      </c>
      <c r="K12" s="23" t="str">
        <f>IF(I12="PM","",IF(H12=0," ",J12/'Règles et points'!$F$23))</f>
        <v xml:space="preserve"> </v>
      </c>
      <c r="L12" s="3" t="str">
        <f>IF(H12=0,"",VLOOKUP(H12,'Règles et points'!$C$5:$AG$19,(HLOOKUP('Course 4'!C12,'Règles et points'!$C$5:$AG$5,1)+1)))</f>
        <v/>
      </c>
      <c r="M12" s="23">
        <f t="shared" si="0"/>
        <v>0</v>
      </c>
      <c r="N12" s="80"/>
      <c r="O12" s="51"/>
      <c r="P12" s="52"/>
    </row>
    <row r="13" spans="2:19" ht="12.75">
      <c r="B13" s="14">
        <v>9</v>
      </c>
      <c r="C13" s="28">
        <f>IF(Coureurs!C13="","",Coureurs!C13)</f>
        <v>28</v>
      </c>
      <c r="D13" s="131" t="str">
        <f>IF(Coureurs!D13="","",Coureurs!D13)</f>
        <v>H60</v>
      </c>
      <c r="E13" s="87" t="str">
        <f>IF(Coureurs!F13="","",Coureurs!F13)</f>
        <v>RORA</v>
      </c>
      <c r="F13" s="87" t="str">
        <f>IF(Coureurs!G13="","",Coureurs!G13)</f>
        <v>Jose</v>
      </c>
      <c r="G13" s="50">
        <f>IF(Coureurs!J13="","",Coureurs!J13)</f>
        <v>8077060</v>
      </c>
      <c r="H13" s="25"/>
      <c r="I13" s="40"/>
      <c r="J13" s="8" t="str">
        <f>IF(I13="PM","",IF(H13=0," ",I13-HLOOKUP('Course 4'!H13,'tab4'!$C$3:$N$4,2)))</f>
        <v xml:space="preserve"> </v>
      </c>
      <c r="K13" s="23" t="str">
        <f>IF(I13="PM","",IF(H13=0," ",J13/'Règles et points'!$F$23))</f>
        <v xml:space="preserve"> </v>
      </c>
      <c r="L13" s="3" t="str">
        <f>IF(H13=0,"",VLOOKUP(H13,'Règles et points'!$C$5:$AG$19,(HLOOKUP('Course 4'!C13,'Règles et points'!$C$5:$AG$5,1)+1)))</f>
        <v/>
      </c>
      <c r="M13" s="23">
        <f t="shared" si="0"/>
        <v>0</v>
      </c>
      <c r="N13" s="80"/>
      <c r="O13" s="51"/>
      <c r="P13" s="52"/>
    </row>
    <row r="14" spans="2:19" ht="12.75">
      <c r="B14" s="14">
        <v>10</v>
      </c>
      <c r="C14" s="28">
        <f>IF(Coureurs!C14="","",Coureurs!C14)</f>
        <v>12</v>
      </c>
      <c r="D14" s="131" t="str">
        <f>IF(Coureurs!D14="","",Coureurs!D14)</f>
        <v>D55</v>
      </c>
      <c r="E14" s="87" t="str">
        <f>IF(Coureurs!F14="","",Coureurs!F14)</f>
        <v>RORA</v>
      </c>
      <c r="F14" s="87" t="str">
        <f>IF(Coureurs!G14="","",Coureurs!G14)</f>
        <v>Isabelle</v>
      </c>
      <c r="G14" s="50">
        <f>IF(Coureurs!J14="","",Coureurs!J14)</f>
        <v>9771900</v>
      </c>
      <c r="H14" s="25"/>
      <c r="I14" s="40"/>
      <c r="J14" s="8" t="str">
        <f>IF(I14="PM","",IF(H14=0," ",I14-HLOOKUP('Course 4'!H14,'tab4'!$C$3:$N$4,2)))</f>
        <v xml:space="preserve"> </v>
      </c>
      <c r="K14" s="23" t="str">
        <f>IF(I14="PM","",IF(H14=0," ",J14/'Règles et points'!$F$23))</f>
        <v xml:space="preserve"> </v>
      </c>
      <c r="L14" s="3" t="str">
        <f>IF(H14=0,"",VLOOKUP(H14,'Règles et points'!$C$5:$AG$19,(HLOOKUP('Course 4'!C14,'Règles et points'!$C$5:$AG$5,1)+1)))</f>
        <v/>
      </c>
      <c r="M14" s="23">
        <f t="shared" si="0"/>
        <v>0</v>
      </c>
      <c r="N14" s="80"/>
      <c r="O14" s="51"/>
      <c r="P14" s="52"/>
    </row>
    <row r="15" spans="2:19" ht="12.75">
      <c r="B15" s="14">
        <v>11</v>
      </c>
      <c r="C15" s="28">
        <f>IF(Coureurs!C15="","",Coureurs!C15)</f>
        <v>29</v>
      </c>
      <c r="D15" s="131" t="str">
        <f>IF(Coureurs!D15="","",Coureurs!D15)</f>
        <v>H65</v>
      </c>
      <c r="E15" s="87" t="str">
        <f>IF(Coureurs!F15="","",Coureurs!F15)</f>
        <v>PERSE</v>
      </c>
      <c r="F15" s="87" t="str">
        <f>IF(Coureurs!G15="","",Coureurs!G15)</f>
        <v>Philippe</v>
      </c>
      <c r="G15" s="50">
        <f>IF(Coureurs!J15="","",Coureurs!J15)</f>
        <v>355162</v>
      </c>
      <c r="H15" s="106"/>
      <c r="I15" s="40"/>
      <c r="J15" s="8" t="str">
        <f>IF(I15="PM","",IF(H15=0," ",I15-HLOOKUP('Course 4'!H15,'tab4'!$C$3:$N$4,2)))</f>
        <v xml:space="preserve"> </v>
      </c>
      <c r="K15" s="23" t="str">
        <f>IF(I15="PM","",IF(H15=0," ",J15/'Règles et points'!$F$23))</f>
        <v xml:space="preserve"> </v>
      </c>
      <c r="L15" s="3" t="str">
        <f>IF(H15=0,"",VLOOKUP(H15,'Règles et points'!$C$5:$AG$19,(HLOOKUP('Course 4'!C15,'Règles et points'!$C$5:$AG$5,1)+1)))</f>
        <v/>
      </c>
      <c r="M15" s="23">
        <f t="shared" si="0"/>
        <v>0</v>
      </c>
      <c r="N15" s="80"/>
      <c r="O15" s="51"/>
      <c r="P15" s="52"/>
    </row>
    <row r="16" spans="2:19" ht="12.75">
      <c r="B16" s="14">
        <v>12</v>
      </c>
      <c r="C16" s="28">
        <f>IF(Coureurs!C16="","",Coureurs!C16)</f>
        <v>30</v>
      </c>
      <c r="D16" s="131" t="str">
        <f>IF(Coureurs!D16="","",Coureurs!D16)</f>
        <v>H70</v>
      </c>
      <c r="E16" s="87" t="str">
        <f>IF(Coureurs!F16="","",Coureurs!F16)</f>
        <v>DENIAU</v>
      </c>
      <c r="F16" s="87" t="str">
        <f>IF(Coureurs!G16="","",Coureurs!G16)</f>
        <v>Alain</v>
      </c>
      <c r="G16" s="50">
        <f>IF(Coureurs!J16="","",Coureurs!J16)</f>
        <v>304383</v>
      </c>
      <c r="H16" s="106"/>
      <c r="I16" s="40"/>
      <c r="J16" s="8" t="str">
        <f>IF(I16="PM","",IF(H16=0," ",I16-HLOOKUP('Course 4'!H16,'tab4'!$C$3:$N$4,2)))</f>
        <v xml:space="preserve"> </v>
      </c>
      <c r="K16" s="23" t="str">
        <f>IF(I16="PM","",IF(H16=0," ",J16/'Règles et points'!$F$23))</f>
        <v xml:space="preserve"> </v>
      </c>
      <c r="L16" s="3" t="str">
        <f>IF(H16=0,"",VLOOKUP(H16,'Règles et points'!$C$5:$AG$19,(HLOOKUP('Course 4'!C16,'Règles et points'!$C$5:$AG$5,1)+1)))</f>
        <v/>
      </c>
      <c r="M16" s="23">
        <f t="shared" si="0"/>
        <v>0</v>
      </c>
      <c r="N16" s="80"/>
      <c r="O16" s="51"/>
      <c r="P16" s="52"/>
    </row>
    <row r="17" spans="2:16" ht="12.75">
      <c r="B17" s="14">
        <v>13</v>
      </c>
      <c r="C17" s="28">
        <f>IF(Coureurs!C17="","",Coureurs!C17)</f>
        <v>10</v>
      </c>
      <c r="D17" s="131" t="str">
        <f>IF(Coureurs!D17="","",Coureurs!D17)</f>
        <v>D45</v>
      </c>
      <c r="E17" s="87" t="str">
        <f>IF(Coureurs!F17="","",Coureurs!F17)</f>
        <v>LAGRANGE</v>
      </c>
      <c r="F17" s="87" t="str">
        <f>IF(Coureurs!G17="","",Coureurs!G17)</f>
        <v>Florence</v>
      </c>
      <c r="G17" s="50">
        <f>IF(Coureurs!J17="","",Coureurs!J17)</f>
        <v>9877777</v>
      </c>
      <c r="H17" s="25"/>
      <c r="I17" s="40"/>
      <c r="J17" s="8" t="str">
        <f>IF(I17="PM","",IF(H17=0," ",I17-HLOOKUP('Course 4'!H17,'tab4'!$C$3:$N$4,2)))</f>
        <v xml:space="preserve"> </v>
      </c>
      <c r="K17" s="23" t="str">
        <f>IF(I17="PM","",IF(H17=0," ",J17/'Règles et points'!$F$23))</f>
        <v xml:space="preserve"> </v>
      </c>
      <c r="L17" s="3" t="str">
        <f>IF(H17=0,"",VLOOKUP(H17,'Règles et points'!$C$5:$AG$19,(HLOOKUP('Course 4'!C17,'Règles et points'!$C$5:$AG$5,1)+1)))</f>
        <v/>
      </c>
      <c r="M17" s="23">
        <f t="shared" si="0"/>
        <v>0</v>
      </c>
      <c r="N17" s="80"/>
      <c r="O17" s="51"/>
      <c r="P17" s="52"/>
    </row>
    <row r="18" spans="2:16" ht="12.75">
      <c r="B18" s="14">
        <v>14</v>
      </c>
      <c r="C18" s="28">
        <f>IF(Coureurs!C18="","",Coureurs!C18)</f>
        <v>27</v>
      </c>
      <c r="D18" s="131" t="str">
        <f>IF(Coureurs!D18="","",Coureurs!D18)</f>
        <v>H55</v>
      </c>
      <c r="E18" s="87" t="str">
        <f>IF(Coureurs!F18="","",Coureurs!F18)</f>
        <v>FINAUD-GUYOT</v>
      </c>
      <c r="F18" s="87" t="str">
        <f>IF(Coureurs!G18="","",Coureurs!G18)</f>
        <v>Lionel</v>
      </c>
      <c r="G18" s="50">
        <f>IF(Coureurs!J18="","",Coureurs!J18)</f>
        <v>229141</v>
      </c>
      <c r="H18" s="25"/>
      <c r="I18" s="40"/>
      <c r="J18" s="8" t="str">
        <f>IF(I18="PM","",IF(H18=0," ",I18-HLOOKUP('Course 4'!H18,'tab4'!$C$3:$N$4,2)))</f>
        <v xml:space="preserve"> </v>
      </c>
      <c r="K18" s="23" t="str">
        <f>IF(I18="PM","",IF(H18=0," ",J18/'Règles et points'!$F$23))</f>
        <v xml:space="preserve"> </v>
      </c>
      <c r="L18" s="3" t="str">
        <f>IF(H18=0,"",VLOOKUP(H18,'Règles et points'!$C$5:$AG$19,(HLOOKUP('Course 4'!C18,'Règles et points'!$C$5:$AG$5,1)+1)))</f>
        <v/>
      </c>
      <c r="M18" s="23">
        <f t="shared" si="0"/>
        <v>0</v>
      </c>
      <c r="N18" s="80"/>
      <c r="O18" s="51"/>
      <c r="P18" s="52"/>
    </row>
    <row r="19" spans="2:16" ht="12.75">
      <c r="B19" s="14">
        <v>15</v>
      </c>
      <c r="C19" s="28">
        <f>IF(Coureurs!C19="","",Coureurs!C19)</f>
        <v>28</v>
      </c>
      <c r="D19" s="131" t="str">
        <f>IF(Coureurs!D19="","",Coureurs!D19)</f>
        <v>H60</v>
      </c>
      <c r="E19" s="87" t="str">
        <f>IF(Coureurs!F19="","",Coureurs!F19)</f>
        <v>ADOLPHE</v>
      </c>
      <c r="F19" s="87" t="str">
        <f>IF(Coureurs!G19="","",Coureurs!G19)</f>
        <v>Philippe</v>
      </c>
      <c r="G19" s="50">
        <f>IF(Coureurs!J19="","",Coureurs!J19)</f>
        <v>8091800</v>
      </c>
      <c r="H19" s="106"/>
      <c r="I19" s="40"/>
      <c r="J19" s="8" t="str">
        <f>IF(I19="PM","",IF(H19=0," ",I19-HLOOKUP('Course 4'!H19,'tab4'!$C$3:$N$4,2)))</f>
        <v xml:space="preserve"> </v>
      </c>
      <c r="K19" s="23" t="str">
        <f>IF(I19="PM","",IF(H19=0," ",J19/'Règles et points'!$F$23))</f>
        <v xml:space="preserve"> </v>
      </c>
      <c r="L19" s="3" t="str">
        <f>IF(H19=0,"",VLOOKUP(H19,'Règles et points'!$C$5:$AG$19,(HLOOKUP('Course 4'!C19,'Règles et points'!$C$5:$AG$5,1)+1)))</f>
        <v/>
      </c>
      <c r="M19" s="23">
        <f t="shared" si="0"/>
        <v>0</v>
      </c>
      <c r="N19" s="80"/>
      <c r="O19" s="40"/>
      <c r="P19" s="52"/>
    </row>
    <row r="20" spans="2:16" ht="12.75">
      <c r="B20" s="14">
        <v>16</v>
      </c>
      <c r="C20" s="28">
        <f>IF(Coureurs!C20="","",Coureurs!C20)</f>
        <v>28</v>
      </c>
      <c r="D20" s="131" t="str">
        <f>IF(Coureurs!D20="","",Coureurs!D20)</f>
        <v>H60</v>
      </c>
      <c r="E20" s="87" t="str">
        <f>IF(Coureurs!F20="","",Coureurs!F20)</f>
        <v>LECONTE</v>
      </c>
      <c r="F20" s="87" t="str">
        <f>IF(Coureurs!G20="","",Coureurs!G20)</f>
        <v>Gilbert</v>
      </c>
      <c r="G20" s="50">
        <f>IF(Coureurs!J20="","",Coureurs!J20)</f>
        <v>9601555</v>
      </c>
      <c r="H20" s="110"/>
      <c r="I20" s="40"/>
      <c r="J20" s="8" t="str">
        <f>IF(I20="PM","",IF(H20=0," ",I20-HLOOKUP('Course 4'!H20,'tab4'!$C$3:$N$4,2)))</f>
        <v xml:space="preserve"> </v>
      </c>
      <c r="K20" s="23" t="str">
        <f>IF(I20="PM","",IF(H20=0," ",J20/'Règles et points'!$F$23))</f>
        <v xml:space="preserve"> </v>
      </c>
      <c r="L20" s="3" t="str">
        <f>IF(H20=0,"",VLOOKUP(H20,'Règles et points'!$C$5:$AG$19,(HLOOKUP('Course 4'!C20,'Règles et points'!$C$5:$AG$5,1)+1)))</f>
        <v/>
      </c>
      <c r="M20" s="23">
        <f t="shared" si="0"/>
        <v>0</v>
      </c>
      <c r="N20" s="80"/>
      <c r="O20" s="51"/>
      <c r="P20" s="52"/>
    </row>
    <row r="21" spans="2:16" ht="12.75">
      <c r="B21" s="14">
        <v>17</v>
      </c>
      <c r="C21" s="28">
        <f>IF(Coureurs!C21="","",Coureurs!C21)</f>
        <v>13</v>
      </c>
      <c r="D21" s="131" t="str">
        <f>IF(Coureurs!D21="","",Coureurs!D21)</f>
        <v>D60</v>
      </c>
      <c r="E21" s="87" t="str">
        <f>IF(Coureurs!F21="","",Coureurs!F21)</f>
        <v>LECONTE</v>
      </c>
      <c r="F21" s="87" t="str">
        <f>IF(Coureurs!G21="","",Coureurs!G21)</f>
        <v>Sylvie</v>
      </c>
      <c r="G21" s="50">
        <f>IF(Coureurs!J21="","",Coureurs!J21)</f>
        <v>1000983</v>
      </c>
      <c r="H21" s="106"/>
      <c r="I21" s="40"/>
      <c r="J21" s="8" t="str">
        <f>IF(I21="PM","",IF(H21=0," ",I21-HLOOKUP('Course 4'!H21,'tab4'!$C$3:$N$4,2)))</f>
        <v xml:space="preserve"> </v>
      </c>
      <c r="K21" s="23" t="str">
        <f>IF(I21="PM","",IF(H21=0," ",J21/'Règles et points'!$F$23))</f>
        <v xml:space="preserve"> </v>
      </c>
      <c r="L21" s="3" t="str">
        <f>IF(H21=0,"",VLOOKUP(H21,'Règles et points'!$C$5:$AG$19,(HLOOKUP('Course 4'!C21,'Règles et points'!$C$5:$AG$5,1)+1)))</f>
        <v/>
      </c>
      <c r="M21" s="23">
        <f t="shared" si="0"/>
        <v>0</v>
      </c>
      <c r="N21" s="80"/>
      <c r="O21" s="51"/>
      <c r="P21" s="52"/>
    </row>
    <row r="22" spans="2:16" ht="12.75">
      <c r="B22" s="14">
        <v>18</v>
      </c>
      <c r="C22" s="28">
        <f>IF(Coureurs!C22="","",Coureurs!C22)</f>
        <v>8</v>
      </c>
      <c r="D22" s="131" t="str">
        <f>IF(Coureurs!D22="","",Coureurs!D22)</f>
        <v>D35</v>
      </c>
      <c r="E22" s="87" t="str">
        <f>IF(Coureurs!F22="","",Coureurs!F22)</f>
        <v>MEY</v>
      </c>
      <c r="F22" s="87" t="str">
        <f>IF(Coureurs!G22="","",Coureurs!G22)</f>
        <v>Milena</v>
      </c>
      <c r="G22" s="50">
        <f>IF(Coureurs!J22="","",Coureurs!J22)</f>
        <v>1986217</v>
      </c>
      <c r="H22" s="25"/>
      <c r="I22" s="40"/>
      <c r="J22" s="8" t="str">
        <f>IF(I22="PM","",IF(H22=0," ",I22-HLOOKUP('Course 4'!H22,'tab4'!$C$3:$N$4,2)))</f>
        <v xml:space="preserve"> </v>
      </c>
      <c r="K22" s="23" t="str">
        <f>IF(I22="PM","",IF(H22=0," ",J22/'Règles et points'!$F$23))</f>
        <v xml:space="preserve"> </v>
      </c>
      <c r="L22" s="3" t="str">
        <f>IF(H22=0,"",VLOOKUP(H22,'Règles et points'!$C$5:$AG$19,(HLOOKUP('Course 4'!C22,'Règles et points'!$C$5:$AG$5,1)+1)))</f>
        <v/>
      </c>
      <c r="M22" s="23">
        <f t="shared" si="0"/>
        <v>0</v>
      </c>
      <c r="N22" s="80"/>
      <c r="O22" s="51"/>
      <c r="P22" s="52"/>
    </row>
    <row r="23" spans="2:16" ht="12.75">
      <c r="B23" s="14">
        <v>19</v>
      </c>
      <c r="C23" s="28">
        <f>IF(Coureurs!C23="","",Coureurs!C23)</f>
        <v>22</v>
      </c>
      <c r="D23" s="131" t="str">
        <f>IF(Coureurs!D23="","",Coureurs!D23)</f>
        <v>H21</v>
      </c>
      <c r="E23" s="87" t="str">
        <f>IF(Coureurs!F23="","",Coureurs!F23)</f>
        <v>TOUSSAINT</v>
      </c>
      <c r="F23" s="87" t="str">
        <f>IF(Coureurs!G23="","",Coureurs!G23)</f>
        <v>Tom</v>
      </c>
      <c r="G23" s="50">
        <f>IF(Coureurs!J23="","",Coureurs!J23)</f>
        <v>1770313</v>
      </c>
      <c r="H23" s="25"/>
      <c r="I23" s="40"/>
      <c r="J23" s="8" t="str">
        <f>IF(I23="PM","",IF(H23=0," ",I23-HLOOKUP('Course 4'!H23,'tab4'!$C$3:$N$4,2)))</f>
        <v xml:space="preserve"> </v>
      </c>
      <c r="K23" s="23" t="str">
        <f>IF(I23="PM","",IF(H23=0," ",J23/'Règles et points'!$F$23))</f>
        <v xml:space="preserve"> </v>
      </c>
      <c r="L23" s="3" t="str">
        <f>IF(H23=0,"",VLOOKUP(H23,'Règles et points'!$C$5:$AG$19,(HLOOKUP('Course 4'!C23,'Règles et points'!$C$5:$AG$5,1)+1)))</f>
        <v/>
      </c>
      <c r="M23" s="23">
        <f t="shared" si="0"/>
        <v>0</v>
      </c>
      <c r="N23" s="80"/>
      <c r="O23" s="51"/>
      <c r="P23" s="52"/>
    </row>
    <row r="24" spans="2:16" ht="12.75">
      <c r="B24" s="14">
        <v>20</v>
      </c>
      <c r="C24" s="28">
        <f>IF(Coureurs!C24="","",Coureurs!C24)</f>
        <v>6</v>
      </c>
      <c r="D24" s="131" t="str">
        <f>IF(Coureurs!D24="","",Coureurs!D24)</f>
        <v>D20</v>
      </c>
      <c r="E24" s="87" t="str">
        <f>IF(Coureurs!F24="","",Coureurs!F24)</f>
        <v>TOUSSAINT</v>
      </c>
      <c r="F24" s="87" t="str">
        <f>IF(Coureurs!G24="","",Coureurs!G24)</f>
        <v>Perrine</v>
      </c>
      <c r="G24" s="50">
        <f>IF(Coureurs!J24="","",Coureurs!J24)</f>
        <v>8002045</v>
      </c>
      <c r="H24" s="106"/>
      <c r="I24" s="40"/>
      <c r="J24" s="8" t="str">
        <f>IF(I24="PM","",IF(H24=0," ",I24-HLOOKUP('Course 4'!H24,'tab4'!$C$3:$N$4,2)))</f>
        <v xml:space="preserve"> </v>
      </c>
      <c r="K24" s="23" t="str">
        <f>IF(I24="PM","",IF(H24=0," ",J24/'Règles et points'!$F$23))</f>
        <v xml:space="preserve"> </v>
      </c>
      <c r="L24" s="3" t="str">
        <f>IF(H24=0,"",VLOOKUP(H24,'Règles et points'!$C$5:$AG$19,(HLOOKUP('Course 4'!C24,'Règles et points'!$C$5:$AG$5,1)+1)))</f>
        <v/>
      </c>
      <c r="M24" s="23">
        <f t="shared" si="0"/>
        <v>0</v>
      </c>
      <c r="N24" s="80"/>
      <c r="O24" s="51"/>
      <c r="P24" s="52"/>
    </row>
    <row r="25" spans="2:16" ht="12.75">
      <c r="B25" s="14">
        <v>21</v>
      </c>
      <c r="C25" s="28">
        <f>IF(Coureurs!C25="","",Coureurs!C25)</f>
        <v>20</v>
      </c>
      <c r="D25" s="131" t="str">
        <f>IF(Coureurs!D25="","",Coureurs!D25)</f>
        <v>H18</v>
      </c>
      <c r="E25" s="87" t="str">
        <f>IF(Coureurs!F25="","",Coureurs!F25)</f>
        <v>GILLARD</v>
      </c>
      <c r="F25" s="87" t="str">
        <f>IF(Coureurs!G25="","",Coureurs!G25)</f>
        <v>Lucas</v>
      </c>
      <c r="G25" s="50">
        <f>IF(Coureurs!J25="","",Coureurs!J25)</f>
        <v>1000716</v>
      </c>
      <c r="H25" s="106"/>
      <c r="I25" s="107"/>
      <c r="J25" s="8" t="str">
        <f>IF(I25="PM","",IF(H25=0," ",I25-HLOOKUP('Course 4'!H25,'tab4'!$C$3:$N$4,2)))</f>
        <v xml:space="preserve"> </v>
      </c>
      <c r="K25" s="23" t="str">
        <f>IF(I25="PM","",IF(H25=0," ",J25/'Règles et points'!$F$23))</f>
        <v xml:space="preserve"> </v>
      </c>
      <c r="L25" s="3" t="str">
        <f>IF(H25=0,"",VLOOKUP(H25,'Règles et points'!$C$5:$AG$19,(HLOOKUP('Course 4'!C25,'Règles et points'!$C$5:$AG$5,1)+1)))</f>
        <v/>
      </c>
      <c r="M25" s="23">
        <f t="shared" si="0"/>
        <v>0</v>
      </c>
      <c r="N25" s="80"/>
      <c r="O25" s="51"/>
      <c r="P25" s="52"/>
    </row>
    <row r="26" spans="2:16" ht="12.75">
      <c r="B26" s="14">
        <v>22</v>
      </c>
      <c r="C26" s="28">
        <f>IF(Coureurs!C26="","",Coureurs!C26)</f>
        <v>11</v>
      </c>
      <c r="D26" s="131" t="str">
        <f>IF(Coureurs!D26="","",Coureurs!D26)</f>
        <v>D50</v>
      </c>
      <c r="E26" s="87" t="str">
        <f>IF(Coureurs!F26="","",Coureurs!F26)</f>
        <v>LEBLOIS</v>
      </c>
      <c r="F26" s="87" t="str">
        <f>IF(Coureurs!G26="","",Coureurs!G26)</f>
        <v>Delphine</v>
      </c>
      <c r="G26" s="50">
        <f>IF(Coureurs!J26="","",Coureurs!J26)</f>
        <v>2037864</v>
      </c>
      <c r="H26" s="25"/>
      <c r="I26" s="40"/>
      <c r="J26" s="8" t="str">
        <f>IF(I26="PM","",IF(H26=0," ",I26-HLOOKUP('Course 4'!H26,'tab4'!$C$3:$N$4,2)))</f>
        <v xml:space="preserve"> </v>
      </c>
      <c r="K26" s="23" t="str">
        <f>IF(I26="PM","",IF(H26=0," ",J26/'Règles et points'!$F$23))</f>
        <v xml:space="preserve"> </v>
      </c>
      <c r="L26" s="3" t="str">
        <f>IF(H26=0,"",VLOOKUP(H26,'Règles et points'!$C$5:$AG$19,(HLOOKUP('Course 4'!C26,'Règles et points'!$C$5:$AG$5,1)+1)))</f>
        <v/>
      </c>
      <c r="M26" s="23">
        <f t="shared" si="0"/>
        <v>0</v>
      </c>
      <c r="N26" s="80"/>
      <c r="O26" s="51"/>
      <c r="P26" s="52"/>
    </row>
    <row r="27" spans="2:16" ht="12.75">
      <c r="B27" s="14">
        <v>23</v>
      </c>
      <c r="C27" s="28">
        <f>IF(Coureurs!C27="","",Coureurs!C27)</f>
        <v>22</v>
      </c>
      <c r="D27" s="131" t="str">
        <f>IF(Coureurs!D27="","",Coureurs!D27)</f>
        <v>H21</v>
      </c>
      <c r="E27" s="87" t="str">
        <f>IF(Coureurs!F27="","",Coureurs!F27)</f>
        <v>FONTAINE</v>
      </c>
      <c r="F27" s="87" t="str">
        <f>IF(Coureurs!G27="","",Coureurs!G27)</f>
        <v>Valentin</v>
      </c>
      <c r="G27" s="50">
        <f>IF(Coureurs!J27="","",Coureurs!J27)</f>
        <v>7005132</v>
      </c>
      <c r="H27" s="106"/>
      <c r="I27" s="40"/>
      <c r="J27" s="8" t="str">
        <f>IF(I27="PM","",IF(H27=0," ",I27-HLOOKUP('Course 4'!H27,'tab4'!$C$3:$N$4,2)))</f>
        <v xml:space="preserve"> </v>
      </c>
      <c r="K27" s="23" t="str">
        <f>IF(I27="PM","",IF(H27=0," ",J27/'Règles et points'!$F$23))</f>
        <v xml:space="preserve"> </v>
      </c>
      <c r="L27" s="3" t="str">
        <f>IF(H27=0,"",VLOOKUP(H27,'Règles et points'!$C$5:$AG$19,(HLOOKUP('Course 4'!C27,'Règles et points'!$C$5:$AG$5,1)+1)))</f>
        <v/>
      </c>
      <c r="M27" s="23">
        <f t="shared" si="0"/>
        <v>0</v>
      </c>
      <c r="N27" s="80"/>
      <c r="O27" s="51"/>
      <c r="P27" s="52"/>
    </row>
    <row r="28" spans="2:16" ht="12.75">
      <c r="B28" s="14">
        <v>24</v>
      </c>
      <c r="C28" s="28">
        <f>IF(Coureurs!C28="","",Coureurs!C28)</f>
        <v>12</v>
      </c>
      <c r="D28" s="131" t="str">
        <f>IF(Coureurs!D28="","",Coureurs!D28)</f>
        <v>D55</v>
      </c>
      <c r="E28" s="87" t="str">
        <f>IF(Coureurs!F28="","",Coureurs!F28)</f>
        <v>FOUCHER</v>
      </c>
      <c r="F28" s="87" t="str">
        <f>IF(Coureurs!G28="","",Coureurs!G28)</f>
        <v>Marie</v>
      </c>
      <c r="G28" s="50">
        <f>IF(Coureurs!J28="","",Coureurs!J28)</f>
        <v>2026171</v>
      </c>
      <c r="H28" s="25"/>
      <c r="I28" s="40"/>
      <c r="J28" s="8" t="str">
        <f>IF(I28="PM","",IF(H28=0," ",I28-HLOOKUP('Course 4'!H28,'tab4'!$C$3:$N$4,2)))</f>
        <v xml:space="preserve"> </v>
      </c>
      <c r="K28" s="23" t="str">
        <f>IF(I28="PM","",IF(H28=0," ",J28/'Règles et points'!$F$23))</f>
        <v xml:space="preserve"> </v>
      </c>
      <c r="L28" s="3" t="str">
        <f>IF(H28=0,"",VLOOKUP(H28,'Règles et points'!$C$5:$AG$19,(HLOOKUP('Course 4'!C28,'Règles et points'!$C$5:$AG$5,1)+1)))</f>
        <v/>
      </c>
      <c r="M28" s="23">
        <f t="shared" si="0"/>
        <v>0</v>
      </c>
      <c r="N28" s="80"/>
      <c r="O28" s="51"/>
      <c r="P28" s="52"/>
    </row>
    <row r="29" spans="2:16" ht="12.75">
      <c r="B29" s="14">
        <v>25</v>
      </c>
      <c r="C29" s="28">
        <f>IF(Coureurs!C29="","",Coureurs!C29)</f>
        <v>24</v>
      </c>
      <c r="D29" s="131" t="str">
        <f>IF(Coureurs!D29="","",Coureurs!D29)</f>
        <v>H40</v>
      </c>
      <c r="E29" s="87" t="str">
        <f>IF(Coureurs!F29="","",Coureurs!F29)</f>
        <v>GUERIN</v>
      </c>
      <c r="F29" s="87" t="str">
        <f>IF(Coureurs!G29="","",Coureurs!G29)</f>
        <v>Fabien</v>
      </c>
      <c r="G29" s="50">
        <f>IF(Coureurs!J29="","",Coureurs!J29)</f>
        <v>2037868</v>
      </c>
      <c r="H29" s="25"/>
      <c r="I29" s="40"/>
      <c r="J29" s="8" t="str">
        <f>IF(I29="PM","",IF(H29=0," ",I29-HLOOKUP('Course 4'!H29,'tab4'!$C$3:$N$4,2)))</f>
        <v xml:space="preserve"> </v>
      </c>
      <c r="K29" s="23" t="str">
        <f>IF(I29="PM","",IF(H29=0," ",J29/'Règles et points'!$F$23))</f>
        <v xml:space="preserve"> </v>
      </c>
      <c r="L29" s="3" t="str">
        <f>IF(H29=0,"",VLOOKUP(H29,'Règles et points'!$C$5:$AG$19,(HLOOKUP('Course 4'!C29,'Règles et points'!$C$5:$AG$5,1)+1)))</f>
        <v/>
      </c>
      <c r="M29" s="23">
        <f t="shared" si="0"/>
        <v>0</v>
      </c>
      <c r="N29" s="80"/>
      <c r="O29" s="51"/>
      <c r="P29" s="52"/>
    </row>
    <row r="30" spans="2:16" ht="12.75">
      <c r="B30" s="14">
        <v>26</v>
      </c>
      <c r="C30" s="28">
        <f>IF(Coureurs!C30="","",Coureurs!C30)</f>
        <v>24</v>
      </c>
      <c r="D30" s="131" t="str">
        <f>IF(Coureurs!D30="","",Coureurs!D30)</f>
        <v>H40</v>
      </c>
      <c r="E30" s="87" t="str">
        <f>IF(Coureurs!F30="","",Coureurs!F30)</f>
        <v>BIARD</v>
      </c>
      <c r="F30" s="87" t="str">
        <f>IF(Coureurs!G30="","",Coureurs!G30)</f>
        <v>Michael</v>
      </c>
      <c r="G30" s="50">
        <f>IF(Coureurs!J30="","",Coureurs!J30)</f>
        <v>1967657</v>
      </c>
      <c r="H30" s="106"/>
      <c r="I30" s="40"/>
      <c r="J30" s="8" t="str">
        <f>IF(I30="PM","",IF(H30=0," ",I30-HLOOKUP('Course 4'!H30,'tab4'!$C$3:$N$4,2)))</f>
        <v xml:space="preserve"> </v>
      </c>
      <c r="K30" s="23" t="str">
        <f>IF(I30="PM","",IF(H30=0," ",J30/'Règles et points'!$F$23))</f>
        <v xml:space="preserve"> </v>
      </c>
      <c r="L30" s="3" t="str">
        <f>IF(H30=0,"",VLOOKUP(H30,'Règles et points'!$C$5:$AG$19,(HLOOKUP('Course 4'!C30,'Règles et points'!$C$5:$AG$5,1)+1)))</f>
        <v/>
      </c>
      <c r="M30" s="23">
        <f t="shared" si="0"/>
        <v>0</v>
      </c>
      <c r="N30" s="80"/>
      <c r="O30" s="51"/>
      <c r="P30" s="52"/>
    </row>
    <row r="31" spans="2:16" ht="12.75">
      <c r="B31" s="14">
        <v>27</v>
      </c>
      <c r="C31" s="28">
        <f>IF(Coureurs!C31="","",Coureurs!C31)</f>
        <v>18</v>
      </c>
      <c r="D31" s="131" t="str">
        <f>IF(Coureurs!D31="","",Coureurs!D31)</f>
        <v>H14</v>
      </c>
      <c r="E31" s="87" t="str">
        <f>IF(Coureurs!F31="","",Coureurs!F31)</f>
        <v>GUERINI</v>
      </c>
      <c r="F31" s="87" t="str">
        <f>IF(Coureurs!G31="","",Coureurs!G31)</f>
        <v>Robin</v>
      </c>
      <c r="G31" s="50">
        <f>IF(Coureurs!J31="","",Coureurs!J31)</f>
        <v>1018613</v>
      </c>
      <c r="H31" s="25"/>
      <c r="I31" s="40"/>
      <c r="J31" s="8" t="str">
        <f>IF(I31="PM","",IF(H31=0," ",I31-HLOOKUP('Course 4'!H31,'tab4'!$C$3:$N$4,2)))</f>
        <v xml:space="preserve"> </v>
      </c>
      <c r="K31" s="23" t="str">
        <f>IF(I31="PM","",IF(H31=0," ",J31/'Règles et points'!$F$23))</f>
        <v xml:space="preserve"> </v>
      </c>
      <c r="L31" s="3" t="str">
        <f>IF(H31=0,"",VLOOKUP(H31,'Règles et points'!$C$5:$AG$19,(HLOOKUP('Course 4'!C31,'Règles et points'!$C$5:$AG$5,1)+1)))</f>
        <v/>
      </c>
      <c r="M31" s="23">
        <f t="shared" si="0"/>
        <v>0</v>
      </c>
      <c r="N31" s="80"/>
      <c r="O31" s="51"/>
      <c r="P31" s="52"/>
    </row>
    <row r="32" spans="2:16" ht="12.75">
      <c r="B32" s="14">
        <v>28</v>
      </c>
      <c r="C32" s="28">
        <f>IF(Coureurs!C32="","",Coureurs!C32)</f>
        <v>4</v>
      </c>
      <c r="D32" s="131" t="str">
        <f>IF(Coureurs!D32="","",Coureurs!D32)</f>
        <v>D16</v>
      </c>
      <c r="E32" s="87" t="str">
        <f>IF(Coureurs!F32="","",Coureurs!F32)</f>
        <v>GUERINI</v>
      </c>
      <c r="F32" s="87" t="str">
        <f>IF(Coureurs!G32="","",Coureurs!G32)</f>
        <v>Alice</v>
      </c>
      <c r="G32" s="50">
        <f>IF(Coureurs!J32="","",Coureurs!J32)</f>
        <v>1508341</v>
      </c>
      <c r="H32" s="106"/>
      <c r="I32" s="40"/>
      <c r="J32" s="8" t="str">
        <f>IF(I32="PM","",IF(H32=0," ",I32-HLOOKUP('Course 4'!H32,'tab4'!$C$3:$N$4,2)))</f>
        <v xml:space="preserve"> </v>
      </c>
      <c r="K32" s="23" t="str">
        <f>IF(I32="PM","",IF(H32=0," ",J32/'Règles et points'!$F$23))</f>
        <v xml:space="preserve"> </v>
      </c>
      <c r="L32" s="3" t="str">
        <f>IF(H32=0,"",VLOOKUP(H32,'Règles et points'!$C$5:$AG$19,(HLOOKUP('Course 4'!C32,'Règles et points'!$C$5:$AG$5,1)+1)))</f>
        <v/>
      </c>
      <c r="M32" s="23">
        <f t="shared" si="0"/>
        <v>0</v>
      </c>
      <c r="N32" s="80"/>
      <c r="O32" s="51"/>
      <c r="P32" s="52"/>
    </row>
    <row r="33" spans="2:18" ht="12.75">
      <c r="B33" s="14">
        <v>29</v>
      </c>
      <c r="C33" s="28">
        <f>IF(Coureurs!C33="","",Coureurs!C33)</f>
        <v>9</v>
      </c>
      <c r="D33" s="131" t="str">
        <f>IF(Coureurs!D33="","",Coureurs!D33)</f>
        <v>D40</v>
      </c>
      <c r="E33" s="87" t="str">
        <f>IF(Coureurs!F33="","",Coureurs!F33)</f>
        <v>RINTJEMA</v>
      </c>
      <c r="F33" s="87" t="str">
        <f>IF(Coureurs!G33="","",Coureurs!G33)</f>
        <v>Carole</v>
      </c>
      <c r="G33" s="50">
        <f>IF(Coureurs!J33="","",Coureurs!J33)</f>
        <v>1017719</v>
      </c>
      <c r="H33" s="25"/>
      <c r="I33" s="40"/>
      <c r="J33" s="8" t="str">
        <f>IF(I33="PM","",IF(H33=0," ",I33-HLOOKUP('Course 4'!H33,'tab4'!$C$3:$N$4,2)))</f>
        <v xml:space="preserve"> </v>
      </c>
      <c r="K33" s="23" t="str">
        <f>IF(I33="PM","",IF(H33=0," ",J33/'Règles et points'!$F$23))</f>
        <v xml:space="preserve"> </v>
      </c>
      <c r="L33" s="3" t="str">
        <f>IF(H33=0,"",VLOOKUP(H33,'Règles et points'!$C$5:$AG$19,(HLOOKUP('Course 4'!C33,'Règles et points'!$C$5:$AG$5,1)+1)))</f>
        <v/>
      </c>
      <c r="M33" s="23">
        <f t="shared" si="0"/>
        <v>0</v>
      </c>
      <c r="N33" s="80"/>
      <c r="O33" s="51"/>
      <c r="P33" s="52"/>
    </row>
    <row r="34" spans="2:18" ht="12.75">
      <c r="B34" s="14">
        <v>30</v>
      </c>
      <c r="C34" s="28">
        <f>IF(Coureurs!C34="","",Coureurs!C34)</f>
        <v>19</v>
      </c>
      <c r="D34" s="131" t="str">
        <f>IF(Coureurs!D34="","",Coureurs!D34)</f>
        <v>H16</v>
      </c>
      <c r="E34" s="87" t="str">
        <f>IF(Coureurs!F34="","",Coureurs!F34)</f>
        <v>GARDETTE-POIRIER</v>
      </c>
      <c r="F34" s="87" t="str">
        <f>IF(Coureurs!G34="","",Coureurs!G34)</f>
        <v>Théodore</v>
      </c>
      <c r="G34" s="50" t="str">
        <f>IF(Coureurs!J34="","",Coureurs!J34)</f>
        <v/>
      </c>
      <c r="H34" s="25"/>
      <c r="I34" s="40"/>
      <c r="J34" s="8" t="str">
        <f>IF(I34="PM","",IF(H34=0," ",I34-HLOOKUP('Course 4'!H34,'tab4'!$C$3:$N$4,2)))</f>
        <v xml:space="preserve"> </v>
      </c>
      <c r="K34" s="23" t="str">
        <f>IF(I34="PM","",IF(H34=0," ",J34/'Règles et points'!$F$23))</f>
        <v xml:space="preserve"> </v>
      </c>
      <c r="L34" s="3" t="str">
        <f>IF(H34=0,"",VLOOKUP(H34,'Règles et points'!$C$5:$AG$19,(HLOOKUP('Course 4'!C34,'Règles et points'!$C$5:$AG$5,1)+1)))</f>
        <v/>
      </c>
      <c r="M34" s="23">
        <f t="shared" si="0"/>
        <v>0</v>
      </c>
      <c r="N34" s="80"/>
      <c r="O34" s="51"/>
      <c r="P34" s="52"/>
    </row>
    <row r="35" spans="2:18" ht="12.75">
      <c r="B35" s="14">
        <v>31</v>
      </c>
      <c r="C35" s="28">
        <f>IF(Coureurs!C35="","",Coureurs!C35)</f>
        <v>27</v>
      </c>
      <c r="D35" s="131" t="str">
        <f>IF(Coureurs!D35="","",Coureurs!D35)</f>
        <v>H55</v>
      </c>
      <c r="E35" s="87" t="str">
        <f>IF(Coureurs!F35="","",Coureurs!F35)</f>
        <v>ALBERT</v>
      </c>
      <c r="F35" s="87" t="str">
        <f>IF(Coureurs!G35="","",Coureurs!G35)</f>
        <v>Arnault</v>
      </c>
      <c r="G35" s="50" t="str">
        <f>IF(Coureurs!J35="","",Coureurs!J35)</f>
        <v/>
      </c>
      <c r="H35" s="25"/>
      <c r="I35" s="40"/>
      <c r="J35" s="8" t="str">
        <f>IF(I35="PM","",IF(H35=0," ",I35-HLOOKUP('Course 4'!H35,'tab4'!$C$3:$N$4,2)))</f>
        <v xml:space="preserve"> </v>
      </c>
      <c r="K35" s="23" t="str">
        <f>IF(I35="PM","",IF(H35=0," ",J35/'Règles et points'!$F$23))</f>
        <v xml:space="preserve"> </v>
      </c>
      <c r="L35" s="3" t="str">
        <f>IF(H35=0,"",VLOOKUP(H35,'Règles et points'!$C$5:$AG$19,(HLOOKUP('Course 4'!C35,'Règles et points'!$C$5:$AG$5,1)+1)))</f>
        <v/>
      </c>
      <c r="M35" s="23">
        <f t="shared" si="0"/>
        <v>0</v>
      </c>
      <c r="N35" s="80"/>
      <c r="O35" s="51"/>
      <c r="P35" s="52"/>
    </row>
    <row r="36" spans="2:18" ht="12.75">
      <c r="B36" s="14">
        <v>32</v>
      </c>
      <c r="C36" s="28">
        <f>IF(Coureurs!C36="","",Coureurs!C36)</f>
        <v>7</v>
      </c>
      <c r="D36" s="131" t="str">
        <f>IF(Coureurs!D36="","",Coureurs!D36)</f>
        <v>D21</v>
      </c>
      <c r="E36" s="87" t="str">
        <f>IF(Coureurs!F36="","",Coureurs!F36)</f>
        <v>AUDEFROY</v>
      </c>
      <c r="F36" s="87" t="str">
        <f>IF(Coureurs!G36="","",Coureurs!G36)</f>
        <v>Elsa</v>
      </c>
      <c r="G36" s="50">
        <f>IF(Coureurs!J36="","",Coureurs!J36)</f>
        <v>1001973</v>
      </c>
      <c r="H36" s="25"/>
      <c r="I36" s="40"/>
      <c r="J36" s="8" t="str">
        <f>IF(I36="PM","",IF(H36=0," ",I36-HLOOKUP('Course 4'!H36,'tab4'!$C$3:$N$4,2)))</f>
        <v xml:space="preserve"> </v>
      </c>
      <c r="K36" s="23" t="str">
        <f>IF(I36="PM","",IF(H36=0," ",J36/'Règles et points'!$F$23))</f>
        <v xml:space="preserve"> </v>
      </c>
      <c r="L36" s="3" t="str">
        <f>IF(H36=0,"",VLOOKUP(H36,'Règles et points'!$C$5:$AG$19,(HLOOKUP('Course 4'!C36,'Règles et points'!$C$5:$AG$5,1)+1)))</f>
        <v/>
      </c>
      <c r="M36" s="23">
        <f t="shared" si="0"/>
        <v>0</v>
      </c>
      <c r="N36" s="80"/>
      <c r="O36" s="51"/>
      <c r="P36" s="52"/>
    </row>
    <row r="37" spans="2:18" ht="12.75">
      <c r="B37" s="14">
        <v>33</v>
      </c>
      <c r="C37" s="28">
        <f>IF(Coureurs!C37="","",Coureurs!C37)</f>
        <v>25</v>
      </c>
      <c r="D37" s="131" t="str">
        <f>IF(Coureurs!D37="","",Coureurs!D37)</f>
        <v>H45</v>
      </c>
      <c r="E37" s="87" t="str">
        <f>IF(Coureurs!F37="","",Coureurs!F37)</f>
        <v>COIFFIER</v>
      </c>
      <c r="F37" s="87" t="str">
        <f>IF(Coureurs!G37="","",Coureurs!G37)</f>
        <v>Laurent</v>
      </c>
      <c r="G37" s="50">
        <f>IF(Coureurs!J37="","",Coureurs!J37)</f>
        <v>2800059</v>
      </c>
      <c r="H37" s="106"/>
      <c r="I37" s="40"/>
      <c r="J37" s="8" t="str">
        <f>IF(I37="PM","",IF(H37=0," ",I37-HLOOKUP('Course 4'!H37,'tab4'!$C$3:$N$4,2)))</f>
        <v xml:space="preserve"> </v>
      </c>
      <c r="K37" s="23" t="str">
        <f>IF(I37="PM","",IF(H37=0," ",J37/'Règles et points'!$F$23))</f>
        <v xml:space="preserve"> </v>
      </c>
      <c r="L37" s="3" t="str">
        <f>IF(H37=0,"",VLOOKUP(H37,'Règles et points'!$C$5:$AG$19,(HLOOKUP('Course 4'!C37,'Règles et points'!$C$5:$AG$5,1)+1)))</f>
        <v/>
      </c>
      <c r="M37" s="23">
        <f t="shared" si="0"/>
        <v>0</v>
      </c>
      <c r="N37" s="80"/>
      <c r="O37" s="51"/>
      <c r="P37" s="52"/>
    </row>
    <row r="38" spans="2:18" ht="12.75">
      <c r="B38" s="14">
        <v>34</v>
      </c>
      <c r="C38" s="28">
        <f>IF(Coureurs!C38="","",Coureurs!C38)</f>
        <v>18</v>
      </c>
      <c r="D38" s="131" t="str">
        <f>IF(Coureurs!D38="","",Coureurs!D38)</f>
        <v>H14</v>
      </c>
      <c r="E38" s="87" t="str">
        <f>IF(Coureurs!F38="","",Coureurs!F38)</f>
        <v>ANDRIEU-PHELEP</v>
      </c>
      <c r="F38" s="87" t="str">
        <f>IF(Coureurs!G38="","",Coureurs!G38)</f>
        <v>Titouan</v>
      </c>
      <c r="G38" s="50">
        <f>IF(Coureurs!J38="","",Coureurs!J38)</f>
        <v>2109543</v>
      </c>
      <c r="H38" s="25"/>
      <c r="I38" s="40"/>
      <c r="J38" s="8" t="str">
        <f>IF(I38="PM","",IF(H38=0," ",I38-HLOOKUP('Course 4'!H38,'tab4'!$C$3:$N$4,2)))</f>
        <v xml:space="preserve"> </v>
      </c>
      <c r="K38" s="23" t="str">
        <f>IF(I38="PM","",IF(H38=0," ",J38/'Règles et points'!$F$23))</f>
        <v xml:space="preserve"> </v>
      </c>
      <c r="L38" s="3" t="str">
        <f>IF(H38=0,"",VLOOKUP(H38,'Règles et points'!$C$5:$AG$19,(HLOOKUP('Course 4'!C38,'Règles et points'!$C$5:$AG$5,1)+1)))</f>
        <v/>
      </c>
      <c r="M38" s="23">
        <f t="shared" si="0"/>
        <v>0</v>
      </c>
      <c r="N38" s="80"/>
      <c r="O38" s="51"/>
      <c r="P38" s="52"/>
    </row>
    <row r="39" spans="2:18" ht="12.75">
      <c r="B39" s="14">
        <v>35</v>
      </c>
      <c r="C39" s="28">
        <f>IF(Coureurs!C39="","",Coureurs!C39)</f>
        <v>19</v>
      </c>
      <c r="D39" s="131" t="str">
        <f>IF(Coureurs!D39="","",Coureurs!D39)</f>
        <v>H16</v>
      </c>
      <c r="E39" s="87" t="str">
        <f>IF(Coureurs!F39="","",Coureurs!F39)</f>
        <v>TONDU</v>
      </c>
      <c r="F39" s="87" t="str">
        <f>IF(Coureurs!G39="","",Coureurs!G39)</f>
        <v>maxime</v>
      </c>
      <c r="G39" s="50">
        <f>IF(Coureurs!J39="","",Coureurs!J39)</f>
        <v>2109547</v>
      </c>
      <c r="H39" s="25"/>
      <c r="I39" s="40"/>
      <c r="J39" s="8" t="str">
        <f>IF(I39="PM","",IF(H39=0," ",I39-HLOOKUP('Course 4'!H39,'tab4'!$C$3:$N$4,2)))</f>
        <v xml:space="preserve"> </v>
      </c>
      <c r="K39" s="23" t="str">
        <f>IF(I39="PM","",IF(H39=0," ",J39/'Règles et points'!$F$23))</f>
        <v xml:space="preserve"> </v>
      </c>
      <c r="L39" s="3" t="str">
        <f>IF(H39=0,"",VLOOKUP(H39,'Règles et points'!$C$5:$AG$19,(HLOOKUP('Course 4'!C39,'Règles et points'!$C$5:$AG$5,1)+1)))</f>
        <v/>
      </c>
      <c r="M39" s="23">
        <f t="shared" si="0"/>
        <v>0</v>
      </c>
      <c r="N39" s="80"/>
      <c r="O39" s="51"/>
      <c r="P39" s="52"/>
    </row>
    <row r="40" spans="2:18" ht="12.75">
      <c r="B40" s="14">
        <v>36</v>
      </c>
      <c r="C40" s="28">
        <f>IF(Coureurs!C40="","",Coureurs!C40)</f>
        <v>19</v>
      </c>
      <c r="D40" s="131" t="str">
        <f>IF(Coureurs!D40="","",Coureurs!D40)</f>
        <v>H16</v>
      </c>
      <c r="E40" s="87" t="str">
        <f>IF(Coureurs!F40="","",Coureurs!F40)</f>
        <v>SNELLMAN</v>
      </c>
      <c r="F40" s="87" t="str">
        <f>IF(Coureurs!G40="","",Coureurs!G40)</f>
        <v>Max</v>
      </c>
      <c r="G40" s="50">
        <f>IF(Coureurs!J40="","",Coureurs!J40)</f>
        <v>9977252</v>
      </c>
      <c r="H40" s="106"/>
      <c r="I40" s="40"/>
      <c r="J40" s="8" t="str">
        <f>IF(I40="PM","",IF(H40=0," ",I40-HLOOKUP('Course 4'!H40,'tab4'!$C$3:$N$4,2)))</f>
        <v xml:space="preserve"> </v>
      </c>
      <c r="K40" s="23" t="str">
        <f>IF(I40="PM","",IF(H40=0," ",J40/'Règles et points'!$F$23))</f>
        <v xml:space="preserve"> </v>
      </c>
      <c r="L40" s="3" t="str">
        <f>IF(H40=0,"",VLOOKUP(H40,'Règles et points'!$C$5:$AG$19,(HLOOKUP('Course 4'!C40,'Règles et points'!$C$5:$AG$5,1)+1)))</f>
        <v/>
      </c>
      <c r="M40" s="23">
        <f t="shared" si="0"/>
        <v>0</v>
      </c>
      <c r="N40" s="80"/>
      <c r="O40" s="51"/>
      <c r="P40" s="52"/>
    </row>
    <row r="41" spans="2:18" ht="12.75">
      <c r="B41" s="14">
        <v>37</v>
      </c>
      <c r="C41" s="28">
        <f>IF(Coureurs!C41="","",Coureurs!C41)</f>
        <v>17</v>
      </c>
      <c r="D41" s="131" t="str">
        <f>IF(Coureurs!D41="","",Coureurs!D41)</f>
        <v>H12</v>
      </c>
      <c r="E41" s="87" t="str">
        <f>IF(Coureurs!F41="","",Coureurs!F41)</f>
        <v>GARDETTE -POIRIER</v>
      </c>
      <c r="F41" s="87" t="str">
        <f>IF(Coureurs!G41="","",Coureurs!G41)</f>
        <v>Arthur</v>
      </c>
      <c r="G41" s="50" t="str">
        <f>IF(Coureurs!J41="","",Coureurs!J41)</f>
        <v/>
      </c>
      <c r="H41" s="25"/>
      <c r="I41" s="40"/>
      <c r="J41" s="8" t="str">
        <f>IF(I41="PM","",IF(H41=0," ",I41-HLOOKUP('Course 4'!H41,'tab4'!$C$3:$N$4,2)))</f>
        <v xml:space="preserve"> </v>
      </c>
      <c r="K41" s="23" t="str">
        <f>IF(I41="PM","",IF(H41=0," ",J41/'Règles et points'!$F$23))</f>
        <v xml:space="preserve"> </v>
      </c>
      <c r="L41" s="3" t="str">
        <f>IF(H41=0,"",VLOOKUP(H41,'Règles et points'!$C$5:$AG$19,(HLOOKUP('Course 4'!C41,'Règles et points'!$C$5:$AG$5,1)+1)))</f>
        <v/>
      </c>
      <c r="M41" s="23">
        <f t="shared" si="0"/>
        <v>0</v>
      </c>
      <c r="N41" s="80"/>
      <c r="O41" s="51"/>
      <c r="P41" s="52"/>
    </row>
    <row r="42" spans="2:18" ht="12.75">
      <c r="B42" s="14">
        <v>38</v>
      </c>
      <c r="C42" s="28">
        <f>IF(Coureurs!C42="","",Coureurs!C42)</f>
        <v>3</v>
      </c>
      <c r="D42" s="131" t="str">
        <f>IF(Coureurs!D42="","",Coureurs!D42)</f>
        <v>D14</v>
      </c>
      <c r="E42" s="87" t="str">
        <f>IF(Coureurs!F42="","",Coureurs!F42)</f>
        <v>BIARD</v>
      </c>
      <c r="F42" s="87" t="str">
        <f>IF(Coureurs!G42="","",Coureurs!G42)</f>
        <v>Loïza</v>
      </c>
      <c r="G42" s="50">
        <f>IF(Coureurs!J42="","",Coureurs!J42)</f>
        <v>209386</v>
      </c>
      <c r="H42" s="106"/>
      <c r="I42" s="40"/>
      <c r="J42" s="8" t="str">
        <f>IF(I42="PM","",IF(H42=0," ",I42-HLOOKUP('Course 4'!H42,'tab4'!$C$3:$N$4,2)))</f>
        <v xml:space="preserve"> </v>
      </c>
      <c r="K42" s="23" t="str">
        <f>IF(I42="PM","",IF(H42=0," ",J42/'Règles et points'!$F$23))</f>
        <v xml:space="preserve"> </v>
      </c>
      <c r="L42" s="3" t="str">
        <f>IF(H42=0,"",VLOOKUP(H42,'Règles et points'!$C$5:$AG$19,(HLOOKUP('Course 4'!C42,'Règles et points'!$C$5:$AG$5,1)+1)))</f>
        <v/>
      </c>
      <c r="M42" s="23">
        <f t="shared" si="0"/>
        <v>0</v>
      </c>
      <c r="N42" s="80"/>
      <c r="O42" s="51"/>
      <c r="P42" s="52"/>
    </row>
    <row r="43" spans="2:18" ht="12.75">
      <c r="B43" s="14">
        <v>39</v>
      </c>
      <c r="C43" s="28">
        <f>IF(Coureurs!C43="","",Coureurs!C43)</f>
        <v>10</v>
      </c>
      <c r="D43" s="131" t="str">
        <f>IF(Coureurs!D43="","",Coureurs!D43)</f>
        <v>D45</v>
      </c>
      <c r="E43" s="87" t="str">
        <f>IF(Coureurs!F43="","",Coureurs!F43)</f>
        <v>DERLOT</v>
      </c>
      <c r="F43" s="87" t="str">
        <f>IF(Coureurs!G43="","",Coureurs!G43)</f>
        <v>Stéphanie</v>
      </c>
      <c r="G43" s="50">
        <f>IF(Coureurs!J43="","",Coureurs!J43)</f>
        <v>2109546</v>
      </c>
      <c r="H43" s="25"/>
      <c r="I43" s="40"/>
      <c r="J43" s="8" t="str">
        <f>IF(I43="PM","",IF(H43=0," ",I43-HLOOKUP('Course 4'!H43,'tab4'!$C$3:$N$4,2)))</f>
        <v xml:space="preserve"> </v>
      </c>
      <c r="K43" s="23" t="str">
        <f>IF(I43="PM","",IF(H43=0," ",J43/'Règles et points'!$F$23))</f>
        <v xml:space="preserve"> </v>
      </c>
      <c r="L43" s="3" t="str">
        <f>IF(H43=0,"",VLOOKUP(H43,'Règles et points'!$C$5:$AG$19,(HLOOKUP('Course 4'!C43,'Règles et points'!$C$5:$AG$5,1)+1)))</f>
        <v/>
      </c>
      <c r="M43" s="23">
        <f t="shared" si="0"/>
        <v>0</v>
      </c>
      <c r="N43" s="80"/>
      <c r="O43" s="51"/>
      <c r="P43" s="52"/>
    </row>
    <row r="44" spans="2:18" ht="12.75">
      <c r="B44" s="14">
        <v>40</v>
      </c>
      <c r="C44" s="28">
        <f>IF(Coureurs!C44="","",Coureurs!C44)</f>
        <v>25</v>
      </c>
      <c r="D44" s="131" t="str">
        <f>IF(Coureurs!D44="","",Coureurs!D44)</f>
        <v>H45</v>
      </c>
      <c r="E44" s="87" t="str">
        <f>IF(Coureurs!F44="","",Coureurs!F44)</f>
        <v>DERLOT</v>
      </c>
      <c r="F44" s="87" t="str">
        <f>IF(Coureurs!G44="","",Coureurs!G44)</f>
        <v>Damien</v>
      </c>
      <c r="G44" s="50">
        <f>IF(Coureurs!J44="","",Coureurs!J44)</f>
        <v>2420999</v>
      </c>
      <c r="H44" s="25"/>
      <c r="I44" s="41"/>
      <c r="J44" s="8" t="str">
        <f>IF(I44="PM","",IF(H44=0," ",I44-HLOOKUP('Course 4'!H44,'tab4'!$C$3:$N$4,2)))</f>
        <v xml:space="preserve"> </v>
      </c>
      <c r="K44" s="23" t="str">
        <f>IF(I44="PM","",IF(H44=0," ",J44/'Règles et points'!$F$23))</f>
        <v xml:space="preserve"> </v>
      </c>
      <c r="L44" s="3" t="str">
        <f>IF(H44=0,"",VLOOKUP(H44,'Règles et points'!$C$5:$AG$19,(HLOOKUP('Course 4'!C44,'Règles et points'!$C$5:$AG$5,1)+1)))</f>
        <v/>
      </c>
      <c r="M44" s="23">
        <f t="shared" si="0"/>
        <v>0</v>
      </c>
      <c r="N44" s="80"/>
      <c r="O44" s="51"/>
      <c r="P44" s="52"/>
    </row>
    <row r="45" spans="2:18" ht="12.75">
      <c r="B45" s="14">
        <v>41</v>
      </c>
      <c r="C45" s="28">
        <f>IF(Coureurs!C45="","",Coureurs!C45)</f>
        <v>3</v>
      </c>
      <c r="D45" s="131" t="str">
        <f>IF(Coureurs!D45="","",Coureurs!D45)</f>
        <v>D14</v>
      </c>
      <c r="E45" s="87" t="str">
        <f>IF(Coureurs!F45="","",Coureurs!F45)</f>
        <v>DERLOT</v>
      </c>
      <c r="F45" s="87" t="str">
        <f>IF(Coureurs!G45="","",Coureurs!G45)</f>
        <v>Lise</v>
      </c>
      <c r="G45" s="50">
        <f>IF(Coureurs!J45="","",Coureurs!J45)</f>
        <v>2144320</v>
      </c>
      <c r="H45" s="25"/>
      <c r="I45" s="40"/>
      <c r="J45" s="8" t="str">
        <f>IF(I45="PM","",IF(H45=0," ",I45-HLOOKUP('Course 4'!H45,'tab4'!$C$3:$N$4,2)))</f>
        <v xml:space="preserve"> </v>
      </c>
      <c r="K45" s="23" t="str">
        <f>IF(I45="PM","",IF(H45=0," ",J45/'Règles et points'!$F$23))</f>
        <v xml:space="preserve"> </v>
      </c>
      <c r="L45" s="3" t="str">
        <f>IF(H45=0,"",VLOOKUP(H45,'Règles et points'!$C$5:$AG$19,(HLOOKUP('Course 4'!C45,'Règles et points'!$C$5:$AG$5,1)+1)))</f>
        <v/>
      </c>
      <c r="M45" s="23">
        <f t="shared" si="0"/>
        <v>0</v>
      </c>
      <c r="N45" s="80"/>
      <c r="O45" s="51"/>
      <c r="P45" s="52"/>
    </row>
    <row r="46" spans="2:18" ht="12.75">
      <c r="B46" s="14">
        <v>42</v>
      </c>
      <c r="C46" s="28">
        <f>IF(Coureurs!C46="","",Coureurs!C46)</f>
        <v>27</v>
      </c>
      <c r="D46" s="131" t="str">
        <f>IF(Coureurs!D46="","",Coureurs!D46)</f>
        <v>H55</v>
      </c>
      <c r="E46" s="87" t="str">
        <f>IF(Coureurs!F46="","",Coureurs!F46)</f>
        <v>DE LAMINNE</v>
      </c>
      <c r="F46" s="87" t="str">
        <f>IF(Coureurs!G46="","",Coureurs!G46)</f>
        <v>Gilles</v>
      </c>
      <c r="G46" s="50">
        <f>IF(Coureurs!J46="","",Coureurs!J46)</f>
        <v>2109542</v>
      </c>
      <c r="H46" s="25"/>
      <c r="I46" s="40"/>
      <c r="J46" s="8" t="str">
        <f>IF(I46="PM","",IF(H46=0," ",I46-HLOOKUP('Course 4'!H46,'tab4'!$C$3:$N$4,2)))</f>
        <v xml:space="preserve"> </v>
      </c>
      <c r="K46" s="23" t="str">
        <f>IF(I46="PM","",IF(H46=0," ",J46/'Règles et points'!$F$23))</f>
        <v xml:space="preserve"> </v>
      </c>
      <c r="L46" s="3" t="str">
        <f>IF(H46=0,"",VLOOKUP(H46,'Règles et points'!$C$5:$AG$19,(HLOOKUP('Course 4'!C46,'Règles et points'!$C$5:$AG$5,1)+1)))</f>
        <v/>
      </c>
      <c r="M46" s="23">
        <f t="shared" si="0"/>
        <v>0</v>
      </c>
      <c r="N46" s="80"/>
      <c r="O46" s="51"/>
      <c r="P46" s="52"/>
    </row>
    <row r="47" spans="2:18" ht="12.75">
      <c r="B47" s="14">
        <v>43</v>
      </c>
      <c r="C47" s="28">
        <f>IF(Coureurs!C47="","",Coureurs!C47)</f>
        <v>2</v>
      </c>
      <c r="D47" s="131" t="str">
        <f>IF(Coureurs!D47="","",Coureurs!D47)</f>
        <v>D12</v>
      </c>
      <c r="E47" s="87" t="str">
        <f>IF(Coureurs!F47="","",Coureurs!F47)</f>
        <v>LUCAS-VIOU</v>
      </c>
      <c r="F47" s="87" t="str">
        <f>IF(Coureurs!G47="","",Coureurs!G47)</f>
        <v>Charlotte</v>
      </c>
      <c r="G47" s="50">
        <f>IF(Coureurs!J47="","",Coureurs!J47)</f>
        <v>2144318</v>
      </c>
      <c r="H47" s="25"/>
      <c r="I47" s="40"/>
      <c r="J47" s="8" t="str">
        <f>IF(I47="PM","",IF(H47=0," ",I47-HLOOKUP('Course 4'!H47,'tab4'!$C$3:$N$4,2)))</f>
        <v xml:space="preserve"> </v>
      </c>
      <c r="K47" s="23" t="str">
        <f>IF(I47="PM","",IF(H47=0," ",J47/'Règles et points'!$F$23))</f>
        <v xml:space="preserve"> </v>
      </c>
      <c r="L47" s="3" t="str">
        <f>IF(H47=0,"",VLOOKUP(H47,'Règles et points'!$C$5:$AG$19,(HLOOKUP('Course 4'!C47,'Règles et points'!$C$5:$AG$5,1)+1)))</f>
        <v/>
      </c>
      <c r="M47" s="23">
        <f t="shared" si="0"/>
        <v>0</v>
      </c>
      <c r="N47" s="80"/>
      <c r="O47" s="51"/>
      <c r="P47" s="52"/>
    </row>
    <row r="48" spans="2:18" ht="12.75">
      <c r="B48" s="14">
        <v>44</v>
      </c>
      <c r="C48" s="28">
        <f>IF(Coureurs!C48="","",Coureurs!C48)</f>
        <v>18</v>
      </c>
      <c r="D48" s="131" t="str">
        <f>IF(Coureurs!D48="","",Coureurs!D48)</f>
        <v>H14</v>
      </c>
      <c r="E48" s="87" t="str">
        <f>IF(Coureurs!F48="","",Coureurs!F48)</f>
        <v>CHAFI</v>
      </c>
      <c r="F48" s="87" t="str">
        <f>IF(Coureurs!G48="","",Coureurs!G48)</f>
        <v>Yanis</v>
      </c>
      <c r="G48" s="50">
        <f>IF(Coureurs!J48="","",Coureurs!J48)</f>
        <v>2144314</v>
      </c>
      <c r="H48" s="25"/>
      <c r="I48" s="40"/>
      <c r="J48" s="8" t="str">
        <f>IF(I48="PM","",IF(H48=0," ",I48-HLOOKUP('Course 4'!H48,'tab4'!$C$3:$N$4,2)))</f>
        <v xml:space="preserve"> </v>
      </c>
      <c r="K48" s="23" t="str">
        <f>IF(I48="PM","",IF(H48=0," ",J48/'Règles et points'!$F$23))</f>
        <v xml:space="preserve"> </v>
      </c>
      <c r="L48" s="3" t="str">
        <f>IF(H48=0,"",VLOOKUP(H48,'Règles et points'!$C$5:$AG$19,(HLOOKUP('Course 4'!C48,'Règles et points'!$C$5:$AG$5,1)+1)))</f>
        <v/>
      </c>
      <c r="M48" s="23">
        <f t="shared" si="0"/>
        <v>0</v>
      </c>
      <c r="N48" s="80"/>
      <c r="O48" s="51"/>
      <c r="P48" s="52"/>
      <c r="R48" s="34"/>
    </row>
    <row r="49" spans="2:18" ht="12.75">
      <c r="B49" s="14">
        <v>45</v>
      </c>
      <c r="C49" s="28">
        <f>IF(Coureurs!C49="","",Coureurs!C49)</f>
        <v>17</v>
      </c>
      <c r="D49" s="131" t="str">
        <f>IF(Coureurs!D49="","",Coureurs!D49)</f>
        <v>H12</v>
      </c>
      <c r="E49" s="87" t="str">
        <f>IF(Coureurs!F49="","",Coureurs!F49)</f>
        <v>NONDEDEO</v>
      </c>
      <c r="F49" s="87" t="str">
        <f>IF(Coureurs!G49="","",Coureurs!G49)</f>
        <v>Baptiste</v>
      </c>
      <c r="G49" s="50">
        <f>IF(Coureurs!J49="","",Coureurs!J49)</f>
        <v>2311188</v>
      </c>
      <c r="H49" s="25"/>
      <c r="I49" s="41"/>
      <c r="J49" s="8" t="str">
        <f>IF(I49="PM","",IF(H49=0," ",I49-HLOOKUP('Course 4'!H49,'tab4'!$C$3:$N$4,2)))</f>
        <v xml:space="preserve"> </v>
      </c>
      <c r="K49" s="23" t="str">
        <f>IF(I49="PM","",IF(H49=0," ",J49/'Règles et points'!$F$23))</f>
        <v xml:space="preserve"> </v>
      </c>
      <c r="L49" s="3" t="str">
        <f>IF(H49=0,"",VLOOKUP(H49,'Règles et points'!$C$5:$AG$19,(HLOOKUP('Course 4'!C49,'Règles et points'!$C$5:$AG$5,1)+1)))</f>
        <v/>
      </c>
      <c r="M49" s="23">
        <f t="shared" si="0"/>
        <v>0</v>
      </c>
      <c r="N49" s="80"/>
      <c r="O49" s="51"/>
      <c r="P49" s="52"/>
      <c r="R49" s="34"/>
    </row>
    <row r="50" spans="2:18" ht="12.75">
      <c r="B50" s="14">
        <v>46</v>
      </c>
      <c r="C50" s="28">
        <f>IF(Coureurs!C50="","",Coureurs!C50)</f>
        <v>3</v>
      </c>
      <c r="D50" s="131" t="str">
        <f>IF(Coureurs!D50="","",Coureurs!D50)</f>
        <v>D14</v>
      </c>
      <c r="E50" s="109" t="str">
        <f>IF(Coureurs!F50="","",Coureurs!F50)</f>
        <v>LANFRANCHI</v>
      </c>
      <c r="F50" s="87" t="str">
        <f>IF(Coureurs!G50="","",Coureurs!G50)</f>
        <v>lucine</v>
      </c>
      <c r="G50" s="50">
        <f>IF(Coureurs!J50="","",Coureurs!J50)</f>
        <v>1001028</v>
      </c>
      <c r="H50" s="25"/>
      <c r="I50" s="41"/>
      <c r="J50" s="8" t="str">
        <f>IF(I50="PM","",IF(H50=0," ",I50-HLOOKUP('Course 4'!H50,'tab4'!$C$3:$N$4,2)))</f>
        <v xml:space="preserve"> </v>
      </c>
      <c r="K50" s="23" t="str">
        <f>IF(I50="PM","",IF(H50=0," ",J50/'Règles et points'!$F$23))</f>
        <v xml:space="preserve"> </v>
      </c>
      <c r="L50" s="3" t="str">
        <f>IF(H50=0,"",VLOOKUP(H50,'Règles et points'!$C$5:$AG$19,(HLOOKUP('Course 4'!C50,'Règles et points'!$C$5:$AG$5,1)+1)))</f>
        <v/>
      </c>
      <c r="M50" s="23">
        <f t="shared" si="0"/>
        <v>0</v>
      </c>
      <c r="N50" s="80"/>
      <c r="O50" s="51"/>
      <c r="P50" s="52"/>
      <c r="R50" s="34"/>
    </row>
    <row r="51" spans="2:18" ht="12.75">
      <c r="B51" s="14">
        <v>47</v>
      </c>
      <c r="C51" s="28">
        <f>IF(Coureurs!C51="","",Coureurs!C51)</f>
        <v>25</v>
      </c>
      <c r="D51" s="131" t="str">
        <f>IF(Coureurs!D51="","",Coureurs!D51)</f>
        <v>H45</v>
      </c>
      <c r="E51" s="109" t="str">
        <f>IF(Coureurs!F51="","",Coureurs!F51)</f>
        <v>PACHER</v>
      </c>
      <c r="F51" s="109" t="str">
        <f>IF(Coureurs!G51="","",Coureurs!G51)</f>
        <v>Vincent</v>
      </c>
      <c r="G51" s="50" t="str">
        <f>IF(Coureurs!J51="","",Coureurs!J51)</f>
        <v/>
      </c>
      <c r="H51" s="25"/>
      <c r="I51" s="40"/>
      <c r="J51" s="8" t="str">
        <f>IF(I51="PM","",IF(H51=0," ",I51-HLOOKUP('Course 4'!H51,'tab4'!$C$3:$N$4,2)))</f>
        <v xml:space="preserve"> </v>
      </c>
      <c r="K51" s="23" t="str">
        <f>IF(I51="PM","",IF(H51=0," ",J51/'Règles et points'!$F$23))</f>
        <v xml:space="preserve"> </v>
      </c>
      <c r="L51" s="3" t="str">
        <f>IF(H51=0,"",VLOOKUP(H51,'Règles et points'!$C$5:$AG$19,(HLOOKUP('Course 4'!C51,'Règles et points'!$C$5:$AG$5,1)+1)))</f>
        <v/>
      </c>
      <c r="M51" s="23">
        <f t="shared" si="0"/>
        <v>0</v>
      </c>
      <c r="N51" s="80"/>
      <c r="O51" s="51"/>
      <c r="P51" s="52"/>
    </row>
    <row r="52" spans="2:18" ht="12.75">
      <c r="B52" s="14">
        <v>48</v>
      </c>
      <c r="C52" s="28">
        <f>IF(Coureurs!C52="","",Coureurs!C52)</f>
        <v>3</v>
      </c>
      <c r="D52" s="131" t="str">
        <f>IF(Coureurs!D52="","",Coureurs!D52)</f>
        <v>D14</v>
      </c>
      <c r="E52" s="109" t="str">
        <f>IF(Coureurs!F52="","",Coureurs!F52)</f>
        <v>PACHER</v>
      </c>
      <c r="F52" s="109" t="str">
        <f>IF(Coureurs!G52="","",Coureurs!G52)</f>
        <v>Laetitia</v>
      </c>
      <c r="G52" s="50">
        <f>IF(Coureurs!J52="","",Coureurs!J52)</f>
        <v>2420985</v>
      </c>
      <c r="H52" s="25"/>
      <c r="I52" s="40"/>
      <c r="J52" s="8" t="str">
        <f>IF(I52="PM","",IF(H52=0," ",I52-HLOOKUP('Course 4'!H52,'tab4'!$C$3:$N$4,2)))</f>
        <v xml:space="preserve"> </v>
      </c>
      <c r="K52" s="23" t="str">
        <f>IF(I52="PM","",IF(H52=0," ",J52/'Règles et points'!$F$23))</f>
        <v xml:space="preserve"> </v>
      </c>
      <c r="L52" s="3" t="str">
        <f>IF(H52=0,"",VLOOKUP(H52,'Règles et points'!$C$5:$AG$19,(HLOOKUP('Course 4'!C52,'Règles et points'!$C$5:$AG$5,1)+1)))</f>
        <v/>
      </c>
      <c r="M52" s="23">
        <f t="shared" si="0"/>
        <v>0</v>
      </c>
      <c r="N52" s="80"/>
      <c r="O52" s="51"/>
      <c r="P52" s="52"/>
    </row>
    <row r="53" spans="2:18" ht="12.75">
      <c r="B53" s="14">
        <v>49</v>
      </c>
      <c r="C53" s="28">
        <f>IF(Coureurs!C53="","",Coureurs!C53)</f>
        <v>17</v>
      </c>
      <c r="D53" s="131" t="str">
        <f>IF(Coureurs!D53="","",Coureurs!D53)</f>
        <v>H12</v>
      </c>
      <c r="E53" s="87" t="str">
        <f>IF(Coureurs!F53="","",Coureurs!F53)</f>
        <v>PACHER</v>
      </c>
      <c r="F53" s="87" t="str">
        <f>IF(Coureurs!G53="","",Coureurs!G53)</f>
        <v>Alexandre</v>
      </c>
      <c r="G53" s="50" t="str">
        <f>IF(Coureurs!J53="","",Coureurs!J53)</f>
        <v/>
      </c>
      <c r="H53" s="25"/>
      <c r="I53" s="40"/>
      <c r="J53" s="8" t="str">
        <f>IF(I53="PM","",IF(H53=0," ",I53-HLOOKUP('Course 4'!H53,'tab4'!$C$3:$N$4,2)))</f>
        <v xml:space="preserve"> </v>
      </c>
      <c r="K53" s="23" t="str">
        <f>IF(I53="PM","",IF(H53=0," ",J53/'Règles et points'!$F$23))</f>
        <v xml:space="preserve"> </v>
      </c>
      <c r="L53" s="3" t="str">
        <f>IF(H53=0,"",VLOOKUP(H53,'Règles et points'!$C$5:$AG$19,(HLOOKUP('Course 4'!C53,'Règles et points'!$C$5:$AG$5,1)+1)))</f>
        <v/>
      </c>
      <c r="M53" s="23">
        <f t="shared" si="0"/>
        <v>0</v>
      </c>
      <c r="N53" s="80"/>
      <c r="O53" s="51"/>
      <c r="P53" s="52"/>
    </row>
    <row r="54" spans="2:18" ht="12.75">
      <c r="B54" s="14">
        <v>50</v>
      </c>
      <c r="C54" s="28">
        <f>IF(Coureurs!C54="","",Coureurs!C54)</f>
        <v>4</v>
      </c>
      <c r="D54" s="131" t="str">
        <f>IF(Coureurs!D54="","",Coureurs!D54)</f>
        <v>D16</v>
      </c>
      <c r="E54" s="87" t="str">
        <f>IF(Coureurs!F54="","",Coureurs!F54)</f>
        <v>PACHER</v>
      </c>
      <c r="F54" s="87" t="str">
        <f>IF(Coureurs!G54="","",Coureurs!G54)</f>
        <v>Maeva</v>
      </c>
      <c r="G54" s="50" t="str">
        <f>IF(Coureurs!J54="","",Coureurs!J54)</f>
        <v/>
      </c>
      <c r="H54" s="25"/>
      <c r="I54" s="41"/>
      <c r="J54" s="8" t="str">
        <f>IF(I54="PM","",IF(H54=0," ",I54-HLOOKUP('Course 4'!H54,'tab4'!$C$3:$N$4,2)))</f>
        <v xml:space="preserve"> </v>
      </c>
      <c r="K54" s="23" t="str">
        <f>IF(I54="PM","",IF(H54=0," ",J54/'Règles et points'!$F$23))</f>
        <v xml:space="preserve"> </v>
      </c>
      <c r="L54" s="3" t="str">
        <f>IF(H54=0,"",VLOOKUP(H54,'Règles et points'!$C$5:$AG$19,(HLOOKUP('Course 4'!C54,'Règles et points'!$C$5:$AG$5,1)+1)))</f>
        <v/>
      </c>
      <c r="M54" s="23">
        <f t="shared" si="0"/>
        <v>0</v>
      </c>
      <c r="N54" s="80"/>
      <c r="O54" s="51"/>
      <c r="P54" s="52"/>
    </row>
    <row r="55" spans="2:18" ht="12.75">
      <c r="B55" s="14">
        <v>51</v>
      </c>
      <c r="C55" s="28">
        <f>IF(Coureurs!C55="","",Coureurs!C55)</f>
        <v>9</v>
      </c>
      <c r="D55" s="131" t="str">
        <f>IF(Coureurs!D55="","",Coureurs!D55)</f>
        <v>D40</v>
      </c>
      <c r="E55" s="87" t="str">
        <f>IF(Coureurs!F55="","",Coureurs!F55)</f>
        <v>MONTANDON VARODA</v>
      </c>
      <c r="F55" s="87" t="str">
        <f>IF(Coureurs!G55="","",Coureurs!G55)</f>
        <v>Christine</v>
      </c>
      <c r="G55" s="50">
        <f>IF(Coureurs!J55="","",Coureurs!J55)</f>
        <v>2720992</v>
      </c>
      <c r="H55" s="106"/>
      <c r="I55" s="40"/>
      <c r="J55" s="8" t="str">
        <f>IF(I55="PM","",IF(H55=0," ",I55-HLOOKUP('Course 4'!H55,'tab4'!$C$3:$N$4,2)))</f>
        <v xml:space="preserve"> </v>
      </c>
      <c r="K55" s="23" t="str">
        <f>IF(I55="PM","",IF(H55=0," ",J55/'Règles et points'!$F$23))</f>
        <v xml:space="preserve"> </v>
      </c>
      <c r="L55" s="3" t="str">
        <f>IF(H55=0,"",VLOOKUP(H55,'Règles et points'!$C$5:$AG$19,(HLOOKUP('Course 4'!C55,'Règles et points'!$C$5:$AG$5,1)+1)))</f>
        <v/>
      </c>
      <c r="M55" s="23">
        <f t="shared" si="0"/>
        <v>0</v>
      </c>
      <c r="N55" s="80"/>
      <c r="O55" s="51"/>
      <c r="P55" s="52"/>
    </row>
    <row r="56" spans="2:18" ht="12.75">
      <c r="B56" s="14">
        <v>52</v>
      </c>
      <c r="C56" s="28">
        <f>IF(Coureurs!C56="","",Coureurs!C56)</f>
        <v>2</v>
      </c>
      <c r="D56" s="131" t="str">
        <f>IF(Coureurs!D56="","",Coureurs!D56)</f>
        <v>D12</v>
      </c>
      <c r="E56" s="87" t="str">
        <f>IF(Coureurs!F56="","",Coureurs!F56)</f>
        <v>TONDU</v>
      </c>
      <c r="F56" s="87" t="str">
        <f>IF(Coureurs!G56="","",Coureurs!G56)</f>
        <v>Jeanne</v>
      </c>
      <c r="G56" s="50">
        <f>IF(Coureurs!J56="","",Coureurs!J56)</f>
        <v>2420998</v>
      </c>
      <c r="H56" s="25"/>
      <c r="I56" s="40"/>
      <c r="J56" s="8" t="str">
        <f>IF(I56="PM","",IF(H56=0," ",I56-HLOOKUP('Course 4'!H56,'tab4'!$C$3:$N$4,2)))</f>
        <v xml:space="preserve"> </v>
      </c>
      <c r="K56" s="23" t="str">
        <f>IF(I56="PM","",IF(H56=0," ",J56/'Règles et points'!$F$23))</f>
        <v xml:space="preserve"> </v>
      </c>
      <c r="L56" s="3" t="str">
        <f>IF(H56=0,"",VLOOKUP(H56,'Règles et points'!$C$5:$AG$19,(HLOOKUP('Course 4'!C56,'Règles et points'!$C$5:$AG$5,1)+1)))</f>
        <v/>
      </c>
      <c r="M56" s="23">
        <f t="shared" si="0"/>
        <v>0</v>
      </c>
      <c r="N56" s="80"/>
      <c r="O56" s="51"/>
      <c r="P56" s="52"/>
    </row>
    <row r="57" spans="2:18" ht="12.75">
      <c r="B57" s="14">
        <v>53</v>
      </c>
      <c r="C57" s="28">
        <f>IF(Coureurs!C57="","",Coureurs!C57)</f>
        <v>10</v>
      </c>
      <c r="D57" s="131" t="str">
        <f>IF(Coureurs!D57="","",Coureurs!D57)</f>
        <v>D45</v>
      </c>
      <c r="E57" s="87" t="str">
        <f>IF(Coureurs!F57="","",Coureurs!F57)</f>
        <v>TONDU</v>
      </c>
      <c r="F57" s="87" t="str">
        <f>IF(Coureurs!G57="","",Coureurs!G57)</f>
        <v>Alexandra</v>
      </c>
      <c r="G57" s="50">
        <f>IF(Coureurs!J57="","",Coureurs!J57)</f>
        <v>2109545</v>
      </c>
      <c r="H57" s="106"/>
      <c r="I57" s="41"/>
      <c r="J57" s="8" t="str">
        <f>IF(I57="PM","",IF(H57=0," ",I57-HLOOKUP('Course 4'!H57,'tab4'!$C$3:$N$4,2)))</f>
        <v xml:space="preserve"> </v>
      </c>
      <c r="K57" s="23" t="str">
        <f>IF(I57="PM","",IF(H57=0," ",J57/'Règles et points'!$F$23))</f>
        <v xml:space="preserve"> </v>
      </c>
      <c r="L57" s="3" t="str">
        <f>IF(H57=0,"",VLOOKUP(H57,'Règles et points'!$C$5:$AG$19,(HLOOKUP('Course 4'!C57,'Règles et points'!$C$5:$AG$5,1)+1)))</f>
        <v/>
      </c>
      <c r="M57" s="23">
        <f t="shared" si="0"/>
        <v>0</v>
      </c>
      <c r="N57" s="80"/>
      <c r="O57" s="40"/>
      <c r="P57" s="52"/>
    </row>
    <row r="58" spans="2:18" ht="12.75">
      <c r="B58" s="14">
        <v>54</v>
      </c>
      <c r="C58" s="28">
        <f>IF(Coureurs!C58="","",Coureurs!C58)</f>
        <v>5</v>
      </c>
      <c r="D58" s="131" t="str">
        <f>IF(Coureurs!D58="","",Coureurs!D58)</f>
        <v>D18</v>
      </c>
      <c r="E58" s="87" t="str">
        <f>IF(Coureurs!F58="","",Coureurs!F58)</f>
        <v>CHATAIGNIER</v>
      </c>
      <c r="F58" s="87" t="str">
        <f>IF(Coureurs!G58="","",Coureurs!G58)</f>
        <v>Louise</v>
      </c>
      <c r="G58" s="50">
        <f>IF(Coureurs!J58="","",Coureurs!J58)</f>
        <v>2144319</v>
      </c>
      <c r="H58" s="25"/>
      <c r="I58" s="41"/>
      <c r="J58" s="8" t="str">
        <f>IF(I58="PM","",IF(H58=0," ",I58-HLOOKUP('Course 4'!H58,'tab4'!$C$3:$N$4,2)))</f>
        <v xml:space="preserve"> </v>
      </c>
      <c r="K58" s="23" t="str">
        <f>IF(I58="PM","",IF(H58=0," ",J58/'Règles et points'!$F$23))</f>
        <v xml:space="preserve"> </v>
      </c>
      <c r="L58" s="3" t="str">
        <f>IF(H58=0,"",VLOOKUP(H58,'Règles et points'!$C$5:$AG$19,(HLOOKUP('Course 4'!C58,'Règles et points'!$C$5:$AG$5,1)+1)))</f>
        <v/>
      </c>
      <c r="M58" s="23">
        <f t="shared" si="0"/>
        <v>0</v>
      </c>
      <c r="N58" s="80"/>
      <c r="O58" s="51"/>
      <c r="P58" s="52"/>
    </row>
    <row r="59" spans="2:18" ht="12.75">
      <c r="B59" s="14">
        <v>55</v>
      </c>
      <c r="C59" s="28">
        <f>IF(Coureurs!C59="","",Coureurs!C59)</f>
        <v>3</v>
      </c>
      <c r="D59" s="131" t="str">
        <f>IF(Coureurs!D59="","",Coureurs!D59)</f>
        <v>D14</v>
      </c>
      <c r="E59" s="87" t="str">
        <f>IF(Coureurs!F59="","",Coureurs!F59)</f>
        <v>KOEPP</v>
      </c>
      <c r="F59" s="87" t="str">
        <f>IF(Coureurs!G59="","",Coureurs!G59)</f>
        <v>Sonora</v>
      </c>
      <c r="G59" s="50">
        <f>IF(Coureurs!J59="","",Coureurs!J59)</f>
        <v>2113830</v>
      </c>
      <c r="H59" s="25"/>
      <c r="I59" s="41"/>
      <c r="J59" s="8" t="str">
        <f>IF(I59="PM","",IF(H59=0," ",I59-HLOOKUP('Course 4'!H59,'tab4'!$C$3:$N$4,2)))</f>
        <v xml:space="preserve"> </v>
      </c>
      <c r="K59" s="23" t="str">
        <f>IF(I59="PM","",IF(H59=0," ",J59/'Règles et points'!$F$23))</f>
        <v xml:space="preserve"> </v>
      </c>
      <c r="L59" s="3" t="str">
        <f>IF(H59=0,"",VLOOKUP(H59,'Règles et points'!$C$5:$AG$19,(HLOOKUP('Course 4'!C59,'Règles et points'!$C$5:$AG$5,1)+1)))</f>
        <v/>
      </c>
      <c r="M59" s="23">
        <f t="shared" si="0"/>
        <v>0</v>
      </c>
      <c r="N59" s="80"/>
      <c r="O59" s="51"/>
      <c r="P59" s="52"/>
    </row>
    <row r="60" spans="2:18" ht="12.75">
      <c r="B60" s="14">
        <v>56</v>
      </c>
      <c r="C60" s="28">
        <f>IF(Coureurs!C60="","",Coureurs!C60)</f>
        <v>18</v>
      </c>
      <c r="D60" s="131" t="str">
        <f>IF(Coureurs!D60="","",Coureurs!D60)</f>
        <v>H14</v>
      </c>
      <c r="E60" s="87" t="str">
        <f>IF(Coureurs!F60="","",Coureurs!F60)</f>
        <v>FRENOY</v>
      </c>
      <c r="F60" s="87" t="str">
        <f>IF(Coureurs!G60="","",Coureurs!G60)</f>
        <v>Anatole</v>
      </c>
      <c r="G60" s="50">
        <f>IF(Coureurs!J60="","",Coureurs!J60)</f>
        <v>2420989</v>
      </c>
      <c r="H60" s="25"/>
      <c r="I60" s="41"/>
      <c r="J60" s="8" t="str">
        <f>IF(I60="PM","",IF(H60=0," ",I60-HLOOKUP('Course 4'!H60,'tab4'!$C$3:$N$4,2)))</f>
        <v xml:space="preserve"> </v>
      </c>
      <c r="K60" s="23" t="str">
        <f>IF(I60="PM","",IF(H60=0," ",J60/'Règles et points'!$F$23))</f>
        <v xml:space="preserve"> </v>
      </c>
      <c r="L60" s="3" t="str">
        <f>IF(H60=0,"",VLOOKUP(H60,'Règles et points'!$C$5:$AG$19,(HLOOKUP('Course 4'!C60,'Règles et points'!$C$5:$AG$5,1)+1)))</f>
        <v/>
      </c>
      <c r="M60" s="23">
        <f t="shared" si="0"/>
        <v>0</v>
      </c>
      <c r="N60" s="80"/>
      <c r="O60" s="51"/>
      <c r="P60" s="52"/>
    </row>
    <row r="61" spans="2:18" ht="12.75">
      <c r="B61" s="14">
        <v>57</v>
      </c>
      <c r="C61" s="28">
        <f>IF(Coureurs!C61="","",Coureurs!C61)</f>
        <v>18</v>
      </c>
      <c r="D61" s="131" t="str">
        <f>IF(Coureurs!D61="","",Coureurs!D61)</f>
        <v>H14</v>
      </c>
      <c r="E61" s="87" t="str">
        <f>IF(Coureurs!F61="","",Coureurs!F61)</f>
        <v>BROCHOT</v>
      </c>
      <c r="F61" s="87" t="str">
        <f>IF(Coureurs!G61="","",Coureurs!G61)</f>
        <v>Remi</v>
      </c>
      <c r="G61" s="50">
        <f>IF(Coureurs!J61="","",Coureurs!J61)</f>
        <v>8002209</v>
      </c>
      <c r="H61" s="106"/>
      <c r="I61" s="40"/>
      <c r="J61" s="8" t="str">
        <f>IF(I61="PM","",IF(H61=0," ",I61-HLOOKUP('Course 4'!H61,'tab4'!$C$3:$N$4,2)))</f>
        <v xml:space="preserve"> </v>
      </c>
      <c r="K61" s="23" t="str">
        <f>IF(I61="PM","",IF(H61=0," ",J61/'Règles et points'!$F$23))</f>
        <v xml:space="preserve"> </v>
      </c>
      <c r="L61" s="3" t="str">
        <f>IF(H61=0,"",VLOOKUP(H61,'Règles et points'!$C$5:$AG$19,(HLOOKUP('Course 4'!C61,'Règles et points'!$C$5:$AG$5,1)+1)))</f>
        <v/>
      </c>
      <c r="M61" s="23">
        <f t="shared" si="0"/>
        <v>0</v>
      </c>
      <c r="N61" s="80"/>
      <c r="O61" s="51"/>
      <c r="P61" s="52"/>
    </row>
    <row r="62" spans="2:18" ht="12.75">
      <c r="B62" s="14">
        <v>58</v>
      </c>
      <c r="C62" s="28">
        <f>IF(Coureurs!C62="","",Coureurs!C62)</f>
        <v>10</v>
      </c>
      <c r="D62" s="131" t="str">
        <f>IF(Coureurs!D62="","",Coureurs!D62)</f>
        <v>D45</v>
      </c>
      <c r="E62" s="87" t="str">
        <f>IF(Coureurs!F62="","",Coureurs!F62)</f>
        <v>KORZEC</v>
      </c>
      <c r="F62" s="87" t="str">
        <f>IF(Coureurs!G62="","",Coureurs!G62)</f>
        <v>Patricia</v>
      </c>
      <c r="G62" s="50">
        <f>IF(Coureurs!J62="","",Coureurs!J62)</f>
        <v>2420993</v>
      </c>
      <c r="H62" s="25"/>
      <c r="I62" s="41"/>
      <c r="J62" s="8" t="str">
        <f>IF(I62="PM","",IF(H62=0," ",I62-HLOOKUP('Course 4'!H62,'tab4'!$C$3:$N$4,2)))</f>
        <v xml:space="preserve"> </v>
      </c>
      <c r="K62" s="23" t="str">
        <f>IF(I62="PM","",IF(H62=0," ",J62/'Règles et points'!$F$23))</f>
        <v xml:space="preserve"> </v>
      </c>
      <c r="L62" s="3" t="str">
        <f>IF(H62=0,"",VLOOKUP(H62,'Règles et points'!$C$5:$AG$19,(HLOOKUP('Course 4'!C62,'Règles et points'!$C$5:$AG$5,1)+1)))</f>
        <v/>
      </c>
      <c r="M62" s="23">
        <f t="shared" si="0"/>
        <v>0</v>
      </c>
      <c r="N62" s="80"/>
      <c r="O62" s="51"/>
      <c r="P62" s="52"/>
    </row>
    <row r="63" spans="2:18" ht="12.75">
      <c r="B63" s="14">
        <v>59</v>
      </c>
      <c r="C63" s="28">
        <f>IF(Coureurs!C63="","",Coureurs!C63)</f>
        <v>4</v>
      </c>
      <c r="D63" s="132" t="str">
        <f>IF(Coureurs!D63="","",Coureurs!D63)</f>
        <v>D16</v>
      </c>
      <c r="E63" s="87" t="str">
        <f>IF(Coureurs!F63="","",Coureurs!F63)</f>
        <v>BOUSQUET</v>
      </c>
      <c r="F63" s="87" t="str">
        <f>IF(Coureurs!G63="","",Coureurs!G63)</f>
        <v>Claire</v>
      </c>
      <c r="G63" s="50">
        <f>IF(Coureurs!J63="","",Coureurs!J63)</f>
        <v>2113811</v>
      </c>
      <c r="H63" s="106"/>
      <c r="I63" s="40"/>
      <c r="J63" s="8" t="str">
        <f>IF(I63="PM","",IF(H63=0," ",I63-HLOOKUP('Course 4'!H63,'tab4'!$C$3:$N$4,2)))</f>
        <v xml:space="preserve"> </v>
      </c>
      <c r="K63" s="23" t="str">
        <f>IF(I63="PM","",IF(H63=0," ",J63/'Règles et points'!$F$23))</f>
        <v xml:space="preserve"> </v>
      </c>
      <c r="L63" s="3" t="str">
        <f>IF(H63=0,"",VLOOKUP(H63,'Règles et points'!$C$5:$AG$19,(HLOOKUP('Course 4'!C63,'Règles et points'!$C$5:$AG$5,1)+1)))</f>
        <v/>
      </c>
      <c r="M63" s="23">
        <f t="shared" si="0"/>
        <v>0</v>
      </c>
      <c r="N63" s="80"/>
      <c r="O63" s="40"/>
      <c r="P63" s="52"/>
    </row>
    <row r="64" spans="2:18" ht="12.75">
      <c r="B64" s="14">
        <v>60</v>
      </c>
      <c r="C64" s="28">
        <f>IF(Coureurs!C64="","",Coureurs!C64)</f>
        <v>18</v>
      </c>
      <c r="D64" s="131" t="str">
        <f>IF(Coureurs!D64="","",Coureurs!D64)</f>
        <v>H14</v>
      </c>
      <c r="E64" s="87" t="str">
        <f>IF(Coureurs!F64="","",Coureurs!F64)</f>
        <v>ROGUIEZ</v>
      </c>
      <c r="F64" s="87" t="str">
        <f>IF(Coureurs!G64="","",Coureurs!G64)</f>
        <v>Timéo</v>
      </c>
      <c r="G64" s="50">
        <f>IF(Coureurs!J64="","",Coureurs!J64)</f>
        <v>2082468</v>
      </c>
      <c r="H64" s="25"/>
      <c r="I64" s="40"/>
      <c r="J64" s="8" t="str">
        <f>IF(I64="PM","",IF(H64=0," ",I64-HLOOKUP('Course 4'!H64,'tab4'!$C$3:$N$4,2)))</f>
        <v xml:space="preserve"> </v>
      </c>
      <c r="K64" s="23" t="str">
        <f>IF(I64="PM","",IF(H64=0," ",J64/'Règles et points'!$F$23))</f>
        <v xml:space="preserve"> </v>
      </c>
      <c r="L64" s="3" t="str">
        <f>IF(H64=0,"",VLOOKUP(H64,'Règles et points'!$C$5:$AG$19,(HLOOKUP('Course 4'!C64,'Règles et points'!$C$5:$AG$5,1)+1)))</f>
        <v/>
      </c>
      <c r="M64" s="23">
        <f t="shared" si="0"/>
        <v>0</v>
      </c>
      <c r="N64" s="80"/>
      <c r="O64" s="51"/>
      <c r="P64" s="52"/>
    </row>
    <row r="65" spans="2:16" ht="12.75">
      <c r="B65" s="14">
        <v>61</v>
      </c>
      <c r="C65" s="28">
        <f>IF(Coureurs!C65="","",Coureurs!C65)</f>
        <v>1</v>
      </c>
      <c r="D65" s="131" t="str">
        <f>IF(Coureurs!D65="","",Coureurs!D65)</f>
        <v>D10</v>
      </c>
      <c r="E65" s="87" t="str">
        <f>IF(Coureurs!F65="","",Coureurs!F65)</f>
        <v>DERLOT</v>
      </c>
      <c r="F65" s="87" t="str">
        <f>IF(Coureurs!G65="","",Coureurs!G65)</f>
        <v>Alix</v>
      </c>
      <c r="G65" s="50">
        <f>IF(Coureurs!J65="","",Coureurs!J65)</f>
        <v>228368</v>
      </c>
      <c r="H65" s="106"/>
      <c r="I65" s="40"/>
      <c r="J65" s="8" t="str">
        <f>IF(I65="PM","",IF(H65=0," ",I65-HLOOKUP('Course 4'!H65,'tab4'!$C$3:$N$4,2)))</f>
        <v xml:space="preserve"> </v>
      </c>
      <c r="K65" s="23" t="str">
        <f>IF(I65="PM","",IF(H65=0," ",J65/'Règles et points'!$F$23))</f>
        <v xml:space="preserve"> </v>
      </c>
      <c r="L65" s="3" t="str">
        <f>IF(H65=0,"",VLOOKUP(H65,'Règles et points'!$C$5:$AG$19,(HLOOKUP('Course 4'!C65,'Règles et points'!$C$5:$AG$5,1)+1)))</f>
        <v/>
      </c>
      <c r="M65" s="23">
        <f t="shared" si="0"/>
        <v>0</v>
      </c>
      <c r="N65" s="80"/>
      <c r="O65" s="51"/>
      <c r="P65" s="52"/>
    </row>
    <row r="66" spans="2:16" ht="12.75">
      <c r="B66" s="14">
        <v>62</v>
      </c>
      <c r="C66" s="28">
        <f>IF(Coureurs!C66="","",Coureurs!C66)</f>
        <v>17</v>
      </c>
      <c r="D66" s="131" t="str">
        <f>IF(Coureurs!D66="","",Coureurs!D66)</f>
        <v>H12</v>
      </c>
      <c r="E66" s="87" t="str">
        <f>IF(Coureurs!F66="","",Coureurs!F66)</f>
        <v>BELLECOURT</v>
      </c>
      <c r="F66" s="87" t="str">
        <f>IF(Coureurs!G66="","",Coureurs!G66)</f>
        <v>Loic</v>
      </c>
      <c r="G66" s="50">
        <f>IF(Coureurs!J66="","",Coureurs!J66)</f>
        <v>2311181</v>
      </c>
      <c r="H66" s="106"/>
      <c r="I66" s="40"/>
      <c r="J66" s="8" t="str">
        <f>IF(I66="PM","",IF(H66=0," ",I66-HLOOKUP('Course 4'!H66,'tab4'!$C$3:$N$4,2)))</f>
        <v xml:space="preserve"> </v>
      </c>
      <c r="K66" s="23" t="str">
        <f>IF(I66="PM","",IF(H66=0," ",J66/'Règles et points'!$F$23))</f>
        <v xml:space="preserve"> </v>
      </c>
      <c r="L66" s="3" t="str">
        <f>IF(H66=0,"",VLOOKUP(H66,'Règles et points'!$C$5:$AG$19,(HLOOKUP('Course 4'!C66,'Règles et points'!$C$5:$AG$5,1)+1)))</f>
        <v/>
      </c>
      <c r="M66" s="23">
        <f t="shared" si="0"/>
        <v>0</v>
      </c>
      <c r="N66" s="80"/>
      <c r="O66" s="51"/>
      <c r="P66" s="52"/>
    </row>
    <row r="67" spans="2:16" ht="12.75">
      <c r="B67" s="14">
        <v>63</v>
      </c>
      <c r="C67" s="28">
        <f>IF(Coureurs!C67="","",Coureurs!C67)</f>
        <v>24</v>
      </c>
      <c r="D67" s="131" t="str">
        <f>IF(Coureurs!D67="","",Coureurs!D67)</f>
        <v>H40</v>
      </c>
      <c r="E67" s="87" t="str">
        <f>IF(Coureurs!F67="","",Coureurs!F67)</f>
        <v>KOEPP</v>
      </c>
      <c r="F67" s="87" t="str">
        <f>IF(Coureurs!G67="","",Coureurs!G67)</f>
        <v>Aaron</v>
      </c>
      <c r="G67" s="50" t="str">
        <f>IF(Coureurs!J67="","",Coureurs!J67)</f>
        <v/>
      </c>
      <c r="H67" s="106"/>
      <c r="I67" s="40"/>
      <c r="J67" s="8" t="str">
        <f>IF(I67="PM","",IF(H67=0," ",I67-HLOOKUP('Course 4'!H67,'tab4'!$C$3:$N$4,2)))</f>
        <v xml:space="preserve"> </v>
      </c>
      <c r="K67" s="23" t="str">
        <f>IF(I67="PM","",IF(H67=0," ",J67/'Règles et points'!$F$23))</f>
        <v xml:space="preserve"> </v>
      </c>
      <c r="L67" s="3" t="str">
        <f>IF(H67=0,"",VLOOKUP(H67,'Règles et points'!$C$5:$AG$19,(HLOOKUP('Course 4'!C67,'Règles et points'!$C$5:$AG$5,1)+1)))</f>
        <v/>
      </c>
      <c r="M67" s="23">
        <f t="shared" si="0"/>
        <v>0</v>
      </c>
      <c r="N67" s="80"/>
      <c r="O67" s="51"/>
      <c r="P67" s="52"/>
    </row>
    <row r="68" spans="2:16" ht="12.75">
      <c r="B68" s="14">
        <v>64</v>
      </c>
      <c r="C68" s="28">
        <f>IF(Coureurs!C68="","",Coureurs!C68)</f>
        <v>9</v>
      </c>
      <c r="D68" s="131" t="str">
        <f>IF(Coureurs!D68="","",Coureurs!D68)</f>
        <v>D40</v>
      </c>
      <c r="E68" s="87" t="str">
        <f>IF(Coureurs!F68="","",Coureurs!F68)</f>
        <v>KOEPP</v>
      </c>
      <c r="F68" s="87" t="str">
        <f>IF(Coureurs!G68="","",Coureurs!G68)</f>
        <v>Nanette</v>
      </c>
      <c r="G68" s="50" t="str">
        <f>IF(Coureurs!J68="","",Coureurs!J68)</f>
        <v/>
      </c>
      <c r="H68" s="106"/>
      <c r="I68" s="40"/>
      <c r="J68" s="8" t="str">
        <f>IF(I68="PM","",IF(H68=0," ",I68-HLOOKUP('Course 4'!H68,'tab4'!$C$3:$N$4,2)))</f>
        <v xml:space="preserve"> </v>
      </c>
      <c r="K68" s="23" t="str">
        <f>IF(I68="PM","",IF(H68=0," ",J68/'Règles et points'!$F$23))</f>
        <v xml:space="preserve"> </v>
      </c>
      <c r="L68" s="3" t="str">
        <f>IF(H68=0,"",VLOOKUP(H68,'Règles et points'!$C$5:$AG$19,(HLOOKUP('Course 4'!C68,'Règles et points'!$C$5:$AG$5,1)+1)))</f>
        <v/>
      </c>
      <c r="M68" s="23">
        <f t="shared" ref="M68:M131" si="1">IF(I68="PM",0,IF(H68=0,0,L68-K68))+N68</f>
        <v>0</v>
      </c>
      <c r="N68" s="80"/>
      <c r="O68" s="51"/>
      <c r="P68" s="52"/>
    </row>
    <row r="69" spans="2:16" ht="12.75">
      <c r="B69" s="14">
        <v>65</v>
      </c>
      <c r="C69" s="28">
        <f>IF(Coureurs!C69="","",Coureurs!C69)</f>
        <v>2</v>
      </c>
      <c r="D69" s="131" t="str">
        <f>IF(Coureurs!D69="","",Coureurs!D69)</f>
        <v>D12</v>
      </c>
      <c r="E69" s="87" t="str">
        <f>IF(Coureurs!F69="","",Coureurs!F69)</f>
        <v>KOEPP</v>
      </c>
      <c r="F69" s="87" t="str">
        <f>IF(Coureurs!G69="","",Coureurs!G69)</f>
        <v>Sahara</v>
      </c>
      <c r="G69" s="50">
        <f>IF(Coureurs!J69="","",Coureurs!J69)</f>
        <v>2311187</v>
      </c>
      <c r="H69" s="106"/>
      <c r="I69" s="40"/>
      <c r="J69" s="8" t="str">
        <f>IF(I69="PM","",IF(H69=0," ",I69-HLOOKUP('Course 4'!H69,'tab4'!$C$3:$N$4,2)))</f>
        <v xml:space="preserve"> </v>
      </c>
      <c r="K69" s="23" t="str">
        <f>IF(I69="PM","",IF(H69=0," ",J69/'Règles et points'!$F$23))</f>
        <v xml:space="preserve"> </v>
      </c>
      <c r="L69" s="3" t="str">
        <f>IF(H69=0,"",VLOOKUP(H69,'Règles et points'!$C$5:$AG$19,(HLOOKUP('Course 4'!C69,'Règles et points'!$C$5:$AG$5,1)+1)))</f>
        <v/>
      </c>
      <c r="M69" s="23">
        <f t="shared" si="1"/>
        <v>0</v>
      </c>
      <c r="N69" s="80"/>
      <c r="O69" s="51"/>
      <c r="P69" s="52"/>
    </row>
    <row r="70" spans="2:16" ht="12.75">
      <c r="B70" s="14">
        <v>66</v>
      </c>
      <c r="C70" s="28">
        <f>IF(Coureurs!C70="","",Coureurs!C70)</f>
        <v>17</v>
      </c>
      <c r="D70" s="131" t="str">
        <f>IF(Coureurs!D70="","",Coureurs!D70)</f>
        <v>H12</v>
      </c>
      <c r="E70" s="87" t="str">
        <f>IF(Coureurs!F70="","",Coureurs!F70)</f>
        <v>DE LA ROCHE</v>
      </c>
      <c r="F70" s="87" t="str">
        <f>IF(Coureurs!G70="","",Coureurs!G70)</f>
        <v>Paul</v>
      </c>
      <c r="G70" s="50">
        <f>IF(Coureurs!J70="","",Coureurs!J70)</f>
        <v>2311182</v>
      </c>
      <c r="H70" s="25"/>
      <c r="I70" s="40"/>
      <c r="J70" s="8" t="str">
        <f>IF(I70="PM","",IF(H70=0," ",I70-HLOOKUP('Course 4'!H70,'tab4'!$C$3:$N$4,2)))</f>
        <v xml:space="preserve"> </v>
      </c>
      <c r="K70" s="23" t="str">
        <f>IF(I70="PM","",IF(H70=0," ",J70/'Règles et points'!$F$23))</f>
        <v xml:space="preserve"> </v>
      </c>
      <c r="L70" s="3" t="str">
        <f>IF(H70=0,"",VLOOKUP(H70,'Règles et points'!$C$5:$AG$19,(HLOOKUP('Course 4'!C70,'Règles et points'!$C$5:$AG$5,1)+1)))</f>
        <v/>
      </c>
      <c r="M70" s="23">
        <f t="shared" si="1"/>
        <v>0</v>
      </c>
      <c r="N70" s="80"/>
      <c r="O70" s="51"/>
      <c r="P70" s="52"/>
    </row>
    <row r="71" spans="2:16" ht="12.75">
      <c r="B71" s="14">
        <v>67</v>
      </c>
      <c r="C71" s="28">
        <f>IF(Coureurs!C71="","",Coureurs!C71)</f>
        <v>18</v>
      </c>
      <c r="D71" s="131" t="str">
        <f>IF(Coureurs!D71="","",Coureurs!D71)</f>
        <v>H14</v>
      </c>
      <c r="E71" s="87" t="str">
        <f>IF(Coureurs!F71="","",Coureurs!F71)</f>
        <v>DE LA ROCHE</v>
      </c>
      <c r="F71" s="87" t="str">
        <f>IF(Coureurs!G71="","",Coureurs!G71)</f>
        <v>Raphael</v>
      </c>
      <c r="G71" s="50">
        <f>IF(Coureurs!J71="","",Coureurs!J71)</f>
        <v>2311184</v>
      </c>
      <c r="H71" s="106"/>
      <c r="I71" s="40"/>
      <c r="J71" s="8" t="str">
        <f>IF(I71="PM","",IF(H71=0," ",I71-HLOOKUP('Course 4'!H71,'tab4'!$C$3:$N$4,2)))</f>
        <v xml:space="preserve"> </v>
      </c>
      <c r="K71" s="23" t="str">
        <f>IF(I71="PM","",IF(H71=0," ",J71/'Règles et points'!$F$23))</f>
        <v xml:space="preserve"> </v>
      </c>
      <c r="L71" s="3" t="str">
        <f>IF(H71=0,"",VLOOKUP(H71,'Règles et points'!$C$5:$AG$19,(HLOOKUP('Course 4'!C71,'Règles et points'!$C$5:$AG$5,1)+1)))</f>
        <v/>
      </c>
      <c r="M71" s="23">
        <f t="shared" si="1"/>
        <v>0</v>
      </c>
      <c r="N71" s="80"/>
      <c r="O71" s="51"/>
      <c r="P71" s="52"/>
    </row>
    <row r="72" spans="2:16" ht="12.75">
      <c r="B72" s="14">
        <v>68</v>
      </c>
      <c r="C72" s="28">
        <f>IF(Coureurs!C72="","",Coureurs!C72)</f>
        <v>2</v>
      </c>
      <c r="D72" s="131" t="str">
        <f>IF(Coureurs!D72="","",Coureurs!D72)</f>
        <v>D12</v>
      </c>
      <c r="E72" s="87" t="str">
        <f>IF(Coureurs!F72="","",Coureurs!F72)</f>
        <v>LAGARDE</v>
      </c>
      <c r="F72" s="87" t="str">
        <f>IF(Coureurs!G72="","",Coureurs!G72)</f>
        <v>Lilia</v>
      </c>
      <c r="G72" s="50">
        <f>IF(Coureurs!J72="","",Coureurs!J72)</f>
        <v>2311185</v>
      </c>
      <c r="H72" s="106"/>
      <c r="I72" s="40"/>
      <c r="J72" s="8" t="str">
        <f>IF(I72="PM","",IF(H72=0," ",I72-HLOOKUP('Course 4'!H72,'tab4'!$C$3:$N$4,2)))</f>
        <v xml:space="preserve"> </v>
      </c>
      <c r="K72" s="23" t="str">
        <f>IF(I72="PM","",IF(H72=0," ",J72/'Règles et points'!$F$23))</f>
        <v xml:space="preserve"> </v>
      </c>
      <c r="L72" s="3" t="str">
        <f>IF(H72=0,"",VLOOKUP(H72,'Règles et points'!$C$5:$AG$19,(HLOOKUP('Course 4'!C72,'Règles et points'!$C$5:$AG$5,1)+1)))</f>
        <v/>
      </c>
      <c r="M72" s="23">
        <f t="shared" si="1"/>
        <v>0</v>
      </c>
      <c r="N72" s="80"/>
      <c r="O72" s="51"/>
      <c r="P72" s="52"/>
    </row>
    <row r="73" spans="2:16" ht="12.75">
      <c r="B73" s="14">
        <v>69</v>
      </c>
      <c r="C73" s="28">
        <f>IF(Coureurs!C73="","",Coureurs!C73)</f>
        <v>24</v>
      </c>
      <c r="D73" s="131" t="str">
        <f>IF(Coureurs!D73="","",Coureurs!D73)</f>
        <v>H40</v>
      </c>
      <c r="E73" s="87" t="str">
        <f>IF(Coureurs!F73="","",Coureurs!F73)</f>
        <v>BROCHOT</v>
      </c>
      <c r="F73" s="87" t="str">
        <f>IF(Coureurs!G73="","",Coureurs!G73)</f>
        <v>Vincent</v>
      </c>
      <c r="G73" s="50">
        <f>IF(Coureurs!J73="","",Coureurs!J73)</f>
        <v>8000186</v>
      </c>
      <c r="H73" s="106"/>
      <c r="I73" s="40"/>
      <c r="J73" s="8" t="str">
        <f>IF(I73="PM","",IF(H73=0," ",I73-HLOOKUP('Course 4'!H73,'tab4'!$C$3:$N$4,2)))</f>
        <v xml:space="preserve"> </v>
      </c>
      <c r="K73" s="23" t="str">
        <f>IF(I73="PM","",IF(H73=0," ",J73/'Règles et points'!$F$23))</f>
        <v xml:space="preserve"> </v>
      </c>
      <c r="L73" s="3" t="str">
        <f>IF(H73=0,"",VLOOKUP(H73,'Règles et points'!$C$5:$AG$19,(HLOOKUP('Course 4'!C73,'Règles et points'!$C$5:$AG$5,1)+1)))</f>
        <v/>
      </c>
      <c r="M73" s="23">
        <f t="shared" si="1"/>
        <v>0</v>
      </c>
      <c r="N73" s="80"/>
      <c r="O73" s="51"/>
      <c r="P73" s="52"/>
    </row>
    <row r="74" spans="2:16" ht="12.75">
      <c r="B74" s="14">
        <v>70</v>
      </c>
      <c r="C74" s="28">
        <f>IF(Coureurs!C74="","",Coureurs!C74)</f>
        <v>4</v>
      </c>
      <c r="D74" s="131" t="str">
        <f>IF(Coureurs!D74="","",Coureurs!D74)</f>
        <v>D16</v>
      </c>
      <c r="E74" s="87" t="str">
        <f>IF(Coureurs!F74="","",Coureurs!F74)</f>
        <v>PASQUALINI</v>
      </c>
      <c r="F74" s="87" t="str">
        <f>IF(Coureurs!G74="","",Coureurs!G74)</f>
        <v>Hanna</v>
      </c>
      <c r="G74" s="50">
        <f>IF(Coureurs!J74="","",Coureurs!J74)</f>
        <v>2311190</v>
      </c>
      <c r="H74" s="106"/>
      <c r="I74" s="40"/>
      <c r="J74" s="8" t="str">
        <f>IF(I74="PM","",IF(H74=0," ",I74-HLOOKUP('Course 4'!H74,'tab4'!$C$3:$N$4,2)))</f>
        <v xml:space="preserve"> </v>
      </c>
      <c r="K74" s="23" t="str">
        <f>IF(I74="PM","",IF(H74=0," ",J74/'Règles et points'!$F$23))</f>
        <v xml:space="preserve"> </v>
      </c>
      <c r="L74" s="3" t="str">
        <f>IF(H74=0,"",VLOOKUP(H74,'Règles et points'!$C$5:$AG$19,(HLOOKUP('Course 4'!C74,'Règles et points'!$C$5:$AG$5,1)+1)))</f>
        <v/>
      </c>
      <c r="M74" s="23">
        <f t="shared" si="1"/>
        <v>0</v>
      </c>
      <c r="N74" s="80"/>
      <c r="O74" s="51"/>
      <c r="P74" s="52"/>
    </row>
    <row r="75" spans="2:16" ht="12.75">
      <c r="B75" s="14">
        <v>71</v>
      </c>
      <c r="C75" s="28">
        <f>IF(Coureurs!C75="","",Coureurs!C75)</f>
        <v>17</v>
      </c>
      <c r="D75" s="131" t="str">
        <f>IF(Coureurs!D75="","",Coureurs!D75)</f>
        <v>H12</v>
      </c>
      <c r="E75" s="87" t="str">
        <f>IF(Coureurs!F75="","",Coureurs!F75)</f>
        <v>LAUDET</v>
      </c>
      <c r="F75" s="87" t="str">
        <f>IF(Coureurs!G75="","",Coureurs!G75)</f>
        <v>Sacha</v>
      </c>
      <c r="G75" s="50">
        <f>IF(Coureurs!J75="","",Coureurs!J75)</f>
        <v>2311183</v>
      </c>
      <c r="H75" s="106"/>
      <c r="I75" s="40"/>
      <c r="J75" s="8" t="str">
        <f>IF(I75="PM","",IF(H75=0," ",I75-HLOOKUP('Course 4'!H75,'tab4'!$C$3:$N$4,2)))</f>
        <v xml:space="preserve"> </v>
      </c>
      <c r="K75" s="23" t="str">
        <f>IF(I75="PM","",IF(H75=0," ",J75/'Règles et points'!$F$23))</f>
        <v xml:space="preserve"> </v>
      </c>
      <c r="L75" s="3" t="str">
        <f>IF(H75=0,"",VLOOKUP(H75,'Règles et points'!$C$5:$AG$19,(HLOOKUP('Course 4'!C75,'Règles et points'!$C$5:$AG$5,1)+1)))</f>
        <v/>
      </c>
      <c r="M75" s="23">
        <f t="shared" si="1"/>
        <v>0</v>
      </c>
      <c r="N75" s="80"/>
      <c r="O75" s="51"/>
      <c r="P75" s="52"/>
    </row>
    <row r="76" spans="2:16" ht="12.75">
      <c r="B76" s="14">
        <v>72</v>
      </c>
      <c r="C76" s="28">
        <f>IF(Coureurs!C76="","",Coureurs!C76)</f>
        <v>18</v>
      </c>
      <c r="D76" s="131" t="str">
        <f>IF(Coureurs!D76="","",Coureurs!D76)</f>
        <v>H14</v>
      </c>
      <c r="E76" s="87" t="str">
        <f>IF(Coureurs!F76="","",Coureurs!F76)</f>
        <v>LEFEVRE</v>
      </c>
      <c r="F76" s="87" t="str">
        <f>IF(Coureurs!G76="","",Coureurs!G76)</f>
        <v>Gauthier</v>
      </c>
      <c r="G76" s="50">
        <f>IF(Coureurs!J76="","",Coureurs!J76)</f>
        <v>2420990</v>
      </c>
      <c r="H76" s="106"/>
      <c r="I76" s="40"/>
      <c r="J76" s="8" t="str">
        <f>IF(I76="PM","",IF(H76=0," ",I76-HLOOKUP('Course 4'!H76,'tab4'!$C$3:$N$4,2)))</f>
        <v xml:space="preserve"> </v>
      </c>
      <c r="K76" s="23" t="str">
        <f>IF(I76="PM","",IF(H76=0," ",J76/'Règles et points'!$F$23))</f>
        <v xml:space="preserve"> </v>
      </c>
      <c r="L76" s="3" t="str">
        <f>IF(H76=0,"",VLOOKUP(H76,'Règles et points'!$C$5:$AG$19,(HLOOKUP('Course 4'!C76,'Règles et points'!$C$5:$AG$5,1)+1)))</f>
        <v/>
      </c>
      <c r="M76" s="23">
        <f t="shared" si="1"/>
        <v>0</v>
      </c>
      <c r="N76" s="80"/>
      <c r="O76" s="51"/>
      <c r="P76" s="52"/>
    </row>
    <row r="77" spans="2:16" ht="12.75">
      <c r="B77" s="14">
        <v>73</v>
      </c>
      <c r="C77" s="28">
        <f>IF(Coureurs!C77="","",Coureurs!C77)</f>
        <v>3</v>
      </c>
      <c r="D77" s="131" t="str">
        <f>IF(Coureurs!D77="","",Coureurs!D77)</f>
        <v>D14</v>
      </c>
      <c r="E77" s="87" t="str">
        <f>IF(Coureurs!F77="","",Coureurs!F77)</f>
        <v>BENSET</v>
      </c>
      <c r="F77" s="87" t="str">
        <f>IF(Coureurs!G77="","",Coureurs!G77)</f>
        <v>Estelle</v>
      </c>
      <c r="G77" s="50">
        <f>IF(Coureurs!J77="","",Coureurs!J77)</f>
        <v>2150413</v>
      </c>
      <c r="H77" s="106"/>
      <c r="I77" s="40"/>
      <c r="J77" s="8" t="str">
        <f>IF(I77="PM","",IF(H77=0," ",I77-HLOOKUP('Course 4'!H77,'tab4'!$C$3:$N$4,2)))</f>
        <v xml:space="preserve"> </v>
      </c>
      <c r="K77" s="23" t="str">
        <f>IF(I77="PM","",IF(H77=0," ",J77/'Règles et points'!$F$23))</f>
        <v xml:space="preserve"> </v>
      </c>
      <c r="L77" s="3" t="str">
        <f>IF(H77=0,"",VLOOKUP(H77,'Règles et points'!$C$5:$AG$19,(HLOOKUP('Course 4'!C77,'Règles et points'!$C$5:$AG$5,1)+1)))</f>
        <v/>
      </c>
      <c r="M77" s="23">
        <f t="shared" si="1"/>
        <v>0</v>
      </c>
      <c r="N77" s="80"/>
      <c r="O77" s="51"/>
      <c r="P77" s="52"/>
    </row>
    <row r="78" spans="2:16" ht="12.75">
      <c r="B78" s="14">
        <v>74</v>
      </c>
      <c r="C78" s="28">
        <f>IF(Coureurs!C78="","",Coureurs!C78)</f>
        <v>27</v>
      </c>
      <c r="D78" s="131" t="str">
        <f>IF(Coureurs!D78="","",Coureurs!D78)</f>
        <v>H55</v>
      </c>
      <c r="E78" s="87" t="str">
        <f>IF(Coureurs!F78="","",Coureurs!F78)</f>
        <v>BOUCHERIE</v>
      </c>
      <c r="F78" s="87" t="str">
        <f>IF(Coureurs!G78="","",Coureurs!G78)</f>
        <v>Pascal</v>
      </c>
      <c r="G78" s="50">
        <f>IF(Coureurs!J78="","",Coureurs!J78)</f>
        <v>2420986</v>
      </c>
      <c r="H78" s="106"/>
      <c r="I78" s="40"/>
      <c r="J78" s="8" t="str">
        <f>IF(I78="PM","",IF(H78=0," ",I78-HLOOKUP('Course 4'!H78,'tab4'!$C$3:$N$4,2)))</f>
        <v xml:space="preserve"> </v>
      </c>
      <c r="K78" s="23" t="str">
        <f>IF(I78="PM","",IF(H78=0," ",J78/'Règles et points'!$F$23))</f>
        <v xml:space="preserve"> </v>
      </c>
      <c r="L78" s="3" t="str">
        <f>IF(H78=0,"",VLOOKUP(H78,'Règles et points'!$C$5:$AG$19,(HLOOKUP('Course 4'!C78,'Règles et points'!$C$5:$AG$5,1)+1)))</f>
        <v/>
      </c>
      <c r="M78" s="23">
        <f t="shared" si="1"/>
        <v>0</v>
      </c>
      <c r="N78" s="80"/>
      <c r="O78" s="51"/>
      <c r="P78" s="52"/>
    </row>
    <row r="79" spans="2:16" ht="12.75">
      <c r="B79" s="14">
        <v>75</v>
      </c>
      <c r="C79" s="28">
        <f>IF(Coureurs!C79="","",Coureurs!C79)</f>
        <v>12</v>
      </c>
      <c r="D79" s="131" t="str">
        <f>IF(Coureurs!D79="","",Coureurs!D79)</f>
        <v>D55</v>
      </c>
      <c r="E79" s="87" t="str">
        <f>IF(Coureurs!F79="","",Coureurs!F79)</f>
        <v>BOUCHERIE</v>
      </c>
      <c r="F79" s="87" t="str">
        <f>IF(Coureurs!G79="","",Coureurs!G79)</f>
        <v>caroline</v>
      </c>
      <c r="G79" s="50">
        <f>IF(Coureurs!J79="","",Coureurs!J79)</f>
        <v>2420987</v>
      </c>
      <c r="H79" s="106"/>
      <c r="I79" s="40"/>
      <c r="J79" s="8" t="str">
        <f>IF(I79="PM","",IF(H79=0," ",I79-HLOOKUP('Course 4'!H79,'tab4'!$C$3:$N$4,2)))</f>
        <v xml:space="preserve"> </v>
      </c>
      <c r="K79" s="23" t="str">
        <f>IF(I79="PM","",IF(H79=0," ",J79/'Règles et points'!$F$23))</f>
        <v xml:space="preserve"> </v>
      </c>
      <c r="L79" s="3" t="str">
        <f>IF(H79=0,"",VLOOKUP(H79,'Règles et points'!$C$5:$AG$19,(HLOOKUP('Course 4'!C79,'Règles et points'!$C$5:$AG$5,1)+1)))</f>
        <v/>
      </c>
      <c r="M79" s="23">
        <f t="shared" si="1"/>
        <v>0</v>
      </c>
      <c r="N79" s="80"/>
      <c r="O79" s="51"/>
      <c r="P79" s="52"/>
    </row>
    <row r="80" spans="2:16" ht="12.75">
      <c r="B80" s="14">
        <v>76</v>
      </c>
      <c r="C80" s="28">
        <f>IF(Coureurs!C80="","",Coureurs!C80)</f>
        <v>17</v>
      </c>
      <c r="D80" s="131" t="str">
        <f>IF(Coureurs!D80="","",Coureurs!D80)</f>
        <v>H12</v>
      </c>
      <c r="E80" s="87" t="str">
        <f>IF(Coureurs!F80="","",Coureurs!F80)</f>
        <v>BOUCHERIE</v>
      </c>
      <c r="F80" s="87" t="str">
        <f>IF(Coureurs!G80="","",Coureurs!G80)</f>
        <v>Achille</v>
      </c>
      <c r="G80" s="50">
        <f>IF(Coureurs!J80="","",Coureurs!J80)</f>
        <v>2311189</v>
      </c>
      <c r="H80" s="25"/>
      <c r="I80" s="41"/>
      <c r="J80" s="8" t="str">
        <f>IF(I80="PM","",IF(H80=0," ",I80-HLOOKUP('Course 4'!H80,'tab4'!$C$3:$N$4,2)))</f>
        <v xml:space="preserve"> </v>
      </c>
      <c r="K80" s="23" t="str">
        <f>IF(I80="PM","",IF(H80=0," ",J80/'Règles et points'!$F$23))</f>
        <v xml:space="preserve"> </v>
      </c>
      <c r="L80" s="3" t="str">
        <f>IF(H80=0,"",VLOOKUP(H80,'Règles et points'!$C$5:$AG$19,(HLOOKUP('Course 4'!C80,'Règles et points'!$C$5:$AG$5,1)+1)))</f>
        <v/>
      </c>
      <c r="M80" s="23">
        <f t="shared" si="1"/>
        <v>0</v>
      </c>
      <c r="N80" s="80"/>
      <c r="O80" s="51"/>
      <c r="P80" s="52"/>
    </row>
    <row r="81" spans="2:16" ht="12.75">
      <c r="B81" s="14">
        <v>77</v>
      </c>
      <c r="C81" s="28">
        <f>IF(Coureurs!C81="","",Coureurs!C81)</f>
        <v>22</v>
      </c>
      <c r="D81" s="131" t="str">
        <f>IF(Coureurs!D81="","",Coureurs!D81)</f>
        <v>H21</v>
      </c>
      <c r="E81" s="87" t="str">
        <f>IF(Coureurs!F81="","",Coureurs!F81)</f>
        <v>BOUCHERIE</v>
      </c>
      <c r="F81" s="87" t="str">
        <f>IF(Coureurs!G81="","",Coureurs!G81)</f>
        <v>jules</v>
      </c>
      <c r="G81" s="50">
        <f>IF(Coureurs!J81="","",Coureurs!J81)</f>
        <v>2150411</v>
      </c>
      <c r="H81" s="25"/>
      <c r="I81" s="41"/>
      <c r="J81" s="8" t="str">
        <f>IF(I81="PM","",IF(H81=0," ",I81-HLOOKUP('Course 4'!H81,'tab4'!$C$3:$N$4,2)))</f>
        <v xml:space="preserve"> </v>
      </c>
      <c r="K81" s="23" t="str">
        <f>IF(I81="PM","",IF(H81=0," ",J81/'Règles et points'!$F$23))</f>
        <v xml:space="preserve"> </v>
      </c>
      <c r="L81" s="3" t="str">
        <f>IF(H81=0,"",VLOOKUP(H81,'Règles et points'!$C$5:$AG$19,(HLOOKUP('Course 4'!C81,'Règles et points'!$C$5:$AG$5,1)+1)))</f>
        <v/>
      </c>
      <c r="M81" s="23">
        <f t="shared" si="1"/>
        <v>0</v>
      </c>
      <c r="N81" s="80"/>
      <c r="O81" s="51"/>
      <c r="P81" s="52"/>
    </row>
    <row r="82" spans="2:16" ht="12.75">
      <c r="B82" s="14">
        <v>78</v>
      </c>
      <c r="C82" s="28">
        <f>IF(Coureurs!C82="","",Coureurs!C82)</f>
        <v>22</v>
      </c>
      <c r="D82" s="131" t="str">
        <f>IF(Coureurs!D82="","",Coureurs!D82)</f>
        <v>H21</v>
      </c>
      <c r="E82" s="87" t="str">
        <f>IF(Coureurs!F82="","",Coureurs!F82)</f>
        <v>BOUCHERIE</v>
      </c>
      <c r="F82" s="87" t="str">
        <f>IF(Coureurs!G82="","",Coureurs!G82)</f>
        <v>louis</v>
      </c>
      <c r="G82" s="50">
        <f>IF(Coureurs!J82="","",Coureurs!J82)</f>
        <v>2150412</v>
      </c>
      <c r="H82" s="25"/>
      <c r="I82" s="41"/>
      <c r="J82" s="8" t="str">
        <f>IF(I82="PM","",IF(H82=0," ",I82-HLOOKUP('Course 4'!H82,'tab4'!$C$3:$N$4,2)))</f>
        <v xml:space="preserve"> </v>
      </c>
      <c r="K82" s="23" t="str">
        <f>IF(I82="PM","",IF(H82=0," ",J82/'Règles et points'!$F$23))</f>
        <v xml:space="preserve"> </v>
      </c>
      <c r="L82" s="3" t="str">
        <f>IF(H82=0,"",VLOOKUP(H82,'Règles et points'!$C$5:$AG$19,(HLOOKUP('Course 4'!C82,'Règles et points'!$C$5:$AG$5,1)+1)))</f>
        <v/>
      </c>
      <c r="M82" s="23">
        <f t="shared" si="1"/>
        <v>0</v>
      </c>
      <c r="N82" s="80"/>
      <c r="O82" s="51"/>
      <c r="P82" s="52"/>
    </row>
    <row r="83" spans="2:16" ht="12.75">
      <c r="B83" s="14">
        <v>79</v>
      </c>
      <c r="C83" s="28">
        <f>IF(Coureurs!C83="","",Coureurs!C83)</f>
        <v>18</v>
      </c>
      <c r="D83" s="131" t="str">
        <f>IF(Coureurs!D83="","",Coureurs!D83)</f>
        <v>H14</v>
      </c>
      <c r="E83" s="87" t="str">
        <f>IF(Coureurs!F83="","",Coureurs!F83)</f>
        <v>ZHANG</v>
      </c>
      <c r="F83" s="87" t="str">
        <f>IF(Coureurs!G83="","",Coureurs!G83)</f>
        <v>Felix</v>
      </c>
      <c r="G83" s="50">
        <f>IF(Coureurs!J83="","",Coureurs!J83)</f>
        <v>2150416</v>
      </c>
      <c r="H83" s="25"/>
      <c r="I83" s="41"/>
      <c r="J83" s="8" t="str">
        <f>IF(I83="PM","",IF(H83=0," ",I83-HLOOKUP('Course 4'!H83,'tab4'!$C$3:$N$4,2)))</f>
        <v xml:space="preserve"> </v>
      </c>
      <c r="K83" s="23" t="str">
        <f>IF(I83="PM","",IF(H83=0," ",J83/'Règles et points'!$F$23))</f>
        <v xml:space="preserve"> </v>
      </c>
      <c r="L83" s="3" t="str">
        <f>IF(H83=0,"",VLOOKUP(H83,'Règles et points'!$C$5:$AG$19,(HLOOKUP('Course 4'!C83,'Règles et points'!$C$5:$AG$5,1)+1)))</f>
        <v/>
      </c>
      <c r="M83" s="23">
        <f t="shared" si="1"/>
        <v>0</v>
      </c>
      <c r="N83" s="80"/>
      <c r="O83" s="51"/>
      <c r="P83" s="52"/>
    </row>
    <row r="84" spans="2:16" ht="12.75">
      <c r="B84" s="14">
        <v>80</v>
      </c>
      <c r="C84" s="28">
        <f>IF(Coureurs!C84="","",Coureurs!C84)</f>
        <v>2</v>
      </c>
      <c r="D84" s="131" t="str">
        <f>IF(Coureurs!D84="","",Coureurs!D84)</f>
        <v>D12</v>
      </c>
      <c r="E84" s="87" t="str">
        <f>IF(Coureurs!F84="","",Coureurs!F84)</f>
        <v>DUSSAIX</v>
      </c>
      <c r="F84" s="87" t="str">
        <f>IF(Coureurs!G84="","",Coureurs!G84)</f>
        <v>Margaux</v>
      </c>
      <c r="G84" s="50">
        <f>IF(Coureurs!J84="","",Coureurs!J84)</f>
        <v>2150414</v>
      </c>
      <c r="H84" s="25"/>
      <c r="I84" s="41"/>
      <c r="J84" s="8" t="str">
        <f>IF(I84="PM","",IF(H84=0," ",I84-HLOOKUP('Course 4'!H84,'tab4'!$C$3:$N$4,2)))</f>
        <v xml:space="preserve"> </v>
      </c>
      <c r="K84" s="23" t="str">
        <f>IF(I84="PM","",IF(H84=0," ",J84/'Règles et points'!$F$23))</f>
        <v xml:space="preserve"> </v>
      </c>
      <c r="L84" s="3" t="str">
        <f>IF(H84=0,"",VLOOKUP(H84,'Règles et points'!$C$5:$AG$19,(HLOOKUP('Course 4'!C84,'Règles et points'!$C$5:$AG$5,1)+1)))</f>
        <v/>
      </c>
      <c r="M84" s="23">
        <f t="shared" si="1"/>
        <v>0</v>
      </c>
      <c r="N84" s="80"/>
      <c r="O84" s="51"/>
      <c r="P84" s="52"/>
    </row>
    <row r="85" spans="2:16" ht="12.75">
      <c r="B85" s="14">
        <v>81</v>
      </c>
      <c r="C85" s="28">
        <f>IF(Coureurs!C85="","",Coureurs!C85)</f>
        <v>26</v>
      </c>
      <c r="D85" s="131" t="str">
        <f>IF(Coureurs!D85="","",Coureurs!D85)</f>
        <v>H50</v>
      </c>
      <c r="E85" s="87" t="str">
        <f>IF(Coureurs!F85="","",Coureurs!F85)</f>
        <v>DELABROYE DUCROQ</v>
      </c>
      <c r="F85" s="87" t="str">
        <f>IF(Coureurs!G85="","",Coureurs!G85)</f>
        <v>Arnaud</v>
      </c>
      <c r="G85" s="50" t="str">
        <f>IF(Coureurs!J85="","",Coureurs!J85)</f>
        <v/>
      </c>
      <c r="H85" s="25"/>
      <c r="I85" s="41"/>
      <c r="J85" s="8" t="str">
        <f>IF(I85="PM","",IF(H85=0," ",I85-HLOOKUP('Course 4'!H85,'tab4'!$C$3:$N$4,2)))</f>
        <v xml:space="preserve"> </v>
      </c>
      <c r="K85" s="23" t="str">
        <f>IF(I85="PM","",IF(H85=0," ",J85/'Règles et points'!$F$23))</f>
        <v xml:space="preserve"> </v>
      </c>
      <c r="L85" s="3" t="str">
        <f>IF(H85=0,"",VLOOKUP(H85,'Règles et points'!$C$5:$AG$19,(HLOOKUP('Course 4'!C85,'Règles et points'!$C$5:$AG$5,1)+1)))</f>
        <v/>
      </c>
      <c r="M85" s="23">
        <f t="shared" si="1"/>
        <v>0</v>
      </c>
      <c r="N85" s="80"/>
      <c r="O85" s="51"/>
      <c r="P85" s="52"/>
    </row>
    <row r="86" spans="2:16" ht="12.75">
      <c r="B86" s="14">
        <v>82</v>
      </c>
      <c r="C86" s="28">
        <f>IF(Coureurs!C86="","",Coureurs!C86)</f>
        <v>16</v>
      </c>
      <c r="D86" s="131" t="str">
        <f>IF(Coureurs!D86="","",Coureurs!D86)</f>
        <v>H10</v>
      </c>
      <c r="E86" s="87" t="str">
        <f>IF(Coureurs!F86="","",Coureurs!F86)</f>
        <v>DELABROYE DUCROQ</v>
      </c>
      <c r="F86" s="87" t="str">
        <f>IF(Coureurs!G86="","",Coureurs!G86)</f>
        <v>Adam</v>
      </c>
      <c r="G86" s="50" t="str">
        <f>IF(Coureurs!J86="","",Coureurs!J86)</f>
        <v/>
      </c>
      <c r="H86" s="25"/>
      <c r="I86" s="41"/>
      <c r="J86" s="8" t="str">
        <f>IF(I86="PM","",IF(H86=0," ",I86-HLOOKUP('Course 4'!H86,'tab4'!$C$3:$N$4,2)))</f>
        <v xml:space="preserve"> </v>
      </c>
      <c r="K86" s="23" t="str">
        <f>IF(I86="PM","",IF(H86=0," ",J86/'Règles et points'!$F$23))</f>
        <v xml:space="preserve"> </v>
      </c>
      <c r="L86" s="3" t="str">
        <f>IF(H86=0,"",VLOOKUP(H86,'Règles et points'!$C$5:$AG$19,(HLOOKUP('Course 4'!C86,'Règles et points'!$C$5:$AG$5,1)+1)))</f>
        <v/>
      </c>
      <c r="M86" s="23">
        <f t="shared" si="1"/>
        <v>0</v>
      </c>
      <c r="N86" s="80"/>
      <c r="O86" s="51"/>
      <c r="P86" s="52"/>
    </row>
    <row r="87" spans="2:16" ht="12.75">
      <c r="B87" s="14">
        <v>83</v>
      </c>
      <c r="C87" s="28">
        <f>IF(Coureurs!C87="","",Coureurs!C87)</f>
        <v>18</v>
      </c>
      <c r="D87" s="131" t="str">
        <f>IF(Coureurs!D87="","",Coureurs!D87)</f>
        <v>H14</v>
      </c>
      <c r="E87" s="87" t="str">
        <f>IF(Coureurs!F87="","",Coureurs!F87)</f>
        <v>RICHARD</v>
      </c>
      <c r="F87" s="87" t="str">
        <f>IF(Coureurs!G87="","",Coureurs!G87)</f>
        <v>Mathis</v>
      </c>
      <c r="G87" s="50">
        <f>IF(Coureurs!J87="","",Coureurs!J87)</f>
        <v>2311186</v>
      </c>
      <c r="H87" s="25"/>
      <c r="I87" s="41"/>
      <c r="J87" s="8" t="str">
        <f>IF(I87="PM","",IF(H87=0," ",I87-HLOOKUP('Course 4'!H87,'tab4'!$C$3:$N$4,2)))</f>
        <v xml:space="preserve"> </v>
      </c>
      <c r="K87" s="23" t="str">
        <f>IF(I87="PM","",IF(H87=0," ",J87/'Règles et points'!$F$23))</f>
        <v xml:space="preserve"> </v>
      </c>
      <c r="L87" s="3" t="str">
        <f>IF(H87=0,"",VLOOKUP(H87,'Règles et points'!$C$5:$AG$19,(HLOOKUP('Course 4'!C87,'Règles et points'!$C$5:$AG$5,1)+1)))</f>
        <v/>
      </c>
      <c r="M87" s="23">
        <f t="shared" si="1"/>
        <v>0</v>
      </c>
      <c r="N87" s="80"/>
      <c r="O87" s="51"/>
      <c r="P87" s="52"/>
    </row>
    <row r="88" spans="2:16" ht="12.75">
      <c r="B88" s="14">
        <v>84</v>
      </c>
      <c r="C88" s="28">
        <f>IF(Coureurs!C88="","",Coureurs!C88)</f>
        <v>9</v>
      </c>
      <c r="D88" s="131" t="str">
        <f>IF(Coureurs!D88="","",Coureurs!D88)</f>
        <v>D40</v>
      </c>
      <c r="E88" s="87" t="str">
        <f>IF(Coureurs!F88="","",Coureurs!F88)</f>
        <v>COQUET</v>
      </c>
      <c r="F88" s="87" t="str">
        <f>IF(Coureurs!G88="","",Coureurs!G88)</f>
        <v>Coralie</v>
      </c>
      <c r="G88" s="50" t="str">
        <f>IF(Coureurs!J88="","",Coureurs!J88)</f>
        <v/>
      </c>
      <c r="H88" s="25"/>
      <c r="I88" s="41"/>
      <c r="J88" s="8" t="str">
        <f>IF(I88="PM","",IF(H88=0," ",I88-HLOOKUP('Course 4'!H88,'tab4'!$C$3:$N$4,2)))</f>
        <v xml:space="preserve"> </v>
      </c>
      <c r="K88" s="23" t="str">
        <f>IF(I88="PM","",IF(H88=0," ",J88/'Règles et points'!$F$23))</f>
        <v xml:space="preserve"> </v>
      </c>
      <c r="L88" s="3" t="str">
        <f>IF(H88=0,"",VLOOKUP(H88,'Règles et points'!$C$5:$AG$19,(HLOOKUP('Course 4'!C88,'Règles et points'!$C$5:$AG$5,1)+1)))</f>
        <v/>
      </c>
      <c r="M88" s="23">
        <f t="shared" si="1"/>
        <v>0</v>
      </c>
      <c r="N88" s="80"/>
      <c r="O88" s="51"/>
      <c r="P88" s="52"/>
    </row>
    <row r="89" spans="2:16" ht="12.75">
      <c r="B89" s="14">
        <v>85</v>
      </c>
      <c r="C89" s="28">
        <f>IF(Coureurs!C89="","",Coureurs!C89)</f>
        <v>17</v>
      </c>
      <c r="D89" s="131" t="str">
        <f>IF(Coureurs!D89="","",Coureurs!D89)</f>
        <v>H12</v>
      </c>
      <c r="E89" s="87" t="str">
        <f>IF(Coureurs!F89="","",Coureurs!F89)</f>
        <v>MONTACIE</v>
      </c>
      <c r="F89" s="87" t="str">
        <f>IF(Coureurs!G89="","",Coureurs!G89)</f>
        <v>Victor</v>
      </c>
      <c r="G89" s="50">
        <f>IF(Coureurs!J89="","",Coureurs!J89)</f>
        <v>2150417</v>
      </c>
      <c r="H89" s="25"/>
      <c r="I89" s="41"/>
      <c r="J89" s="8" t="str">
        <f>IF(I89="PM","",IF(H89=0," ",I89-HLOOKUP('Course 4'!H89,'tab4'!$C$3:$N$4,2)))</f>
        <v xml:space="preserve"> </v>
      </c>
      <c r="K89" s="23" t="str">
        <f>IF(I89="PM","",IF(H89=0," ",J89/'Règles et points'!$F$23))</f>
        <v xml:space="preserve"> </v>
      </c>
      <c r="L89" s="3" t="str">
        <f>IF(H89=0,"",VLOOKUP(H89,'Règles et points'!$C$5:$AG$19,(HLOOKUP('Course 4'!C89,'Règles et points'!$C$5:$AG$5,1)+1)))</f>
        <v/>
      </c>
      <c r="M89" s="23">
        <f t="shared" si="1"/>
        <v>0</v>
      </c>
      <c r="N89" s="80"/>
      <c r="O89" s="51"/>
      <c r="P89" s="52"/>
    </row>
    <row r="90" spans="2:16" ht="12.75">
      <c r="B90" s="14">
        <v>86</v>
      </c>
      <c r="C90" s="28">
        <f>IF(Coureurs!C90="","",Coureurs!C90)</f>
        <v>19</v>
      </c>
      <c r="D90" s="131" t="str">
        <f>IF(Coureurs!D90="","",Coureurs!D90)</f>
        <v>H16</v>
      </c>
      <c r="E90" s="87" t="str">
        <f>IF(Coureurs!F90="","",Coureurs!F90)</f>
        <v>MEUNIER</v>
      </c>
      <c r="F90" s="87" t="str">
        <f>IF(Coureurs!G90="","",Coureurs!G90)</f>
        <v>Hadrien</v>
      </c>
      <c r="G90" s="50">
        <f>IF(Coureurs!J90="","",Coureurs!J90)</f>
        <v>2144316</v>
      </c>
      <c r="H90" s="25"/>
      <c r="I90" s="41"/>
      <c r="J90" s="8" t="str">
        <f>IF(I90="PM","",IF(H90=0," ",I90-HLOOKUP('Course 4'!H90,'tab4'!$C$3:$N$4,2)))</f>
        <v xml:space="preserve"> </v>
      </c>
      <c r="K90" s="23" t="str">
        <f>IF(I90="PM","",IF(H90=0," ",J90/'Règles et points'!$F$23))</f>
        <v xml:space="preserve"> </v>
      </c>
      <c r="L90" s="3" t="str">
        <f>IF(H90=0,"",VLOOKUP(H90,'Règles et points'!$C$5:$AG$19,(HLOOKUP('Course 4'!C90,'Règles et points'!$C$5:$AG$5,1)+1)))</f>
        <v/>
      </c>
      <c r="M90" s="23">
        <f t="shared" si="1"/>
        <v>0</v>
      </c>
      <c r="N90" s="80"/>
      <c r="O90" s="51"/>
      <c r="P90" s="52"/>
    </row>
    <row r="91" spans="2:16" ht="12.75">
      <c r="B91" s="14">
        <v>87</v>
      </c>
      <c r="C91" s="28">
        <f>IF(Coureurs!C91="","",Coureurs!C91)</f>
        <v>10</v>
      </c>
      <c r="D91" s="131" t="str">
        <f>IF(Coureurs!D91="","",Coureurs!D91)</f>
        <v>D45</v>
      </c>
      <c r="E91" s="87" t="str">
        <f>IF(Coureurs!F91="","",Coureurs!F91)</f>
        <v>SNELLMAN</v>
      </c>
      <c r="F91" s="87" t="str">
        <f>IF(Coureurs!G91="","",Coureurs!G91)</f>
        <v>Kaisa</v>
      </c>
      <c r="G91" s="50" t="str">
        <f>IF(Coureurs!J91="","",Coureurs!J91)</f>
        <v/>
      </c>
      <c r="H91" s="25"/>
      <c r="I91" s="41"/>
      <c r="J91" s="8" t="str">
        <f>IF(I91="PM","",IF(H91=0," ",I91-HLOOKUP('Course 4'!H91,'tab4'!$C$3:$N$4,2)))</f>
        <v xml:space="preserve"> </v>
      </c>
      <c r="K91" s="23" t="str">
        <f>IF(I91="PM","",IF(H91=0," ",J91/'Règles et points'!$F$23))</f>
        <v xml:space="preserve"> </v>
      </c>
      <c r="L91" s="3" t="str">
        <f>IF(H91=0,"",VLOOKUP(H91,'Règles et points'!$C$5:$AG$19,(HLOOKUP('Course 4'!C91,'Règles et points'!$C$5:$AG$5,1)+1)))</f>
        <v/>
      </c>
      <c r="M91" s="23">
        <f t="shared" si="1"/>
        <v>0</v>
      </c>
      <c r="N91" s="80"/>
      <c r="O91" s="51"/>
      <c r="P91" s="52"/>
    </row>
    <row r="92" spans="2:16" ht="12.75">
      <c r="B92" s="14">
        <v>88</v>
      </c>
      <c r="C92" s="28" t="e">
        <f>IF(Coureurs!C92="","",Coureurs!C92)</f>
        <v>#N/A</v>
      </c>
      <c r="D92" s="131" t="str">
        <f>IF(Coureurs!D92="","",Coureurs!D92)</f>
        <v>70</v>
      </c>
      <c r="E92" s="87" t="str">
        <f>IF(Coureurs!F92="","",Coureurs!F92)</f>
        <v/>
      </c>
      <c r="F92" s="87" t="str">
        <f>IF(Coureurs!G92="","",Coureurs!G92)</f>
        <v/>
      </c>
      <c r="G92" s="50" t="str">
        <f>IF(Coureurs!J92="","",Coureurs!J92)</f>
        <v/>
      </c>
      <c r="H92" s="25"/>
      <c r="I92" s="41"/>
      <c r="J92" s="8" t="str">
        <f>IF(I92="PM","",IF(H92=0," ",I92-HLOOKUP('Course 4'!H92,'tab4'!$C$3:$N$4,2)))</f>
        <v xml:space="preserve"> </v>
      </c>
      <c r="K92" s="23" t="str">
        <f>IF(I92="PM","",IF(H92=0," ",J92/'Règles et points'!$F$23))</f>
        <v xml:space="preserve"> </v>
      </c>
      <c r="L92" s="3" t="str">
        <f>IF(H92=0,"",VLOOKUP(H92,'Règles et points'!$C$5:$AG$19,(HLOOKUP('Course 4'!C92,'Règles et points'!$C$5:$AG$5,1)+1)))</f>
        <v/>
      </c>
      <c r="M92" s="23">
        <f t="shared" si="1"/>
        <v>0</v>
      </c>
      <c r="N92" s="80"/>
      <c r="O92" s="51"/>
      <c r="P92" s="52"/>
    </row>
    <row r="93" spans="2:16" ht="12.75">
      <c r="B93" s="14">
        <v>89</v>
      </c>
      <c r="C93" s="28" t="e">
        <f>IF(Coureurs!C93="","",Coureurs!C93)</f>
        <v>#N/A</v>
      </c>
      <c r="D93" s="131" t="str">
        <f>IF(Coureurs!D93="","",Coureurs!D93)</f>
        <v>70</v>
      </c>
      <c r="E93" s="87" t="str">
        <f>IF(Coureurs!F93="","",Coureurs!F93)</f>
        <v/>
      </c>
      <c r="F93" s="87" t="str">
        <f>IF(Coureurs!G93="","",Coureurs!G93)</f>
        <v/>
      </c>
      <c r="G93" s="50" t="str">
        <f>IF(Coureurs!J93="","",Coureurs!J93)</f>
        <v/>
      </c>
      <c r="H93" s="25"/>
      <c r="I93" s="41"/>
      <c r="J93" s="8" t="str">
        <f>IF(I93="PM","",IF(H93=0," ",I93-HLOOKUP('Course 4'!H93,'tab4'!$C$3:$N$4,2)))</f>
        <v xml:space="preserve"> </v>
      </c>
      <c r="K93" s="23" t="str">
        <f>IF(I93="PM","",IF(H93=0," ",J93/'Règles et points'!$F$23))</f>
        <v xml:space="preserve"> </v>
      </c>
      <c r="L93" s="3" t="str">
        <f>IF(H93=0,"",VLOOKUP(H93,'Règles et points'!$C$5:$AG$19,(HLOOKUP('Course 4'!C93,'Règles et points'!$C$5:$AG$5,1)+1)))</f>
        <v/>
      </c>
      <c r="M93" s="23">
        <f t="shared" si="1"/>
        <v>0</v>
      </c>
      <c r="N93" s="80"/>
      <c r="O93" s="51"/>
      <c r="P93" s="52"/>
    </row>
    <row r="94" spans="2:16" ht="12.75">
      <c r="B94" s="14">
        <v>90</v>
      </c>
      <c r="C94" s="28" t="e">
        <f>IF(Coureurs!C94="","",Coureurs!C94)</f>
        <v>#N/A</v>
      </c>
      <c r="D94" s="131" t="str">
        <f>IF(Coureurs!D94="","",Coureurs!D94)</f>
        <v>70</v>
      </c>
      <c r="E94" s="87" t="str">
        <f>IF(Coureurs!F94="","",Coureurs!F94)</f>
        <v/>
      </c>
      <c r="F94" s="87" t="str">
        <f>IF(Coureurs!G94="","",Coureurs!G94)</f>
        <v/>
      </c>
      <c r="G94" s="50" t="str">
        <f>IF(Coureurs!J94="","",Coureurs!J94)</f>
        <v/>
      </c>
      <c r="H94" s="25"/>
      <c r="I94" s="41"/>
      <c r="J94" s="8" t="str">
        <f>IF(I94="PM","",IF(H94=0," ",I94-HLOOKUP('Course 4'!H94,'tab4'!$C$3:$N$4,2)))</f>
        <v xml:space="preserve"> </v>
      </c>
      <c r="K94" s="23" t="str">
        <f>IF(I94="PM","",IF(H94=0," ",J94/'Règles et points'!$F$23))</f>
        <v xml:space="preserve"> </v>
      </c>
      <c r="L94" s="3" t="str">
        <f>IF(H94=0,"",VLOOKUP(H94,'Règles et points'!$C$5:$AG$19,(HLOOKUP('Course 4'!C94,'Règles et points'!$C$5:$AG$5,1)+1)))</f>
        <v/>
      </c>
      <c r="M94" s="23">
        <f t="shared" si="1"/>
        <v>0</v>
      </c>
      <c r="N94" s="80"/>
      <c r="O94" s="51"/>
      <c r="P94" s="52"/>
    </row>
    <row r="95" spans="2:16" ht="12.75">
      <c r="B95" s="14">
        <v>91</v>
      </c>
      <c r="C95" s="28" t="e">
        <f>IF(Coureurs!C95="","",Coureurs!C95)</f>
        <v>#N/A</v>
      </c>
      <c r="D95" s="131" t="str">
        <f>IF(Coureurs!D95="","",Coureurs!D95)</f>
        <v>70</v>
      </c>
      <c r="E95" s="87" t="str">
        <f>IF(Coureurs!F95="","",Coureurs!F95)</f>
        <v/>
      </c>
      <c r="F95" s="87" t="str">
        <f>IF(Coureurs!G95="","",Coureurs!G95)</f>
        <v/>
      </c>
      <c r="G95" s="50" t="str">
        <f>IF(Coureurs!J95="","",Coureurs!J95)</f>
        <v/>
      </c>
      <c r="H95" s="25"/>
      <c r="I95" s="41"/>
      <c r="J95" s="8" t="str">
        <f>IF(I95="PM","",IF(H95=0," ",I95-HLOOKUP('Course 4'!H95,'tab4'!$C$3:$N$4,2)))</f>
        <v xml:space="preserve"> </v>
      </c>
      <c r="K95" s="23" t="str">
        <f>IF(I95="PM","",IF(H95=0," ",J95/'Règles et points'!$F$23))</f>
        <v xml:space="preserve"> </v>
      </c>
      <c r="L95" s="3" t="str">
        <f>IF(H95=0,"",VLOOKUP(H95,'Règles et points'!$C$5:$AG$19,(HLOOKUP('Course 4'!C95,'Règles et points'!$C$5:$AG$5,1)+1)))</f>
        <v/>
      </c>
      <c r="M95" s="23">
        <f t="shared" si="1"/>
        <v>0</v>
      </c>
      <c r="N95" s="80"/>
      <c r="O95" s="51"/>
      <c r="P95" s="52"/>
    </row>
    <row r="96" spans="2:16" ht="12.75">
      <c r="B96" s="14">
        <v>92</v>
      </c>
      <c r="C96" s="28" t="e">
        <f>IF(Coureurs!C96="","",Coureurs!C96)</f>
        <v>#N/A</v>
      </c>
      <c r="D96" s="131" t="str">
        <f>IF(Coureurs!D96="","",Coureurs!D96)</f>
        <v>70</v>
      </c>
      <c r="E96" s="87" t="str">
        <f>IF(Coureurs!F96="","",Coureurs!F96)</f>
        <v/>
      </c>
      <c r="F96" s="87" t="str">
        <f>IF(Coureurs!G96="","",Coureurs!G96)</f>
        <v/>
      </c>
      <c r="G96" s="50" t="str">
        <f>IF(Coureurs!J96="","",Coureurs!J96)</f>
        <v/>
      </c>
      <c r="H96" s="25"/>
      <c r="I96" s="41"/>
      <c r="J96" s="8" t="str">
        <f>IF(I96="PM","",IF(H96=0," ",I96-HLOOKUP('Course 4'!H96,'tab4'!$C$3:$N$4,2)))</f>
        <v xml:space="preserve"> </v>
      </c>
      <c r="K96" s="23" t="str">
        <f>IF(I96="PM","",IF(H96=0," ",J96/'Règles et points'!$F$23))</f>
        <v xml:space="preserve"> </v>
      </c>
      <c r="L96" s="3" t="str">
        <f>IF(H96=0,"",VLOOKUP(H96,'Règles et points'!$C$5:$AG$19,(HLOOKUP('Course 4'!C96,'Règles et points'!$C$5:$AG$5,1)+1)))</f>
        <v/>
      </c>
      <c r="M96" s="23">
        <f t="shared" si="1"/>
        <v>0</v>
      </c>
      <c r="N96" s="80"/>
      <c r="O96" s="51"/>
      <c r="P96" s="52"/>
    </row>
    <row r="97" spans="2:16" ht="12.75">
      <c r="B97" s="14">
        <v>93</v>
      </c>
      <c r="C97" s="28" t="e">
        <f>IF(Coureurs!C97="","",Coureurs!C97)</f>
        <v>#N/A</v>
      </c>
      <c r="D97" s="131" t="str">
        <f>IF(Coureurs!D97="","",Coureurs!D97)</f>
        <v>70</v>
      </c>
      <c r="E97" s="87" t="str">
        <f>IF(Coureurs!F97="","",Coureurs!F97)</f>
        <v/>
      </c>
      <c r="F97" s="87" t="str">
        <f>IF(Coureurs!G97="","",Coureurs!G97)</f>
        <v/>
      </c>
      <c r="G97" s="50" t="str">
        <f>IF(Coureurs!J97="","",Coureurs!J97)</f>
        <v/>
      </c>
      <c r="H97" s="25"/>
      <c r="I97" s="41"/>
      <c r="J97" s="8" t="str">
        <f>IF(I97="PM","",IF(H97=0," ",I97-HLOOKUP('Course 4'!H97,'tab4'!$C$3:$N$4,2)))</f>
        <v xml:space="preserve"> </v>
      </c>
      <c r="K97" s="23" t="str">
        <f>IF(I97="PM","",IF(H97=0," ",J97/'Règles et points'!$F$23))</f>
        <v xml:space="preserve"> </v>
      </c>
      <c r="L97" s="3" t="str">
        <f>IF(H97=0,"",VLOOKUP(H97,'Règles et points'!$C$5:$AG$19,(HLOOKUP('Course 4'!C97,'Règles et points'!$C$5:$AG$5,1)+1)))</f>
        <v/>
      </c>
      <c r="M97" s="23">
        <f t="shared" si="1"/>
        <v>0</v>
      </c>
      <c r="N97" s="80"/>
      <c r="O97" s="51"/>
      <c r="P97" s="52"/>
    </row>
    <row r="98" spans="2:16" ht="12.75">
      <c r="B98" s="14">
        <v>94</v>
      </c>
      <c r="C98" s="28" t="e">
        <f>IF(Coureurs!C98="","",Coureurs!C98)</f>
        <v>#N/A</v>
      </c>
      <c r="D98" s="131" t="str">
        <f>IF(Coureurs!D98="","",Coureurs!D98)</f>
        <v>70</v>
      </c>
      <c r="E98" s="87" t="str">
        <f>IF(Coureurs!F98="","",Coureurs!F98)</f>
        <v/>
      </c>
      <c r="F98" s="87" t="str">
        <f>IF(Coureurs!G98="","",Coureurs!G98)</f>
        <v/>
      </c>
      <c r="G98" s="50" t="str">
        <f>IF(Coureurs!J98="","",Coureurs!J98)</f>
        <v/>
      </c>
      <c r="H98" s="25"/>
      <c r="I98" s="41"/>
      <c r="J98" s="8" t="str">
        <f>IF(I98="PM","",IF(H98=0," ",I98-HLOOKUP('Course 4'!H98,'tab4'!$C$3:$N$4,2)))</f>
        <v xml:space="preserve"> </v>
      </c>
      <c r="K98" s="23" t="str">
        <f>IF(I98="PM","",IF(H98=0," ",J98/'Règles et points'!$F$23))</f>
        <v xml:space="preserve"> </v>
      </c>
      <c r="L98" s="3" t="str">
        <f>IF(H98=0,"",VLOOKUP(H98,'Règles et points'!$C$5:$AG$19,(HLOOKUP('Course 4'!C98,'Règles et points'!$C$5:$AG$5,1)+1)))</f>
        <v/>
      </c>
      <c r="M98" s="23">
        <f t="shared" si="1"/>
        <v>0</v>
      </c>
      <c r="N98" s="80"/>
      <c r="O98" s="51"/>
      <c r="P98" s="52"/>
    </row>
    <row r="99" spans="2:16" ht="12.75">
      <c r="B99" s="14">
        <v>95</v>
      </c>
      <c r="C99" s="28" t="e">
        <f>IF(Coureurs!C99="","",Coureurs!C99)</f>
        <v>#N/A</v>
      </c>
      <c r="D99" s="131" t="str">
        <f>IF(Coureurs!D99="","",Coureurs!D99)</f>
        <v>70</v>
      </c>
      <c r="E99" s="87" t="str">
        <f>IF(Coureurs!F99="","",Coureurs!F99)</f>
        <v/>
      </c>
      <c r="F99" s="87" t="str">
        <f>IF(Coureurs!G99="","",Coureurs!G99)</f>
        <v/>
      </c>
      <c r="G99" s="50" t="str">
        <f>IF(Coureurs!J99="","",Coureurs!J99)</f>
        <v/>
      </c>
      <c r="H99" s="25"/>
      <c r="I99" s="41"/>
      <c r="J99" s="8" t="str">
        <f>IF(I99="PM","",IF(H99=0," ",I99-HLOOKUP('Course 4'!H99,'tab4'!$C$3:$N$4,2)))</f>
        <v xml:space="preserve"> </v>
      </c>
      <c r="K99" s="23" t="str">
        <f>IF(I99="PM","",IF(H99=0," ",J99/'Règles et points'!$F$23))</f>
        <v xml:space="preserve"> </v>
      </c>
      <c r="L99" s="3" t="str">
        <f>IF(H99=0,"",VLOOKUP(H99,'Règles et points'!$C$5:$AG$19,(HLOOKUP('Course 4'!C99,'Règles et points'!$C$5:$AG$5,1)+1)))</f>
        <v/>
      </c>
      <c r="M99" s="23">
        <f t="shared" si="1"/>
        <v>0</v>
      </c>
      <c r="N99" s="80"/>
      <c r="O99" s="51"/>
      <c r="P99" s="52"/>
    </row>
    <row r="100" spans="2:16" ht="12.75">
      <c r="B100" s="14">
        <v>96</v>
      </c>
      <c r="C100" s="28" t="e">
        <f>IF(Coureurs!C100="","",Coureurs!C100)</f>
        <v>#N/A</v>
      </c>
      <c r="D100" s="131" t="str">
        <f>IF(Coureurs!D100="","",Coureurs!D100)</f>
        <v>70</v>
      </c>
      <c r="E100" s="87" t="str">
        <f>IF(Coureurs!F100="","",Coureurs!F100)</f>
        <v/>
      </c>
      <c r="F100" s="87" t="str">
        <f>IF(Coureurs!G100="","",Coureurs!G100)</f>
        <v/>
      </c>
      <c r="G100" s="50" t="str">
        <f>IF(Coureurs!J100="","",Coureurs!J100)</f>
        <v/>
      </c>
      <c r="H100" s="25"/>
      <c r="I100" s="41"/>
      <c r="J100" s="8" t="str">
        <f>IF(I100="PM","",IF(H100=0," ",I100-HLOOKUP('Course 4'!H100,'tab4'!$C$3:$N$4,2)))</f>
        <v xml:space="preserve"> </v>
      </c>
      <c r="K100" s="23" t="str">
        <f>IF(I100="PM","",IF(H100=0," ",J100/'Règles et points'!$F$23))</f>
        <v xml:space="preserve"> </v>
      </c>
      <c r="L100" s="3" t="str">
        <f>IF(H100=0,"",VLOOKUP(H100,'Règles et points'!$C$5:$AG$19,(HLOOKUP('Course 4'!C100,'Règles et points'!$C$5:$AG$5,1)+1)))</f>
        <v/>
      </c>
      <c r="M100" s="23">
        <f t="shared" si="1"/>
        <v>0</v>
      </c>
      <c r="N100" s="80"/>
      <c r="O100" s="51"/>
      <c r="P100" s="52"/>
    </row>
    <row r="101" spans="2:16" ht="12.75">
      <c r="B101" s="14">
        <v>97</v>
      </c>
      <c r="C101" s="28" t="e">
        <f>IF(Coureurs!C101="","",Coureurs!C101)</f>
        <v>#N/A</v>
      </c>
      <c r="D101" s="131" t="str">
        <f>IF(Coureurs!D101="","",Coureurs!D101)</f>
        <v>70</v>
      </c>
      <c r="E101" s="87" t="str">
        <f>IF(Coureurs!F101="","",Coureurs!F101)</f>
        <v/>
      </c>
      <c r="F101" s="87" t="str">
        <f>IF(Coureurs!G101="","",Coureurs!G101)</f>
        <v/>
      </c>
      <c r="G101" s="50" t="str">
        <f>IF(Coureurs!J101="","",Coureurs!J101)</f>
        <v/>
      </c>
      <c r="H101" s="25"/>
      <c r="I101" s="41"/>
      <c r="J101" s="8" t="str">
        <f>IF(I101="PM","",IF(H101=0," ",I101-HLOOKUP('Course 4'!H101,'tab4'!$C$3:$N$4,2)))</f>
        <v xml:space="preserve"> </v>
      </c>
      <c r="K101" s="23" t="str">
        <f>IF(I101="PM","",IF(H101=0," ",J101/'Règles et points'!$F$23))</f>
        <v xml:space="preserve"> </v>
      </c>
      <c r="L101" s="3" t="str">
        <f>IF(H101=0,"",VLOOKUP(H101,'Règles et points'!$C$5:$AG$19,(HLOOKUP('Course 4'!C101,'Règles et points'!$C$5:$AG$5,1)+1)))</f>
        <v/>
      </c>
      <c r="M101" s="23">
        <f t="shared" si="1"/>
        <v>0</v>
      </c>
      <c r="N101" s="80"/>
      <c r="O101" s="51"/>
      <c r="P101" s="52"/>
    </row>
    <row r="102" spans="2:16" ht="12.75">
      <c r="B102" s="14">
        <v>98</v>
      </c>
      <c r="C102" s="28" t="e">
        <f>IF(Coureurs!C102="","",Coureurs!C102)</f>
        <v>#N/A</v>
      </c>
      <c r="D102" s="131" t="str">
        <f>IF(Coureurs!D102="","",Coureurs!D102)</f>
        <v>70</v>
      </c>
      <c r="E102" s="87" t="str">
        <f>IF(Coureurs!F102="","",Coureurs!F102)</f>
        <v/>
      </c>
      <c r="F102" s="87" t="str">
        <f>IF(Coureurs!G102="","",Coureurs!G102)</f>
        <v/>
      </c>
      <c r="G102" s="50" t="str">
        <f>IF(Coureurs!J102="","",Coureurs!J102)</f>
        <v/>
      </c>
      <c r="H102" s="25"/>
      <c r="I102" s="41"/>
      <c r="J102" s="8" t="str">
        <f>IF(I102="PM","",IF(H102=0," ",I102-HLOOKUP('Course 4'!H102,'tab4'!$C$3:$N$4,2)))</f>
        <v xml:space="preserve"> </v>
      </c>
      <c r="K102" s="23" t="str">
        <f>IF(I102="PM","",IF(H102=0," ",J102/'Règles et points'!$F$23))</f>
        <v xml:space="preserve"> </v>
      </c>
      <c r="L102" s="3" t="str">
        <f>IF(H102=0,"",VLOOKUP(H102,'Règles et points'!$C$5:$AG$19,(HLOOKUP('Course 4'!C102,'Règles et points'!$C$5:$AG$5,1)+1)))</f>
        <v/>
      </c>
      <c r="M102" s="23">
        <f t="shared" si="1"/>
        <v>0</v>
      </c>
      <c r="N102" s="80"/>
      <c r="O102" s="51"/>
      <c r="P102" s="52"/>
    </row>
    <row r="103" spans="2:16" ht="12.75">
      <c r="B103" s="14">
        <v>99</v>
      </c>
      <c r="C103" s="28" t="e">
        <f>IF(Coureurs!C103="","",Coureurs!C103)</f>
        <v>#N/A</v>
      </c>
      <c r="D103" s="131" t="str">
        <f>IF(Coureurs!D103="","",Coureurs!D103)</f>
        <v>70</v>
      </c>
      <c r="E103" s="87" t="str">
        <f>IF(Coureurs!F103="","",Coureurs!F103)</f>
        <v/>
      </c>
      <c r="F103" s="87" t="str">
        <f>IF(Coureurs!G103="","",Coureurs!G103)</f>
        <v/>
      </c>
      <c r="G103" s="50" t="str">
        <f>IF(Coureurs!J103="","",Coureurs!J103)</f>
        <v/>
      </c>
      <c r="H103" s="25"/>
      <c r="I103" s="41"/>
      <c r="J103" s="8" t="str">
        <f>IF(I103="PM","",IF(H103=0," ",I103-HLOOKUP('Course 4'!H103,'tab4'!$C$3:$N$4,2)))</f>
        <v xml:space="preserve"> </v>
      </c>
      <c r="K103" s="23" t="str">
        <f>IF(I103="PM","",IF(H103=0," ",J103/'Règles et points'!$F$23))</f>
        <v xml:space="preserve"> </v>
      </c>
      <c r="L103" s="3" t="str">
        <f>IF(H103=0,"",VLOOKUP(H103,'Règles et points'!$C$5:$AG$19,(HLOOKUP('Course 4'!C103,'Règles et points'!$C$5:$AG$5,1)+1)))</f>
        <v/>
      </c>
      <c r="M103" s="23">
        <f t="shared" si="1"/>
        <v>0</v>
      </c>
      <c r="N103" s="80"/>
      <c r="O103" s="51"/>
      <c r="P103" s="52"/>
    </row>
    <row r="104" spans="2:16" ht="12.75">
      <c r="B104" s="14">
        <v>100</v>
      </c>
      <c r="C104" s="28" t="e">
        <f>IF(Coureurs!C104="","",Coureurs!C104)</f>
        <v>#N/A</v>
      </c>
      <c r="D104" s="131" t="str">
        <f>IF(Coureurs!D104="","",Coureurs!D104)</f>
        <v>70</v>
      </c>
      <c r="E104" s="87" t="str">
        <f>IF(Coureurs!F104="","",Coureurs!F104)</f>
        <v/>
      </c>
      <c r="F104" s="87" t="str">
        <f>IF(Coureurs!G104="","",Coureurs!G104)</f>
        <v/>
      </c>
      <c r="G104" s="50" t="str">
        <f>IF(Coureurs!J104="","",Coureurs!J104)</f>
        <v/>
      </c>
      <c r="H104" s="25"/>
      <c r="I104" s="41"/>
      <c r="J104" s="8" t="str">
        <f>IF(I104="PM","",IF(H104=0," ",I104-HLOOKUP('Course 4'!H104,'tab4'!$C$3:$N$4,2)))</f>
        <v xml:space="preserve"> </v>
      </c>
      <c r="K104" s="23" t="str">
        <f>IF(I104="PM","",IF(H104=0," ",J104/'Règles et points'!$F$23))</f>
        <v xml:space="preserve"> </v>
      </c>
      <c r="L104" s="3" t="str">
        <f>IF(H104=0,"",VLOOKUP(H104,'Règles et points'!$C$5:$AG$19,(HLOOKUP('Course 4'!C104,'Règles et points'!$C$5:$AG$5,1)+1)))</f>
        <v/>
      </c>
      <c r="M104" s="23">
        <f t="shared" si="1"/>
        <v>0</v>
      </c>
      <c r="N104" s="80"/>
      <c r="O104" s="51"/>
      <c r="P104" s="52"/>
    </row>
    <row r="105" spans="2:16" ht="12.75">
      <c r="B105" s="14">
        <v>101</v>
      </c>
      <c r="C105" s="28" t="e">
        <f>IF(Coureurs!C105="","",Coureurs!C105)</f>
        <v>#N/A</v>
      </c>
      <c r="D105" s="131" t="str">
        <f>IF(Coureurs!D105="","",Coureurs!D105)</f>
        <v>70</v>
      </c>
      <c r="E105" s="87" t="str">
        <f>IF(Coureurs!F105="","",Coureurs!F105)</f>
        <v/>
      </c>
      <c r="F105" s="87" t="str">
        <f>IF(Coureurs!G105="","",Coureurs!G105)</f>
        <v/>
      </c>
      <c r="G105" s="50" t="str">
        <f>IF(Coureurs!J105="","",Coureurs!J105)</f>
        <v/>
      </c>
      <c r="H105" s="25"/>
      <c r="I105" s="41"/>
      <c r="J105" s="8" t="str">
        <f>IF(I105="PM","",IF(H105=0," ",I105-HLOOKUP('Course 4'!H105,'tab4'!$C$3:$N$4,2)))</f>
        <v xml:space="preserve"> </v>
      </c>
      <c r="K105" s="23" t="str">
        <f>IF(I105="PM","",IF(H105=0," ",J105/'Règles et points'!$F$23))</f>
        <v xml:space="preserve"> </v>
      </c>
      <c r="L105" s="3" t="str">
        <f>IF(H105=0,"",VLOOKUP(H105,'Règles et points'!$C$5:$AG$19,(HLOOKUP('Course 4'!C105,'Règles et points'!$C$5:$AG$5,1)+1)))</f>
        <v/>
      </c>
      <c r="M105" s="23">
        <f t="shared" si="1"/>
        <v>0</v>
      </c>
      <c r="N105" s="80"/>
      <c r="O105" s="51"/>
      <c r="P105" s="52"/>
    </row>
    <row r="106" spans="2:16" ht="12.75">
      <c r="B106" s="14">
        <v>102</v>
      </c>
      <c r="C106" s="28" t="e">
        <f>IF(Coureurs!C106="","",Coureurs!C106)</f>
        <v>#N/A</v>
      </c>
      <c r="D106" s="131" t="str">
        <f>IF(Coureurs!D106="","",Coureurs!D106)</f>
        <v>70</v>
      </c>
      <c r="E106" s="87" t="str">
        <f>IF(Coureurs!F106="","",Coureurs!F106)</f>
        <v/>
      </c>
      <c r="F106" s="87" t="str">
        <f>IF(Coureurs!G106="","",Coureurs!G106)</f>
        <v/>
      </c>
      <c r="G106" s="50" t="str">
        <f>IF(Coureurs!J106="","",Coureurs!J106)</f>
        <v/>
      </c>
      <c r="H106" s="25"/>
      <c r="I106" s="41"/>
      <c r="J106" s="8" t="str">
        <f>IF(I106="PM","",IF(H106=0," ",I106-HLOOKUP('Course 4'!H106,'tab4'!$C$3:$N$4,2)))</f>
        <v xml:space="preserve"> </v>
      </c>
      <c r="K106" s="23" t="str">
        <f>IF(I106="PM","",IF(H106=0," ",J106/'Règles et points'!$F$23))</f>
        <v xml:space="preserve"> </v>
      </c>
      <c r="L106" s="3" t="str">
        <f>IF(H106=0,"",VLOOKUP(H106,'Règles et points'!$C$5:$AG$19,(HLOOKUP('Course 4'!C106,'Règles et points'!$C$5:$AG$5,1)+1)))</f>
        <v/>
      </c>
      <c r="M106" s="23">
        <f t="shared" si="1"/>
        <v>0</v>
      </c>
      <c r="N106" s="80"/>
      <c r="O106" s="51"/>
      <c r="P106" s="52"/>
    </row>
    <row r="107" spans="2:16" ht="12.75">
      <c r="B107" s="14">
        <v>103</v>
      </c>
      <c r="C107" s="28" t="e">
        <f>IF(Coureurs!C107="","",Coureurs!C107)</f>
        <v>#N/A</v>
      </c>
      <c r="D107" s="131" t="str">
        <f>IF(Coureurs!D107="","",Coureurs!D107)</f>
        <v>70</v>
      </c>
      <c r="E107" s="87" t="str">
        <f>IF(Coureurs!F107="","",Coureurs!F107)</f>
        <v/>
      </c>
      <c r="F107" s="87" t="str">
        <f>IF(Coureurs!G107="","",Coureurs!G107)</f>
        <v/>
      </c>
      <c r="G107" s="50" t="str">
        <f>IF(Coureurs!J107="","",Coureurs!J107)</f>
        <v/>
      </c>
      <c r="H107" s="25"/>
      <c r="I107" s="41"/>
      <c r="J107" s="8" t="str">
        <f>IF(I107="PM","",IF(H107=0," ",I107-HLOOKUP('Course 4'!H107,'tab4'!$C$3:$N$4,2)))</f>
        <v xml:space="preserve"> </v>
      </c>
      <c r="K107" s="23" t="str">
        <f>IF(I107="PM","",IF(H107=0," ",J107/'Règles et points'!$F$23))</f>
        <v xml:space="preserve"> </v>
      </c>
      <c r="L107" s="3" t="str">
        <f>IF(H107=0,"",VLOOKUP(H107,'Règles et points'!$C$5:$AG$19,(HLOOKUP('Course 4'!C107,'Règles et points'!$C$5:$AG$5,1)+1)))</f>
        <v/>
      </c>
      <c r="M107" s="23">
        <f t="shared" si="1"/>
        <v>0</v>
      </c>
      <c r="N107" s="80"/>
      <c r="O107" s="51"/>
      <c r="P107" s="52"/>
    </row>
    <row r="108" spans="2:16" ht="12.75">
      <c r="B108" s="14">
        <v>104</v>
      </c>
      <c r="C108" s="28" t="e">
        <f>IF(Coureurs!C108="","",Coureurs!C108)</f>
        <v>#N/A</v>
      </c>
      <c r="D108" s="131" t="str">
        <f>IF(Coureurs!D108="","",Coureurs!D108)</f>
        <v>70</v>
      </c>
      <c r="E108" s="87" t="str">
        <f>IF(Coureurs!F108="","",Coureurs!F108)</f>
        <v/>
      </c>
      <c r="F108" s="87" t="str">
        <f>IF(Coureurs!G108="","",Coureurs!G108)</f>
        <v/>
      </c>
      <c r="G108" s="50" t="str">
        <f>IF(Coureurs!J108="","",Coureurs!J108)</f>
        <v/>
      </c>
      <c r="H108" s="25"/>
      <c r="I108" s="41"/>
      <c r="J108" s="8" t="str">
        <f>IF(I108="PM","",IF(H108=0," ",I108-HLOOKUP('Course 4'!H108,'tab4'!$C$3:$N$4,2)))</f>
        <v xml:space="preserve"> </v>
      </c>
      <c r="K108" s="23" t="str">
        <f>IF(I108="PM","",IF(H108=0," ",J108/'Règles et points'!$F$23))</f>
        <v xml:space="preserve"> </v>
      </c>
      <c r="L108" s="3" t="str">
        <f>IF(H108=0,"",VLOOKUP(H108,'Règles et points'!$C$5:$AG$19,(HLOOKUP('Course 4'!C108,'Règles et points'!$C$5:$AG$5,1)+1)))</f>
        <v/>
      </c>
      <c r="M108" s="23">
        <f t="shared" si="1"/>
        <v>0</v>
      </c>
      <c r="N108" s="80"/>
      <c r="O108" s="51"/>
      <c r="P108" s="52"/>
    </row>
    <row r="109" spans="2:16" ht="12.75">
      <c r="B109" s="14">
        <v>105</v>
      </c>
      <c r="C109" s="28" t="e">
        <f>IF(Coureurs!C109="","",Coureurs!C109)</f>
        <v>#N/A</v>
      </c>
      <c r="D109" s="131" t="str">
        <f>IF(Coureurs!D109="","",Coureurs!D109)</f>
        <v>70</v>
      </c>
      <c r="E109" s="87" t="str">
        <f>IF(Coureurs!F109="","",Coureurs!F109)</f>
        <v/>
      </c>
      <c r="F109" s="87" t="str">
        <f>IF(Coureurs!G109="","",Coureurs!G109)</f>
        <v/>
      </c>
      <c r="G109" s="50" t="str">
        <f>IF(Coureurs!J109="","",Coureurs!J109)</f>
        <v/>
      </c>
      <c r="H109" s="25"/>
      <c r="I109" s="41"/>
      <c r="J109" s="8" t="str">
        <f>IF(I109="PM","",IF(H109=0," ",I109-HLOOKUP('Course 4'!H109,'tab4'!$C$3:$N$4,2)))</f>
        <v xml:space="preserve"> </v>
      </c>
      <c r="K109" s="23" t="str">
        <f>IF(I109="PM","",IF(H109=0," ",J109/'Règles et points'!$F$23))</f>
        <v xml:space="preserve"> </v>
      </c>
      <c r="L109" s="3" t="str">
        <f>IF(H109=0,"",VLOOKUP(H109,'Règles et points'!$C$5:$AG$19,(HLOOKUP('Course 4'!C109,'Règles et points'!$C$5:$AG$5,1)+1)))</f>
        <v/>
      </c>
      <c r="M109" s="23">
        <f t="shared" si="1"/>
        <v>0</v>
      </c>
      <c r="N109" s="80"/>
      <c r="O109" s="51"/>
      <c r="P109" s="52"/>
    </row>
    <row r="110" spans="2:16" ht="12.75">
      <c r="B110" s="14">
        <v>106</v>
      </c>
      <c r="C110" s="28" t="e">
        <f>IF(Coureurs!C110="","",Coureurs!C110)</f>
        <v>#N/A</v>
      </c>
      <c r="D110" s="131" t="str">
        <f>IF(Coureurs!D110="","",Coureurs!D110)</f>
        <v>70</v>
      </c>
      <c r="E110" s="87" t="str">
        <f>IF(Coureurs!F110="","",Coureurs!F110)</f>
        <v/>
      </c>
      <c r="F110" s="87" t="str">
        <f>IF(Coureurs!G110="","",Coureurs!G110)</f>
        <v/>
      </c>
      <c r="G110" s="50" t="str">
        <f>IF(Coureurs!J110="","",Coureurs!J110)</f>
        <v/>
      </c>
      <c r="H110" s="25"/>
      <c r="I110" s="41"/>
      <c r="J110" s="8" t="str">
        <f>IF(I110="PM","",IF(H110=0," ",I110-HLOOKUP('Course 4'!H110,'tab4'!$C$3:$N$4,2)))</f>
        <v xml:space="preserve"> </v>
      </c>
      <c r="K110" s="23" t="str">
        <f>IF(I110="PM","",IF(H110=0," ",J110/'Règles et points'!$F$23))</f>
        <v xml:space="preserve"> </v>
      </c>
      <c r="L110" s="3" t="str">
        <f>IF(H110=0,"",VLOOKUP(H110,'Règles et points'!$C$5:$AG$19,(HLOOKUP('Course 4'!C110,'Règles et points'!$C$5:$AG$5,1)+1)))</f>
        <v/>
      </c>
      <c r="M110" s="23">
        <f t="shared" si="1"/>
        <v>0</v>
      </c>
      <c r="N110" s="80"/>
      <c r="O110" s="51"/>
      <c r="P110" s="52"/>
    </row>
    <row r="111" spans="2:16" ht="12.75">
      <c r="B111" s="14">
        <v>107</v>
      </c>
      <c r="C111" s="28" t="e">
        <f>IF(Coureurs!C111="","",Coureurs!C111)</f>
        <v>#N/A</v>
      </c>
      <c r="D111" s="131" t="str">
        <f>IF(Coureurs!D111="","",Coureurs!D111)</f>
        <v>70</v>
      </c>
      <c r="E111" s="87" t="str">
        <f>IF(Coureurs!F111="","",Coureurs!F111)</f>
        <v/>
      </c>
      <c r="F111" s="87" t="str">
        <f>IF(Coureurs!G111="","",Coureurs!G111)</f>
        <v/>
      </c>
      <c r="G111" s="50" t="str">
        <f>IF(Coureurs!J111="","",Coureurs!J111)</f>
        <v/>
      </c>
      <c r="H111" s="25"/>
      <c r="I111" s="41"/>
      <c r="J111" s="8" t="str">
        <f>IF(I111="PM","",IF(H111=0," ",I111-HLOOKUP('Course 4'!H111,'tab4'!$C$3:$N$4,2)))</f>
        <v xml:space="preserve"> </v>
      </c>
      <c r="K111" s="23" t="str">
        <f>IF(I111="PM","",IF(H111=0," ",J111/'Règles et points'!$F$23))</f>
        <v xml:space="preserve"> </v>
      </c>
      <c r="L111" s="3" t="str">
        <f>IF(H111=0,"",VLOOKUP(H111,'Règles et points'!$C$5:$AG$19,(HLOOKUP('Course 4'!C111,'Règles et points'!$C$5:$AG$5,1)+1)))</f>
        <v/>
      </c>
      <c r="M111" s="23">
        <f t="shared" si="1"/>
        <v>0</v>
      </c>
      <c r="N111" s="80"/>
      <c r="O111" s="51"/>
      <c r="P111" s="52"/>
    </row>
    <row r="112" spans="2:16" ht="12.75">
      <c r="B112" s="14">
        <v>108</v>
      </c>
      <c r="C112" s="28" t="e">
        <f>IF(Coureurs!C112="","",Coureurs!C112)</f>
        <v>#N/A</v>
      </c>
      <c r="D112" s="131" t="str">
        <f>IF(Coureurs!D112="","",Coureurs!D112)</f>
        <v>70</v>
      </c>
      <c r="E112" s="87" t="str">
        <f>IF(Coureurs!F112="","",Coureurs!F112)</f>
        <v/>
      </c>
      <c r="F112" s="87" t="str">
        <f>IF(Coureurs!G112="","",Coureurs!G112)</f>
        <v/>
      </c>
      <c r="G112" s="50" t="str">
        <f>IF(Coureurs!J112="","",Coureurs!J112)</f>
        <v/>
      </c>
      <c r="H112" s="25"/>
      <c r="I112" s="41"/>
      <c r="J112" s="8" t="str">
        <f>IF(I112="PM","",IF(H112=0," ",I112-HLOOKUP('Course 4'!H112,'tab4'!$C$3:$N$4,2)))</f>
        <v xml:space="preserve"> </v>
      </c>
      <c r="K112" s="23" t="str">
        <f>IF(I112="PM","",IF(H112=0," ",J112/'Règles et points'!$F$23))</f>
        <v xml:space="preserve"> </v>
      </c>
      <c r="L112" s="3" t="str">
        <f>IF(H112=0,"",VLOOKUP(H112,'Règles et points'!$C$5:$AG$19,(HLOOKUP('Course 4'!C112,'Règles et points'!$C$5:$AG$5,1)+1)))</f>
        <v/>
      </c>
      <c r="M112" s="23">
        <f t="shared" si="1"/>
        <v>0</v>
      </c>
      <c r="N112" s="80"/>
      <c r="O112" s="51"/>
      <c r="P112" s="52"/>
    </row>
    <row r="113" spans="2:16" ht="12.75">
      <c r="B113" s="14">
        <v>109</v>
      </c>
      <c r="C113" s="28" t="e">
        <f>IF(Coureurs!C113="","",Coureurs!C113)</f>
        <v>#N/A</v>
      </c>
      <c r="D113" s="131" t="str">
        <f>IF(Coureurs!D113="","",Coureurs!D113)</f>
        <v>70</v>
      </c>
      <c r="E113" s="87" t="str">
        <f>IF(Coureurs!F113="","",Coureurs!F113)</f>
        <v/>
      </c>
      <c r="F113" s="87" t="str">
        <f>IF(Coureurs!G113="","",Coureurs!G113)</f>
        <v/>
      </c>
      <c r="G113" s="50" t="str">
        <f>IF(Coureurs!J113="","",Coureurs!J113)</f>
        <v/>
      </c>
      <c r="H113" s="25"/>
      <c r="I113" s="41"/>
      <c r="J113" s="8" t="str">
        <f>IF(I113="PM","",IF(H113=0," ",I113-HLOOKUP('Course 4'!H113,'tab4'!$C$3:$N$4,2)))</f>
        <v xml:space="preserve"> </v>
      </c>
      <c r="K113" s="23" t="str">
        <f>IF(I113="PM","",IF(H113=0," ",J113/'Règles et points'!$F$23))</f>
        <v xml:space="preserve"> </v>
      </c>
      <c r="L113" s="3" t="str">
        <f>IF(H113=0,"",VLOOKUP(H113,'Règles et points'!$C$5:$AG$19,(HLOOKUP('Course 4'!C113,'Règles et points'!$C$5:$AG$5,1)+1)))</f>
        <v/>
      </c>
      <c r="M113" s="23">
        <f t="shared" si="1"/>
        <v>0</v>
      </c>
      <c r="N113" s="80"/>
      <c r="O113" s="51"/>
      <c r="P113" s="52"/>
    </row>
    <row r="114" spans="2:16" ht="12.75">
      <c r="B114" s="14">
        <v>110</v>
      </c>
      <c r="C114" s="28" t="e">
        <f>IF(Coureurs!C114="","",Coureurs!C114)</f>
        <v>#N/A</v>
      </c>
      <c r="D114" s="131" t="str">
        <f>IF(Coureurs!D114="","",Coureurs!D114)</f>
        <v>70</v>
      </c>
      <c r="E114" s="87" t="str">
        <f>IF(Coureurs!F114="","",Coureurs!F114)</f>
        <v/>
      </c>
      <c r="F114" s="87" t="str">
        <f>IF(Coureurs!G114="","",Coureurs!G114)</f>
        <v/>
      </c>
      <c r="G114" s="50" t="str">
        <f>IF(Coureurs!J114="","",Coureurs!J114)</f>
        <v/>
      </c>
      <c r="H114" s="25"/>
      <c r="I114" s="41"/>
      <c r="J114" s="8" t="str">
        <f>IF(I114="PM","",IF(H114=0," ",I114-HLOOKUP('Course 4'!H114,'tab4'!$C$3:$N$4,2)))</f>
        <v xml:space="preserve"> </v>
      </c>
      <c r="K114" s="23" t="str">
        <f>IF(I114="PM","",IF(H114=0," ",J114/'Règles et points'!$F$23))</f>
        <v xml:space="preserve"> </v>
      </c>
      <c r="L114" s="3" t="str">
        <f>IF(H114=0,"",VLOOKUP(H114,'Règles et points'!$C$5:$AG$19,(HLOOKUP('Course 4'!C114,'Règles et points'!$C$5:$AG$5,1)+1)))</f>
        <v/>
      </c>
      <c r="M114" s="23">
        <f t="shared" si="1"/>
        <v>0</v>
      </c>
      <c r="N114" s="80"/>
      <c r="O114" s="51"/>
      <c r="P114" s="52"/>
    </row>
    <row r="115" spans="2:16" ht="12.75">
      <c r="B115" s="14">
        <v>111</v>
      </c>
      <c r="C115" s="28" t="e">
        <f>IF(Coureurs!C115="","",Coureurs!C115)</f>
        <v>#N/A</v>
      </c>
      <c r="D115" s="131" t="str">
        <f>IF(Coureurs!D115="","",Coureurs!D115)</f>
        <v>70</v>
      </c>
      <c r="E115" s="87" t="str">
        <f>IF(Coureurs!F115="","",Coureurs!F115)</f>
        <v/>
      </c>
      <c r="F115" s="87" t="str">
        <f>IF(Coureurs!G115="","",Coureurs!G115)</f>
        <v/>
      </c>
      <c r="G115" s="50" t="str">
        <f>IF(Coureurs!J115="","",Coureurs!J115)</f>
        <v/>
      </c>
      <c r="H115" s="25"/>
      <c r="I115" s="41"/>
      <c r="J115" s="8" t="str">
        <f>IF(I115="PM","",IF(H115=0," ",I115-HLOOKUP('Course 4'!H115,'tab4'!$C$3:$N$4,2)))</f>
        <v xml:space="preserve"> </v>
      </c>
      <c r="K115" s="23" t="str">
        <f>IF(I115="PM","",IF(H115=0," ",J115/'Règles et points'!$F$23))</f>
        <v xml:space="preserve"> </v>
      </c>
      <c r="L115" s="3" t="str">
        <f>IF(H115=0,"",VLOOKUP(H115,'Règles et points'!$C$5:$AG$19,(HLOOKUP('Course 4'!C115,'Règles et points'!$C$5:$AG$5,1)+1)))</f>
        <v/>
      </c>
      <c r="M115" s="23">
        <f t="shared" si="1"/>
        <v>0</v>
      </c>
      <c r="N115" s="80"/>
      <c r="O115" s="51"/>
      <c r="P115" s="52"/>
    </row>
    <row r="116" spans="2:16" ht="12.75">
      <c r="B116" s="14">
        <v>112</v>
      </c>
      <c r="C116" s="28" t="e">
        <f>IF(Coureurs!C116="","",Coureurs!C116)</f>
        <v>#N/A</v>
      </c>
      <c r="D116" s="131" t="str">
        <f>IF(Coureurs!D116="","",Coureurs!D116)</f>
        <v>70</v>
      </c>
      <c r="E116" s="87" t="str">
        <f>IF(Coureurs!F116="","",Coureurs!F116)</f>
        <v/>
      </c>
      <c r="F116" s="87" t="str">
        <f>IF(Coureurs!G116="","",Coureurs!G116)</f>
        <v/>
      </c>
      <c r="G116" s="50" t="str">
        <f>IF(Coureurs!J116="","",Coureurs!J116)</f>
        <v/>
      </c>
      <c r="H116" s="25"/>
      <c r="I116" s="41"/>
      <c r="J116" s="8" t="str">
        <f>IF(I116="PM","",IF(H116=0," ",I116-HLOOKUP('Course 4'!H116,'tab4'!$C$3:$N$4,2)))</f>
        <v xml:space="preserve"> </v>
      </c>
      <c r="K116" s="23" t="str">
        <f>IF(I116="PM","",IF(H116=0," ",J116/'Règles et points'!$F$23))</f>
        <v xml:space="preserve"> </v>
      </c>
      <c r="L116" s="3" t="str">
        <f>IF(H116=0,"",VLOOKUP(H116,'Règles et points'!$C$5:$AG$19,(HLOOKUP('Course 4'!C116,'Règles et points'!$C$5:$AG$5,1)+1)))</f>
        <v/>
      </c>
      <c r="M116" s="23">
        <f t="shared" si="1"/>
        <v>0</v>
      </c>
      <c r="N116" s="80"/>
      <c r="O116" s="51"/>
      <c r="P116" s="52"/>
    </row>
    <row r="117" spans="2:16" ht="12.75">
      <c r="B117" s="14">
        <v>113</v>
      </c>
      <c r="C117" s="28" t="e">
        <f>IF(Coureurs!C117="","",Coureurs!C117)</f>
        <v>#N/A</v>
      </c>
      <c r="D117" s="131" t="str">
        <f>IF(Coureurs!D117="","",Coureurs!D117)</f>
        <v>70</v>
      </c>
      <c r="E117" s="87" t="str">
        <f>IF(Coureurs!F117="","",Coureurs!F117)</f>
        <v/>
      </c>
      <c r="F117" s="87" t="str">
        <f>IF(Coureurs!G117="","",Coureurs!G117)</f>
        <v/>
      </c>
      <c r="G117" s="50" t="str">
        <f>IF(Coureurs!J117="","",Coureurs!J117)</f>
        <v/>
      </c>
      <c r="H117" s="25"/>
      <c r="I117" s="41"/>
      <c r="J117" s="8" t="str">
        <f>IF(I117="PM","",IF(H117=0," ",I117-HLOOKUP('Course 4'!H117,'tab4'!$C$3:$N$4,2)))</f>
        <v xml:space="preserve"> </v>
      </c>
      <c r="K117" s="23" t="str">
        <f>IF(I117="PM","",IF(H117=0," ",J117/'Règles et points'!$F$23))</f>
        <v xml:space="preserve"> </v>
      </c>
      <c r="L117" s="3" t="str">
        <f>IF(H117=0,"",VLOOKUP(H117,'Règles et points'!$C$5:$AG$19,(HLOOKUP('Course 4'!C117,'Règles et points'!$C$5:$AG$5,1)+1)))</f>
        <v/>
      </c>
      <c r="M117" s="23">
        <f t="shared" si="1"/>
        <v>0</v>
      </c>
      <c r="N117" s="80"/>
      <c r="O117" s="51"/>
      <c r="P117" s="52"/>
    </row>
    <row r="118" spans="2:16" ht="12.75">
      <c r="B118" s="14">
        <v>114</v>
      </c>
      <c r="C118" s="28" t="e">
        <f>IF(Coureurs!C118="","",Coureurs!C118)</f>
        <v>#N/A</v>
      </c>
      <c r="D118" s="131" t="str">
        <f>IF(Coureurs!D118="","",Coureurs!D118)</f>
        <v>70</v>
      </c>
      <c r="E118" s="87" t="str">
        <f>IF(Coureurs!F118="","",Coureurs!F118)</f>
        <v/>
      </c>
      <c r="F118" s="87" t="str">
        <f>IF(Coureurs!G118="","",Coureurs!G118)</f>
        <v/>
      </c>
      <c r="G118" s="50" t="str">
        <f>IF(Coureurs!J118="","",Coureurs!J118)</f>
        <v/>
      </c>
      <c r="H118" s="25"/>
      <c r="I118" s="41"/>
      <c r="J118" s="8" t="str">
        <f>IF(I118="PM","",IF(H118=0," ",I118-HLOOKUP('Course 4'!H118,'tab4'!$C$3:$N$4,2)))</f>
        <v xml:space="preserve"> </v>
      </c>
      <c r="K118" s="23" t="str">
        <f>IF(I118="PM","",IF(H118=0," ",J118/'Règles et points'!$F$23))</f>
        <v xml:space="preserve"> </v>
      </c>
      <c r="L118" s="3" t="str">
        <f>IF(H118=0,"",VLOOKUP(H118,'Règles et points'!$C$5:$AG$19,(HLOOKUP('Course 4'!C118,'Règles et points'!$C$5:$AG$5,1)+1)))</f>
        <v/>
      </c>
      <c r="M118" s="23">
        <f t="shared" si="1"/>
        <v>0</v>
      </c>
      <c r="N118" s="80"/>
      <c r="O118" s="51"/>
      <c r="P118" s="52"/>
    </row>
    <row r="119" spans="2:16" ht="12.75">
      <c r="B119" s="14">
        <v>115</v>
      </c>
      <c r="C119" s="28" t="e">
        <f>IF(Coureurs!C119="","",Coureurs!C119)</f>
        <v>#N/A</v>
      </c>
      <c r="D119" s="131" t="str">
        <f>IF(Coureurs!D119="","",Coureurs!D119)</f>
        <v>70</v>
      </c>
      <c r="E119" s="87" t="str">
        <f>IF(Coureurs!F119="","",Coureurs!F119)</f>
        <v/>
      </c>
      <c r="F119" s="87" t="str">
        <f>IF(Coureurs!G119="","",Coureurs!G119)</f>
        <v/>
      </c>
      <c r="G119" s="50" t="str">
        <f>IF(Coureurs!J119="","",Coureurs!J119)</f>
        <v/>
      </c>
      <c r="H119" s="25"/>
      <c r="I119" s="41"/>
      <c r="J119" s="8" t="str">
        <f>IF(I119="PM","",IF(H119=0," ",I119-HLOOKUP('Course 4'!H119,'tab4'!$C$3:$N$4,2)))</f>
        <v xml:space="preserve"> </v>
      </c>
      <c r="K119" s="23" t="str">
        <f>IF(I119="PM","",IF(H119=0," ",J119/'Règles et points'!$F$23))</f>
        <v xml:space="preserve"> </v>
      </c>
      <c r="L119" s="3" t="str">
        <f>IF(H119=0,"",VLOOKUP(H119,'Règles et points'!$C$5:$AG$19,(HLOOKUP('Course 4'!C119,'Règles et points'!$C$5:$AG$5,1)+1)))</f>
        <v/>
      </c>
      <c r="M119" s="23">
        <f t="shared" si="1"/>
        <v>0</v>
      </c>
      <c r="N119" s="80"/>
      <c r="O119" s="51"/>
      <c r="P119" s="52"/>
    </row>
    <row r="120" spans="2:16" ht="12.75">
      <c r="B120" s="14">
        <v>116</v>
      </c>
      <c r="C120" s="28" t="e">
        <f>IF(Coureurs!C120="","",Coureurs!C120)</f>
        <v>#N/A</v>
      </c>
      <c r="D120" s="131" t="str">
        <f>IF(Coureurs!D120="","",Coureurs!D120)</f>
        <v>70</v>
      </c>
      <c r="E120" s="87" t="str">
        <f>IF(Coureurs!F120="","",Coureurs!F120)</f>
        <v/>
      </c>
      <c r="F120" s="87" t="str">
        <f>IF(Coureurs!G120="","",Coureurs!G120)</f>
        <v/>
      </c>
      <c r="G120" s="50" t="str">
        <f>IF(Coureurs!J120="","",Coureurs!J120)</f>
        <v/>
      </c>
      <c r="H120" s="25"/>
      <c r="I120" s="41"/>
      <c r="J120" s="8" t="str">
        <f>IF(I120="PM","",IF(H120=0," ",I120-HLOOKUP('Course 4'!H120,'tab4'!$C$3:$N$4,2)))</f>
        <v xml:space="preserve"> </v>
      </c>
      <c r="K120" s="23" t="str">
        <f>IF(I120="PM","",IF(H120=0," ",J120/'Règles et points'!$F$23))</f>
        <v xml:space="preserve"> </v>
      </c>
      <c r="L120" s="3" t="str">
        <f>IF(H120=0,"",VLOOKUP(H120,'Règles et points'!$C$5:$AG$19,(HLOOKUP('Course 4'!C120,'Règles et points'!$C$5:$AG$5,1)+1)))</f>
        <v/>
      </c>
      <c r="M120" s="23">
        <f t="shared" si="1"/>
        <v>0</v>
      </c>
      <c r="N120" s="80"/>
      <c r="O120" s="51"/>
      <c r="P120" s="52"/>
    </row>
    <row r="121" spans="2:16" ht="12.75">
      <c r="B121" s="14">
        <v>117</v>
      </c>
      <c r="C121" s="28" t="e">
        <f>IF(Coureurs!C121="","",Coureurs!C121)</f>
        <v>#N/A</v>
      </c>
      <c r="D121" s="131" t="str">
        <f>IF(Coureurs!D121="","",Coureurs!D121)</f>
        <v>70</v>
      </c>
      <c r="E121" s="87" t="str">
        <f>IF(Coureurs!F121="","",Coureurs!F121)</f>
        <v/>
      </c>
      <c r="F121" s="87" t="str">
        <f>IF(Coureurs!G121="","",Coureurs!G121)</f>
        <v/>
      </c>
      <c r="G121" s="50" t="str">
        <f>IF(Coureurs!J121="","",Coureurs!J121)</f>
        <v/>
      </c>
      <c r="H121" s="25"/>
      <c r="I121" s="41"/>
      <c r="J121" s="8" t="str">
        <f>IF(I121="PM","",IF(H121=0," ",I121-HLOOKUP('Course 4'!H121,'tab4'!$C$3:$N$4,2)))</f>
        <v xml:space="preserve"> </v>
      </c>
      <c r="K121" s="23" t="str">
        <f>IF(I121="PM","",IF(H121=0," ",J121/'Règles et points'!$F$23))</f>
        <v xml:space="preserve"> </v>
      </c>
      <c r="L121" s="3" t="str">
        <f>IF(H121=0,"",VLOOKUP(H121,'Règles et points'!$C$5:$AG$19,(HLOOKUP('Course 4'!C121,'Règles et points'!$C$5:$AG$5,1)+1)))</f>
        <v/>
      </c>
      <c r="M121" s="23">
        <f t="shared" si="1"/>
        <v>0</v>
      </c>
      <c r="N121" s="80"/>
      <c r="O121" s="51"/>
      <c r="P121" s="52"/>
    </row>
    <row r="122" spans="2:16" ht="12.75">
      <c r="B122" s="14">
        <v>118</v>
      </c>
      <c r="C122" s="28" t="str">
        <f>IF(Coureurs!C122="","",Coureurs!C122)</f>
        <v/>
      </c>
      <c r="D122" s="131" t="str">
        <f>IF(Coureurs!D122="","",Coureurs!D122)</f>
        <v>70</v>
      </c>
      <c r="E122" s="87" t="str">
        <f>IF(Coureurs!F122="","",Coureurs!F122)</f>
        <v/>
      </c>
      <c r="F122" s="87" t="str">
        <f>IF(Coureurs!G122="","",Coureurs!G122)</f>
        <v/>
      </c>
      <c r="G122" s="50" t="str">
        <f>IF(Coureurs!J122="","",Coureurs!J122)</f>
        <v/>
      </c>
      <c r="H122" s="25"/>
      <c r="I122" s="41"/>
      <c r="J122" s="8" t="str">
        <f>IF(I122="PM","",IF(H122=0," ",I122-HLOOKUP('Course 4'!H122,'tab4'!$C$3:$N$4,2)))</f>
        <v xml:space="preserve"> </v>
      </c>
      <c r="K122" s="23" t="str">
        <f>IF(I122="PM","",IF(H122=0," ",J122/'Règles et points'!$F$23))</f>
        <v xml:space="preserve"> </v>
      </c>
      <c r="L122" s="3" t="str">
        <f>IF(H122=0,"",VLOOKUP(H122,'Règles et points'!$C$5:$AG$19,(HLOOKUP('Course 4'!C122,'Règles et points'!$C$5:$AG$5,1)+1)))</f>
        <v/>
      </c>
      <c r="M122" s="23">
        <f t="shared" si="1"/>
        <v>0</v>
      </c>
      <c r="N122" s="80"/>
      <c r="O122" s="51"/>
      <c r="P122" s="52"/>
    </row>
    <row r="123" spans="2:16" ht="12.75">
      <c r="B123" s="14">
        <v>119</v>
      </c>
      <c r="C123" s="28" t="str">
        <f>IF(Coureurs!C123="","",Coureurs!C123)</f>
        <v/>
      </c>
      <c r="D123" s="131" t="str">
        <f>IF(Coureurs!D123="","",Coureurs!D123)</f>
        <v>70</v>
      </c>
      <c r="E123" s="87" t="str">
        <f>IF(Coureurs!F123="","",Coureurs!F123)</f>
        <v/>
      </c>
      <c r="F123" s="87" t="str">
        <f>IF(Coureurs!G123="","",Coureurs!G123)</f>
        <v/>
      </c>
      <c r="G123" s="50" t="str">
        <f>IF(Coureurs!J123="","",Coureurs!J123)</f>
        <v/>
      </c>
      <c r="H123" s="25"/>
      <c r="I123" s="41"/>
      <c r="J123" s="8" t="str">
        <f>IF(I123="PM","",IF(H123=0," ",I123-HLOOKUP('Course 4'!H123,'tab4'!$C$3:$N$4,2)))</f>
        <v xml:space="preserve"> </v>
      </c>
      <c r="K123" s="23" t="str">
        <f>IF(I123="PM","",IF(H123=0," ",J123/'Règles et points'!$F$23))</f>
        <v xml:space="preserve"> </v>
      </c>
      <c r="L123" s="3" t="str">
        <f>IF(H123=0,"",VLOOKUP(H123,'Règles et points'!$C$5:$AG$19,(HLOOKUP('Course 4'!C123,'Règles et points'!$C$5:$AG$5,1)+1)))</f>
        <v/>
      </c>
      <c r="M123" s="23">
        <f t="shared" si="1"/>
        <v>0</v>
      </c>
      <c r="N123" s="80"/>
      <c r="O123" s="51"/>
      <c r="P123" s="52"/>
    </row>
    <row r="124" spans="2:16" ht="12.75">
      <c r="B124" s="14">
        <v>120</v>
      </c>
      <c r="C124" s="28" t="str">
        <f>IF(Coureurs!C124="","",Coureurs!C124)</f>
        <v/>
      </c>
      <c r="D124" s="131" t="str">
        <f>IF(Coureurs!D124="","",Coureurs!D124)</f>
        <v>70</v>
      </c>
      <c r="E124" s="87" t="str">
        <f>IF(Coureurs!F124="","",Coureurs!F124)</f>
        <v/>
      </c>
      <c r="F124" s="87" t="str">
        <f>IF(Coureurs!G124="","",Coureurs!G124)</f>
        <v/>
      </c>
      <c r="G124" s="50" t="str">
        <f>IF(Coureurs!J124="","",Coureurs!J124)</f>
        <v/>
      </c>
      <c r="H124" s="25"/>
      <c r="I124" s="41"/>
      <c r="J124" s="8" t="str">
        <f>IF(I124="PM","",IF(H124=0," ",I124-HLOOKUP('Course 4'!H124,'tab4'!$C$3:$N$4,2)))</f>
        <v xml:space="preserve"> </v>
      </c>
      <c r="K124" s="23" t="str">
        <f>IF(I124="PM","",IF(H124=0," ",J124/'Règles et points'!$F$23))</f>
        <v xml:space="preserve"> </v>
      </c>
      <c r="L124" s="3" t="str">
        <f>IF(H124=0,"",VLOOKUP(H124,'Règles et points'!$C$5:$AG$19,(HLOOKUP('Course 4'!C124,'Règles et points'!$C$5:$AG$5,1)+1)))</f>
        <v/>
      </c>
      <c r="M124" s="23">
        <f t="shared" si="1"/>
        <v>0</v>
      </c>
      <c r="N124" s="80"/>
      <c r="O124" s="51"/>
      <c r="P124" s="52"/>
    </row>
    <row r="125" spans="2:16" ht="12.75">
      <c r="B125" s="14">
        <v>121</v>
      </c>
      <c r="C125" s="28" t="str">
        <f>IF(Coureurs!C125="","",Coureurs!C125)</f>
        <v/>
      </c>
      <c r="D125" s="131" t="str">
        <f>IF(Coureurs!D125="","",Coureurs!D125)</f>
        <v>70</v>
      </c>
      <c r="E125" s="87" t="str">
        <f>IF(Coureurs!F125="","",Coureurs!F125)</f>
        <v/>
      </c>
      <c r="F125" s="87" t="str">
        <f>IF(Coureurs!G125="","",Coureurs!G125)</f>
        <v/>
      </c>
      <c r="G125" s="50" t="str">
        <f>IF(Coureurs!J125="","",Coureurs!J125)</f>
        <v/>
      </c>
      <c r="H125" s="25"/>
      <c r="I125" s="41"/>
      <c r="J125" s="8" t="str">
        <f>IF(I125="PM","",IF(H125=0," ",I125-HLOOKUP('Course 4'!H125,'tab4'!$C$3:$N$4,2)))</f>
        <v xml:space="preserve"> </v>
      </c>
      <c r="K125" s="23" t="str">
        <f>IF(I125="PM","",IF(H125=0," ",J125/'Règles et points'!$F$23))</f>
        <v xml:space="preserve"> </v>
      </c>
      <c r="L125" s="3" t="str">
        <f>IF(H125=0,"",VLOOKUP(H125,'Règles et points'!$C$5:$AG$19,(HLOOKUP('Course 4'!C125,'Règles et points'!$C$5:$AG$5,1)+1)))</f>
        <v/>
      </c>
      <c r="M125" s="23">
        <f t="shared" si="1"/>
        <v>0</v>
      </c>
      <c r="N125" s="80"/>
      <c r="O125" s="51"/>
      <c r="P125" s="52"/>
    </row>
    <row r="126" spans="2:16" ht="12.75">
      <c r="B126" s="14">
        <v>122</v>
      </c>
      <c r="C126" s="28" t="str">
        <f>IF(Coureurs!C126="","",Coureurs!C126)</f>
        <v/>
      </c>
      <c r="D126" s="131" t="str">
        <f>IF(Coureurs!D126="","",Coureurs!D126)</f>
        <v>70</v>
      </c>
      <c r="E126" s="87" t="str">
        <f>IF(Coureurs!F126="","",Coureurs!F126)</f>
        <v/>
      </c>
      <c r="F126" s="87" t="str">
        <f>IF(Coureurs!G126="","",Coureurs!G126)</f>
        <v/>
      </c>
      <c r="G126" s="50" t="str">
        <f>IF(Coureurs!J126="","",Coureurs!J126)</f>
        <v/>
      </c>
      <c r="H126" s="25"/>
      <c r="I126" s="41"/>
      <c r="J126" s="8" t="str">
        <f>IF(I126="PM","",IF(H126=0," ",I126-HLOOKUP('Course 4'!H126,'tab4'!$C$3:$N$4,2)))</f>
        <v xml:space="preserve"> </v>
      </c>
      <c r="K126" s="23" t="str">
        <f>IF(I126="PM","",IF(H126=0," ",J126/'Règles et points'!$F$23))</f>
        <v xml:space="preserve"> </v>
      </c>
      <c r="L126" s="3" t="str">
        <f>IF(H126=0,"",VLOOKUP(H126,'Règles et points'!$C$5:$AG$19,(HLOOKUP('Course 4'!C126,'Règles et points'!$C$5:$AG$5,1)+1)))</f>
        <v/>
      </c>
      <c r="M126" s="23">
        <f t="shared" si="1"/>
        <v>0</v>
      </c>
      <c r="N126" s="80"/>
      <c r="O126" s="51"/>
      <c r="P126" s="52"/>
    </row>
    <row r="127" spans="2:16" ht="12.75">
      <c r="B127" s="14">
        <v>123</v>
      </c>
      <c r="C127" s="28" t="str">
        <f>IF(Coureurs!C127="","",Coureurs!C127)</f>
        <v/>
      </c>
      <c r="D127" s="131" t="str">
        <f>IF(Coureurs!D127="","",Coureurs!D127)</f>
        <v>70</v>
      </c>
      <c r="E127" s="87" t="str">
        <f>IF(Coureurs!F127="","",Coureurs!F127)</f>
        <v/>
      </c>
      <c r="F127" s="87" t="str">
        <f>IF(Coureurs!G127="","",Coureurs!G127)</f>
        <v/>
      </c>
      <c r="G127" s="50" t="str">
        <f>IF(Coureurs!J127="","",Coureurs!J127)</f>
        <v/>
      </c>
      <c r="H127" s="25"/>
      <c r="I127" s="41"/>
      <c r="J127" s="8" t="str">
        <f>IF(I127="PM","",IF(H127=0," ",I127-HLOOKUP('Course 4'!H127,'tab4'!$C$3:$N$4,2)))</f>
        <v xml:space="preserve"> </v>
      </c>
      <c r="K127" s="23" t="str">
        <f>IF(I127="PM","",IF(H127=0," ",J127/'Règles et points'!$F$23))</f>
        <v xml:space="preserve"> </v>
      </c>
      <c r="L127" s="3" t="str">
        <f>IF(H127=0,"",VLOOKUP(H127,'Règles et points'!$C$5:$AG$19,(HLOOKUP('Course 4'!C127,'Règles et points'!$C$5:$AG$5,1)+1)))</f>
        <v/>
      </c>
      <c r="M127" s="23">
        <f t="shared" si="1"/>
        <v>0</v>
      </c>
      <c r="N127" s="80"/>
      <c r="O127" s="51"/>
      <c r="P127" s="52"/>
    </row>
    <row r="128" spans="2:16" ht="12.75">
      <c r="B128" s="14">
        <v>124</v>
      </c>
      <c r="C128" s="28" t="str">
        <f>IF(Coureurs!C128="","",Coureurs!C128)</f>
        <v/>
      </c>
      <c r="D128" s="131" t="str">
        <f>IF(Coureurs!D128="","",Coureurs!D128)</f>
        <v>70</v>
      </c>
      <c r="E128" s="87" t="str">
        <f>IF(Coureurs!F128="","",Coureurs!F128)</f>
        <v/>
      </c>
      <c r="F128" s="87" t="str">
        <f>IF(Coureurs!G128="","",Coureurs!G128)</f>
        <v/>
      </c>
      <c r="G128" s="50" t="str">
        <f>IF(Coureurs!J128="","",Coureurs!J128)</f>
        <v/>
      </c>
      <c r="H128" s="25"/>
      <c r="I128" s="41"/>
      <c r="J128" s="8" t="str">
        <f>IF(I128="PM","",IF(H128=0," ",I128-HLOOKUP('Course 4'!H128,'tab4'!$C$3:$N$4,2)))</f>
        <v xml:space="preserve"> </v>
      </c>
      <c r="K128" s="23" t="str">
        <f>IF(I128="PM","",IF(H128=0," ",J128/'Règles et points'!$F$23))</f>
        <v xml:space="preserve"> </v>
      </c>
      <c r="L128" s="3" t="str">
        <f>IF(H128=0,"",VLOOKUP(H128,'Règles et points'!$C$5:$AG$19,(HLOOKUP('Course 4'!C128,'Règles et points'!$C$5:$AG$5,1)+1)))</f>
        <v/>
      </c>
      <c r="M128" s="23">
        <f t="shared" si="1"/>
        <v>0</v>
      </c>
      <c r="N128" s="80"/>
      <c r="O128" s="51"/>
      <c r="P128" s="52"/>
    </row>
    <row r="129" spans="2:16" ht="12.75">
      <c r="B129" s="14">
        <v>125</v>
      </c>
      <c r="C129" s="28" t="str">
        <f>IF(Coureurs!C129="","",Coureurs!C129)</f>
        <v/>
      </c>
      <c r="D129" s="131" t="str">
        <f>IF(Coureurs!D129="","",Coureurs!D129)</f>
        <v>70</v>
      </c>
      <c r="E129" s="87" t="str">
        <f>IF(Coureurs!F129="","",Coureurs!F129)</f>
        <v/>
      </c>
      <c r="F129" s="87" t="str">
        <f>IF(Coureurs!G129="","",Coureurs!G129)</f>
        <v/>
      </c>
      <c r="G129" s="50" t="str">
        <f>IF(Coureurs!J129="","",Coureurs!J129)</f>
        <v/>
      </c>
      <c r="H129" s="25"/>
      <c r="I129" s="41"/>
      <c r="J129" s="8" t="str">
        <f>IF(I129="PM","",IF(H129=0," ",I129-HLOOKUP('Course 4'!H129,'tab4'!$C$3:$N$4,2)))</f>
        <v xml:space="preserve"> </v>
      </c>
      <c r="K129" s="23" t="str">
        <f>IF(I129="PM","",IF(H129=0," ",J129/'Règles et points'!$F$23))</f>
        <v xml:space="preserve"> </v>
      </c>
      <c r="L129" s="3" t="str">
        <f>IF(H129=0,"",VLOOKUP(H129,'Règles et points'!$C$5:$AG$19,(HLOOKUP('Course 4'!C129,'Règles et points'!$C$5:$AG$5,1)+1)))</f>
        <v/>
      </c>
      <c r="M129" s="23">
        <f t="shared" si="1"/>
        <v>0</v>
      </c>
      <c r="N129" s="80"/>
      <c r="O129" s="51"/>
      <c r="P129" s="52"/>
    </row>
    <row r="130" spans="2:16" ht="12.75">
      <c r="B130" s="14">
        <v>126</v>
      </c>
      <c r="C130" s="28" t="str">
        <f>IF(Coureurs!C130="","",Coureurs!C130)</f>
        <v/>
      </c>
      <c r="D130" s="131" t="str">
        <f>IF(Coureurs!D130="","",Coureurs!D130)</f>
        <v>70</v>
      </c>
      <c r="E130" s="87" t="str">
        <f>IF(Coureurs!F130="","",Coureurs!F130)</f>
        <v/>
      </c>
      <c r="F130" s="87" t="str">
        <f>IF(Coureurs!G130="","",Coureurs!G130)</f>
        <v/>
      </c>
      <c r="G130" s="50" t="str">
        <f>IF(Coureurs!J130="","",Coureurs!J130)</f>
        <v/>
      </c>
      <c r="H130" s="25"/>
      <c r="I130" s="41"/>
      <c r="J130" s="8" t="str">
        <f>IF(I130="PM","",IF(H130=0," ",I130-HLOOKUP('Course 4'!H130,'tab4'!$C$3:$N$4,2)))</f>
        <v xml:space="preserve"> </v>
      </c>
      <c r="K130" s="23" t="str">
        <f>IF(I130="PM","",IF(H130=0," ",J130/'Règles et points'!$F$23))</f>
        <v xml:space="preserve"> </v>
      </c>
      <c r="L130" s="3" t="str">
        <f>IF(H130=0,"",VLOOKUP(H130,'Règles et points'!$C$5:$AG$19,(HLOOKUP('Course 4'!C130,'Règles et points'!$C$5:$AG$5,1)+1)))</f>
        <v/>
      </c>
      <c r="M130" s="23">
        <f t="shared" si="1"/>
        <v>0</v>
      </c>
      <c r="N130" s="80"/>
      <c r="O130" s="51"/>
      <c r="P130" s="52"/>
    </row>
    <row r="131" spans="2:16" ht="12.75">
      <c r="B131" s="14">
        <v>127</v>
      </c>
      <c r="C131" s="28" t="str">
        <f>IF(Coureurs!C131="","",Coureurs!C131)</f>
        <v/>
      </c>
      <c r="D131" s="131" t="str">
        <f>IF(Coureurs!D131="","",Coureurs!D131)</f>
        <v>70</v>
      </c>
      <c r="E131" s="87" t="str">
        <f>IF(Coureurs!F131="","",Coureurs!F131)</f>
        <v/>
      </c>
      <c r="F131" s="87" t="str">
        <f>IF(Coureurs!G131="","",Coureurs!G131)</f>
        <v/>
      </c>
      <c r="G131" s="50" t="str">
        <f>IF(Coureurs!J131="","",Coureurs!J131)</f>
        <v/>
      </c>
      <c r="H131" s="25"/>
      <c r="I131" s="41"/>
      <c r="J131" s="8" t="str">
        <f>IF(I131="PM","",IF(H131=0," ",I131-HLOOKUP('Course 4'!H131,'tab4'!$C$3:$N$4,2)))</f>
        <v xml:space="preserve"> </v>
      </c>
      <c r="K131" s="23" t="str">
        <f>IF(I131="PM","",IF(H131=0," ",J131/'Règles et points'!$F$23))</f>
        <v xml:space="preserve"> </v>
      </c>
      <c r="L131" s="3" t="str">
        <f>IF(H131=0,"",VLOOKUP(H131,'Règles et points'!$C$5:$AG$19,(HLOOKUP('Course 4'!C131,'Règles et points'!$C$5:$AG$5,1)+1)))</f>
        <v/>
      </c>
      <c r="M131" s="23">
        <f t="shared" si="1"/>
        <v>0</v>
      </c>
      <c r="N131" s="80"/>
      <c r="O131" s="51"/>
      <c r="P131" s="52"/>
    </row>
    <row r="132" spans="2:16" ht="12.75">
      <c r="B132" s="14">
        <v>128</v>
      </c>
      <c r="C132" s="28" t="str">
        <f>IF(Coureurs!C132="","",Coureurs!C132)</f>
        <v/>
      </c>
      <c r="D132" s="131" t="str">
        <f>IF(Coureurs!D132="","",Coureurs!D132)</f>
        <v>70</v>
      </c>
      <c r="E132" s="87" t="str">
        <f>IF(Coureurs!F132="","",Coureurs!F132)</f>
        <v/>
      </c>
      <c r="F132" s="87" t="str">
        <f>IF(Coureurs!G132="","",Coureurs!G132)</f>
        <v/>
      </c>
      <c r="G132" s="50" t="str">
        <f>IF(Coureurs!J132="","",Coureurs!J132)</f>
        <v/>
      </c>
      <c r="H132" s="25"/>
      <c r="I132" s="41"/>
      <c r="J132" s="8" t="str">
        <f>IF(I132="PM","",IF(H132=0," ",I132-HLOOKUP('Course 4'!H132,'tab4'!$C$3:$N$4,2)))</f>
        <v xml:space="preserve"> </v>
      </c>
      <c r="K132" s="23" t="str">
        <f>IF(I132="PM","",IF(H132=0," ",J132/'Règles et points'!$F$23))</f>
        <v xml:space="preserve"> </v>
      </c>
      <c r="L132" s="3" t="str">
        <f>IF(H132=0,"",VLOOKUP(H132,'Règles et points'!$C$5:$AG$19,(HLOOKUP('Course 4'!C132,'Règles et points'!$C$5:$AG$5,1)+1)))</f>
        <v/>
      </c>
      <c r="M132" s="23">
        <f t="shared" ref="M132:M195" si="2">IF(I132="PM",0,IF(H132=0,0,L132-K132))+N132</f>
        <v>0</v>
      </c>
      <c r="N132" s="80"/>
      <c r="O132" s="51"/>
      <c r="P132" s="52"/>
    </row>
    <row r="133" spans="2:16" ht="12.75">
      <c r="B133" s="14">
        <v>129</v>
      </c>
      <c r="C133" s="28" t="str">
        <f>IF(Coureurs!C133="","",Coureurs!C133)</f>
        <v/>
      </c>
      <c r="D133" s="131" t="str">
        <f>IF(Coureurs!D133="","",Coureurs!D133)</f>
        <v>70</v>
      </c>
      <c r="E133" s="87" t="str">
        <f>IF(Coureurs!F133="","",Coureurs!F133)</f>
        <v/>
      </c>
      <c r="F133" s="87" t="str">
        <f>IF(Coureurs!G133="","",Coureurs!G133)</f>
        <v/>
      </c>
      <c r="G133" s="50" t="str">
        <f>IF(Coureurs!J133="","",Coureurs!J133)</f>
        <v/>
      </c>
      <c r="H133" s="25"/>
      <c r="I133" s="41"/>
      <c r="J133" s="8" t="str">
        <f>IF(I133="PM","",IF(H133=0," ",I133-HLOOKUP('Course 4'!H133,'tab4'!$C$3:$N$4,2)))</f>
        <v xml:space="preserve"> </v>
      </c>
      <c r="K133" s="23" t="str">
        <f>IF(I133="PM","",IF(H133=0," ",J133/'Règles et points'!$F$23))</f>
        <v xml:space="preserve"> </v>
      </c>
      <c r="L133" s="3" t="str">
        <f>IF(H133=0,"",VLOOKUP(H133,'Règles et points'!$C$5:$AG$19,(HLOOKUP('Course 4'!C133,'Règles et points'!$C$5:$AG$5,1)+1)))</f>
        <v/>
      </c>
      <c r="M133" s="23">
        <f t="shared" si="2"/>
        <v>0</v>
      </c>
      <c r="N133" s="80"/>
      <c r="O133" s="51"/>
      <c r="P133" s="52"/>
    </row>
    <row r="134" spans="2:16" ht="12.75">
      <c r="B134" s="14">
        <v>130</v>
      </c>
      <c r="C134" s="28" t="str">
        <f>IF(Coureurs!C134="","",Coureurs!C134)</f>
        <v/>
      </c>
      <c r="D134" s="131" t="str">
        <f>IF(Coureurs!D134="","",Coureurs!D134)</f>
        <v>70</v>
      </c>
      <c r="E134" s="87" t="str">
        <f>IF(Coureurs!F134="","",Coureurs!F134)</f>
        <v/>
      </c>
      <c r="F134" s="87" t="str">
        <f>IF(Coureurs!G134="","",Coureurs!G134)</f>
        <v/>
      </c>
      <c r="G134" s="50" t="str">
        <f>IF(Coureurs!J134="","",Coureurs!J134)</f>
        <v/>
      </c>
      <c r="H134" s="25"/>
      <c r="I134" s="41"/>
      <c r="J134" s="8" t="str">
        <f>IF(I134="PM","",IF(H134=0," ",I134-HLOOKUP('Course 4'!H134,'tab4'!$C$3:$N$4,2)))</f>
        <v xml:space="preserve"> </v>
      </c>
      <c r="K134" s="23" t="str">
        <f>IF(I134="PM","",IF(H134=0," ",J134/'Règles et points'!$F$23))</f>
        <v xml:space="preserve"> </v>
      </c>
      <c r="L134" s="3" t="str">
        <f>IF(H134=0,"",VLOOKUP(H134,'Règles et points'!$C$5:$AG$19,(HLOOKUP('Course 4'!C134,'Règles et points'!$C$5:$AG$5,1)+1)))</f>
        <v/>
      </c>
      <c r="M134" s="23">
        <f t="shared" si="2"/>
        <v>0</v>
      </c>
      <c r="N134" s="80"/>
      <c r="O134" s="51"/>
      <c r="P134" s="52"/>
    </row>
    <row r="135" spans="2:16" ht="12.75">
      <c r="B135" s="14">
        <v>131</v>
      </c>
      <c r="C135" s="28" t="str">
        <f>IF(Coureurs!C135="","",Coureurs!C135)</f>
        <v/>
      </c>
      <c r="D135" s="131" t="str">
        <f>IF(Coureurs!D135="","",Coureurs!D135)</f>
        <v>70</v>
      </c>
      <c r="E135" s="87" t="str">
        <f>IF(Coureurs!F135="","",Coureurs!F135)</f>
        <v/>
      </c>
      <c r="F135" s="87" t="str">
        <f>IF(Coureurs!G135="","",Coureurs!G135)</f>
        <v/>
      </c>
      <c r="G135" s="50" t="str">
        <f>IF(Coureurs!J135="","",Coureurs!J135)</f>
        <v/>
      </c>
      <c r="H135" s="25"/>
      <c r="I135" s="41"/>
      <c r="J135" s="8" t="str">
        <f>IF(I135="PM","",IF(H135=0," ",I135-HLOOKUP('Course 4'!H135,'tab4'!$C$3:$N$4,2)))</f>
        <v xml:space="preserve"> </v>
      </c>
      <c r="K135" s="23" t="str">
        <f>IF(I135="PM","",IF(H135=0," ",J135/'Règles et points'!$F$23))</f>
        <v xml:space="preserve"> </v>
      </c>
      <c r="L135" s="3" t="str">
        <f>IF(H135=0,"",VLOOKUP(H135,'Règles et points'!$C$5:$AG$19,(HLOOKUP('Course 4'!C135,'Règles et points'!$C$5:$AG$5,1)+1)))</f>
        <v/>
      </c>
      <c r="M135" s="23">
        <f t="shared" si="2"/>
        <v>0</v>
      </c>
      <c r="N135" s="80"/>
      <c r="O135" s="51"/>
      <c r="P135" s="52"/>
    </row>
    <row r="136" spans="2:16" ht="12.75">
      <c r="B136" s="14">
        <v>132</v>
      </c>
      <c r="C136" s="28" t="str">
        <f>IF(Coureurs!C136="","",Coureurs!C136)</f>
        <v/>
      </c>
      <c r="D136" s="131" t="str">
        <f>IF(Coureurs!D136="","",Coureurs!D136)</f>
        <v>70</v>
      </c>
      <c r="E136" s="87" t="str">
        <f>IF(Coureurs!F136="","",Coureurs!F136)</f>
        <v/>
      </c>
      <c r="F136" s="87" t="str">
        <f>IF(Coureurs!G136="","",Coureurs!G136)</f>
        <v/>
      </c>
      <c r="G136" s="50" t="str">
        <f>IF(Coureurs!J136="","",Coureurs!J136)</f>
        <v/>
      </c>
      <c r="H136" s="25"/>
      <c r="I136" s="41"/>
      <c r="J136" s="8" t="str">
        <f>IF(I136="PM","",IF(H136=0," ",I136-HLOOKUP('Course 4'!H136,'tab4'!$C$3:$N$4,2)))</f>
        <v xml:space="preserve"> </v>
      </c>
      <c r="K136" s="23" t="str">
        <f>IF(I136="PM","",IF(H136=0," ",J136/'Règles et points'!$F$23))</f>
        <v xml:space="preserve"> </v>
      </c>
      <c r="L136" s="3" t="str">
        <f>IF(H136=0,"",VLOOKUP(H136,'Règles et points'!$C$5:$AG$19,(HLOOKUP('Course 4'!C136,'Règles et points'!$C$5:$AG$5,1)+1)))</f>
        <v/>
      </c>
      <c r="M136" s="23">
        <f t="shared" si="2"/>
        <v>0</v>
      </c>
      <c r="N136" s="80"/>
      <c r="O136" s="51"/>
      <c r="P136" s="52"/>
    </row>
    <row r="137" spans="2:16" ht="12.75">
      <c r="B137" s="14">
        <v>133</v>
      </c>
      <c r="C137" s="28" t="str">
        <f>IF(Coureurs!C137="","",Coureurs!C137)</f>
        <v/>
      </c>
      <c r="D137" s="131" t="str">
        <f>IF(Coureurs!D137="","",Coureurs!D137)</f>
        <v>70</v>
      </c>
      <c r="E137" s="87" t="str">
        <f>IF(Coureurs!F137="","",Coureurs!F137)</f>
        <v/>
      </c>
      <c r="F137" s="87" t="str">
        <f>IF(Coureurs!G137="","",Coureurs!G137)</f>
        <v/>
      </c>
      <c r="G137" s="50" t="str">
        <f>IF(Coureurs!J137="","",Coureurs!J137)</f>
        <v/>
      </c>
      <c r="H137" s="25"/>
      <c r="I137" s="41"/>
      <c r="J137" s="8" t="str">
        <f>IF(I137="PM","",IF(H137=0," ",I137-HLOOKUP('Course 4'!H137,'tab4'!$C$3:$N$4,2)))</f>
        <v xml:space="preserve"> </v>
      </c>
      <c r="K137" s="23" t="str">
        <f>IF(I137="PM","",IF(H137=0," ",J137/'Règles et points'!$F$23))</f>
        <v xml:space="preserve"> </v>
      </c>
      <c r="L137" s="3" t="str">
        <f>IF(H137=0,"",VLOOKUP(H137,'Règles et points'!$C$5:$AG$19,(HLOOKUP('Course 4'!C137,'Règles et points'!$C$5:$AG$5,1)+1)))</f>
        <v/>
      </c>
      <c r="M137" s="23">
        <f t="shared" si="2"/>
        <v>0</v>
      </c>
      <c r="N137" s="80"/>
      <c r="O137" s="51"/>
      <c r="P137" s="52"/>
    </row>
    <row r="138" spans="2:16" ht="12.75">
      <c r="B138" s="14">
        <v>134</v>
      </c>
      <c r="C138" s="28" t="str">
        <f>IF(Coureurs!C138="","",Coureurs!C138)</f>
        <v/>
      </c>
      <c r="D138" s="131" t="str">
        <f>IF(Coureurs!D138="","",Coureurs!D138)</f>
        <v>70</v>
      </c>
      <c r="E138" s="87" t="str">
        <f>IF(Coureurs!F138="","",Coureurs!F138)</f>
        <v/>
      </c>
      <c r="F138" s="87" t="str">
        <f>IF(Coureurs!G138="","",Coureurs!G138)</f>
        <v/>
      </c>
      <c r="G138" s="50" t="str">
        <f>IF(Coureurs!J138="","",Coureurs!J138)</f>
        <v/>
      </c>
      <c r="H138" s="25"/>
      <c r="I138" s="41"/>
      <c r="J138" s="8" t="str">
        <f>IF(I138="PM","",IF(H138=0," ",I138-HLOOKUP('Course 4'!H138,'tab4'!$C$3:$N$4,2)))</f>
        <v xml:space="preserve"> </v>
      </c>
      <c r="K138" s="23" t="str">
        <f>IF(I138="PM","",IF(H138=0," ",J138/'Règles et points'!$F$23))</f>
        <v xml:space="preserve"> </v>
      </c>
      <c r="L138" s="3" t="str">
        <f>IF(H138=0,"",VLOOKUP(H138,'Règles et points'!$C$5:$AG$19,(HLOOKUP('Course 4'!C138,'Règles et points'!$C$5:$AG$5,1)+1)))</f>
        <v/>
      </c>
      <c r="M138" s="23">
        <f t="shared" si="2"/>
        <v>0</v>
      </c>
      <c r="N138" s="80"/>
      <c r="O138" s="51"/>
      <c r="P138" s="52"/>
    </row>
    <row r="139" spans="2:16" ht="12.75">
      <c r="B139" s="14">
        <v>135</v>
      </c>
      <c r="C139" s="28" t="str">
        <f>IF(Coureurs!C139="","",Coureurs!C139)</f>
        <v/>
      </c>
      <c r="D139" s="131" t="str">
        <f>IF(Coureurs!D139="","",Coureurs!D139)</f>
        <v>70</v>
      </c>
      <c r="E139" s="87" t="str">
        <f>IF(Coureurs!F139="","",Coureurs!F139)</f>
        <v/>
      </c>
      <c r="F139" s="87" t="str">
        <f>IF(Coureurs!G139="","",Coureurs!G139)</f>
        <v/>
      </c>
      <c r="G139" s="50" t="str">
        <f>IF(Coureurs!J139="","",Coureurs!J139)</f>
        <v/>
      </c>
      <c r="H139" s="25"/>
      <c r="I139" s="41"/>
      <c r="J139" s="8" t="str">
        <f>IF(I139="PM","",IF(H139=0," ",I139-HLOOKUP('Course 4'!H139,'tab4'!$C$3:$N$4,2)))</f>
        <v xml:space="preserve"> </v>
      </c>
      <c r="K139" s="23" t="str">
        <f>IF(I139="PM","",IF(H139=0," ",J139/'Règles et points'!$F$23))</f>
        <v xml:space="preserve"> </v>
      </c>
      <c r="L139" s="3" t="str">
        <f>IF(H139=0,"",VLOOKUP(H139,'Règles et points'!$C$5:$AG$19,(HLOOKUP('Course 4'!C139,'Règles et points'!$C$5:$AG$5,1)+1)))</f>
        <v/>
      </c>
      <c r="M139" s="23">
        <f t="shared" si="2"/>
        <v>0</v>
      </c>
      <c r="N139" s="80"/>
      <c r="O139" s="51"/>
      <c r="P139" s="52"/>
    </row>
    <row r="140" spans="2:16" ht="12.75">
      <c r="B140" s="14">
        <v>136</v>
      </c>
      <c r="C140" s="28" t="str">
        <f>IF(Coureurs!C140="","",Coureurs!C140)</f>
        <v/>
      </c>
      <c r="D140" s="131" t="str">
        <f>IF(Coureurs!D140="","",Coureurs!D140)</f>
        <v>70</v>
      </c>
      <c r="E140" s="87" t="str">
        <f>IF(Coureurs!F140="","",Coureurs!F140)</f>
        <v/>
      </c>
      <c r="F140" s="87" t="str">
        <f>IF(Coureurs!G140="","",Coureurs!G140)</f>
        <v/>
      </c>
      <c r="G140" s="50" t="str">
        <f>IF(Coureurs!J140="","",Coureurs!J140)</f>
        <v/>
      </c>
      <c r="H140" s="25"/>
      <c r="I140" s="41"/>
      <c r="J140" s="8" t="str">
        <f>IF(I140="PM","",IF(H140=0," ",I140-HLOOKUP('Course 4'!H140,'tab4'!$C$3:$N$4,2)))</f>
        <v xml:space="preserve"> </v>
      </c>
      <c r="K140" s="23" t="str">
        <f>IF(I140="PM","",IF(H140=0," ",J140/'Règles et points'!$F$23))</f>
        <v xml:space="preserve"> </v>
      </c>
      <c r="L140" s="3" t="str">
        <f>IF(H140=0,"",VLOOKUP(H140,'Règles et points'!$C$5:$AG$19,(HLOOKUP('Course 4'!C140,'Règles et points'!$C$5:$AG$5,1)+1)))</f>
        <v/>
      </c>
      <c r="M140" s="23">
        <f t="shared" si="2"/>
        <v>0</v>
      </c>
      <c r="N140" s="80"/>
      <c r="O140" s="51"/>
      <c r="P140" s="52"/>
    </row>
    <row r="141" spans="2:16" ht="12.75">
      <c r="B141" s="14">
        <v>137</v>
      </c>
      <c r="C141" s="28" t="str">
        <f>IF(Coureurs!C141="","",Coureurs!C141)</f>
        <v/>
      </c>
      <c r="D141" s="131" t="str">
        <f>IF(Coureurs!D141="","",Coureurs!D141)</f>
        <v>70</v>
      </c>
      <c r="E141" s="87" t="str">
        <f>IF(Coureurs!F141="","",Coureurs!F141)</f>
        <v/>
      </c>
      <c r="F141" s="87" t="str">
        <f>IF(Coureurs!G141="","",Coureurs!G141)</f>
        <v/>
      </c>
      <c r="G141" s="50" t="str">
        <f>IF(Coureurs!J141="","",Coureurs!J141)</f>
        <v/>
      </c>
      <c r="H141" s="25"/>
      <c r="I141" s="41"/>
      <c r="J141" s="8" t="str">
        <f>IF(I141="PM","",IF(H141=0," ",I141-HLOOKUP('Course 4'!H141,'tab4'!$C$3:$N$4,2)))</f>
        <v xml:space="preserve"> </v>
      </c>
      <c r="K141" s="23" t="str">
        <f>IF(I141="PM","",IF(H141=0," ",J141/'Règles et points'!$F$23))</f>
        <v xml:space="preserve"> </v>
      </c>
      <c r="L141" s="3" t="str">
        <f>IF(H141=0,"",VLOOKUP(H141,'Règles et points'!$C$5:$AG$19,(HLOOKUP('Course 4'!C141,'Règles et points'!$C$5:$AG$5,1)+1)))</f>
        <v/>
      </c>
      <c r="M141" s="23">
        <f t="shared" si="2"/>
        <v>0</v>
      </c>
      <c r="N141" s="80"/>
      <c r="O141" s="51"/>
      <c r="P141" s="52"/>
    </row>
    <row r="142" spans="2:16" ht="12.75">
      <c r="B142" s="14">
        <v>138</v>
      </c>
      <c r="C142" s="28" t="str">
        <f>IF(Coureurs!C142="","",Coureurs!C142)</f>
        <v/>
      </c>
      <c r="D142" s="131" t="str">
        <f>IF(Coureurs!D142="","",Coureurs!D142)</f>
        <v>70</v>
      </c>
      <c r="E142" s="87" t="str">
        <f>IF(Coureurs!F142="","",Coureurs!F142)</f>
        <v/>
      </c>
      <c r="F142" s="87" t="str">
        <f>IF(Coureurs!G142="","",Coureurs!G142)</f>
        <v/>
      </c>
      <c r="G142" s="50" t="str">
        <f>IF(Coureurs!J142="","",Coureurs!J142)</f>
        <v/>
      </c>
      <c r="H142" s="25"/>
      <c r="I142" s="41"/>
      <c r="J142" s="8" t="str">
        <f>IF(I142="PM","",IF(H142=0," ",I142-HLOOKUP('Course 4'!H142,'tab4'!$C$3:$N$4,2)))</f>
        <v xml:space="preserve"> </v>
      </c>
      <c r="K142" s="23" t="str">
        <f>IF(I142="PM","",IF(H142=0," ",J142/'Règles et points'!$F$23))</f>
        <v xml:space="preserve"> </v>
      </c>
      <c r="L142" s="3" t="str">
        <f>IF(H142=0,"",VLOOKUP(H142,'Règles et points'!$C$5:$AG$19,(HLOOKUP('Course 4'!C142,'Règles et points'!$C$5:$AG$5,1)+1)))</f>
        <v/>
      </c>
      <c r="M142" s="23">
        <f t="shared" si="2"/>
        <v>0</v>
      </c>
      <c r="N142" s="80"/>
      <c r="O142" s="51"/>
      <c r="P142" s="52"/>
    </row>
    <row r="143" spans="2:16" ht="12.75">
      <c r="B143" s="14">
        <v>139</v>
      </c>
      <c r="C143" s="28" t="str">
        <f>IF(Coureurs!C143="","",Coureurs!C143)</f>
        <v/>
      </c>
      <c r="D143" s="131" t="str">
        <f>IF(Coureurs!D143="","",Coureurs!D143)</f>
        <v>70</v>
      </c>
      <c r="E143" s="87" t="str">
        <f>IF(Coureurs!F143="","",Coureurs!F143)</f>
        <v/>
      </c>
      <c r="F143" s="87" t="str">
        <f>IF(Coureurs!G143="","",Coureurs!G143)</f>
        <v/>
      </c>
      <c r="G143" s="50" t="str">
        <f>IF(Coureurs!J143="","",Coureurs!J143)</f>
        <v/>
      </c>
      <c r="H143" s="25"/>
      <c r="I143" s="41"/>
      <c r="J143" s="8" t="str">
        <f>IF(I143="PM","",IF(H143=0," ",I143-HLOOKUP('Course 4'!H143,'tab4'!$C$3:$N$4,2)))</f>
        <v xml:space="preserve"> </v>
      </c>
      <c r="K143" s="23" t="str">
        <f>IF(I143="PM","",IF(H143=0," ",J143/'Règles et points'!$F$23))</f>
        <v xml:space="preserve"> </v>
      </c>
      <c r="L143" s="3" t="str">
        <f>IF(H143=0,"",VLOOKUP(H143,'Règles et points'!$C$5:$AG$19,(HLOOKUP('Course 4'!C143,'Règles et points'!$C$5:$AG$5,1)+1)))</f>
        <v/>
      </c>
      <c r="M143" s="23">
        <f t="shared" si="2"/>
        <v>0</v>
      </c>
      <c r="N143" s="80"/>
      <c r="O143" s="51"/>
      <c r="P143" s="52"/>
    </row>
    <row r="144" spans="2:16" ht="12.75">
      <c r="B144" s="14">
        <v>140</v>
      </c>
      <c r="C144" s="28" t="str">
        <f>IF(Coureurs!C144="","",Coureurs!C144)</f>
        <v/>
      </c>
      <c r="D144" s="131" t="str">
        <f>IF(Coureurs!D144="","",Coureurs!D144)</f>
        <v>70</v>
      </c>
      <c r="E144" s="87" t="str">
        <f>IF(Coureurs!F144="","",Coureurs!F144)</f>
        <v/>
      </c>
      <c r="F144" s="87" t="str">
        <f>IF(Coureurs!G144="","",Coureurs!G144)</f>
        <v/>
      </c>
      <c r="G144" s="50" t="str">
        <f>IF(Coureurs!J144="","",Coureurs!J144)</f>
        <v/>
      </c>
      <c r="H144" s="25"/>
      <c r="I144" s="41"/>
      <c r="J144" s="8" t="str">
        <f>IF(I144="PM","",IF(H144=0," ",I144-HLOOKUP('Course 4'!H144,'tab4'!$C$3:$N$4,2)))</f>
        <v xml:space="preserve"> </v>
      </c>
      <c r="K144" s="23" t="str">
        <f>IF(I144="PM","",IF(H144=0," ",J144/'Règles et points'!$F$23))</f>
        <v xml:space="preserve"> </v>
      </c>
      <c r="L144" s="3" t="str">
        <f>IF(H144=0,"",VLOOKUP(H144,'Règles et points'!$C$5:$AG$19,(HLOOKUP('Course 4'!C144,'Règles et points'!$C$5:$AG$5,1)+1)))</f>
        <v/>
      </c>
      <c r="M144" s="23">
        <f t="shared" si="2"/>
        <v>0</v>
      </c>
      <c r="N144" s="80"/>
      <c r="O144" s="51"/>
      <c r="P144" s="52"/>
    </row>
    <row r="145" spans="2:16" ht="12.75">
      <c r="B145" s="14">
        <v>141</v>
      </c>
      <c r="C145" s="28" t="str">
        <f>IF(Coureurs!C145="","",Coureurs!C145)</f>
        <v/>
      </c>
      <c r="D145" s="131" t="str">
        <f>IF(Coureurs!D145="","",Coureurs!D145)</f>
        <v>70</v>
      </c>
      <c r="E145" s="87" t="str">
        <f>IF(Coureurs!F145="","",Coureurs!F145)</f>
        <v/>
      </c>
      <c r="F145" s="87" t="str">
        <f>IF(Coureurs!G145="","",Coureurs!G145)</f>
        <v/>
      </c>
      <c r="G145" s="50" t="str">
        <f>IF(Coureurs!J145="","",Coureurs!J145)</f>
        <v/>
      </c>
      <c r="H145" s="25"/>
      <c r="I145" s="41"/>
      <c r="J145" s="8" t="str">
        <f>IF(I145="PM","",IF(H145=0," ",I145-HLOOKUP('Course 4'!H145,'tab4'!$C$3:$N$4,2)))</f>
        <v xml:space="preserve"> </v>
      </c>
      <c r="K145" s="23" t="str">
        <f>IF(I145="PM","",IF(H145=0," ",J145/'Règles et points'!$F$23))</f>
        <v xml:space="preserve"> </v>
      </c>
      <c r="L145" s="3" t="str">
        <f>IF(H145=0,"",VLOOKUP(H145,'Règles et points'!$C$5:$AG$19,(HLOOKUP('Course 4'!C145,'Règles et points'!$C$5:$AG$5,1)+1)))</f>
        <v/>
      </c>
      <c r="M145" s="23">
        <f t="shared" si="2"/>
        <v>0</v>
      </c>
      <c r="N145" s="80"/>
      <c r="O145" s="51"/>
      <c r="P145" s="52"/>
    </row>
    <row r="146" spans="2:16" ht="12.75">
      <c r="B146" s="14">
        <v>142</v>
      </c>
      <c r="C146" s="28" t="str">
        <f>IF(Coureurs!C146="","",Coureurs!C146)</f>
        <v/>
      </c>
      <c r="D146" s="131" t="str">
        <f>IF(Coureurs!D146="","",Coureurs!D146)</f>
        <v>70</v>
      </c>
      <c r="E146" s="87" t="str">
        <f>IF(Coureurs!F146="","",Coureurs!F146)</f>
        <v/>
      </c>
      <c r="F146" s="87" t="str">
        <f>IF(Coureurs!G146="","",Coureurs!G146)</f>
        <v/>
      </c>
      <c r="G146" s="50" t="str">
        <f>IF(Coureurs!J146="","",Coureurs!J146)</f>
        <v/>
      </c>
      <c r="H146" s="25"/>
      <c r="I146" s="41"/>
      <c r="J146" s="8" t="str">
        <f>IF(I146="PM","",IF(H146=0," ",I146-HLOOKUP('Course 4'!H146,'tab4'!$C$3:$N$4,2)))</f>
        <v xml:space="preserve"> </v>
      </c>
      <c r="K146" s="23" t="str">
        <f>IF(I146="PM","",IF(H146=0," ",J146/'Règles et points'!$F$23))</f>
        <v xml:space="preserve"> </v>
      </c>
      <c r="L146" s="3" t="str">
        <f>IF(H146=0,"",VLOOKUP(H146,'Règles et points'!$C$5:$AG$19,(HLOOKUP('Course 4'!C146,'Règles et points'!$C$5:$AG$5,1)+1)))</f>
        <v/>
      </c>
      <c r="M146" s="23">
        <f t="shared" si="2"/>
        <v>0</v>
      </c>
      <c r="N146" s="80"/>
      <c r="O146" s="51"/>
      <c r="P146" s="52"/>
    </row>
    <row r="147" spans="2:16" ht="12.75">
      <c r="B147" s="14">
        <v>143</v>
      </c>
      <c r="C147" s="28" t="str">
        <f>IF(Coureurs!C147="","",Coureurs!C147)</f>
        <v/>
      </c>
      <c r="D147" s="131" t="str">
        <f>IF(Coureurs!D147="","",Coureurs!D147)</f>
        <v>70</v>
      </c>
      <c r="E147" s="87" t="str">
        <f>IF(Coureurs!F147="","",Coureurs!F147)</f>
        <v/>
      </c>
      <c r="F147" s="87" t="str">
        <f>IF(Coureurs!G147="","",Coureurs!G147)</f>
        <v/>
      </c>
      <c r="G147" s="50" t="str">
        <f>IF(Coureurs!J147="","",Coureurs!J147)</f>
        <v/>
      </c>
      <c r="H147" s="25"/>
      <c r="I147" s="41"/>
      <c r="J147" s="8" t="str">
        <f>IF(I147="PM","",IF(H147=0," ",I147-HLOOKUP('Course 4'!H147,'tab4'!$C$3:$N$4,2)))</f>
        <v xml:space="preserve"> </v>
      </c>
      <c r="K147" s="23" t="str">
        <f>IF(I147="PM","",IF(H147=0," ",J147/'Règles et points'!$F$23))</f>
        <v xml:space="preserve"> </v>
      </c>
      <c r="L147" s="3" t="str">
        <f>IF(H147=0,"",VLOOKUP(H147,'Règles et points'!$C$5:$AG$19,(HLOOKUP('Course 4'!C147,'Règles et points'!$C$5:$AG$5,1)+1)))</f>
        <v/>
      </c>
      <c r="M147" s="23">
        <f t="shared" si="2"/>
        <v>0</v>
      </c>
      <c r="N147" s="80"/>
      <c r="O147" s="51"/>
      <c r="P147" s="52"/>
    </row>
    <row r="148" spans="2:16" ht="12.75">
      <c r="B148" s="14">
        <v>144</v>
      </c>
      <c r="C148" s="28" t="str">
        <f>IF(Coureurs!C148="","",Coureurs!C148)</f>
        <v/>
      </c>
      <c r="D148" s="131" t="str">
        <f>IF(Coureurs!D148="","",Coureurs!D148)</f>
        <v>70</v>
      </c>
      <c r="E148" s="87" t="str">
        <f>IF(Coureurs!F148="","",Coureurs!F148)</f>
        <v/>
      </c>
      <c r="F148" s="87" t="str">
        <f>IF(Coureurs!G148="","",Coureurs!G148)</f>
        <v/>
      </c>
      <c r="G148" s="50" t="str">
        <f>IF(Coureurs!J148="","",Coureurs!J148)</f>
        <v/>
      </c>
      <c r="H148" s="25"/>
      <c r="I148" s="41"/>
      <c r="J148" s="8" t="str">
        <f>IF(I148="PM","",IF(H148=0," ",I148-HLOOKUP('Course 4'!H148,'tab4'!$C$3:$N$4,2)))</f>
        <v xml:space="preserve"> </v>
      </c>
      <c r="K148" s="23" t="str">
        <f>IF(I148="PM","",IF(H148=0," ",J148/'Règles et points'!$F$23))</f>
        <v xml:space="preserve"> </v>
      </c>
      <c r="L148" s="3" t="str">
        <f>IF(H148=0,"",VLOOKUP(H148,'Règles et points'!$C$5:$AG$19,(HLOOKUP('Course 4'!C148,'Règles et points'!$C$5:$AG$5,1)+1)))</f>
        <v/>
      </c>
      <c r="M148" s="23">
        <f t="shared" si="2"/>
        <v>0</v>
      </c>
      <c r="N148" s="80"/>
      <c r="O148" s="51"/>
      <c r="P148" s="52"/>
    </row>
    <row r="149" spans="2:16" ht="12.75">
      <c r="B149" s="14">
        <v>145</v>
      </c>
      <c r="C149" s="28" t="str">
        <f>IF(Coureurs!C149="","",Coureurs!C149)</f>
        <v/>
      </c>
      <c r="D149" s="131" t="str">
        <f>IF(Coureurs!D149="","",Coureurs!D149)</f>
        <v>70</v>
      </c>
      <c r="E149" s="87" t="str">
        <f>IF(Coureurs!F149="","",Coureurs!F149)</f>
        <v/>
      </c>
      <c r="F149" s="87" t="str">
        <f>IF(Coureurs!G149="","",Coureurs!G149)</f>
        <v/>
      </c>
      <c r="G149" s="50" t="str">
        <f>IF(Coureurs!J149="","",Coureurs!J149)</f>
        <v/>
      </c>
      <c r="H149" s="25"/>
      <c r="I149" s="41"/>
      <c r="J149" s="8" t="str">
        <f>IF(I149="PM","",IF(H149=0," ",I149-HLOOKUP('Course 4'!H149,'tab4'!$C$3:$N$4,2)))</f>
        <v xml:space="preserve"> </v>
      </c>
      <c r="K149" s="23" t="str">
        <f>IF(I149="PM","",IF(H149=0," ",J149/'Règles et points'!$F$23))</f>
        <v xml:space="preserve"> </v>
      </c>
      <c r="L149" s="3" t="str">
        <f>IF(H149=0,"",VLOOKUP(H149,'Règles et points'!$C$5:$AG$19,(HLOOKUP('Course 4'!C149,'Règles et points'!$C$5:$AG$5,1)+1)))</f>
        <v/>
      </c>
      <c r="M149" s="23">
        <f t="shared" si="2"/>
        <v>0</v>
      </c>
      <c r="N149" s="80"/>
      <c r="O149" s="51"/>
      <c r="P149" s="52"/>
    </row>
    <row r="150" spans="2:16" ht="12.75">
      <c r="B150" s="14">
        <v>146</v>
      </c>
      <c r="C150" s="28" t="str">
        <f>IF(Coureurs!C150="","",Coureurs!C150)</f>
        <v/>
      </c>
      <c r="D150" s="131" t="str">
        <f>IF(Coureurs!D150="","",Coureurs!D150)</f>
        <v>70</v>
      </c>
      <c r="E150" s="87" t="str">
        <f>IF(Coureurs!F150="","",Coureurs!F150)</f>
        <v/>
      </c>
      <c r="F150" s="87" t="str">
        <f>IF(Coureurs!G150="","",Coureurs!G150)</f>
        <v/>
      </c>
      <c r="G150" s="50" t="str">
        <f>IF(Coureurs!J150="","",Coureurs!J150)</f>
        <v/>
      </c>
      <c r="H150" s="25"/>
      <c r="I150" s="41"/>
      <c r="J150" s="8" t="str">
        <f>IF(I150="PM","",IF(H150=0," ",I150-HLOOKUP('Course 4'!H150,'tab4'!$C$3:$N$4,2)))</f>
        <v xml:space="preserve"> </v>
      </c>
      <c r="K150" s="23" t="str">
        <f>IF(I150="PM","",IF(H150=0," ",J150/'Règles et points'!$F$23))</f>
        <v xml:space="preserve"> </v>
      </c>
      <c r="L150" s="3" t="str">
        <f>IF(H150=0,"",VLOOKUP(H150,'Règles et points'!$C$5:$AG$19,(HLOOKUP('Course 4'!C150,'Règles et points'!$C$5:$AG$5,1)+1)))</f>
        <v/>
      </c>
      <c r="M150" s="23">
        <f t="shared" si="2"/>
        <v>0</v>
      </c>
      <c r="N150" s="80"/>
      <c r="O150" s="51"/>
      <c r="P150" s="52"/>
    </row>
    <row r="151" spans="2:16" ht="12.75">
      <c r="B151" s="14">
        <v>147</v>
      </c>
      <c r="C151" s="28" t="str">
        <f>IF(Coureurs!C151="","",Coureurs!C151)</f>
        <v/>
      </c>
      <c r="D151" s="131" t="str">
        <f>IF(Coureurs!D151="","",Coureurs!D151)</f>
        <v>70</v>
      </c>
      <c r="E151" s="87" t="str">
        <f>IF(Coureurs!F151="","",Coureurs!F151)</f>
        <v/>
      </c>
      <c r="F151" s="87" t="str">
        <f>IF(Coureurs!G151="","",Coureurs!G151)</f>
        <v/>
      </c>
      <c r="G151" s="50" t="str">
        <f>IF(Coureurs!J151="","",Coureurs!J151)</f>
        <v/>
      </c>
      <c r="H151" s="25"/>
      <c r="I151" s="41"/>
      <c r="J151" s="8" t="str">
        <f>IF(I151="PM","",IF(H151=0," ",I151-HLOOKUP('Course 4'!H151,'tab4'!$C$3:$N$4,2)))</f>
        <v xml:space="preserve"> </v>
      </c>
      <c r="K151" s="23" t="str">
        <f>IF(I151="PM","",IF(H151=0," ",J151/'Règles et points'!$F$23))</f>
        <v xml:space="preserve"> </v>
      </c>
      <c r="L151" s="3" t="str">
        <f>IF(H151=0,"",VLOOKUP(H151,'Règles et points'!$C$5:$AG$19,(HLOOKUP('Course 4'!C151,'Règles et points'!$C$5:$AG$5,1)+1)))</f>
        <v/>
      </c>
      <c r="M151" s="23">
        <f t="shared" si="2"/>
        <v>0</v>
      </c>
      <c r="N151" s="80"/>
      <c r="O151" s="51"/>
      <c r="P151" s="52"/>
    </row>
    <row r="152" spans="2:16" ht="12.75">
      <c r="B152" s="14">
        <v>148</v>
      </c>
      <c r="C152" s="28" t="str">
        <f>IF(Coureurs!C152="","",Coureurs!C152)</f>
        <v/>
      </c>
      <c r="D152" s="131" t="str">
        <f>IF(Coureurs!D152="","",Coureurs!D152)</f>
        <v>70</v>
      </c>
      <c r="E152" s="87" t="str">
        <f>IF(Coureurs!F152="","",Coureurs!F152)</f>
        <v/>
      </c>
      <c r="F152" s="87" t="str">
        <f>IF(Coureurs!G152="","",Coureurs!G152)</f>
        <v/>
      </c>
      <c r="G152" s="50" t="str">
        <f>IF(Coureurs!J152="","",Coureurs!J152)</f>
        <v/>
      </c>
      <c r="H152" s="25"/>
      <c r="I152" s="41"/>
      <c r="J152" s="8" t="str">
        <f>IF(I152="PM","",IF(H152=0," ",I152-HLOOKUP('Course 4'!H152,'tab4'!$C$3:$N$4,2)))</f>
        <v xml:space="preserve"> </v>
      </c>
      <c r="K152" s="23" t="str">
        <f>IF(I152="PM","",IF(H152=0," ",J152/'Règles et points'!$F$23))</f>
        <v xml:space="preserve"> </v>
      </c>
      <c r="L152" s="3" t="str">
        <f>IF(H152=0,"",VLOOKUP(H152,'Règles et points'!$C$5:$AG$19,(HLOOKUP('Course 4'!C152,'Règles et points'!$C$5:$AG$5,1)+1)))</f>
        <v/>
      </c>
      <c r="M152" s="23">
        <f t="shared" si="2"/>
        <v>0</v>
      </c>
      <c r="N152" s="80"/>
      <c r="O152" s="51"/>
      <c r="P152" s="52"/>
    </row>
    <row r="153" spans="2:16" ht="12.75">
      <c r="B153" s="14">
        <v>149</v>
      </c>
      <c r="C153" s="28" t="str">
        <f>IF(Coureurs!C153="","",Coureurs!C153)</f>
        <v/>
      </c>
      <c r="D153" s="131" t="str">
        <f>IF(Coureurs!D153="","",Coureurs!D153)</f>
        <v>70</v>
      </c>
      <c r="E153" s="87" t="str">
        <f>IF(Coureurs!F153="","",Coureurs!F153)</f>
        <v/>
      </c>
      <c r="F153" s="87" t="str">
        <f>IF(Coureurs!G153="","",Coureurs!G153)</f>
        <v/>
      </c>
      <c r="G153" s="50" t="str">
        <f>IF(Coureurs!J153="","",Coureurs!J153)</f>
        <v/>
      </c>
      <c r="H153" s="25"/>
      <c r="I153" s="41"/>
      <c r="J153" s="8" t="str">
        <f>IF(I153="PM","",IF(H153=0," ",I153-HLOOKUP('Course 4'!H153,'tab4'!$C$3:$N$4,2)))</f>
        <v xml:space="preserve"> </v>
      </c>
      <c r="K153" s="23" t="str">
        <f>IF(I153="PM","",IF(H153=0," ",J153/'Règles et points'!$F$23))</f>
        <v xml:space="preserve"> </v>
      </c>
      <c r="L153" s="3" t="str">
        <f>IF(H153=0,"",VLOOKUP(H153,'Règles et points'!$C$5:$AG$19,(HLOOKUP('Course 4'!C153,'Règles et points'!$C$5:$AG$5,1)+1)))</f>
        <v/>
      </c>
      <c r="M153" s="23">
        <f t="shared" si="2"/>
        <v>0</v>
      </c>
      <c r="N153" s="80"/>
      <c r="O153" s="51"/>
      <c r="P153" s="52"/>
    </row>
    <row r="154" spans="2:16" ht="12.75">
      <c r="B154" s="14">
        <v>150</v>
      </c>
      <c r="C154" s="28" t="str">
        <f>IF(Coureurs!C154="","",Coureurs!C154)</f>
        <v/>
      </c>
      <c r="D154" s="131" t="str">
        <f>IF(Coureurs!D154="","",Coureurs!D154)</f>
        <v>70</v>
      </c>
      <c r="E154" s="87" t="str">
        <f>IF(Coureurs!F154="","",Coureurs!F154)</f>
        <v/>
      </c>
      <c r="F154" s="87" t="str">
        <f>IF(Coureurs!G154="","",Coureurs!G154)</f>
        <v/>
      </c>
      <c r="G154" s="50" t="str">
        <f>IF(Coureurs!J154="","",Coureurs!J154)</f>
        <v/>
      </c>
      <c r="H154" s="25"/>
      <c r="I154" s="41"/>
      <c r="J154" s="8" t="str">
        <f>IF(I154="PM","",IF(H154=0," ",I154-HLOOKUP('Course 4'!H154,'tab4'!$C$3:$N$4,2)))</f>
        <v xml:space="preserve"> </v>
      </c>
      <c r="K154" s="23" t="str">
        <f>IF(I154="PM","",IF(H154=0," ",J154/'Règles et points'!$F$23))</f>
        <v xml:space="preserve"> </v>
      </c>
      <c r="L154" s="3" t="str">
        <f>IF(H154=0,"",VLOOKUP(H154,'Règles et points'!$C$5:$AG$19,(HLOOKUP('Course 4'!C154,'Règles et points'!$C$5:$AG$5,1)+1)))</f>
        <v/>
      </c>
      <c r="M154" s="23">
        <f t="shared" si="2"/>
        <v>0</v>
      </c>
      <c r="N154" s="80"/>
      <c r="O154" s="51"/>
      <c r="P154" s="52"/>
    </row>
    <row r="155" spans="2:16" ht="12.75">
      <c r="B155" s="14">
        <v>151</v>
      </c>
      <c r="C155" s="28" t="str">
        <f>IF(Coureurs!C155="","",Coureurs!C155)</f>
        <v/>
      </c>
      <c r="D155" s="131" t="str">
        <f>IF(Coureurs!D155="","",Coureurs!D155)</f>
        <v>70</v>
      </c>
      <c r="E155" s="87" t="str">
        <f>IF(Coureurs!F155="","",Coureurs!F155)</f>
        <v/>
      </c>
      <c r="F155" s="87" t="str">
        <f>IF(Coureurs!G155="","",Coureurs!G155)</f>
        <v/>
      </c>
      <c r="G155" s="50" t="str">
        <f>IF(Coureurs!J155="","",Coureurs!J155)</f>
        <v/>
      </c>
      <c r="H155" s="25"/>
      <c r="I155" s="41"/>
      <c r="J155" s="8" t="str">
        <f>IF(I155="PM","",IF(H155=0," ",I155-HLOOKUP('Course 4'!H155,'tab4'!$C$3:$N$4,2)))</f>
        <v xml:space="preserve"> </v>
      </c>
      <c r="K155" s="23" t="str">
        <f>IF(I155="PM","",IF(H155=0," ",J155/'Règles et points'!$F$23))</f>
        <v xml:space="preserve"> </v>
      </c>
      <c r="L155" s="3" t="str">
        <f>IF(H155=0,"",VLOOKUP(H155,'Règles et points'!$C$5:$AG$19,(HLOOKUP('Course 4'!C155,'Règles et points'!$C$5:$AG$5,1)+1)))</f>
        <v/>
      </c>
      <c r="M155" s="23">
        <f t="shared" si="2"/>
        <v>0</v>
      </c>
      <c r="N155" s="80"/>
      <c r="O155" s="51"/>
      <c r="P155" s="52"/>
    </row>
    <row r="156" spans="2:16" ht="12.75">
      <c r="B156" s="14">
        <v>152</v>
      </c>
      <c r="C156" s="28" t="str">
        <f>IF(Coureurs!C156="","",Coureurs!C156)</f>
        <v/>
      </c>
      <c r="D156" s="131" t="str">
        <f>IF(Coureurs!D156="","",Coureurs!D156)</f>
        <v>70</v>
      </c>
      <c r="E156" s="87" t="str">
        <f>IF(Coureurs!F156="","",Coureurs!F156)</f>
        <v/>
      </c>
      <c r="F156" s="87" t="str">
        <f>IF(Coureurs!G156="","",Coureurs!G156)</f>
        <v/>
      </c>
      <c r="G156" s="50" t="str">
        <f>IF(Coureurs!J156="","",Coureurs!J156)</f>
        <v/>
      </c>
      <c r="H156" s="25"/>
      <c r="I156" s="41"/>
      <c r="J156" s="8" t="str">
        <f>IF(I156="PM","",IF(H156=0," ",I156-HLOOKUP('Course 4'!H156,'tab4'!$C$3:$N$4,2)))</f>
        <v xml:space="preserve"> </v>
      </c>
      <c r="K156" s="23" t="str">
        <f>IF(I156="PM","",IF(H156=0," ",J156/'Règles et points'!$F$23))</f>
        <v xml:space="preserve"> </v>
      </c>
      <c r="L156" s="3" t="str">
        <f>IF(H156=0,"",VLOOKUP(H156,'Règles et points'!$C$5:$AG$19,(HLOOKUP('Course 4'!C156,'Règles et points'!$C$5:$AG$5,1)+1)))</f>
        <v/>
      </c>
      <c r="M156" s="23">
        <f t="shared" si="2"/>
        <v>0</v>
      </c>
      <c r="N156" s="80"/>
      <c r="O156" s="51"/>
      <c r="P156" s="52"/>
    </row>
    <row r="157" spans="2:16" ht="12.75">
      <c r="B157" s="14">
        <v>153</v>
      </c>
      <c r="C157" s="28" t="str">
        <f>IF(Coureurs!C157="","",Coureurs!C157)</f>
        <v/>
      </c>
      <c r="D157" s="131" t="str">
        <f>IF(Coureurs!D157="","",Coureurs!D157)</f>
        <v>70</v>
      </c>
      <c r="E157" s="87" t="str">
        <f>IF(Coureurs!F157="","",Coureurs!F157)</f>
        <v/>
      </c>
      <c r="F157" s="87" t="str">
        <f>IF(Coureurs!G157="","",Coureurs!G157)</f>
        <v/>
      </c>
      <c r="G157" s="50" t="str">
        <f>IF(Coureurs!J157="","",Coureurs!J157)</f>
        <v/>
      </c>
      <c r="H157" s="25"/>
      <c r="I157" s="41"/>
      <c r="J157" s="8" t="str">
        <f>IF(I157="PM","",IF(H157=0," ",I157-HLOOKUP('Course 4'!H157,'tab4'!$C$3:$N$4,2)))</f>
        <v xml:space="preserve"> </v>
      </c>
      <c r="K157" s="23" t="str">
        <f>IF(I157="PM","",IF(H157=0," ",J157/'Règles et points'!$F$23))</f>
        <v xml:space="preserve"> </v>
      </c>
      <c r="L157" s="3" t="str">
        <f>IF(H157=0,"",VLOOKUP(H157,'Règles et points'!$C$5:$AG$19,(HLOOKUP('Course 4'!C157,'Règles et points'!$C$5:$AG$5,1)+1)))</f>
        <v/>
      </c>
      <c r="M157" s="23">
        <f t="shared" si="2"/>
        <v>0</v>
      </c>
      <c r="N157" s="80"/>
      <c r="O157" s="51"/>
      <c r="P157" s="52"/>
    </row>
    <row r="158" spans="2:16" ht="12.75">
      <c r="B158" s="14">
        <v>154</v>
      </c>
      <c r="C158" s="28" t="str">
        <f>IF(Coureurs!C158="","",Coureurs!C158)</f>
        <v/>
      </c>
      <c r="D158" s="131" t="str">
        <f>IF(Coureurs!D158="","",Coureurs!D158)</f>
        <v>70</v>
      </c>
      <c r="E158" s="87" t="str">
        <f>IF(Coureurs!F158="","",Coureurs!F158)</f>
        <v/>
      </c>
      <c r="F158" s="87" t="str">
        <f>IF(Coureurs!G158="","",Coureurs!G158)</f>
        <v/>
      </c>
      <c r="G158" s="50" t="str">
        <f>IF(Coureurs!J158="","",Coureurs!J158)</f>
        <v/>
      </c>
      <c r="H158" s="25"/>
      <c r="I158" s="41"/>
      <c r="J158" s="8" t="str">
        <f>IF(I158="PM","",IF(H158=0," ",I158-HLOOKUP('Course 4'!H158,'tab4'!$C$3:$N$4,2)))</f>
        <v xml:space="preserve"> </v>
      </c>
      <c r="K158" s="23" t="str">
        <f>IF(I158="PM","",IF(H158=0," ",J158/'Règles et points'!$F$23))</f>
        <v xml:space="preserve"> </v>
      </c>
      <c r="L158" s="3" t="str">
        <f>IF(H158=0,"",VLOOKUP(H158,'Règles et points'!$C$5:$AG$19,(HLOOKUP('Course 4'!C158,'Règles et points'!$C$5:$AG$5,1)+1)))</f>
        <v/>
      </c>
      <c r="M158" s="23">
        <f t="shared" si="2"/>
        <v>0</v>
      </c>
      <c r="N158" s="80"/>
      <c r="O158" s="51"/>
      <c r="P158" s="52"/>
    </row>
    <row r="159" spans="2:16" ht="12.75">
      <c r="B159" s="14">
        <v>155</v>
      </c>
      <c r="C159" s="28" t="str">
        <f>IF(Coureurs!C159="","",Coureurs!C159)</f>
        <v/>
      </c>
      <c r="D159" s="131" t="str">
        <f>IF(Coureurs!D159="","",Coureurs!D159)</f>
        <v>70</v>
      </c>
      <c r="E159" s="87" t="str">
        <f>IF(Coureurs!F159="","",Coureurs!F159)</f>
        <v/>
      </c>
      <c r="F159" s="87" t="str">
        <f>IF(Coureurs!G159="","",Coureurs!G159)</f>
        <v/>
      </c>
      <c r="G159" s="50" t="str">
        <f>IF(Coureurs!J159="","",Coureurs!J159)</f>
        <v/>
      </c>
      <c r="H159" s="25"/>
      <c r="I159" s="41"/>
      <c r="J159" s="8" t="str">
        <f>IF(I159="PM","",IF(H159=0," ",I159-HLOOKUP('Course 4'!H159,'tab4'!$C$3:$N$4,2)))</f>
        <v xml:space="preserve"> </v>
      </c>
      <c r="K159" s="23" t="str">
        <f>IF(I159="PM","",IF(H159=0," ",J159/'Règles et points'!$F$23))</f>
        <v xml:space="preserve"> </v>
      </c>
      <c r="L159" s="3" t="str">
        <f>IF(H159=0,"",VLOOKUP(H159,'Règles et points'!$C$5:$AG$19,(HLOOKUP('Course 4'!C159,'Règles et points'!$C$5:$AG$5,1)+1)))</f>
        <v/>
      </c>
      <c r="M159" s="23">
        <f t="shared" si="2"/>
        <v>0</v>
      </c>
      <c r="N159" s="80"/>
      <c r="O159" s="51"/>
      <c r="P159" s="52"/>
    </row>
    <row r="160" spans="2:16" ht="12.75">
      <c r="B160" s="14">
        <v>156</v>
      </c>
      <c r="C160" s="28" t="str">
        <f>IF(Coureurs!C160="","",Coureurs!C160)</f>
        <v/>
      </c>
      <c r="D160" s="131" t="str">
        <f>IF(Coureurs!D160="","",Coureurs!D160)</f>
        <v>70</v>
      </c>
      <c r="E160" s="87" t="str">
        <f>IF(Coureurs!F160="","",Coureurs!F160)</f>
        <v/>
      </c>
      <c r="F160" s="87" t="str">
        <f>IF(Coureurs!G160="","",Coureurs!G160)</f>
        <v/>
      </c>
      <c r="G160" s="50" t="str">
        <f>IF(Coureurs!J160="","",Coureurs!J160)</f>
        <v/>
      </c>
      <c r="H160" s="25"/>
      <c r="I160" s="41"/>
      <c r="J160" s="8" t="str">
        <f>IF(I160="PM","",IF(H160=0," ",I160-HLOOKUP('Course 4'!H160,'tab4'!$C$3:$N$4,2)))</f>
        <v xml:space="preserve"> </v>
      </c>
      <c r="K160" s="23" t="str">
        <f>IF(I160="PM","",IF(H160=0," ",J160/'Règles et points'!$F$23))</f>
        <v xml:space="preserve"> </v>
      </c>
      <c r="L160" s="3" t="str">
        <f>IF(H160=0,"",VLOOKUP(H160,'Règles et points'!$C$5:$AG$19,(HLOOKUP('Course 4'!C160,'Règles et points'!$C$5:$AG$5,1)+1)))</f>
        <v/>
      </c>
      <c r="M160" s="23">
        <f t="shared" si="2"/>
        <v>0</v>
      </c>
      <c r="N160" s="80"/>
      <c r="O160" s="51"/>
      <c r="P160" s="52"/>
    </row>
    <row r="161" spans="2:16" ht="12.75">
      <c r="B161" s="14">
        <v>157</v>
      </c>
      <c r="C161" s="28" t="str">
        <f>IF(Coureurs!C161="","",Coureurs!C161)</f>
        <v/>
      </c>
      <c r="D161" s="131" t="str">
        <f>IF(Coureurs!D161="","",Coureurs!D161)</f>
        <v>70</v>
      </c>
      <c r="E161" s="87" t="str">
        <f>IF(Coureurs!F161="","",Coureurs!F161)</f>
        <v/>
      </c>
      <c r="F161" s="87" t="str">
        <f>IF(Coureurs!G161="","",Coureurs!G161)</f>
        <v/>
      </c>
      <c r="G161" s="50" t="str">
        <f>IF(Coureurs!J161="","",Coureurs!J161)</f>
        <v/>
      </c>
      <c r="H161" s="25"/>
      <c r="I161" s="41"/>
      <c r="J161" s="8" t="str">
        <f>IF(I161="PM","",IF(H161=0," ",I161-HLOOKUP('Course 4'!H161,'tab4'!$C$3:$N$4,2)))</f>
        <v xml:space="preserve"> </v>
      </c>
      <c r="K161" s="23" t="str">
        <f>IF(I161="PM","",IF(H161=0," ",J161/'Règles et points'!$F$23))</f>
        <v xml:space="preserve"> </v>
      </c>
      <c r="L161" s="3" t="str">
        <f>IF(H161=0,"",VLOOKUP(H161,'Règles et points'!$C$5:$AG$19,(HLOOKUP('Course 4'!C161,'Règles et points'!$C$5:$AG$5,1)+1)))</f>
        <v/>
      </c>
      <c r="M161" s="23">
        <f t="shared" si="2"/>
        <v>0</v>
      </c>
      <c r="N161" s="80"/>
      <c r="O161" s="51"/>
      <c r="P161" s="52"/>
    </row>
    <row r="162" spans="2:16" ht="12.75">
      <c r="B162" s="14">
        <v>158</v>
      </c>
      <c r="C162" s="28" t="str">
        <f>IF(Coureurs!C162="","",Coureurs!C162)</f>
        <v/>
      </c>
      <c r="D162" s="131" t="str">
        <f>IF(Coureurs!D162="","",Coureurs!D162)</f>
        <v>70</v>
      </c>
      <c r="E162" s="87" t="str">
        <f>IF(Coureurs!F162="","",Coureurs!F162)</f>
        <v/>
      </c>
      <c r="F162" s="87" t="str">
        <f>IF(Coureurs!G162="","",Coureurs!G162)</f>
        <v/>
      </c>
      <c r="G162" s="50" t="str">
        <f>IF(Coureurs!J162="","",Coureurs!J162)</f>
        <v/>
      </c>
      <c r="H162" s="25"/>
      <c r="I162" s="41"/>
      <c r="J162" s="8" t="str">
        <f>IF(I162="PM","",IF(H162=0," ",I162-HLOOKUP('Course 4'!H162,'tab4'!$C$3:$N$4,2)))</f>
        <v xml:space="preserve"> </v>
      </c>
      <c r="K162" s="23" t="str">
        <f>IF(I162="PM","",IF(H162=0," ",J162/'Règles et points'!$F$23))</f>
        <v xml:space="preserve"> </v>
      </c>
      <c r="L162" s="3" t="str">
        <f>IF(H162=0,"",VLOOKUP(H162,'Règles et points'!$C$5:$AG$19,(HLOOKUP('Course 4'!C162,'Règles et points'!$C$5:$AG$5,1)+1)))</f>
        <v/>
      </c>
      <c r="M162" s="23">
        <f t="shared" si="2"/>
        <v>0</v>
      </c>
      <c r="N162" s="80"/>
      <c r="O162" s="51"/>
      <c r="P162" s="52"/>
    </row>
    <row r="163" spans="2:16" ht="12.75">
      <c r="B163" s="14">
        <v>159</v>
      </c>
      <c r="C163" s="28" t="str">
        <f>IF(Coureurs!C163="","",Coureurs!C163)</f>
        <v/>
      </c>
      <c r="D163" s="131" t="str">
        <f>IF(Coureurs!D163="","",Coureurs!D163)</f>
        <v>70</v>
      </c>
      <c r="E163" s="87" t="str">
        <f>IF(Coureurs!F163="","",Coureurs!F163)</f>
        <v/>
      </c>
      <c r="F163" s="87" t="str">
        <f>IF(Coureurs!G163="","",Coureurs!G163)</f>
        <v/>
      </c>
      <c r="G163" s="50" t="str">
        <f>IF(Coureurs!J163="","",Coureurs!J163)</f>
        <v/>
      </c>
      <c r="H163" s="25"/>
      <c r="I163" s="41"/>
      <c r="J163" s="8" t="str">
        <f>IF(I163="PM","",IF(H163=0," ",I163-HLOOKUP('Course 4'!H163,'tab4'!$C$3:$N$4,2)))</f>
        <v xml:space="preserve"> </v>
      </c>
      <c r="K163" s="23" t="str">
        <f>IF(I163="PM","",IF(H163=0," ",J163/'Règles et points'!$F$23))</f>
        <v xml:space="preserve"> </v>
      </c>
      <c r="L163" s="3" t="str">
        <f>IF(H163=0,"",VLOOKUP(H163,'Règles et points'!$C$5:$AG$19,(HLOOKUP('Course 4'!C163,'Règles et points'!$C$5:$AG$5,1)+1)))</f>
        <v/>
      </c>
      <c r="M163" s="23">
        <f t="shared" si="2"/>
        <v>0</v>
      </c>
      <c r="N163" s="80"/>
      <c r="O163" s="51"/>
      <c r="P163" s="52"/>
    </row>
    <row r="164" spans="2:16" ht="12.75">
      <c r="B164" s="14">
        <v>160</v>
      </c>
      <c r="C164" s="28" t="str">
        <f>IF(Coureurs!C164="","",Coureurs!C164)</f>
        <v/>
      </c>
      <c r="D164" s="131" t="str">
        <f>IF(Coureurs!D164="","",Coureurs!D164)</f>
        <v>70</v>
      </c>
      <c r="E164" s="87" t="str">
        <f>IF(Coureurs!F164="","",Coureurs!F164)</f>
        <v/>
      </c>
      <c r="F164" s="87" t="str">
        <f>IF(Coureurs!G164="","",Coureurs!G164)</f>
        <v/>
      </c>
      <c r="G164" s="50" t="str">
        <f>IF(Coureurs!J164="","",Coureurs!J164)</f>
        <v/>
      </c>
      <c r="H164" s="25"/>
      <c r="I164" s="41"/>
      <c r="J164" s="8" t="str">
        <f>IF(I164="PM","",IF(H164=0," ",I164-HLOOKUP('Course 4'!H164,'tab4'!$C$3:$N$4,2)))</f>
        <v xml:space="preserve"> </v>
      </c>
      <c r="K164" s="23" t="str">
        <f>IF(I164="PM","",IF(H164=0," ",J164/'Règles et points'!$F$23))</f>
        <v xml:space="preserve"> </v>
      </c>
      <c r="L164" s="3" t="str">
        <f>IF(H164=0,"",VLOOKUP(H164,'Règles et points'!$C$5:$AG$19,(HLOOKUP('Course 4'!C164,'Règles et points'!$C$5:$AG$5,1)+1)))</f>
        <v/>
      </c>
      <c r="M164" s="23">
        <f t="shared" si="2"/>
        <v>0</v>
      </c>
      <c r="N164" s="80"/>
      <c r="O164" s="51"/>
      <c r="P164" s="52"/>
    </row>
    <row r="165" spans="2:16" ht="12.75">
      <c r="B165" s="14">
        <v>161</v>
      </c>
      <c r="C165" s="28" t="str">
        <f>IF(Coureurs!C165="","",Coureurs!C165)</f>
        <v/>
      </c>
      <c r="D165" s="131" t="str">
        <f>IF(Coureurs!D165="","",Coureurs!D165)</f>
        <v>70</v>
      </c>
      <c r="E165" s="87" t="str">
        <f>IF(Coureurs!F165="","",Coureurs!F165)</f>
        <v/>
      </c>
      <c r="F165" s="87" t="str">
        <f>IF(Coureurs!G165="","",Coureurs!G165)</f>
        <v/>
      </c>
      <c r="G165" s="50" t="str">
        <f>IF(Coureurs!J165="","",Coureurs!J165)</f>
        <v/>
      </c>
      <c r="H165" s="25"/>
      <c r="I165" s="41"/>
      <c r="J165" s="8" t="str">
        <f>IF(I165="PM","",IF(H165=0," ",I165-HLOOKUP('Course 4'!H165,'tab4'!$C$3:$N$4,2)))</f>
        <v xml:space="preserve"> </v>
      </c>
      <c r="K165" s="23" t="str">
        <f>IF(I165="PM","",IF(H165=0," ",J165/'Règles et points'!$F$23))</f>
        <v xml:space="preserve"> </v>
      </c>
      <c r="L165" s="3" t="str">
        <f>IF(H165=0,"",VLOOKUP(H165,'Règles et points'!$C$5:$AG$19,(HLOOKUP('Course 4'!C165,'Règles et points'!$C$5:$AG$5,1)+1)))</f>
        <v/>
      </c>
      <c r="M165" s="23">
        <f t="shared" si="2"/>
        <v>0</v>
      </c>
      <c r="N165" s="80"/>
      <c r="O165" s="51"/>
      <c r="P165" s="52"/>
    </row>
    <row r="166" spans="2:16" ht="12.75">
      <c r="B166" s="14">
        <v>162</v>
      </c>
      <c r="C166" s="28" t="str">
        <f>IF(Coureurs!C166="","",Coureurs!C166)</f>
        <v/>
      </c>
      <c r="D166" s="131" t="str">
        <f>IF(Coureurs!D166="","",Coureurs!D166)</f>
        <v>70</v>
      </c>
      <c r="E166" s="87" t="str">
        <f>IF(Coureurs!F166="","",Coureurs!F166)</f>
        <v/>
      </c>
      <c r="F166" s="87" t="str">
        <f>IF(Coureurs!G166="","",Coureurs!G166)</f>
        <v/>
      </c>
      <c r="G166" s="50" t="str">
        <f>IF(Coureurs!J166="","",Coureurs!J166)</f>
        <v/>
      </c>
      <c r="H166" s="25"/>
      <c r="I166" s="41"/>
      <c r="J166" s="8" t="str">
        <f>IF(I166="PM","",IF(H166=0," ",I166-HLOOKUP('Course 4'!H166,'tab4'!$C$3:$N$4,2)))</f>
        <v xml:space="preserve"> </v>
      </c>
      <c r="K166" s="23" t="str">
        <f>IF(I166="PM","",IF(H166=0," ",J166/'Règles et points'!$F$23))</f>
        <v xml:space="preserve"> </v>
      </c>
      <c r="L166" s="3" t="str">
        <f>IF(H166=0,"",VLOOKUP(H166,'Règles et points'!$C$5:$AG$19,(HLOOKUP('Course 4'!C166,'Règles et points'!$C$5:$AG$5,1)+1)))</f>
        <v/>
      </c>
      <c r="M166" s="23">
        <f t="shared" si="2"/>
        <v>0</v>
      </c>
      <c r="N166" s="80"/>
      <c r="O166" s="51"/>
      <c r="P166" s="52"/>
    </row>
    <row r="167" spans="2:16" ht="12.75">
      <c r="B167" s="14">
        <v>163</v>
      </c>
      <c r="C167" s="28" t="str">
        <f>IF(Coureurs!C167="","",Coureurs!C167)</f>
        <v/>
      </c>
      <c r="D167" s="131" t="str">
        <f>IF(Coureurs!D167="","",Coureurs!D167)</f>
        <v>70</v>
      </c>
      <c r="E167" s="87" t="str">
        <f>IF(Coureurs!F167="","",Coureurs!F167)</f>
        <v/>
      </c>
      <c r="F167" s="87" t="str">
        <f>IF(Coureurs!G167="","",Coureurs!G167)</f>
        <v/>
      </c>
      <c r="G167" s="50" t="str">
        <f>IF(Coureurs!J167="","",Coureurs!J167)</f>
        <v/>
      </c>
      <c r="H167" s="25"/>
      <c r="I167" s="41"/>
      <c r="J167" s="8" t="str">
        <f>IF(I167="PM","",IF(H167=0," ",I167-HLOOKUP('Course 4'!H167,'tab4'!$C$3:$N$4,2)))</f>
        <v xml:space="preserve"> </v>
      </c>
      <c r="K167" s="23" t="str">
        <f>IF(I167="PM","",IF(H167=0," ",J167/'Règles et points'!$F$23))</f>
        <v xml:space="preserve"> </v>
      </c>
      <c r="L167" s="3" t="str">
        <f>IF(H167=0,"",VLOOKUP(H167,'Règles et points'!$C$5:$AG$19,(HLOOKUP('Course 4'!C167,'Règles et points'!$C$5:$AG$5,1)+1)))</f>
        <v/>
      </c>
      <c r="M167" s="23">
        <f t="shared" si="2"/>
        <v>0</v>
      </c>
      <c r="N167" s="80"/>
      <c r="O167" s="51"/>
      <c r="P167" s="52"/>
    </row>
    <row r="168" spans="2:16" ht="12.75">
      <c r="B168" s="14">
        <v>164</v>
      </c>
      <c r="C168" s="28" t="str">
        <f>IF(Coureurs!C168="","",Coureurs!C168)</f>
        <v/>
      </c>
      <c r="D168" s="131" t="str">
        <f>IF(Coureurs!D168="","",Coureurs!D168)</f>
        <v>70</v>
      </c>
      <c r="E168" s="87" t="str">
        <f>IF(Coureurs!F168="","",Coureurs!F168)</f>
        <v/>
      </c>
      <c r="F168" s="87" t="str">
        <f>IF(Coureurs!G168="","",Coureurs!G168)</f>
        <v/>
      </c>
      <c r="G168" s="50" t="str">
        <f>IF(Coureurs!J168="","",Coureurs!J168)</f>
        <v/>
      </c>
      <c r="H168" s="25"/>
      <c r="I168" s="41"/>
      <c r="J168" s="8" t="str">
        <f>IF(I168="PM","",IF(H168=0," ",I168-HLOOKUP('Course 4'!H168,'tab4'!$C$3:$N$4,2)))</f>
        <v xml:space="preserve"> </v>
      </c>
      <c r="K168" s="23" t="str">
        <f>IF(I168="PM","",IF(H168=0," ",J168/'Règles et points'!$F$23))</f>
        <v xml:space="preserve"> </v>
      </c>
      <c r="L168" s="3" t="str">
        <f>IF(H168=0,"",VLOOKUP(H168,'Règles et points'!$C$5:$AG$19,(HLOOKUP('Course 4'!C168,'Règles et points'!$C$5:$AG$5,1)+1)))</f>
        <v/>
      </c>
      <c r="M168" s="23">
        <f t="shared" si="2"/>
        <v>0</v>
      </c>
      <c r="N168" s="80"/>
      <c r="O168" s="51"/>
      <c r="P168" s="52"/>
    </row>
    <row r="169" spans="2:16" ht="12.75">
      <c r="B169" s="14">
        <v>165</v>
      </c>
      <c r="C169" s="28" t="str">
        <f>IF(Coureurs!C169="","",Coureurs!C169)</f>
        <v/>
      </c>
      <c r="D169" s="131" t="str">
        <f>IF(Coureurs!D169="","",Coureurs!D169)</f>
        <v>70</v>
      </c>
      <c r="E169" s="87" t="str">
        <f>IF(Coureurs!F169="","",Coureurs!F169)</f>
        <v/>
      </c>
      <c r="F169" s="87" t="str">
        <f>IF(Coureurs!G169="","",Coureurs!G169)</f>
        <v/>
      </c>
      <c r="G169" s="50" t="str">
        <f>IF(Coureurs!J169="","",Coureurs!J169)</f>
        <v/>
      </c>
      <c r="H169" s="25"/>
      <c r="I169" s="41"/>
      <c r="J169" s="8" t="str">
        <f>IF(I169="PM","",IF(H169=0," ",I169-HLOOKUP('Course 4'!H169,'tab4'!$C$3:$N$4,2)))</f>
        <v xml:space="preserve"> </v>
      </c>
      <c r="K169" s="23" t="str">
        <f>IF(I169="PM","",IF(H169=0," ",J169/'Règles et points'!$F$23))</f>
        <v xml:space="preserve"> </v>
      </c>
      <c r="L169" s="3" t="str">
        <f>IF(H169=0,"",VLOOKUP(H169,'Règles et points'!$C$5:$AG$19,(HLOOKUP('Course 4'!C169,'Règles et points'!$C$5:$AG$5,1)+1)))</f>
        <v/>
      </c>
      <c r="M169" s="23">
        <f t="shared" si="2"/>
        <v>0</v>
      </c>
      <c r="N169" s="80"/>
      <c r="O169" s="51"/>
      <c r="P169" s="52"/>
    </row>
    <row r="170" spans="2:16" ht="12.75">
      <c r="B170" s="14">
        <v>166</v>
      </c>
      <c r="C170" s="28" t="str">
        <f>IF(Coureurs!C170="","",Coureurs!C170)</f>
        <v/>
      </c>
      <c r="D170" s="131" t="str">
        <f>IF(Coureurs!D170="","",Coureurs!D170)</f>
        <v>70</v>
      </c>
      <c r="E170" s="87" t="str">
        <f>IF(Coureurs!F170="","",Coureurs!F170)</f>
        <v/>
      </c>
      <c r="F170" s="87" t="str">
        <f>IF(Coureurs!G170="","",Coureurs!G170)</f>
        <v/>
      </c>
      <c r="G170" s="50" t="str">
        <f>IF(Coureurs!J170="","",Coureurs!J170)</f>
        <v/>
      </c>
      <c r="H170" s="25"/>
      <c r="I170" s="41"/>
      <c r="J170" s="8" t="str">
        <f>IF(I170="PM","",IF(H170=0," ",I170-HLOOKUP('Course 4'!H170,'tab4'!$C$3:$N$4,2)))</f>
        <v xml:space="preserve"> </v>
      </c>
      <c r="K170" s="23" t="str">
        <f>IF(I170="PM","",IF(H170=0," ",J170/'Règles et points'!$F$23))</f>
        <v xml:space="preserve"> </v>
      </c>
      <c r="L170" s="3" t="str">
        <f>IF(H170=0,"",VLOOKUP(H170,'Règles et points'!$C$5:$AG$19,(HLOOKUP('Course 4'!C170,'Règles et points'!$C$5:$AG$5,1)+1)))</f>
        <v/>
      </c>
      <c r="M170" s="23">
        <f t="shared" si="2"/>
        <v>0</v>
      </c>
      <c r="N170" s="80"/>
      <c r="O170" s="51"/>
      <c r="P170" s="52"/>
    </row>
    <row r="171" spans="2:16" ht="12.75">
      <c r="B171" s="14">
        <v>167</v>
      </c>
      <c r="C171" s="28" t="str">
        <f>IF(Coureurs!C171="","",Coureurs!C171)</f>
        <v/>
      </c>
      <c r="D171" s="131" t="str">
        <f>IF(Coureurs!D171="","",Coureurs!D171)</f>
        <v>70</v>
      </c>
      <c r="E171" s="87" t="str">
        <f>IF(Coureurs!F171="","",Coureurs!F171)</f>
        <v/>
      </c>
      <c r="F171" s="87" t="str">
        <f>IF(Coureurs!G171="","",Coureurs!G171)</f>
        <v/>
      </c>
      <c r="G171" s="50" t="str">
        <f>IF(Coureurs!J171="","",Coureurs!J171)</f>
        <v/>
      </c>
      <c r="H171" s="25"/>
      <c r="I171" s="41"/>
      <c r="J171" s="8" t="str">
        <f>IF(I171="PM","",IF(H171=0," ",I171-HLOOKUP('Course 4'!H171,'tab4'!$C$3:$N$4,2)))</f>
        <v xml:space="preserve"> </v>
      </c>
      <c r="K171" s="23" t="str">
        <f>IF(I171="PM","",IF(H171=0," ",J171/'Règles et points'!$F$23))</f>
        <v xml:space="preserve"> </v>
      </c>
      <c r="L171" s="3" t="str">
        <f>IF(H171=0,"",VLOOKUP(H171,'Règles et points'!$C$5:$AG$19,(HLOOKUP('Course 4'!C171,'Règles et points'!$C$5:$AG$5,1)+1)))</f>
        <v/>
      </c>
      <c r="M171" s="23">
        <f t="shared" si="2"/>
        <v>0</v>
      </c>
      <c r="N171" s="80"/>
      <c r="O171" s="51"/>
      <c r="P171" s="52"/>
    </row>
    <row r="172" spans="2:16" ht="12.75">
      <c r="B172" s="14">
        <v>168</v>
      </c>
      <c r="C172" s="28" t="str">
        <f>IF(Coureurs!C172="","",Coureurs!C172)</f>
        <v/>
      </c>
      <c r="D172" s="131" t="str">
        <f>IF(Coureurs!D172="","",Coureurs!D172)</f>
        <v>70</v>
      </c>
      <c r="E172" s="87" t="str">
        <f>IF(Coureurs!F172="","",Coureurs!F172)</f>
        <v/>
      </c>
      <c r="F172" s="87" t="str">
        <f>IF(Coureurs!G172="","",Coureurs!G172)</f>
        <v/>
      </c>
      <c r="G172" s="50" t="str">
        <f>IF(Coureurs!J172="","",Coureurs!J172)</f>
        <v/>
      </c>
      <c r="H172" s="25"/>
      <c r="I172" s="41"/>
      <c r="J172" s="8" t="str">
        <f>IF(I172="PM","",IF(H172=0," ",I172-HLOOKUP('Course 4'!H172,'tab4'!$C$3:$N$4,2)))</f>
        <v xml:space="preserve"> </v>
      </c>
      <c r="K172" s="23" t="str">
        <f>IF(I172="PM","",IF(H172=0," ",J172/'Règles et points'!$F$23))</f>
        <v xml:space="preserve"> </v>
      </c>
      <c r="L172" s="3" t="str">
        <f>IF(H172=0,"",VLOOKUP(H172,'Règles et points'!$C$5:$AG$19,(HLOOKUP('Course 4'!C172,'Règles et points'!$C$5:$AG$5,1)+1)))</f>
        <v/>
      </c>
      <c r="M172" s="23">
        <f t="shared" si="2"/>
        <v>0</v>
      </c>
      <c r="N172" s="80"/>
      <c r="O172" s="51"/>
      <c r="P172" s="52"/>
    </row>
    <row r="173" spans="2:16" ht="12.75">
      <c r="B173" s="14">
        <v>169</v>
      </c>
      <c r="C173" s="28" t="str">
        <f>IF(Coureurs!C173="","",Coureurs!C173)</f>
        <v/>
      </c>
      <c r="D173" s="131" t="str">
        <f>IF(Coureurs!D173="","",Coureurs!D173)</f>
        <v>70</v>
      </c>
      <c r="E173" s="87" t="str">
        <f>IF(Coureurs!F173="","",Coureurs!F173)</f>
        <v/>
      </c>
      <c r="F173" s="87" t="str">
        <f>IF(Coureurs!G173="","",Coureurs!G173)</f>
        <v/>
      </c>
      <c r="G173" s="50" t="str">
        <f>IF(Coureurs!J173="","",Coureurs!J173)</f>
        <v/>
      </c>
      <c r="H173" s="25"/>
      <c r="I173" s="41"/>
      <c r="J173" s="8" t="str">
        <f>IF(I173="PM","",IF(H173=0," ",I173-HLOOKUP('Course 4'!H173,'tab4'!$C$3:$N$4,2)))</f>
        <v xml:space="preserve"> </v>
      </c>
      <c r="K173" s="23" t="str">
        <f>IF(I173="PM","",IF(H173=0," ",J173/'Règles et points'!$F$23))</f>
        <v xml:space="preserve"> </v>
      </c>
      <c r="L173" s="3" t="str">
        <f>IF(H173=0,"",VLOOKUP(H173,'Règles et points'!$C$5:$AG$19,(HLOOKUP('Course 4'!C173,'Règles et points'!$C$5:$AG$5,1)+1)))</f>
        <v/>
      </c>
      <c r="M173" s="23">
        <f t="shared" si="2"/>
        <v>0</v>
      </c>
      <c r="N173" s="80"/>
      <c r="O173" s="51"/>
      <c r="P173" s="52"/>
    </row>
    <row r="174" spans="2:16" ht="12.75">
      <c r="B174" s="14">
        <v>170</v>
      </c>
      <c r="C174" s="28" t="str">
        <f>IF(Coureurs!C174="","",Coureurs!C174)</f>
        <v/>
      </c>
      <c r="D174" s="131" t="str">
        <f>IF(Coureurs!D174="","",Coureurs!D174)</f>
        <v>70</v>
      </c>
      <c r="E174" s="87" t="str">
        <f>IF(Coureurs!F174="","",Coureurs!F174)</f>
        <v/>
      </c>
      <c r="F174" s="87" t="str">
        <f>IF(Coureurs!G174="","",Coureurs!G174)</f>
        <v/>
      </c>
      <c r="G174" s="50" t="str">
        <f>IF(Coureurs!J174="","",Coureurs!J174)</f>
        <v/>
      </c>
      <c r="H174" s="25"/>
      <c r="I174" s="41"/>
      <c r="J174" s="8" t="str">
        <f>IF(I174="PM","",IF(H174=0," ",I174-HLOOKUP('Course 4'!H174,'tab4'!$C$3:$N$4,2)))</f>
        <v xml:space="preserve"> </v>
      </c>
      <c r="K174" s="23" t="str">
        <f>IF(I174="PM","",IF(H174=0," ",J174/'Règles et points'!$F$23))</f>
        <v xml:space="preserve"> </v>
      </c>
      <c r="L174" s="3" t="str">
        <f>IF(H174=0,"",VLOOKUP(H174,'Règles et points'!$C$5:$AG$19,(HLOOKUP('Course 4'!C174,'Règles et points'!$C$5:$AG$5,1)+1)))</f>
        <v/>
      </c>
      <c r="M174" s="23">
        <f t="shared" si="2"/>
        <v>0</v>
      </c>
      <c r="N174" s="80"/>
      <c r="O174" s="51"/>
      <c r="P174" s="52"/>
    </row>
    <row r="175" spans="2:16" ht="12.75">
      <c r="B175" s="14">
        <v>171</v>
      </c>
      <c r="C175" s="28" t="str">
        <f>IF(Coureurs!C175="","",Coureurs!C175)</f>
        <v/>
      </c>
      <c r="D175" s="131" t="str">
        <f>IF(Coureurs!D175="","",Coureurs!D175)</f>
        <v>70</v>
      </c>
      <c r="E175" s="87" t="str">
        <f>IF(Coureurs!F175="","",Coureurs!F175)</f>
        <v/>
      </c>
      <c r="F175" s="87" t="str">
        <f>IF(Coureurs!G175="","",Coureurs!G175)</f>
        <v/>
      </c>
      <c r="G175" s="50" t="str">
        <f>IF(Coureurs!J175="","",Coureurs!J175)</f>
        <v/>
      </c>
      <c r="H175" s="25"/>
      <c r="I175" s="41"/>
      <c r="J175" s="8" t="str">
        <f>IF(I175="PM","",IF(H175=0," ",I175-HLOOKUP('Course 4'!H175,'tab4'!$C$3:$N$4,2)))</f>
        <v xml:space="preserve"> </v>
      </c>
      <c r="K175" s="23" t="str">
        <f>IF(I175="PM","",IF(H175=0," ",J175/'Règles et points'!$F$23))</f>
        <v xml:space="preserve"> </v>
      </c>
      <c r="L175" s="3" t="str">
        <f>IF(H175=0,"",VLOOKUP(H175,'Règles et points'!$C$5:$AG$19,(HLOOKUP('Course 4'!C175,'Règles et points'!$C$5:$AG$5,1)+1)))</f>
        <v/>
      </c>
      <c r="M175" s="23">
        <f t="shared" si="2"/>
        <v>0</v>
      </c>
      <c r="N175" s="80"/>
      <c r="O175" s="51"/>
      <c r="P175" s="52"/>
    </row>
    <row r="176" spans="2:16" ht="12.75">
      <c r="B176" s="14">
        <v>172</v>
      </c>
      <c r="C176" s="28" t="str">
        <f>IF(Coureurs!C176="","",Coureurs!C176)</f>
        <v/>
      </c>
      <c r="D176" s="131" t="str">
        <f>IF(Coureurs!D176="","",Coureurs!D176)</f>
        <v>70</v>
      </c>
      <c r="E176" s="87" t="str">
        <f>IF(Coureurs!F176="","",Coureurs!F176)</f>
        <v/>
      </c>
      <c r="F176" s="87" t="str">
        <f>IF(Coureurs!G176="","",Coureurs!G176)</f>
        <v/>
      </c>
      <c r="G176" s="50" t="str">
        <f>IF(Coureurs!J176="","",Coureurs!J176)</f>
        <v/>
      </c>
      <c r="H176" s="25"/>
      <c r="I176" s="41"/>
      <c r="J176" s="8" t="str">
        <f>IF(I176="PM","",IF(H176=0," ",I176-HLOOKUP('Course 4'!H176,'tab4'!$C$3:$N$4,2)))</f>
        <v xml:space="preserve"> </v>
      </c>
      <c r="K176" s="23" t="str">
        <f>IF(I176="PM","",IF(H176=0," ",J176/'Règles et points'!$F$23))</f>
        <v xml:space="preserve"> </v>
      </c>
      <c r="L176" s="3" t="str">
        <f>IF(H176=0,"",VLOOKUP(H176,'Règles et points'!$C$5:$AG$19,(HLOOKUP('Course 4'!C176,'Règles et points'!$C$5:$AG$5,1)+1)))</f>
        <v/>
      </c>
      <c r="M176" s="23">
        <f t="shared" si="2"/>
        <v>0</v>
      </c>
      <c r="N176" s="80"/>
      <c r="O176" s="51"/>
      <c r="P176" s="52"/>
    </row>
    <row r="177" spans="2:16" ht="12.75">
      <c r="B177" s="14">
        <v>173</v>
      </c>
      <c r="C177" s="28" t="str">
        <f>IF(Coureurs!C177="","",Coureurs!C177)</f>
        <v/>
      </c>
      <c r="D177" s="131" t="str">
        <f>IF(Coureurs!D177="","",Coureurs!D177)</f>
        <v>70</v>
      </c>
      <c r="E177" s="87" t="str">
        <f>IF(Coureurs!F177="","",Coureurs!F177)</f>
        <v/>
      </c>
      <c r="F177" s="87" t="str">
        <f>IF(Coureurs!G177="","",Coureurs!G177)</f>
        <v/>
      </c>
      <c r="G177" s="50" t="str">
        <f>IF(Coureurs!J177="","",Coureurs!J177)</f>
        <v/>
      </c>
      <c r="H177" s="25"/>
      <c r="I177" s="41"/>
      <c r="J177" s="8" t="str">
        <f>IF(I177="PM","",IF(H177=0," ",I177-HLOOKUP('Course 4'!H177,'tab4'!$C$3:$N$4,2)))</f>
        <v xml:space="preserve"> </v>
      </c>
      <c r="K177" s="23" t="str">
        <f>IF(I177="PM","",IF(H177=0," ",J177/'Règles et points'!$F$23))</f>
        <v xml:space="preserve"> </v>
      </c>
      <c r="L177" s="3" t="str">
        <f>IF(H177=0,"",VLOOKUP(H177,'Règles et points'!$C$5:$AG$19,(HLOOKUP('Course 4'!C177,'Règles et points'!$C$5:$AG$5,1)+1)))</f>
        <v/>
      </c>
      <c r="M177" s="23">
        <f t="shared" si="2"/>
        <v>0</v>
      </c>
      <c r="N177" s="80"/>
      <c r="O177" s="51"/>
      <c r="P177" s="52"/>
    </row>
    <row r="178" spans="2:16" ht="12.75">
      <c r="B178" s="14">
        <v>174</v>
      </c>
      <c r="C178" s="28" t="str">
        <f>IF(Coureurs!C178="","",Coureurs!C178)</f>
        <v/>
      </c>
      <c r="D178" s="131" t="str">
        <f>IF(Coureurs!D178="","",Coureurs!D178)</f>
        <v>70</v>
      </c>
      <c r="E178" s="87" t="str">
        <f>IF(Coureurs!F178="","",Coureurs!F178)</f>
        <v/>
      </c>
      <c r="F178" s="87" t="str">
        <f>IF(Coureurs!G178="","",Coureurs!G178)</f>
        <v/>
      </c>
      <c r="G178" s="50" t="str">
        <f>IF(Coureurs!J178="","",Coureurs!J178)</f>
        <v/>
      </c>
      <c r="H178" s="25"/>
      <c r="I178" s="41"/>
      <c r="J178" s="8" t="str">
        <f>IF(I178="PM","",IF(H178=0," ",I178-HLOOKUP('Course 4'!H178,'tab4'!$C$3:$N$4,2)))</f>
        <v xml:space="preserve"> </v>
      </c>
      <c r="K178" s="23" t="str">
        <f>IF(I178="PM","",IF(H178=0," ",J178/'Règles et points'!$F$23))</f>
        <v xml:space="preserve"> </v>
      </c>
      <c r="L178" s="3" t="str">
        <f>IF(H178=0,"",VLOOKUP(H178,'Règles et points'!$C$5:$AG$19,(HLOOKUP('Course 4'!C178,'Règles et points'!$C$5:$AG$5,1)+1)))</f>
        <v/>
      </c>
      <c r="M178" s="23">
        <f t="shared" si="2"/>
        <v>0</v>
      </c>
      <c r="N178" s="80"/>
      <c r="O178" s="51"/>
      <c r="P178" s="52"/>
    </row>
    <row r="179" spans="2:16" ht="12.75">
      <c r="B179" s="14">
        <v>175</v>
      </c>
      <c r="C179" s="28" t="str">
        <f>IF(Coureurs!C179="","",Coureurs!C179)</f>
        <v/>
      </c>
      <c r="D179" s="131" t="str">
        <f>IF(Coureurs!D179="","",Coureurs!D179)</f>
        <v>70</v>
      </c>
      <c r="E179" s="87" t="str">
        <f>IF(Coureurs!F179="","",Coureurs!F179)</f>
        <v/>
      </c>
      <c r="F179" s="87" t="str">
        <f>IF(Coureurs!G179="","",Coureurs!G179)</f>
        <v/>
      </c>
      <c r="G179" s="50" t="str">
        <f>IF(Coureurs!J179="","",Coureurs!J179)</f>
        <v/>
      </c>
      <c r="H179" s="25"/>
      <c r="I179" s="41"/>
      <c r="J179" s="8" t="str">
        <f>IF(I179="PM","",IF(H179=0," ",I179-HLOOKUP('Course 4'!H179,'tab4'!$C$3:$N$4,2)))</f>
        <v xml:space="preserve"> </v>
      </c>
      <c r="K179" s="23" t="str">
        <f>IF(I179="PM","",IF(H179=0," ",J179/'Règles et points'!$F$23))</f>
        <v xml:space="preserve"> </v>
      </c>
      <c r="L179" s="3" t="str">
        <f>IF(H179=0,"",VLOOKUP(H179,'Règles et points'!$C$5:$AG$19,(HLOOKUP('Course 4'!C179,'Règles et points'!$C$5:$AG$5,1)+1)))</f>
        <v/>
      </c>
      <c r="M179" s="23">
        <f t="shared" si="2"/>
        <v>0</v>
      </c>
      <c r="N179" s="80"/>
      <c r="O179" s="51"/>
      <c r="P179" s="52"/>
    </row>
    <row r="180" spans="2:16" ht="12.75">
      <c r="B180" s="14">
        <v>176</v>
      </c>
      <c r="C180" s="28" t="str">
        <f>IF(Coureurs!C180="","",Coureurs!C180)</f>
        <v/>
      </c>
      <c r="D180" s="131" t="str">
        <f>IF(Coureurs!D180="","",Coureurs!D180)</f>
        <v>70</v>
      </c>
      <c r="E180" s="87" t="str">
        <f>IF(Coureurs!F180="","",Coureurs!F180)</f>
        <v/>
      </c>
      <c r="F180" s="87" t="str">
        <f>IF(Coureurs!G180="","",Coureurs!G180)</f>
        <v/>
      </c>
      <c r="G180" s="50" t="str">
        <f>IF(Coureurs!J180="","",Coureurs!J180)</f>
        <v/>
      </c>
      <c r="H180" s="25"/>
      <c r="I180" s="41"/>
      <c r="J180" s="8" t="str">
        <f>IF(I180="PM","",IF(H180=0," ",I180-HLOOKUP('Course 4'!H180,'tab4'!$C$3:$N$4,2)))</f>
        <v xml:space="preserve"> </v>
      </c>
      <c r="K180" s="23" t="str">
        <f>IF(I180="PM","",IF(H180=0," ",J180/'Règles et points'!$F$23))</f>
        <v xml:space="preserve"> </v>
      </c>
      <c r="L180" s="3" t="str">
        <f>IF(H180=0,"",VLOOKUP(H180,'Règles et points'!$C$5:$AG$19,(HLOOKUP('Course 4'!C180,'Règles et points'!$C$5:$AG$5,1)+1)))</f>
        <v/>
      </c>
      <c r="M180" s="23">
        <f t="shared" si="2"/>
        <v>0</v>
      </c>
      <c r="N180" s="80"/>
      <c r="O180" s="51"/>
      <c r="P180" s="52"/>
    </row>
    <row r="181" spans="2:16" ht="12.75">
      <c r="B181" s="14">
        <v>177</v>
      </c>
      <c r="C181" s="28" t="str">
        <f>IF(Coureurs!C181="","",Coureurs!C181)</f>
        <v/>
      </c>
      <c r="D181" s="131" t="str">
        <f>IF(Coureurs!D181="","",Coureurs!D181)</f>
        <v>70</v>
      </c>
      <c r="E181" s="87" t="str">
        <f>IF(Coureurs!F181="","",Coureurs!F181)</f>
        <v/>
      </c>
      <c r="F181" s="87" t="str">
        <f>IF(Coureurs!G181="","",Coureurs!G181)</f>
        <v/>
      </c>
      <c r="G181" s="50" t="str">
        <f>IF(Coureurs!J181="","",Coureurs!J181)</f>
        <v/>
      </c>
      <c r="H181" s="25"/>
      <c r="I181" s="41"/>
      <c r="J181" s="8" t="str">
        <f>IF(I181="PM","",IF(H181=0," ",I181-HLOOKUP('Course 4'!H181,'tab4'!$C$3:$N$4,2)))</f>
        <v xml:space="preserve"> </v>
      </c>
      <c r="K181" s="23" t="str">
        <f>IF(I181="PM","",IF(H181=0," ",J181/'Règles et points'!$F$23))</f>
        <v xml:space="preserve"> </v>
      </c>
      <c r="L181" s="3" t="str">
        <f>IF(H181=0,"",VLOOKUP(H181,'Règles et points'!$C$5:$AG$19,(HLOOKUP('Course 4'!C181,'Règles et points'!$C$5:$AG$5,1)+1)))</f>
        <v/>
      </c>
      <c r="M181" s="23">
        <f t="shared" si="2"/>
        <v>0</v>
      </c>
      <c r="N181" s="80"/>
      <c r="O181" s="51"/>
      <c r="P181" s="52"/>
    </row>
    <row r="182" spans="2:16" ht="12.75">
      <c r="B182" s="14">
        <v>178</v>
      </c>
      <c r="C182" s="28" t="str">
        <f>IF(Coureurs!C182="","",Coureurs!C182)</f>
        <v/>
      </c>
      <c r="D182" s="131" t="str">
        <f>IF(Coureurs!D182="","",Coureurs!D182)</f>
        <v>70</v>
      </c>
      <c r="E182" s="87" t="str">
        <f>IF(Coureurs!F182="","",Coureurs!F182)</f>
        <v/>
      </c>
      <c r="F182" s="87" t="str">
        <f>IF(Coureurs!G182="","",Coureurs!G182)</f>
        <v/>
      </c>
      <c r="G182" s="50" t="str">
        <f>IF(Coureurs!J182="","",Coureurs!J182)</f>
        <v/>
      </c>
      <c r="H182" s="25"/>
      <c r="I182" s="41"/>
      <c r="J182" s="8" t="str">
        <f>IF(I182="PM","",IF(H182=0," ",I182-HLOOKUP('Course 4'!H182,'tab4'!$C$3:$N$4,2)))</f>
        <v xml:space="preserve"> </v>
      </c>
      <c r="K182" s="23" t="str">
        <f>IF(I182="PM","",IF(H182=0," ",J182/'Règles et points'!$F$23))</f>
        <v xml:space="preserve"> </v>
      </c>
      <c r="L182" s="3" t="str">
        <f>IF(H182=0,"",VLOOKUP(H182,'Règles et points'!$C$5:$AG$19,(HLOOKUP('Course 4'!C182,'Règles et points'!$C$5:$AG$5,1)+1)))</f>
        <v/>
      </c>
      <c r="M182" s="23">
        <f t="shared" si="2"/>
        <v>0</v>
      </c>
      <c r="N182" s="80"/>
      <c r="O182" s="51"/>
      <c r="P182" s="52"/>
    </row>
    <row r="183" spans="2:16" ht="12.75">
      <c r="B183" s="14">
        <v>179</v>
      </c>
      <c r="C183" s="28" t="str">
        <f>IF(Coureurs!C183="","",Coureurs!C183)</f>
        <v/>
      </c>
      <c r="D183" s="131" t="str">
        <f>IF(Coureurs!D183="","",Coureurs!D183)</f>
        <v>70</v>
      </c>
      <c r="E183" s="87" t="str">
        <f>IF(Coureurs!F183="","",Coureurs!F183)</f>
        <v/>
      </c>
      <c r="F183" s="87" t="str">
        <f>IF(Coureurs!G183="","",Coureurs!G183)</f>
        <v/>
      </c>
      <c r="G183" s="50" t="str">
        <f>IF(Coureurs!J183="","",Coureurs!J183)</f>
        <v/>
      </c>
      <c r="H183" s="25"/>
      <c r="I183" s="41"/>
      <c r="J183" s="8" t="str">
        <f>IF(I183="PM","",IF(H183=0," ",I183-HLOOKUP('Course 4'!H183,'tab4'!$C$3:$N$4,2)))</f>
        <v xml:space="preserve"> </v>
      </c>
      <c r="K183" s="23" t="str">
        <f>IF(I183="PM","",IF(H183=0," ",J183/'Règles et points'!$F$23))</f>
        <v xml:space="preserve"> </v>
      </c>
      <c r="L183" s="3" t="str">
        <f>IF(H183=0,"",VLOOKUP(H183,'Règles et points'!$C$5:$AG$19,(HLOOKUP('Course 4'!C183,'Règles et points'!$C$5:$AG$5,1)+1)))</f>
        <v/>
      </c>
      <c r="M183" s="23">
        <f t="shared" si="2"/>
        <v>0</v>
      </c>
      <c r="N183" s="80"/>
      <c r="O183" s="51"/>
      <c r="P183" s="52"/>
    </row>
    <row r="184" spans="2:16" ht="12.75">
      <c r="B184" s="14">
        <v>180</v>
      </c>
      <c r="C184" s="28" t="str">
        <f>IF(Coureurs!C184="","",Coureurs!C184)</f>
        <v/>
      </c>
      <c r="D184" s="131" t="str">
        <f>IF(Coureurs!D184="","",Coureurs!D184)</f>
        <v>70</v>
      </c>
      <c r="E184" s="87" t="str">
        <f>IF(Coureurs!F184="","",Coureurs!F184)</f>
        <v/>
      </c>
      <c r="F184" s="87" t="str">
        <f>IF(Coureurs!G184="","",Coureurs!G184)</f>
        <v/>
      </c>
      <c r="G184" s="50" t="str">
        <f>IF(Coureurs!J184="","",Coureurs!J184)</f>
        <v/>
      </c>
      <c r="H184" s="25"/>
      <c r="I184" s="41"/>
      <c r="J184" s="8" t="str">
        <f>IF(I184="PM","",IF(H184=0," ",I184-HLOOKUP('Course 4'!H184,'tab4'!$C$3:$N$4,2)))</f>
        <v xml:space="preserve"> </v>
      </c>
      <c r="K184" s="23" t="str">
        <f>IF(I184="PM","",IF(H184=0," ",J184/'Règles et points'!$F$23))</f>
        <v xml:space="preserve"> </v>
      </c>
      <c r="L184" s="3" t="str">
        <f>IF(H184=0,"",VLOOKUP(H184,'Règles et points'!$C$5:$AG$19,(HLOOKUP('Course 4'!C184,'Règles et points'!$C$5:$AG$5,1)+1)))</f>
        <v/>
      </c>
      <c r="M184" s="23">
        <f t="shared" si="2"/>
        <v>0</v>
      </c>
      <c r="N184" s="80"/>
      <c r="O184" s="51"/>
      <c r="P184" s="52"/>
    </row>
    <row r="185" spans="2:16" ht="12.75">
      <c r="B185" s="14">
        <v>181</v>
      </c>
      <c r="C185" s="28" t="str">
        <f>IF(Coureurs!C185="","",Coureurs!C185)</f>
        <v/>
      </c>
      <c r="D185" s="131" t="str">
        <f>IF(Coureurs!D185="","",Coureurs!D185)</f>
        <v>70</v>
      </c>
      <c r="E185" s="87" t="str">
        <f>IF(Coureurs!F185="","",Coureurs!F185)</f>
        <v/>
      </c>
      <c r="F185" s="87" t="str">
        <f>IF(Coureurs!G185="","",Coureurs!G185)</f>
        <v/>
      </c>
      <c r="G185" s="50" t="str">
        <f>IF(Coureurs!J185="","",Coureurs!J185)</f>
        <v/>
      </c>
      <c r="H185" s="25"/>
      <c r="I185" s="41"/>
      <c r="J185" s="8" t="str">
        <f>IF(I185="PM","",IF(H185=0," ",I185-HLOOKUP('Course 4'!H185,'tab4'!$C$3:$N$4,2)))</f>
        <v xml:space="preserve"> </v>
      </c>
      <c r="K185" s="23" t="str">
        <f>IF(I185="PM","",IF(H185=0," ",J185/'Règles et points'!$F$23))</f>
        <v xml:space="preserve"> </v>
      </c>
      <c r="L185" s="3" t="str">
        <f>IF(H185=0,"",VLOOKUP(H185,'Règles et points'!$C$5:$AG$19,(HLOOKUP('Course 4'!C185,'Règles et points'!$C$5:$AG$5,1)+1)))</f>
        <v/>
      </c>
      <c r="M185" s="23">
        <f t="shared" si="2"/>
        <v>0</v>
      </c>
      <c r="N185" s="80"/>
      <c r="O185" s="51"/>
      <c r="P185" s="52"/>
    </row>
    <row r="186" spans="2:16" ht="12.75">
      <c r="B186" s="14">
        <v>182</v>
      </c>
      <c r="C186" s="28" t="str">
        <f>IF(Coureurs!C186="","",Coureurs!C186)</f>
        <v/>
      </c>
      <c r="D186" s="131" t="str">
        <f>IF(Coureurs!D186="","",Coureurs!D186)</f>
        <v>70</v>
      </c>
      <c r="E186" s="87" t="str">
        <f>IF(Coureurs!F186="","",Coureurs!F186)</f>
        <v/>
      </c>
      <c r="F186" s="87" t="str">
        <f>IF(Coureurs!G186="","",Coureurs!G186)</f>
        <v/>
      </c>
      <c r="G186" s="50" t="str">
        <f>IF(Coureurs!J186="","",Coureurs!J186)</f>
        <v/>
      </c>
      <c r="H186" s="25"/>
      <c r="I186" s="41"/>
      <c r="J186" s="8" t="str">
        <f>IF(I186="PM","",IF(H186=0," ",I186-HLOOKUP('Course 4'!H186,'tab4'!$C$3:$N$4,2)))</f>
        <v xml:space="preserve"> </v>
      </c>
      <c r="K186" s="23" t="str">
        <f>IF(I186="PM","",IF(H186=0," ",J186/'Règles et points'!$F$23))</f>
        <v xml:space="preserve"> </v>
      </c>
      <c r="L186" s="3" t="str">
        <f>IF(H186=0,"",VLOOKUP(H186,'Règles et points'!$C$5:$AG$19,(HLOOKUP('Course 4'!C186,'Règles et points'!$C$5:$AG$5,1)+1)))</f>
        <v/>
      </c>
      <c r="M186" s="23">
        <f t="shared" si="2"/>
        <v>0</v>
      </c>
      <c r="N186" s="80"/>
      <c r="O186" s="51"/>
      <c r="P186" s="52"/>
    </row>
    <row r="187" spans="2:16" ht="12.75">
      <c r="B187" s="14">
        <v>183</v>
      </c>
      <c r="C187" s="28" t="str">
        <f>IF(Coureurs!C187="","",Coureurs!C187)</f>
        <v/>
      </c>
      <c r="D187" s="131" t="str">
        <f>IF(Coureurs!D187="","",Coureurs!D187)</f>
        <v>70</v>
      </c>
      <c r="E187" s="87" t="str">
        <f>IF(Coureurs!F187="","",Coureurs!F187)</f>
        <v/>
      </c>
      <c r="F187" s="87" t="str">
        <f>IF(Coureurs!G187="","",Coureurs!G187)</f>
        <v/>
      </c>
      <c r="G187" s="50" t="str">
        <f>IF(Coureurs!J187="","",Coureurs!J187)</f>
        <v/>
      </c>
      <c r="H187" s="25"/>
      <c r="I187" s="41"/>
      <c r="J187" s="8" t="str">
        <f>IF(I187="PM","",IF(H187=0," ",I187-HLOOKUP('Course 4'!H187,'tab4'!$C$3:$N$4,2)))</f>
        <v xml:space="preserve"> </v>
      </c>
      <c r="K187" s="23" t="str">
        <f>IF(I187="PM","",IF(H187=0," ",J187/'Règles et points'!$F$23))</f>
        <v xml:space="preserve"> </v>
      </c>
      <c r="L187" s="3" t="str">
        <f>IF(H187=0,"",VLOOKUP(H187,'Règles et points'!$C$5:$AG$19,(HLOOKUP('Course 4'!C187,'Règles et points'!$C$5:$AG$5,1)+1)))</f>
        <v/>
      </c>
      <c r="M187" s="23">
        <f t="shared" si="2"/>
        <v>0</v>
      </c>
      <c r="N187" s="80"/>
      <c r="O187" s="51"/>
      <c r="P187" s="52"/>
    </row>
    <row r="188" spans="2:16" ht="12.75">
      <c r="B188" s="14">
        <v>184</v>
      </c>
      <c r="C188" s="28" t="str">
        <f>IF(Coureurs!C188="","",Coureurs!C188)</f>
        <v/>
      </c>
      <c r="D188" s="131" t="str">
        <f>IF(Coureurs!D188="","",Coureurs!D188)</f>
        <v>70</v>
      </c>
      <c r="E188" s="87" t="str">
        <f>IF(Coureurs!F188="","",Coureurs!F188)</f>
        <v/>
      </c>
      <c r="F188" s="87" t="str">
        <f>IF(Coureurs!G188="","",Coureurs!G188)</f>
        <v/>
      </c>
      <c r="G188" s="50" t="str">
        <f>IF(Coureurs!J188="","",Coureurs!J188)</f>
        <v/>
      </c>
      <c r="H188" s="25"/>
      <c r="I188" s="41"/>
      <c r="J188" s="8" t="str">
        <f>IF(I188="PM","",IF(H188=0," ",I188-HLOOKUP('Course 4'!H188,'tab4'!$C$3:$N$4,2)))</f>
        <v xml:space="preserve"> </v>
      </c>
      <c r="K188" s="23" t="str">
        <f>IF(I188="PM","",IF(H188=0," ",J188/'Règles et points'!$F$23))</f>
        <v xml:space="preserve"> </v>
      </c>
      <c r="L188" s="3" t="str">
        <f>IF(H188=0,"",VLOOKUP(H188,'Règles et points'!$C$5:$AG$19,(HLOOKUP('Course 4'!C188,'Règles et points'!$C$5:$AG$5,1)+1)))</f>
        <v/>
      </c>
      <c r="M188" s="23">
        <f t="shared" si="2"/>
        <v>0</v>
      </c>
      <c r="N188" s="80"/>
      <c r="O188" s="51"/>
      <c r="P188" s="52"/>
    </row>
    <row r="189" spans="2:16" ht="12.75">
      <c r="B189" s="14">
        <v>185</v>
      </c>
      <c r="C189" s="28" t="str">
        <f>IF(Coureurs!C189="","",Coureurs!C189)</f>
        <v/>
      </c>
      <c r="D189" s="131" t="str">
        <f>IF(Coureurs!D189="","",Coureurs!D189)</f>
        <v>70</v>
      </c>
      <c r="E189" s="87" t="str">
        <f>IF(Coureurs!F189="","",Coureurs!F189)</f>
        <v/>
      </c>
      <c r="F189" s="87" t="str">
        <f>IF(Coureurs!G189="","",Coureurs!G189)</f>
        <v/>
      </c>
      <c r="G189" s="50" t="str">
        <f>IF(Coureurs!J189="","",Coureurs!J189)</f>
        <v/>
      </c>
      <c r="H189" s="25"/>
      <c r="I189" s="41"/>
      <c r="J189" s="8" t="str">
        <f>IF(I189="PM","",IF(H189=0," ",I189-HLOOKUP('Course 4'!H189,'tab4'!$C$3:$N$4,2)))</f>
        <v xml:space="preserve"> </v>
      </c>
      <c r="K189" s="23" t="str">
        <f>IF(I189="PM","",IF(H189=0," ",J189/'Règles et points'!$F$23))</f>
        <v xml:space="preserve"> </v>
      </c>
      <c r="L189" s="3" t="str">
        <f>IF(H189=0,"",VLOOKUP(H189,'Règles et points'!$C$5:$AG$19,(HLOOKUP('Course 4'!C189,'Règles et points'!$C$5:$AG$5,1)+1)))</f>
        <v/>
      </c>
      <c r="M189" s="23">
        <f t="shared" si="2"/>
        <v>0</v>
      </c>
      <c r="N189" s="80"/>
      <c r="O189" s="51"/>
      <c r="P189" s="52"/>
    </row>
    <row r="190" spans="2:16" ht="12.75">
      <c r="B190" s="14">
        <v>186</v>
      </c>
      <c r="C190" s="28" t="str">
        <f>IF(Coureurs!C190="","",Coureurs!C190)</f>
        <v/>
      </c>
      <c r="D190" s="131" t="str">
        <f>IF(Coureurs!D190="","",Coureurs!D190)</f>
        <v>70</v>
      </c>
      <c r="E190" s="87" t="str">
        <f>IF(Coureurs!F190="","",Coureurs!F190)</f>
        <v/>
      </c>
      <c r="F190" s="87" t="str">
        <f>IF(Coureurs!G190="","",Coureurs!G190)</f>
        <v/>
      </c>
      <c r="G190" s="50" t="str">
        <f>IF(Coureurs!J190="","",Coureurs!J190)</f>
        <v/>
      </c>
      <c r="H190" s="25"/>
      <c r="I190" s="41"/>
      <c r="J190" s="8" t="str">
        <f>IF(I190="PM","",IF(H190=0," ",I190-HLOOKUP('Course 4'!H190,'tab4'!$C$3:$N$4,2)))</f>
        <v xml:space="preserve"> </v>
      </c>
      <c r="K190" s="23" t="str">
        <f>IF(I190="PM","",IF(H190=0," ",J190/'Règles et points'!$F$23))</f>
        <v xml:space="preserve"> </v>
      </c>
      <c r="L190" s="3" t="str">
        <f>IF(H190=0,"",VLOOKUP(H190,'Règles et points'!$C$5:$AG$19,(HLOOKUP('Course 4'!C190,'Règles et points'!$C$5:$AG$5,1)+1)))</f>
        <v/>
      </c>
      <c r="M190" s="23">
        <f t="shared" si="2"/>
        <v>0</v>
      </c>
      <c r="N190" s="80"/>
      <c r="O190" s="51"/>
      <c r="P190" s="52"/>
    </row>
    <row r="191" spans="2:16" ht="12.75">
      <c r="B191" s="14">
        <v>187</v>
      </c>
      <c r="C191" s="28" t="str">
        <f>IF(Coureurs!C191="","",Coureurs!C191)</f>
        <v/>
      </c>
      <c r="D191" s="131" t="str">
        <f>IF(Coureurs!D191="","",Coureurs!D191)</f>
        <v>70</v>
      </c>
      <c r="E191" s="87" t="str">
        <f>IF(Coureurs!F191="","",Coureurs!F191)</f>
        <v/>
      </c>
      <c r="F191" s="87" t="str">
        <f>IF(Coureurs!G191="","",Coureurs!G191)</f>
        <v/>
      </c>
      <c r="G191" s="50" t="str">
        <f>IF(Coureurs!J191="","",Coureurs!J191)</f>
        <v/>
      </c>
      <c r="H191" s="25"/>
      <c r="I191" s="41"/>
      <c r="J191" s="8" t="str">
        <f>IF(I191="PM","",IF(H191=0," ",I191-HLOOKUP('Course 4'!H191,'tab4'!$C$3:$N$4,2)))</f>
        <v xml:space="preserve"> </v>
      </c>
      <c r="K191" s="23" t="str">
        <f>IF(I191="PM","",IF(H191=0," ",J191/'Règles et points'!$F$23))</f>
        <v xml:space="preserve"> </v>
      </c>
      <c r="L191" s="3" t="str">
        <f>IF(H191=0,"",VLOOKUP(H191,'Règles et points'!$C$5:$AG$19,(HLOOKUP('Course 4'!C191,'Règles et points'!$C$5:$AG$5,1)+1)))</f>
        <v/>
      </c>
      <c r="M191" s="23">
        <f t="shared" si="2"/>
        <v>0</v>
      </c>
      <c r="N191" s="80"/>
      <c r="O191" s="51"/>
      <c r="P191" s="52"/>
    </row>
    <row r="192" spans="2:16" ht="12.75">
      <c r="B192" s="14">
        <v>188</v>
      </c>
      <c r="C192" s="28" t="str">
        <f>IF(Coureurs!C192="","",Coureurs!C192)</f>
        <v/>
      </c>
      <c r="D192" s="131" t="str">
        <f>IF(Coureurs!D192="","",Coureurs!D192)</f>
        <v>70</v>
      </c>
      <c r="E192" s="87" t="str">
        <f>IF(Coureurs!F192="","",Coureurs!F192)</f>
        <v/>
      </c>
      <c r="F192" s="87" t="str">
        <f>IF(Coureurs!G192="","",Coureurs!G192)</f>
        <v/>
      </c>
      <c r="G192" s="50" t="str">
        <f>IF(Coureurs!J192="","",Coureurs!J192)</f>
        <v/>
      </c>
      <c r="H192" s="25"/>
      <c r="I192" s="41"/>
      <c r="J192" s="8" t="str">
        <f>IF(I192="PM","",IF(H192=0," ",I192-HLOOKUP('Course 4'!H192,'tab4'!$C$3:$N$4,2)))</f>
        <v xml:space="preserve"> </v>
      </c>
      <c r="K192" s="23" t="str">
        <f>IF(I192="PM","",IF(H192=0," ",J192/'Règles et points'!$F$23))</f>
        <v xml:space="preserve"> </v>
      </c>
      <c r="L192" s="3" t="str">
        <f>IF(H192=0,"",VLOOKUP(H192,'Règles et points'!$C$5:$AG$19,(HLOOKUP('Course 4'!C192,'Règles et points'!$C$5:$AG$5,1)+1)))</f>
        <v/>
      </c>
      <c r="M192" s="23">
        <f t="shared" si="2"/>
        <v>0</v>
      </c>
      <c r="N192" s="80"/>
      <c r="O192" s="51"/>
      <c r="P192" s="52"/>
    </row>
    <row r="193" spans="2:16" ht="12.75">
      <c r="B193" s="14">
        <v>189</v>
      </c>
      <c r="C193" s="28" t="str">
        <f>IF(Coureurs!C193="","",Coureurs!C193)</f>
        <v/>
      </c>
      <c r="D193" s="131" t="str">
        <f>IF(Coureurs!D193="","",Coureurs!D193)</f>
        <v>70</v>
      </c>
      <c r="E193" s="87" t="str">
        <f>IF(Coureurs!F193="","",Coureurs!F193)</f>
        <v/>
      </c>
      <c r="F193" s="87" t="str">
        <f>IF(Coureurs!G193="","",Coureurs!G193)</f>
        <v/>
      </c>
      <c r="G193" s="50" t="str">
        <f>IF(Coureurs!J193="","",Coureurs!J193)</f>
        <v/>
      </c>
      <c r="H193" s="25"/>
      <c r="I193" s="41"/>
      <c r="J193" s="8" t="str">
        <f>IF(I193="PM","",IF(H193=0," ",I193-HLOOKUP('Course 4'!H193,'tab4'!$C$3:$N$4,2)))</f>
        <v xml:space="preserve"> </v>
      </c>
      <c r="K193" s="23" t="str">
        <f>IF(I193="PM","",IF(H193=0," ",J193/'Règles et points'!$F$23))</f>
        <v xml:space="preserve"> </v>
      </c>
      <c r="L193" s="3" t="str">
        <f>IF(H193=0,"",VLOOKUP(H193,'Règles et points'!$C$5:$AG$19,(HLOOKUP('Course 4'!C193,'Règles et points'!$C$5:$AG$5,1)+1)))</f>
        <v/>
      </c>
      <c r="M193" s="23">
        <f t="shared" si="2"/>
        <v>0</v>
      </c>
      <c r="N193" s="80"/>
      <c r="O193" s="51"/>
      <c r="P193" s="52"/>
    </row>
    <row r="194" spans="2:16" ht="12.75">
      <c r="B194" s="14">
        <v>190</v>
      </c>
      <c r="C194" s="28" t="str">
        <f>IF(Coureurs!C194="","",Coureurs!C194)</f>
        <v/>
      </c>
      <c r="D194" s="131" t="str">
        <f>IF(Coureurs!D194="","",Coureurs!D194)</f>
        <v>70</v>
      </c>
      <c r="E194" s="87" t="str">
        <f>IF(Coureurs!F194="","",Coureurs!F194)</f>
        <v/>
      </c>
      <c r="F194" s="87" t="str">
        <f>IF(Coureurs!G194="","",Coureurs!G194)</f>
        <v/>
      </c>
      <c r="G194" s="50" t="str">
        <f>IF(Coureurs!J194="","",Coureurs!J194)</f>
        <v/>
      </c>
      <c r="H194" s="25"/>
      <c r="I194" s="41"/>
      <c r="J194" s="8" t="str">
        <f>IF(I194="PM","",IF(H194=0," ",I194-HLOOKUP('Course 4'!H194,'tab4'!$C$3:$N$4,2)))</f>
        <v xml:space="preserve"> </v>
      </c>
      <c r="K194" s="23" t="str">
        <f>IF(I194="PM","",IF(H194=0," ",J194/'Règles et points'!$F$23))</f>
        <v xml:space="preserve"> </v>
      </c>
      <c r="L194" s="3" t="str">
        <f>IF(H194=0,"",VLOOKUP(H194,'Règles et points'!$C$5:$AG$19,(HLOOKUP('Course 4'!C194,'Règles et points'!$C$5:$AG$5,1)+1)))</f>
        <v/>
      </c>
      <c r="M194" s="23">
        <f t="shared" si="2"/>
        <v>0</v>
      </c>
      <c r="N194" s="80"/>
      <c r="O194" s="51"/>
      <c r="P194" s="52"/>
    </row>
    <row r="195" spans="2:16" ht="12.75">
      <c r="B195" s="14">
        <v>191</v>
      </c>
      <c r="C195" s="28" t="str">
        <f>IF(Coureurs!C195="","",Coureurs!C195)</f>
        <v/>
      </c>
      <c r="D195" s="131" t="str">
        <f>IF(Coureurs!D195="","",Coureurs!D195)</f>
        <v>70</v>
      </c>
      <c r="E195" s="87" t="str">
        <f>IF(Coureurs!F195="","",Coureurs!F195)</f>
        <v/>
      </c>
      <c r="F195" s="87" t="str">
        <f>IF(Coureurs!G195="","",Coureurs!G195)</f>
        <v/>
      </c>
      <c r="G195" s="50" t="str">
        <f>IF(Coureurs!J195="","",Coureurs!J195)</f>
        <v/>
      </c>
      <c r="H195" s="25"/>
      <c r="I195" s="41"/>
      <c r="J195" s="8" t="str">
        <f>IF(I195="PM","",IF(H195=0," ",I195-HLOOKUP('Course 4'!H195,'tab4'!$C$3:$N$4,2)))</f>
        <v xml:space="preserve"> </v>
      </c>
      <c r="K195" s="23" t="str">
        <f>IF(I195="PM","",IF(H195=0," ",J195/'Règles et points'!$F$23))</f>
        <v xml:space="preserve"> </v>
      </c>
      <c r="L195" s="3" t="str">
        <f>IF(H195=0,"",VLOOKUP(H195,'Règles et points'!$C$5:$AG$19,(HLOOKUP('Course 4'!C195,'Règles et points'!$C$5:$AG$5,1)+1)))</f>
        <v/>
      </c>
      <c r="M195" s="23">
        <f t="shared" si="2"/>
        <v>0</v>
      </c>
      <c r="N195" s="80"/>
      <c r="O195" s="51"/>
      <c r="P195" s="52"/>
    </row>
    <row r="196" spans="2:16" ht="12.75">
      <c r="B196" s="14">
        <v>192</v>
      </c>
      <c r="C196" s="28" t="str">
        <f>IF(Coureurs!C196="","",Coureurs!C196)</f>
        <v/>
      </c>
      <c r="D196" s="131" t="str">
        <f>IF(Coureurs!D196="","",Coureurs!D196)</f>
        <v>70</v>
      </c>
      <c r="E196" s="87" t="str">
        <f>IF(Coureurs!F196="","",Coureurs!F196)</f>
        <v/>
      </c>
      <c r="F196" s="87" t="str">
        <f>IF(Coureurs!G196="","",Coureurs!G196)</f>
        <v/>
      </c>
      <c r="G196" s="50" t="str">
        <f>IF(Coureurs!J196="","",Coureurs!J196)</f>
        <v/>
      </c>
      <c r="H196" s="25"/>
      <c r="I196" s="41"/>
      <c r="J196" s="8" t="str">
        <f>IF(I196="PM","",IF(H196=0," ",I196-HLOOKUP('Course 4'!H196,'tab4'!$C$3:$N$4,2)))</f>
        <v xml:space="preserve"> </v>
      </c>
      <c r="K196" s="23" t="str">
        <f>IF(I196="PM","",IF(H196=0," ",J196/'Règles et points'!$F$23))</f>
        <v xml:space="preserve"> </v>
      </c>
      <c r="L196" s="3" t="str">
        <f>IF(H196=0,"",VLOOKUP(H196,'Règles et points'!$C$5:$AG$19,(HLOOKUP('Course 4'!C196,'Règles et points'!$C$5:$AG$5,1)+1)))</f>
        <v/>
      </c>
      <c r="M196" s="23">
        <f t="shared" ref="M196:M259" si="3">IF(I196="PM",0,IF(H196=0,0,L196-K196))+N196</f>
        <v>0</v>
      </c>
      <c r="N196" s="80"/>
      <c r="O196" s="51"/>
      <c r="P196" s="52"/>
    </row>
    <row r="197" spans="2:16" ht="12.75">
      <c r="B197" s="14">
        <v>193</v>
      </c>
      <c r="C197" s="28" t="str">
        <f>IF(Coureurs!C197="","",Coureurs!C197)</f>
        <v/>
      </c>
      <c r="D197" s="131" t="str">
        <f>IF(Coureurs!D197="","",Coureurs!D197)</f>
        <v>70</v>
      </c>
      <c r="E197" s="87" t="str">
        <f>IF(Coureurs!F197="","",Coureurs!F197)</f>
        <v/>
      </c>
      <c r="F197" s="87" t="str">
        <f>IF(Coureurs!G197="","",Coureurs!G197)</f>
        <v/>
      </c>
      <c r="G197" s="50" t="str">
        <f>IF(Coureurs!J197="","",Coureurs!J197)</f>
        <v/>
      </c>
      <c r="H197" s="25"/>
      <c r="I197" s="41"/>
      <c r="J197" s="8" t="str">
        <f>IF(I197="PM","",IF(H197=0," ",I197-HLOOKUP('Course 4'!H197,'tab4'!$C$3:$N$4,2)))</f>
        <v xml:space="preserve"> </v>
      </c>
      <c r="K197" s="23" t="str">
        <f>IF(I197="PM","",IF(H197=0," ",J197/'Règles et points'!$F$23))</f>
        <v xml:space="preserve"> </v>
      </c>
      <c r="L197" s="3" t="str">
        <f>IF(H197=0,"",VLOOKUP(H197,'Règles et points'!$C$5:$AG$19,(HLOOKUP('Course 4'!C197,'Règles et points'!$C$5:$AG$5,1)+1)))</f>
        <v/>
      </c>
      <c r="M197" s="23">
        <f t="shared" si="3"/>
        <v>0</v>
      </c>
      <c r="N197" s="80"/>
      <c r="O197" s="51"/>
      <c r="P197" s="52"/>
    </row>
    <row r="198" spans="2:16" ht="12.75">
      <c r="B198" s="14">
        <v>194</v>
      </c>
      <c r="C198" s="28" t="str">
        <f>IF(Coureurs!C198="","",Coureurs!C198)</f>
        <v/>
      </c>
      <c r="D198" s="131" t="str">
        <f>IF(Coureurs!D198="","",Coureurs!D198)</f>
        <v>70</v>
      </c>
      <c r="E198" s="87" t="str">
        <f>IF(Coureurs!F198="","",Coureurs!F198)</f>
        <v/>
      </c>
      <c r="F198" s="87" t="str">
        <f>IF(Coureurs!G198="","",Coureurs!G198)</f>
        <v/>
      </c>
      <c r="G198" s="50" t="str">
        <f>IF(Coureurs!J198="","",Coureurs!J198)</f>
        <v/>
      </c>
      <c r="H198" s="25"/>
      <c r="I198" s="41"/>
      <c r="J198" s="8" t="str">
        <f>IF(I198="PM","",IF(H198=0," ",I198-HLOOKUP('Course 4'!H198,'tab4'!$C$3:$N$4,2)))</f>
        <v xml:space="preserve"> </v>
      </c>
      <c r="K198" s="23" t="str">
        <f>IF(I198="PM","",IF(H198=0," ",J198/'Règles et points'!$F$23))</f>
        <v xml:space="preserve"> </v>
      </c>
      <c r="L198" s="3" t="str">
        <f>IF(H198=0,"",VLOOKUP(H198,'Règles et points'!$C$5:$AG$19,(HLOOKUP('Course 4'!C198,'Règles et points'!$C$5:$AG$5,1)+1)))</f>
        <v/>
      </c>
      <c r="M198" s="23">
        <f t="shared" si="3"/>
        <v>0</v>
      </c>
      <c r="N198" s="80"/>
      <c r="O198" s="51"/>
      <c r="P198" s="52"/>
    </row>
    <row r="199" spans="2:16" ht="12.75">
      <c r="B199" s="14">
        <v>195</v>
      </c>
      <c r="C199" s="28" t="str">
        <f>IF(Coureurs!C199="","",Coureurs!C199)</f>
        <v/>
      </c>
      <c r="D199" s="131" t="str">
        <f>IF(Coureurs!D199="","",Coureurs!D199)</f>
        <v>70</v>
      </c>
      <c r="E199" s="87" t="str">
        <f>IF(Coureurs!F199="","",Coureurs!F199)</f>
        <v/>
      </c>
      <c r="F199" s="87" t="str">
        <f>IF(Coureurs!G199="","",Coureurs!G199)</f>
        <v/>
      </c>
      <c r="G199" s="50" t="str">
        <f>IF(Coureurs!J199="","",Coureurs!J199)</f>
        <v/>
      </c>
      <c r="H199" s="25"/>
      <c r="I199" s="41"/>
      <c r="J199" s="8" t="str">
        <f>IF(I199="PM","",IF(H199=0," ",I199-HLOOKUP('Course 4'!H199,'tab4'!$C$3:$N$4,2)))</f>
        <v xml:space="preserve"> </v>
      </c>
      <c r="K199" s="23" t="str">
        <f>IF(I199="PM","",IF(H199=0," ",J199/'Règles et points'!$F$23))</f>
        <v xml:space="preserve"> </v>
      </c>
      <c r="L199" s="3" t="str">
        <f>IF(H199=0,"",VLOOKUP(H199,'Règles et points'!$C$5:$AG$19,(HLOOKUP('Course 4'!C199,'Règles et points'!$C$5:$AG$5,1)+1)))</f>
        <v/>
      </c>
      <c r="M199" s="23">
        <f t="shared" si="3"/>
        <v>0</v>
      </c>
      <c r="N199" s="80"/>
      <c r="O199" s="51"/>
      <c r="P199" s="52"/>
    </row>
    <row r="200" spans="2:16" ht="12.75">
      <c r="B200" s="14">
        <v>196</v>
      </c>
      <c r="C200" s="28" t="str">
        <f>IF(Coureurs!C200="","",Coureurs!C200)</f>
        <v/>
      </c>
      <c r="D200" s="131" t="str">
        <f>IF(Coureurs!D200="","",Coureurs!D200)</f>
        <v>70</v>
      </c>
      <c r="E200" s="87" t="str">
        <f>IF(Coureurs!F200="","",Coureurs!F200)</f>
        <v/>
      </c>
      <c r="F200" s="87" t="str">
        <f>IF(Coureurs!G200="","",Coureurs!G200)</f>
        <v/>
      </c>
      <c r="G200" s="50" t="str">
        <f>IF(Coureurs!J200="","",Coureurs!J200)</f>
        <v/>
      </c>
      <c r="H200" s="25"/>
      <c r="I200" s="41"/>
      <c r="J200" s="8" t="str">
        <f>IF(I200="PM","",IF(H200=0," ",I200-HLOOKUP('Course 4'!H200,'tab4'!$C$3:$N$4,2)))</f>
        <v xml:space="preserve"> </v>
      </c>
      <c r="K200" s="23" t="str">
        <f>IF(I200="PM","",IF(H200=0," ",J200/'Règles et points'!$F$23))</f>
        <v xml:space="preserve"> </v>
      </c>
      <c r="L200" s="3" t="str">
        <f>IF(H200=0,"",VLOOKUP(H200,'Règles et points'!$C$5:$AG$19,(HLOOKUP('Course 4'!C200,'Règles et points'!$C$5:$AG$5,1)+1)))</f>
        <v/>
      </c>
      <c r="M200" s="23">
        <f t="shared" si="3"/>
        <v>0</v>
      </c>
      <c r="N200" s="80"/>
      <c r="O200" s="51"/>
      <c r="P200" s="52"/>
    </row>
    <row r="201" spans="2:16" ht="12.75">
      <c r="B201" s="14">
        <v>197</v>
      </c>
      <c r="C201" s="28" t="str">
        <f>IF(Coureurs!C201="","",Coureurs!C201)</f>
        <v/>
      </c>
      <c r="D201" s="131" t="str">
        <f>IF(Coureurs!D201="","",Coureurs!D201)</f>
        <v>70</v>
      </c>
      <c r="E201" s="87" t="str">
        <f>IF(Coureurs!F201="","",Coureurs!F201)</f>
        <v/>
      </c>
      <c r="F201" s="87" t="str">
        <f>IF(Coureurs!G201="","",Coureurs!G201)</f>
        <v/>
      </c>
      <c r="G201" s="50" t="str">
        <f>IF(Coureurs!J201="","",Coureurs!J201)</f>
        <v/>
      </c>
      <c r="H201" s="25"/>
      <c r="I201" s="41"/>
      <c r="J201" s="8" t="str">
        <f>IF(I201="PM","",IF(H201=0," ",I201-HLOOKUP('Course 4'!H201,'tab4'!$C$3:$N$4,2)))</f>
        <v xml:space="preserve"> </v>
      </c>
      <c r="K201" s="23" t="str">
        <f>IF(I201="PM","",IF(H201=0," ",J201/'Règles et points'!$F$23))</f>
        <v xml:space="preserve"> </v>
      </c>
      <c r="L201" s="3" t="str">
        <f>IF(H201=0,"",VLOOKUP(H201,'Règles et points'!$C$5:$AG$19,(HLOOKUP('Course 4'!C201,'Règles et points'!$C$5:$AG$5,1)+1)))</f>
        <v/>
      </c>
      <c r="M201" s="23">
        <f t="shared" si="3"/>
        <v>0</v>
      </c>
      <c r="N201" s="80"/>
      <c r="O201" s="51"/>
      <c r="P201" s="52"/>
    </row>
    <row r="202" spans="2:16" ht="12.75">
      <c r="B202" s="14">
        <v>198</v>
      </c>
      <c r="C202" s="28" t="str">
        <f>IF(Coureurs!C202="","",Coureurs!C202)</f>
        <v/>
      </c>
      <c r="D202" s="131" t="str">
        <f>IF(Coureurs!D202="","",Coureurs!D202)</f>
        <v>70</v>
      </c>
      <c r="E202" s="87" t="str">
        <f>IF(Coureurs!F202="","",Coureurs!F202)</f>
        <v/>
      </c>
      <c r="F202" s="87" t="str">
        <f>IF(Coureurs!G202="","",Coureurs!G202)</f>
        <v/>
      </c>
      <c r="G202" s="50" t="str">
        <f>IF(Coureurs!J202="","",Coureurs!J202)</f>
        <v/>
      </c>
      <c r="H202" s="25"/>
      <c r="I202" s="41"/>
      <c r="J202" s="8" t="str">
        <f>IF(I202="PM","",IF(H202=0," ",I202-HLOOKUP('Course 4'!H202,'tab4'!$C$3:$N$4,2)))</f>
        <v xml:space="preserve"> </v>
      </c>
      <c r="K202" s="23" t="str">
        <f>IF(I202="PM","",IF(H202=0," ",J202/'Règles et points'!$F$23))</f>
        <v xml:space="preserve"> </v>
      </c>
      <c r="L202" s="3" t="str">
        <f>IF(H202=0,"",VLOOKUP(H202,'Règles et points'!$C$5:$AG$19,(HLOOKUP('Course 4'!C202,'Règles et points'!$C$5:$AG$5,1)+1)))</f>
        <v/>
      </c>
      <c r="M202" s="23">
        <f t="shared" si="3"/>
        <v>0</v>
      </c>
      <c r="N202" s="80"/>
      <c r="O202" s="51"/>
      <c r="P202" s="52"/>
    </row>
    <row r="203" spans="2:16" ht="12.75">
      <c r="B203" s="14">
        <v>199</v>
      </c>
      <c r="C203" s="28" t="str">
        <f>IF(Coureurs!C203="","",Coureurs!C203)</f>
        <v/>
      </c>
      <c r="D203" s="131" t="str">
        <f>IF(Coureurs!D203="","",Coureurs!D203)</f>
        <v>70</v>
      </c>
      <c r="E203" s="87" t="str">
        <f>IF(Coureurs!F203="","",Coureurs!F203)</f>
        <v/>
      </c>
      <c r="F203" s="87" t="str">
        <f>IF(Coureurs!G203="","",Coureurs!G203)</f>
        <v/>
      </c>
      <c r="G203" s="50" t="str">
        <f>IF(Coureurs!J203="","",Coureurs!J203)</f>
        <v/>
      </c>
      <c r="H203" s="25"/>
      <c r="I203" s="41"/>
      <c r="J203" s="8" t="str">
        <f>IF(I203="PM","",IF(H203=0," ",I203-HLOOKUP('Course 4'!H203,'tab4'!$C$3:$N$4,2)))</f>
        <v xml:space="preserve"> </v>
      </c>
      <c r="K203" s="23" t="str">
        <f>IF(I203="PM","",IF(H203=0," ",J203/'Règles et points'!$F$23))</f>
        <v xml:space="preserve"> </v>
      </c>
      <c r="L203" s="3" t="str">
        <f>IF(H203=0,"",VLOOKUP(H203,'Règles et points'!$C$5:$AG$19,(HLOOKUP('Course 4'!C203,'Règles et points'!$C$5:$AG$5,1)+1)))</f>
        <v/>
      </c>
      <c r="M203" s="23">
        <f t="shared" si="3"/>
        <v>0</v>
      </c>
      <c r="N203" s="80"/>
      <c r="O203" s="51"/>
      <c r="P203" s="52"/>
    </row>
    <row r="204" spans="2:16" ht="12.75">
      <c r="B204" s="14">
        <v>200</v>
      </c>
      <c r="C204" s="28" t="str">
        <f>IF(Coureurs!C204="","",Coureurs!C204)</f>
        <v/>
      </c>
      <c r="D204" s="131" t="str">
        <f>IF(Coureurs!D204="","",Coureurs!D204)</f>
        <v>70</v>
      </c>
      <c r="E204" s="87" t="str">
        <f>IF(Coureurs!F204="","",Coureurs!F204)</f>
        <v/>
      </c>
      <c r="F204" s="87" t="str">
        <f>IF(Coureurs!G204="","",Coureurs!G204)</f>
        <v/>
      </c>
      <c r="G204" s="50" t="str">
        <f>IF(Coureurs!J204="","",Coureurs!J204)</f>
        <v/>
      </c>
      <c r="H204" s="25"/>
      <c r="I204" s="41"/>
      <c r="J204" s="8" t="str">
        <f>IF(I204="PM","",IF(H204=0," ",I204-HLOOKUP('Course 4'!H204,'tab4'!$C$3:$N$4,2)))</f>
        <v xml:space="preserve"> </v>
      </c>
      <c r="K204" s="23" t="str">
        <f>IF(I204="PM","",IF(H204=0," ",J204/'Règles et points'!$F$23))</f>
        <v xml:space="preserve"> </v>
      </c>
      <c r="L204" s="3" t="str">
        <f>IF(H204=0,"",VLOOKUP(H204,'Règles et points'!$C$5:$AG$19,(HLOOKUP('Course 4'!C204,'Règles et points'!$C$5:$AG$5,1)+1)))</f>
        <v/>
      </c>
      <c r="M204" s="23">
        <f t="shared" si="3"/>
        <v>0</v>
      </c>
      <c r="N204" s="80"/>
      <c r="O204" s="51"/>
      <c r="P204" s="52"/>
    </row>
    <row r="205" spans="2:16" ht="12.75">
      <c r="B205" s="14">
        <v>201</v>
      </c>
      <c r="C205" s="28" t="str">
        <f>IF(Coureurs!C205="","",Coureurs!C205)</f>
        <v/>
      </c>
      <c r="D205" s="131" t="str">
        <f>IF(Coureurs!D205="","",Coureurs!D205)</f>
        <v>70</v>
      </c>
      <c r="E205" s="87" t="str">
        <f>IF(Coureurs!F205="","",Coureurs!F205)</f>
        <v/>
      </c>
      <c r="F205" s="87" t="str">
        <f>IF(Coureurs!G205="","",Coureurs!G205)</f>
        <v/>
      </c>
      <c r="G205" s="50" t="str">
        <f>IF(Coureurs!J205="","",Coureurs!J205)</f>
        <v/>
      </c>
      <c r="H205" s="25"/>
      <c r="I205" s="41"/>
      <c r="J205" s="8" t="str">
        <f>IF(I205="PM","",IF(H205=0," ",I205-HLOOKUP('Course 4'!H205,'tab4'!$C$3:$N$4,2)))</f>
        <v xml:space="preserve"> </v>
      </c>
      <c r="K205" s="23" t="str">
        <f>IF(I205="PM","",IF(H205=0," ",J205/'Règles et points'!$F$23))</f>
        <v xml:space="preserve"> </v>
      </c>
      <c r="L205" s="3" t="str">
        <f>IF(H205=0,"",VLOOKUP(H205,'Règles et points'!$C$5:$AG$19,(HLOOKUP('Course 4'!C205,'Règles et points'!$C$5:$AG$5,1)+1)))</f>
        <v/>
      </c>
      <c r="M205" s="23">
        <f t="shared" si="3"/>
        <v>0</v>
      </c>
      <c r="N205" s="80"/>
      <c r="O205" s="51"/>
      <c r="P205" s="52"/>
    </row>
    <row r="206" spans="2:16" ht="12.75">
      <c r="B206" s="14">
        <v>202</v>
      </c>
      <c r="C206" s="28" t="str">
        <f>IF(Coureurs!C206="","",Coureurs!C206)</f>
        <v/>
      </c>
      <c r="D206" s="131" t="str">
        <f>IF(Coureurs!D206="","",Coureurs!D206)</f>
        <v>70</v>
      </c>
      <c r="E206" s="87" t="str">
        <f>IF(Coureurs!F206="","",Coureurs!F206)</f>
        <v/>
      </c>
      <c r="F206" s="87" t="str">
        <f>IF(Coureurs!G206="","",Coureurs!G206)</f>
        <v/>
      </c>
      <c r="G206" s="50" t="str">
        <f>IF(Coureurs!J206="","",Coureurs!J206)</f>
        <v/>
      </c>
      <c r="H206" s="25"/>
      <c r="I206" s="41"/>
      <c r="J206" s="8" t="str">
        <f>IF(I206="PM","",IF(H206=0," ",I206-HLOOKUP('Course 4'!H206,'tab4'!$C$3:$N$4,2)))</f>
        <v xml:space="preserve"> </v>
      </c>
      <c r="K206" s="23" t="str">
        <f>IF(I206="PM","",IF(H206=0," ",J206/'Règles et points'!$F$23))</f>
        <v xml:space="preserve"> </v>
      </c>
      <c r="L206" s="3" t="str">
        <f>IF(H206=0,"",VLOOKUP(H206,'Règles et points'!$C$5:$AG$19,(HLOOKUP('Course 4'!C206,'Règles et points'!$C$5:$AG$5,1)+1)))</f>
        <v/>
      </c>
      <c r="M206" s="23">
        <f t="shared" si="3"/>
        <v>0</v>
      </c>
      <c r="N206" s="80"/>
      <c r="O206" s="51"/>
      <c r="P206" s="52"/>
    </row>
    <row r="207" spans="2:16" ht="12.75">
      <c r="B207" s="14">
        <v>203</v>
      </c>
      <c r="C207" s="28" t="str">
        <f>IF(Coureurs!C207="","",Coureurs!C207)</f>
        <v/>
      </c>
      <c r="D207" s="131" t="str">
        <f>IF(Coureurs!D207="","",Coureurs!D207)</f>
        <v>70</v>
      </c>
      <c r="E207" s="87" t="str">
        <f>IF(Coureurs!F207="","",Coureurs!F207)</f>
        <v/>
      </c>
      <c r="F207" s="87" t="str">
        <f>IF(Coureurs!G207="","",Coureurs!G207)</f>
        <v/>
      </c>
      <c r="G207" s="50" t="str">
        <f>IF(Coureurs!J207="","",Coureurs!J207)</f>
        <v/>
      </c>
      <c r="H207" s="25"/>
      <c r="I207" s="41"/>
      <c r="J207" s="8" t="str">
        <f>IF(I207="PM","",IF(H207=0," ",I207-HLOOKUP('Course 4'!H207,'tab4'!$C$3:$N$4,2)))</f>
        <v xml:space="preserve"> </v>
      </c>
      <c r="K207" s="23" t="str">
        <f>IF(I207="PM","",IF(H207=0," ",J207/'Règles et points'!$F$23))</f>
        <v xml:space="preserve"> </v>
      </c>
      <c r="L207" s="3" t="str">
        <f>IF(H207=0,"",VLOOKUP(H207,'Règles et points'!$C$5:$AG$19,(HLOOKUP('Course 4'!C207,'Règles et points'!$C$5:$AG$5,1)+1)))</f>
        <v/>
      </c>
      <c r="M207" s="23">
        <f t="shared" si="3"/>
        <v>0</v>
      </c>
      <c r="N207" s="80"/>
      <c r="O207" s="51"/>
      <c r="P207" s="52"/>
    </row>
    <row r="208" spans="2:16" ht="12.75">
      <c r="B208" s="14">
        <v>204</v>
      </c>
      <c r="C208" s="28" t="str">
        <f>IF(Coureurs!C208="","",Coureurs!C208)</f>
        <v/>
      </c>
      <c r="D208" s="131" t="str">
        <f>IF(Coureurs!D208="","",Coureurs!D208)</f>
        <v>70</v>
      </c>
      <c r="E208" s="87" t="str">
        <f>IF(Coureurs!F208="","",Coureurs!F208)</f>
        <v/>
      </c>
      <c r="F208" s="87" t="str">
        <f>IF(Coureurs!G208="","",Coureurs!G208)</f>
        <v/>
      </c>
      <c r="G208" s="50" t="str">
        <f>IF(Coureurs!J208="","",Coureurs!J208)</f>
        <v/>
      </c>
      <c r="H208" s="25"/>
      <c r="I208" s="41"/>
      <c r="J208" s="8" t="str">
        <f>IF(I208="PM","",IF(H208=0," ",I208-HLOOKUP('Course 4'!H208,'tab4'!$C$3:$N$4,2)))</f>
        <v xml:space="preserve"> </v>
      </c>
      <c r="K208" s="23" t="str">
        <f>IF(I208="PM","",IF(H208=0," ",J208/'Règles et points'!$F$23))</f>
        <v xml:space="preserve"> </v>
      </c>
      <c r="L208" s="3" t="str">
        <f>IF(H208=0,"",VLOOKUP(H208,'Règles et points'!$C$5:$AG$19,(HLOOKUP('Course 4'!C208,'Règles et points'!$C$5:$AG$5,1)+1)))</f>
        <v/>
      </c>
      <c r="M208" s="23">
        <f t="shared" si="3"/>
        <v>0</v>
      </c>
      <c r="N208" s="80"/>
      <c r="O208" s="51"/>
      <c r="P208" s="52"/>
    </row>
    <row r="209" spans="2:16" ht="12.75">
      <c r="B209" s="14">
        <v>205</v>
      </c>
      <c r="C209" s="28" t="str">
        <f>IF(Coureurs!C209="","",Coureurs!C209)</f>
        <v/>
      </c>
      <c r="D209" s="131" t="str">
        <f>IF(Coureurs!D209="","",Coureurs!D209)</f>
        <v>70</v>
      </c>
      <c r="E209" s="87" t="str">
        <f>IF(Coureurs!F209="","",Coureurs!F209)</f>
        <v/>
      </c>
      <c r="F209" s="87" t="str">
        <f>IF(Coureurs!G209="","",Coureurs!G209)</f>
        <v/>
      </c>
      <c r="G209" s="50" t="str">
        <f>IF(Coureurs!J209="","",Coureurs!J209)</f>
        <v/>
      </c>
      <c r="H209" s="25"/>
      <c r="I209" s="41"/>
      <c r="J209" s="8" t="str">
        <f>IF(I209="PM","",IF(H209=0," ",I209-HLOOKUP('Course 4'!H209,'tab4'!$C$3:$N$4,2)))</f>
        <v xml:space="preserve"> </v>
      </c>
      <c r="K209" s="23" t="str">
        <f>IF(I209="PM","",IF(H209=0," ",J209/'Règles et points'!$F$23))</f>
        <v xml:space="preserve"> </v>
      </c>
      <c r="L209" s="3" t="str">
        <f>IF(H209=0,"",VLOOKUP(H209,'Règles et points'!$C$5:$AG$19,(HLOOKUP('Course 4'!C209,'Règles et points'!$C$5:$AG$5,1)+1)))</f>
        <v/>
      </c>
      <c r="M209" s="23">
        <f t="shared" si="3"/>
        <v>0</v>
      </c>
      <c r="N209" s="80"/>
      <c r="O209" s="51"/>
      <c r="P209" s="52"/>
    </row>
    <row r="210" spans="2:16" ht="12.75">
      <c r="B210" s="14">
        <v>206</v>
      </c>
      <c r="C210" s="28" t="str">
        <f>IF(Coureurs!C210="","",Coureurs!C210)</f>
        <v/>
      </c>
      <c r="D210" s="131" t="str">
        <f>IF(Coureurs!D210="","",Coureurs!D210)</f>
        <v>70</v>
      </c>
      <c r="E210" s="87" t="str">
        <f>IF(Coureurs!F210="","",Coureurs!F210)</f>
        <v/>
      </c>
      <c r="F210" s="87" t="str">
        <f>IF(Coureurs!G210="","",Coureurs!G210)</f>
        <v/>
      </c>
      <c r="G210" s="50" t="str">
        <f>IF(Coureurs!J210="","",Coureurs!J210)</f>
        <v/>
      </c>
      <c r="H210" s="25"/>
      <c r="I210" s="41"/>
      <c r="J210" s="8" t="str">
        <f>IF(I210="PM","",IF(H210=0," ",I210-HLOOKUP('Course 4'!H210,'tab4'!$C$3:$N$4,2)))</f>
        <v xml:space="preserve"> </v>
      </c>
      <c r="K210" s="23" t="str">
        <f>IF(I210="PM","",IF(H210=0," ",J210/'Règles et points'!$F$23))</f>
        <v xml:space="preserve"> </v>
      </c>
      <c r="L210" s="3" t="str">
        <f>IF(H210=0,"",VLOOKUP(H210,'Règles et points'!$C$5:$AG$19,(HLOOKUP('Course 4'!C210,'Règles et points'!$C$5:$AG$5,1)+1)))</f>
        <v/>
      </c>
      <c r="M210" s="23">
        <f t="shared" si="3"/>
        <v>0</v>
      </c>
      <c r="N210" s="80"/>
      <c r="O210" s="51"/>
      <c r="P210" s="52"/>
    </row>
    <row r="211" spans="2:16" ht="12.75">
      <c r="B211" s="14">
        <v>207</v>
      </c>
      <c r="C211" s="28" t="str">
        <f>IF(Coureurs!C211="","",Coureurs!C211)</f>
        <v/>
      </c>
      <c r="D211" s="131" t="str">
        <f>IF(Coureurs!D211="","",Coureurs!D211)</f>
        <v>70</v>
      </c>
      <c r="E211" s="87" t="str">
        <f>IF(Coureurs!F211="","",Coureurs!F211)</f>
        <v/>
      </c>
      <c r="F211" s="87" t="str">
        <f>IF(Coureurs!G211="","",Coureurs!G211)</f>
        <v/>
      </c>
      <c r="G211" s="50" t="str">
        <f>IF(Coureurs!J211="","",Coureurs!J211)</f>
        <v/>
      </c>
      <c r="H211" s="25"/>
      <c r="I211" s="41"/>
      <c r="J211" s="8" t="str">
        <f>IF(I211="PM","",IF(H211=0," ",I211-HLOOKUP('Course 4'!H211,'tab4'!$C$3:$N$4,2)))</f>
        <v xml:space="preserve"> </v>
      </c>
      <c r="K211" s="23" t="str">
        <f>IF(I211="PM","",IF(H211=0," ",J211/'Règles et points'!$F$23))</f>
        <v xml:space="preserve"> </v>
      </c>
      <c r="L211" s="3" t="str">
        <f>IF(H211=0,"",VLOOKUP(H211,'Règles et points'!$C$5:$AG$19,(HLOOKUP('Course 4'!C211,'Règles et points'!$C$5:$AG$5,1)+1)))</f>
        <v/>
      </c>
      <c r="M211" s="23">
        <f t="shared" si="3"/>
        <v>0</v>
      </c>
      <c r="N211" s="80"/>
      <c r="O211" s="51"/>
      <c r="P211" s="52"/>
    </row>
    <row r="212" spans="2:16" ht="12.75">
      <c r="B212" s="14">
        <v>208</v>
      </c>
      <c r="C212" s="28" t="str">
        <f>IF(Coureurs!C212="","",Coureurs!C212)</f>
        <v/>
      </c>
      <c r="D212" s="131" t="str">
        <f>IF(Coureurs!D212="","",Coureurs!D212)</f>
        <v>70</v>
      </c>
      <c r="E212" s="87" t="str">
        <f>IF(Coureurs!F212="","",Coureurs!F212)</f>
        <v/>
      </c>
      <c r="F212" s="87" t="str">
        <f>IF(Coureurs!G212="","",Coureurs!G212)</f>
        <v/>
      </c>
      <c r="G212" s="50" t="str">
        <f>IF(Coureurs!J212="","",Coureurs!J212)</f>
        <v/>
      </c>
      <c r="H212" s="25"/>
      <c r="I212" s="41"/>
      <c r="J212" s="8" t="str">
        <f>IF(I212="PM","",IF(H212=0," ",I212-HLOOKUP('Course 4'!H212,'tab4'!$C$3:$N$4,2)))</f>
        <v xml:space="preserve"> </v>
      </c>
      <c r="K212" s="23" t="str">
        <f>IF(I212="PM","",IF(H212=0," ",J212/'Règles et points'!$F$23))</f>
        <v xml:space="preserve"> </v>
      </c>
      <c r="L212" s="3" t="str">
        <f>IF(H212=0,"",VLOOKUP(H212,'Règles et points'!$C$5:$AG$19,(HLOOKUP('Course 4'!C212,'Règles et points'!$C$5:$AG$5,1)+1)))</f>
        <v/>
      </c>
      <c r="M212" s="23">
        <f t="shared" si="3"/>
        <v>0</v>
      </c>
      <c r="N212" s="80"/>
      <c r="O212" s="51"/>
      <c r="P212" s="52"/>
    </row>
    <row r="213" spans="2:16" ht="12.75">
      <c r="B213" s="14">
        <v>209</v>
      </c>
      <c r="C213" s="28" t="str">
        <f>IF(Coureurs!C213="","",Coureurs!C213)</f>
        <v/>
      </c>
      <c r="D213" s="131" t="str">
        <f>IF(Coureurs!D213="","",Coureurs!D213)</f>
        <v>70</v>
      </c>
      <c r="E213" s="87" t="str">
        <f>IF(Coureurs!F213="","",Coureurs!F213)</f>
        <v/>
      </c>
      <c r="F213" s="87" t="str">
        <f>IF(Coureurs!G213="","",Coureurs!G213)</f>
        <v/>
      </c>
      <c r="G213" s="50" t="str">
        <f>IF(Coureurs!J213="","",Coureurs!J213)</f>
        <v/>
      </c>
      <c r="H213" s="25"/>
      <c r="I213" s="41"/>
      <c r="J213" s="8" t="str">
        <f>IF(I213="PM","",IF(H213=0," ",I213-HLOOKUP('Course 4'!H213,'tab4'!$C$3:$N$4,2)))</f>
        <v xml:space="preserve"> </v>
      </c>
      <c r="K213" s="23" t="str">
        <f>IF(I213="PM","",IF(H213=0," ",J213/'Règles et points'!$F$23))</f>
        <v xml:space="preserve"> </v>
      </c>
      <c r="L213" s="3" t="str">
        <f>IF(H213=0,"",VLOOKUP(H213,'Règles et points'!$C$5:$AG$19,(HLOOKUP('Course 4'!C213,'Règles et points'!$C$5:$AG$5,1)+1)))</f>
        <v/>
      </c>
      <c r="M213" s="23">
        <f t="shared" si="3"/>
        <v>0</v>
      </c>
      <c r="N213" s="80"/>
      <c r="O213" s="51"/>
      <c r="P213" s="52"/>
    </row>
    <row r="214" spans="2:16" ht="12.75">
      <c r="B214" s="14">
        <v>210</v>
      </c>
      <c r="C214" s="28" t="str">
        <f>IF(Coureurs!C214="","",Coureurs!C214)</f>
        <v/>
      </c>
      <c r="D214" s="131" t="str">
        <f>IF(Coureurs!D214="","",Coureurs!D214)</f>
        <v>70</v>
      </c>
      <c r="E214" s="87" t="str">
        <f>IF(Coureurs!F214="","",Coureurs!F214)</f>
        <v/>
      </c>
      <c r="F214" s="87" t="str">
        <f>IF(Coureurs!G214="","",Coureurs!G214)</f>
        <v/>
      </c>
      <c r="G214" s="50" t="str">
        <f>IF(Coureurs!J214="","",Coureurs!J214)</f>
        <v/>
      </c>
      <c r="H214" s="25"/>
      <c r="I214" s="41"/>
      <c r="J214" s="8" t="str">
        <f>IF(I214="PM","",IF(H214=0," ",I214-HLOOKUP('Course 4'!H214,'tab4'!$C$3:$N$4,2)))</f>
        <v xml:space="preserve"> </v>
      </c>
      <c r="K214" s="23" t="str">
        <f>IF(I214="PM","",IF(H214=0," ",J214/'Règles et points'!$F$23))</f>
        <v xml:space="preserve"> </v>
      </c>
      <c r="L214" s="3" t="str">
        <f>IF(H214=0,"",VLOOKUP(H214,'Règles et points'!$C$5:$AG$19,(HLOOKUP('Course 4'!C214,'Règles et points'!$C$5:$AG$5,1)+1)))</f>
        <v/>
      </c>
      <c r="M214" s="23">
        <f t="shared" si="3"/>
        <v>0</v>
      </c>
      <c r="N214" s="80"/>
      <c r="O214" s="51"/>
      <c r="P214" s="52"/>
    </row>
    <row r="215" spans="2:16" ht="12.75">
      <c r="B215" s="14">
        <v>211</v>
      </c>
      <c r="C215" s="28" t="str">
        <f>IF(Coureurs!C215="","",Coureurs!C215)</f>
        <v/>
      </c>
      <c r="D215" s="131" t="str">
        <f>IF(Coureurs!D215="","",Coureurs!D215)</f>
        <v>70</v>
      </c>
      <c r="E215" s="87" t="str">
        <f>IF(Coureurs!F215="","",Coureurs!F215)</f>
        <v/>
      </c>
      <c r="F215" s="87" t="str">
        <f>IF(Coureurs!G215="","",Coureurs!G215)</f>
        <v/>
      </c>
      <c r="G215" s="50" t="str">
        <f>IF(Coureurs!J215="","",Coureurs!J215)</f>
        <v/>
      </c>
      <c r="H215" s="25"/>
      <c r="I215" s="41"/>
      <c r="J215" s="8" t="str">
        <f>IF(I215="PM","",IF(H215=0," ",I215-HLOOKUP('Course 4'!H215,'tab4'!$C$3:$N$4,2)))</f>
        <v xml:space="preserve"> </v>
      </c>
      <c r="K215" s="23" t="str">
        <f>IF(I215="PM","",IF(H215=0," ",J215/'Règles et points'!$F$23))</f>
        <v xml:space="preserve"> </v>
      </c>
      <c r="L215" s="3" t="str">
        <f>IF(H215=0,"",VLOOKUP(H215,'Règles et points'!$C$5:$AG$19,(HLOOKUP('Course 4'!C215,'Règles et points'!$C$5:$AG$5,1)+1)))</f>
        <v/>
      </c>
      <c r="M215" s="23">
        <f t="shared" si="3"/>
        <v>0</v>
      </c>
      <c r="N215" s="80"/>
      <c r="O215" s="51"/>
      <c r="P215" s="52"/>
    </row>
    <row r="216" spans="2:16" ht="12.75">
      <c r="B216" s="14">
        <v>212</v>
      </c>
      <c r="C216" s="28" t="str">
        <f>IF(Coureurs!C216="","",Coureurs!C216)</f>
        <v/>
      </c>
      <c r="D216" s="131" t="str">
        <f>IF(Coureurs!D216="","",Coureurs!D216)</f>
        <v>70</v>
      </c>
      <c r="E216" s="87" t="str">
        <f>IF(Coureurs!F216="","",Coureurs!F216)</f>
        <v/>
      </c>
      <c r="F216" s="87" t="str">
        <f>IF(Coureurs!G216="","",Coureurs!G216)</f>
        <v/>
      </c>
      <c r="G216" s="50" t="str">
        <f>IF(Coureurs!J216="","",Coureurs!J216)</f>
        <v/>
      </c>
      <c r="H216" s="25"/>
      <c r="I216" s="41"/>
      <c r="J216" s="8" t="str">
        <f>IF(I216="PM","",IF(H216=0," ",I216-HLOOKUP('Course 4'!H216,'tab4'!$C$3:$N$4,2)))</f>
        <v xml:space="preserve"> </v>
      </c>
      <c r="K216" s="23" t="str">
        <f>IF(I216="PM","",IF(H216=0," ",J216/'Règles et points'!$F$23))</f>
        <v xml:space="preserve"> </v>
      </c>
      <c r="L216" s="3" t="str">
        <f>IF(H216=0,"",VLOOKUP(H216,'Règles et points'!$C$5:$AG$19,(HLOOKUP('Course 4'!C216,'Règles et points'!$C$5:$AG$5,1)+1)))</f>
        <v/>
      </c>
      <c r="M216" s="23">
        <f t="shared" si="3"/>
        <v>0</v>
      </c>
      <c r="N216" s="80"/>
      <c r="O216" s="51"/>
      <c r="P216" s="52"/>
    </row>
    <row r="217" spans="2:16" ht="12.75">
      <c r="B217" s="14">
        <v>213</v>
      </c>
      <c r="C217" s="28" t="str">
        <f>IF(Coureurs!C217="","",Coureurs!C217)</f>
        <v/>
      </c>
      <c r="D217" s="131" t="str">
        <f>IF(Coureurs!D217="","",Coureurs!D217)</f>
        <v>70</v>
      </c>
      <c r="E217" s="87" t="str">
        <f>IF(Coureurs!F217="","",Coureurs!F217)</f>
        <v/>
      </c>
      <c r="F217" s="87" t="str">
        <f>IF(Coureurs!G217="","",Coureurs!G217)</f>
        <v/>
      </c>
      <c r="G217" s="50" t="str">
        <f>IF(Coureurs!J217="","",Coureurs!J217)</f>
        <v/>
      </c>
      <c r="H217" s="25"/>
      <c r="I217" s="41"/>
      <c r="J217" s="8" t="str">
        <f>IF(I217="PM","",IF(H217=0," ",I217-HLOOKUP('Course 4'!H217,'tab4'!$C$3:$N$4,2)))</f>
        <v xml:space="preserve"> </v>
      </c>
      <c r="K217" s="23" t="str">
        <f>IF(I217="PM","",IF(H217=0," ",J217/'Règles et points'!$F$23))</f>
        <v xml:space="preserve"> </v>
      </c>
      <c r="L217" s="3" t="str">
        <f>IF(H217=0,"",VLOOKUP(H217,'Règles et points'!$C$5:$AG$19,(HLOOKUP('Course 4'!C217,'Règles et points'!$C$5:$AG$5,1)+1)))</f>
        <v/>
      </c>
      <c r="M217" s="23">
        <f t="shared" si="3"/>
        <v>0</v>
      </c>
      <c r="N217" s="80"/>
      <c r="O217" s="51"/>
      <c r="P217" s="52"/>
    </row>
    <row r="218" spans="2:16" ht="12.75">
      <c r="B218" s="14">
        <v>214</v>
      </c>
      <c r="C218" s="28" t="str">
        <f>IF(Coureurs!C218="","",Coureurs!C218)</f>
        <v/>
      </c>
      <c r="D218" s="131" t="str">
        <f>IF(Coureurs!D218="","",Coureurs!D218)</f>
        <v>70</v>
      </c>
      <c r="E218" s="87" t="str">
        <f>IF(Coureurs!F218="","",Coureurs!F218)</f>
        <v/>
      </c>
      <c r="F218" s="87" t="str">
        <f>IF(Coureurs!G218="","",Coureurs!G218)</f>
        <v/>
      </c>
      <c r="G218" s="50" t="str">
        <f>IF(Coureurs!J218="","",Coureurs!J218)</f>
        <v/>
      </c>
      <c r="H218" s="25"/>
      <c r="I218" s="41"/>
      <c r="J218" s="8" t="str">
        <f>IF(I218="PM","",IF(H218=0," ",I218-HLOOKUP('Course 4'!H218,'tab4'!$C$3:$N$4,2)))</f>
        <v xml:space="preserve"> </v>
      </c>
      <c r="K218" s="23" t="str">
        <f>IF(I218="PM","",IF(H218=0," ",J218/'Règles et points'!$F$23))</f>
        <v xml:space="preserve"> </v>
      </c>
      <c r="L218" s="3" t="str">
        <f>IF(H218=0,"",VLOOKUP(H218,'Règles et points'!$C$5:$AG$19,(HLOOKUP('Course 4'!C218,'Règles et points'!$C$5:$AG$5,1)+1)))</f>
        <v/>
      </c>
      <c r="M218" s="23">
        <f t="shared" si="3"/>
        <v>0</v>
      </c>
      <c r="N218" s="80"/>
      <c r="O218" s="51"/>
      <c r="P218" s="52"/>
    </row>
    <row r="219" spans="2:16" ht="12.75">
      <c r="B219" s="14">
        <v>215</v>
      </c>
      <c r="C219" s="28" t="str">
        <f>IF(Coureurs!C219="","",Coureurs!C219)</f>
        <v/>
      </c>
      <c r="D219" s="131" t="str">
        <f>IF(Coureurs!D219="","",Coureurs!D219)</f>
        <v>70</v>
      </c>
      <c r="E219" s="87" t="str">
        <f>IF(Coureurs!F219="","",Coureurs!F219)</f>
        <v/>
      </c>
      <c r="F219" s="87" t="str">
        <f>IF(Coureurs!G219="","",Coureurs!G219)</f>
        <v/>
      </c>
      <c r="G219" s="50" t="str">
        <f>IF(Coureurs!J219="","",Coureurs!J219)</f>
        <v/>
      </c>
      <c r="H219" s="25"/>
      <c r="I219" s="41"/>
      <c r="J219" s="8" t="str">
        <f>IF(I219="PM","",IF(H219=0," ",I219-HLOOKUP('Course 4'!H219,'tab4'!$C$3:$N$4,2)))</f>
        <v xml:space="preserve"> </v>
      </c>
      <c r="K219" s="23" t="str">
        <f>IF(I219="PM","",IF(H219=0," ",J219/'Règles et points'!$F$23))</f>
        <v xml:space="preserve"> </v>
      </c>
      <c r="L219" s="3" t="str">
        <f>IF(H219=0,"",VLOOKUP(H219,'Règles et points'!$C$5:$AG$19,(HLOOKUP('Course 4'!C219,'Règles et points'!$C$5:$AG$5,1)+1)))</f>
        <v/>
      </c>
      <c r="M219" s="23">
        <f t="shared" si="3"/>
        <v>0</v>
      </c>
      <c r="N219" s="80"/>
      <c r="O219" s="51"/>
      <c r="P219" s="52"/>
    </row>
    <row r="220" spans="2:16" ht="12.75">
      <c r="B220" s="14">
        <v>216</v>
      </c>
      <c r="C220" s="28" t="str">
        <f>IF(Coureurs!C220="","",Coureurs!C220)</f>
        <v/>
      </c>
      <c r="D220" s="131" t="str">
        <f>IF(Coureurs!D220="","",Coureurs!D220)</f>
        <v>70</v>
      </c>
      <c r="E220" s="87" t="str">
        <f>IF(Coureurs!F220="","",Coureurs!F220)</f>
        <v/>
      </c>
      <c r="F220" s="87" t="str">
        <f>IF(Coureurs!G220="","",Coureurs!G220)</f>
        <v/>
      </c>
      <c r="G220" s="50" t="str">
        <f>IF(Coureurs!J220="","",Coureurs!J220)</f>
        <v/>
      </c>
      <c r="H220" s="25"/>
      <c r="I220" s="41"/>
      <c r="J220" s="8" t="str">
        <f>IF(I220="PM","",IF(H220=0," ",I220-HLOOKUP('Course 4'!H220,'tab4'!$C$3:$N$4,2)))</f>
        <v xml:space="preserve"> </v>
      </c>
      <c r="K220" s="23" t="str">
        <f>IF(I220="PM","",IF(H220=0," ",J220/'Règles et points'!$F$23))</f>
        <v xml:space="preserve"> </v>
      </c>
      <c r="L220" s="3" t="str">
        <f>IF(H220=0,"",VLOOKUP(H220,'Règles et points'!$C$5:$AG$19,(HLOOKUP('Course 4'!C220,'Règles et points'!$C$5:$AG$5,1)+1)))</f>
        <v/>
      </c>
      <c r="M220" s="23">
        <f t="shared" si="3"/>
        <v>0</v>
      </c>
      <c r="N220" s="80"/>
      <c r="O220" s="51"/>
      <c r="P220" s="52"/>
    </row>
    <row r="221" spans="2:16" ht="12.75">
      <c r="B221" s="14">
        <v>217</v>
      </c>
      <c r="C221" s="28" t="str">
        <f>IF(Coureurs!C221="","",Coureurs!C221)</f>
        <v/>
      </c>
      <c r="D221" s="131" t="str">
        <f>IF(Coureurs!D221="","",Coureurs!D221)</f>
        <v>70</v>
      </c>
      <c r="E221" s="87" t="str">
        <f>IF(Coureurs!F221="","",Coureurs!F221)</f>
        <v/>
      </c>
      <c r="F221" s="87" t="str">
        <f>IF(Coureurs!G221="","",Coureurs!G221)</f>
        <v/>
      </c>
      <c r="G221" s="50" t="str">
        <f>IF(Coureurs!J221="","",Coureurs!J221)</f>
        <v/>
      </c>
      <c r="H221" s="25"/>
      <c r="I221" s="41"/>
      <c r="J221" s="8" t="str">
        <f>IF(I221="PM","",IF(H221=0," ",I221-HLOOKUP('Course 4'!H221,'tab4'!$C$3:$N$4,2)))</f>
        <v xml:space="preserve"> </v>
      </c>
      <c r="K221" s="23" t="str">
        <f>IF(I221="PM","",IF(H221=0," ",J221/'Règles et points'!$F$23))</f>
        <v xml:space="preserve"> </v>
      </c>
      <c r="L221" s="3" t="str">
        <f>IF(H221=0,"",VLOOKUP(H221,'Règles et points'!$C$5:$AG$19,(HLOOKUP('Course 4'!C221,'Règles et points'!$C$5:$AG$5,1)+1)))</f>
        <v/>
      </c>
      <c r="M221" s="23">
        <f t="shared" si="3"/>
        <v>0</v>
      </c>
      <c r="N221" s="80"/>
      <c r="O221" s="51"/>
      <c r="P221" s="52"/>
    </row>
    <row r="222" spans="2:16" ht="12.75">
      <c r="B222" s="14">
        <v>218</v>
      </c>
      <c r="C222" s="28" t="str">
        <f>IF(Coureurs!C222="","",Coureurs!C222)</f>
        <v/>
      </c>
      <c r="D222" s="131" t="str">
        <f>IF(Coureurs!D222="","",Coureurs!D222)</f>
        <v>70</v>
      </c>
      <c r="E222" s="87" t="str">
        <f>IF(Coureurs!F222="","",Coureurs!F222)</f>
        <v/>
      </c>
      <c r="F222" s="87" t="str">
        <f>IF(Coureurs!G222="","",Coureurs!G222)</f>
        <v/>
      </c>
      <c r="G222" s="50" t="str">
        <f>IF(Coureurs!J222="","",Coureurs!J222)</f>
        <v/>
      </c>
      <c r="H222" s="25"/>
      <c r="I222" s="41"/>
      <c r="J222" s="8" t="str">
        <f>IF(I222="PM","",IF(H222=0," ",I222-HLOOKUP('Course 4'!H222,'tab4'!$C$3:$N$4,2)))</f>
        <v xml:space="preserve"> </v>
      </c>
      <c r="K222" s="23" t="str">
        <f>IF(I222="PM","",IF(H222=0," ",J222/'Règles et points'!$F$23))</f>
        <v xml:space="preserve"> </v>
      </c>
      <c r="L222" s="3" t="str">
        <f>IF(H222=0,"",VLOOKUP(H222,'Règles et points'!$C$5:$AG$19,(HLOOKUP('Course 4'!C222,'Règles et points'!$C$5:$AG$5,1)+1)))</f>
        <v/>
      </c>
      <c r="M222" s="23">
        <f t="shared" si="3"/>
        <v>0</v>
      </c>
      <c r="N222" s="80"/>
      <c r="O222" s="51"/>
      <c r="P222" s="52"/>
    </row>
    <row r="223" spans="2:16" ht="12.75">
      <c r="B223" s="14">
        <v>219</v>
      </c>
      <c r="C223" s="28" t="str">
        <f>IF(Coureurs!C223="","",Coureurs!C223)</f>
        <v/>
      </c>
      <c r="D223" s="131" t="str">
        <f>IF(Coureurs!D223="","",Coureurs!D223)</f>
        <v>70</v>
      </c>
      <c r="E223" s="87" t="str">
        <f>IF(Coureurs!F223="","",Coureurs!F223)</f>
        <v/>
      </c>
      <c r="F223" s="87" t="str">
        <f>IF(Coureurs!G223="","",Coureurs!G223)</f>
        <v/>
      </c>
      <c r="G223" s="50" t="str">
        <f>IF(Coureurs!J223="","",Coureurs!J223)</f>
        <v/>
      </c>
      <c r="H223" s="25"/>
      <c r="I223" s="41"/>
      <c r="J223" s="8" t="str">
        <f>IF(I223="PM","",IF(H223=0," ",I223-HLOOKUP('Course 4'!H223,'tab4'!$C$3:$N$4,2)))</f>
        <v xml:space="preserve"> </v>
      </c>
      <c r="K223" s="23" t="str">
        <f>IF(I223="PM","",IF(H223=0," ",J223/'Règles et points'!$F$23))</f>
        <v xml:space="preserve"> </v>
      </c>
      <c r="L223" s="3" t="str">
        <f>IF(H223=0,"",VLOOKUP(H223,'Règles et points'!$C$5:$AG$19,(HLOOKUP('Course 4'!C223,'Règles et points'!$C$5:$AG$5,1)+1)))</f>
        <v/>
      </c>
      <c r="M223" s="23">
        <f t="shared" si="3"/>
        <v>0</v>
      </c>
      <c r="N223" s="80"/>
      <c r="O223" s="51"/>
      <c r="P223" s="52"/>
    </row>
    <row r="224" spans="2:16" ht="12.75">
      <c r="B224" s="14">
        <v>220</v>
      </c>
      <c r="C224" s="28" t="str">
        <f>IF(Coureurs!C224="","",Coureurs!C224)</f>
        <v/>
      </c>
      <c r="D224" s="131" t="str">
        <f>IF(Coureurs!D224="","",Coureurs!D224)</f>
        <v>70</v>
      </c>
      <c r="E224" s="87" t="str">
        <f>IF(Coureurs!F224="","",Coureurs!F224)</f>
        <v/>
      </c>
      <c r="F224" s="87" t="str">
        <f>IF(Coureurs!G224="","",Coureurs!G224)</f>
        <v/>
      </c>
      <c r="G224" s="50" t="str">
        <f>IF(Coureurs!J224="","",Coureurs!J224)</f>
        <v/>
      </c>
      <c r="H224" s="25"/>
      <c r="I224" s="41"/>
      <c r="J224" s="8" t="str">
        <f>IF(I224="PM","",IF(H224=0," ",I224-HLOOKUP('Course 4'!H224,'tab4'!$C$3:$N$4,2)))</f>
        <v xml:space="preserve"> </v>
      </c>
      <c r="K224" s="23" t="str">
        <f>IF(I224="PM","",IF(H224=0," ",J224/'Règles et points'!$F$23))</f>
        <v xml:space="preserve"> </v>
      </c>
      <c r="L224" s="3" t="str">
        <f>IF(H224=0,"",VLOOKUP(H224,'Règles et points'!$C$5:$AG$19,(HLOOKUP('Course 4'!C224,'Règles et points'!$C$5:$AG$5,1)+1)))</f>
        <v/>
      </c>
      <c r="M224" s="23">
        <f t="shared" si="3"/>
        <v>0</v>
      </c>
      <c r="N224" s="80"/>
      <c r="O224" s="51"/>
      <c r="P224" s="52"/>
    </row>
    <row r="225" spans="2:16" ht="12.75">
      <c r="B225" s="14">
        <v>221</v>
      </c>
      <c r="C225" s="28" t="str">
        <f>IF(Coureurs!C225="","",Coureurs!C225)</f>
        <v/>
      </c>
      <c r="D225" s="131" t="str">
        <f>IF(Coureurs!D225="","",Coureurs!D225)</f>
        <v>70</v>
      </c>
      <c r="E225" s="87" t="str">
        <f>IF(Coureurs!F225="","",Coureurs!F225)</f>
        <v/>
      </c>
      <c r="F225" s="87" t="str">
        <f>IF(Coureurs!G225="","",Coureurs!G225)</f>
        <v/>
      </c>
      <c r="G225" s="50" t="str">
        <f>IF(Coureurs!J225="","",Coureurs!J225)</f>
        <v/>
      </c>
      <c r="H225" s="25"/>
      <c r="I225" s="41"/>
      <c r="J225" s="8" t="str">
        <f>IF(I225="PM","",IF(H225=0," ",I225-HLOOKUP('Course 4'!H225,'tab4'!$C$3:$N$4,2)))</f>
        <v xml:space="preserve"> </v>
      </c>
      <c r="K225" s="23" t="str">
        <f>IF(I225="PM","",IF(H225=0," ",J225/'Règles et points'!$F$23))</f>
        <v xml:space="preserve"> </v>
      </c>
      <c r="L225" s="3" t="str">
        <f>IF(H225=0,"",VLOOKUP(H225,'Règles et points'!$C$5:$AG$19,(HLOOKUP('Course 4'!C225,'Règles et points'!$C$5:$AG$5,1)+1)))</f>
        <v/>
      </c>
      <c r="M225" s="23">
        <f t="shared" si="3"/>
        <v>0</v>
      </c>
      <c r="N225" s="80"/>
      <c r="O225" s="51"/>
      <c r="P225" s="52"/>
    </row>
    <row r="226" spans="2:16" ht="12.75">
      <c r="B226" s="14">
        <v>222</v>
      </c>
      <c r="C226" s="28" t="str">
        <f>IF(Coureurs!C226="","",Coureurs!C226)</f>
        <v/>
      </c>
      <c r="D226" s="131" t="str">
        <f>IF(Coureurs!D226="","",Coureurs!D226)</f>
        <v>70</v>
      </c>
      <c r="E226" s="87" t="str">
        <f>IF(Coureurs!F226="","",Coureurs!F226)</f>
        <v/>
      </c>
      <c r="F226" s="87" t="str">
        <f>IF(Coureurs!G226="","",Coureurs!G226)</f>
        <v/>
      </c>
      <c r="G226" s="50" t="str">
        <f>IF(Coureurs!J226="","",Coureurs!J226)</f>
        <v/>
      </c>
      <c r="H226" s="25"/>
      <c r="I226" s="41"/>
      <c r="J226" s="8" t="str">
        <f>IF(I226="PM","",IF(H226=0," ",I226-HLOOKUP('Course 4'!H226,'tab4'!$C$3:$N$4,2)))</f>
        <v xml:space="preserve"> </v>
      </c>
      <c r="K226" s="23" t="str">
        <f>IF(I226="PM","",IF(H226=0," ",J226/'Règles et points'!$F$23))</f>
        <v xml:space="preserve"> </v>
      </c>
      <c r="L226" s="3" t="str">
        <f>IF(H226=0,"",VLOOKUP(H226,'Règles et points'!$C$5:$AG$19,(HLOOKUP('Course 4'!C226,'Règles et points'!$C$5:$AG$5,1)+1)))</f>
        <v/>
      </c>
      <c r="M226" s="23">
        <f t="shared" si="3"/>
        <v>0</v>
      </c>
      <c r="N226" s="80"/>
      <c r="O226" s="51"/>
      <c r="P226" s="52"/>
    </row>
    <row r="227" spans="2:16" ht="12.75">
      <c r="B227" s="14">
        <v>223</v>
      </c>
      <c r="C227" s="28" t="str">
        <f>IF(Coureurs!C227="","",Coureurs!C227)</f>
        <v/>
      </c>
      <c r="D227" s="131" t="str">
        <f>IF(Coureurs!D227="","",Coureurs!D227)</f>
        <v>70</v>
      </c>
      <c r="E227" s="87" t="str">
        <f>IF(Coureurs!F227="","",Coureurs!F227)</f>
        <v/>
      </c>
      <c r="F227" s="87" t="str">
        <f>IF(Coureurs!G227="","",Coureurs!G227)</f>
        <v/>
      </c>
      <c r="G227" s="50" t="str">
        <f>IF(Coureurs!J227="","",Coureurs!J227)</f>
        <v/>
      </c>
      <c r="H227" s="25"/>
      <c r="I227" s="41"/>
      <c r="J227" s="8" t="str">
        <f>IF(I227="PM","",IF(H227=0," ",I227-HLOOKUP('Course 4'!H227,'tab4'!$C$3:$N$4,2)))</f>
        <v xml:space="preserve"> </v>
      </c>
      <c r="K227" s="23" t="str">
        <f>IF(I227="PM","",IF(H227=0," ",J227/'Règles et points'!$F$23))</f>
        <v xml:space="preserve"> </v>
      </c>
      <c r="L227" s="3" t="str">
        <f>IF(H227=0,"",VLOOKUP(H227,'Règles et points'!$C$5:$AG$19,(HLOOKUP('Course 4'!C227,'Règles et points'!$C$5:$AG$5,1)+1)))</f>
        <v/>
      </c>
      <c r="M227" s="23">
        <f t="shared" si="3"/>
        <v>0</v>
      </c>
      <c r="N227" s="80"/>
      <c r="O227" s="51"/>
      <c r="P227" s="52"/>
    </row>
    <row r="228" spans="2:16" ht="12.75">
      <c r="B228" s="14">
        <v>224</v>
      </c>
      <c r="C228" s="28" t="str">
        <f>IF(Coureurs!C228="","",Coureurs!C228)</f>
        <v/>
      </c>
      <c r="D228" s="131" t="str">
        <f>IF(Coureurs!D228="","",Coureurs!D228)</f>
        <v>70</v>
      </c>
      <c r="E228" s="87" t="str">
        <f>IF(Coureurs!F228="","",Coureurs!F228)</f>
        <v/>
      </c>
      <c r="F228" s="87" t="str">
        <f>IF(Coureurs!G228="","",Coureurs!G228)</f>
        <v/>
      </c>
      <c r="G228" s="50" t="str">
        <f>IF(Coureurs!J228="","",Coureurs!J228)</f>
        <v/>
      </c>
      <c r="H228" s="25"/>
      <c r="I228" s="41"/>
      <c r="J228" s="8" t="str">
        <f>IF(I228="PM","",IF(H228=0," ",I228-HLOOKUP('Course 4'!H228,'tab4'!$C$3:$N$4,2)))</f>
        <v xml:space="preserve"> </v>
      </c>
      <c r="K228" s="23" t="str">
        <f>IF(I228="PM","",IF(H228=0," ",J228/'Règles et points'!$F$23))</f>
        <v xml:space="preserve"> </v>
      </c>
      <c r="L228" s="3" t="str">
        <f>IF(H228=0,"",VLOOKUP(H228,'Règles et points'!$C$5:$AG$19,(HLOOKUP('Course 4'!C228,'Règles et points'!$C$5:$AG$5,1)+1)))</f>
        <v/>
      </c>
      <c r="M228" s="23">
        <f t="shared" si="3"/>
        <v>0</v>
      </c>
      <c r="N228" s="80"/>
      <c r="O228" s="51"/>
      <c r="P228" s="52"/>
    </row>
    <row r="229" spans="2:16" ht="12.75">
      <c r="B229" s="14">
        <v>225</v>
      </c>
      <c r="C229" s="28" t="str">
        <f>IF(Coureurs!C229="","",Coureurs!C229)</f>
        <v/>
      </c>
      <c r="D229" s="131" t="str">
        <f>IF(Coureurs!D229="","",Coureurs!D229)</f>
        <v>70</v>
      </c>
      <c r="E229" s="87" t="str">
        <f>IF(Coureurs!F229="","",Coureurs!F229)</f>
        <v/>
      </c>
      <c r="F229" s="87" t="str">
        <f>IF(Coureurs!G229="","",Coureurs!G229)</f>
        <v/>
      </c>
      <c r="G229" s="50" t="str">
        <f>IF(Coureurs!J229="","",Coureurs!J229)</f>
        <v/>
      </c>
      <c r="H229" s="25"/>
      <c r="I229" s="41"/>
      <c r="J229" s="8" t="str">
        <f>IF(I229="PM","",IF(H229=0," ",I229-HLOOKUP('Course 4'!H229,'tab4'!$C$3:$N$4,2)))</f>
        <v xml:space="preserve"> </v>
      </c>
      <c r="K229" s="23" t="str">
        <f>IF(I229="PM","",IF(H229=0," ",J229/'Règles et points'!$F$23))</f>
        <v xml:space="preserve"> </v>
      </c>
      <c r="L229" s="3" t="str">
        <f>IF(H229=0,"",VLOOKUP(H229,'Règles et points'!$C$5:$AG$19,(HLOOKUP('Course 4'!C229,'Règles et points'!$C$5:$AG$5,1)+1)))</f>
        <v/>
      </c>
      <c r="M229" s="23">
        <f t="shared" si="3"/>
        <v>0</v>
      </c>
      <c r="N229" s="80"/>
      <c r="O229" s="51"/>
      <c r="P229" s="52"/>
    </row>
    <row r="230" spans="2:16" ht="12.75">
      <c r="B230" s="14">
        <v>226</v>
      </c>
      <c r="C230" s="28" t="str">
        <f>IF(Coureurs!C230="","",Coureurs!C230)</f>
        <v/>
      </c>
      <c r="D230" s="131" t="str">
        <f>IF(Coureurs!D230="","",Coureurs!D230)</f>
        <v>70</v>
      </c>
      <c r="E230" s="87" t="str">
        <f>IF(Coureurs!F230="","",Coureurs!F230)</f>
        <v/>
      </c>
      <c r="F230" s="87" t="str">
        <f>IF(Coureurs!G230="","",Coureurs!G230)</f>
        <v/>
      </c>
      <c r="G230" s="50" t="str">
        <f>IF(Coureurs!J230="","",Coureurs!J230)</f>
        <v/>
      </c>
      <c r="H230" s="25"/>
      <c r="I230" s="41"/>
      <c r="J230" s="8" t="str">
        <f>IF(I230="PM","",IF(H230=0," ",I230-HLOOKUP('Course 4'!H230,'tab4'!$C$3:$N$4,2)))</f>
        <v xml:space="preserve"> </v>
      </c>
      <c r="K230" s="23" t="str">
        <f>IF(I230="PM","",IF(H230=0," ",J230/'Règles et points'!$F$23))</f>
        <v xml:space="preserve"> </v>
      </c>
      <c r="L230" s="3" t="str">
        <f>IF(H230=0,"",VLOOKUP(H230,'Règles et points'!$C$5:$AG$19,(HLOOKUP('Course 4'!C230,'Règles et points'!$C$5:$AG$5,1)+1)))</f>
        <v/>
      </c>
      <c r="M230" s="23">
        <f t="shared" si="3"/>
        <v>0</v>
      </c>
      <c r="N230" s="80"/>
      <c r="O230" s="51"/>
      <c r="P230" s="52"/>
    </row>
    <row r="231" spans="2:16" ht="12.75">
      <c r="B231" s="14">
        <v>227</v>
      </c>
      <c r="C231" s="28" t="str">
        <f>IF(Coureurs!C231="","",Coureurs!C231)</f>
        <v/>
      </c>
      <c r="D231" s="131" t="str">
        <f>IF(Coureurs!D231="","",Coureurs!D231)</f>
        <v>70</v>
      </c>
      <c r="E231" s="87" t="str">
        <f>IF(Coureurs!F231="","",Coureurs!F231)</f>
        <v/>
      </c>
      <c r="F231" s="87" t="str">
        <f>IF(Coureurs!G231="","",Coureurs!G231)</f>
        <v/>
      </c>
      <c r="G231" s="50" t="str">
        <f>IF(Coureurs!J231="","",Coureurs!J231)</f>
        <v/>
      </c>
      <c r="H231" s="25"/>
      <c r="I231" s="41"/>
      <c r="J231" s="8" t="str">
        <f>IF(I231="PM","",IF(H231=0," ",I231-HLOOKUP('Course 4'!H231,'tab4'!$C$3:$N$4,2)))</f>
        <v xml:space="preserve"> </v>
      </c>
      <c r="K231" s="23" t="str">
        <f>IF(I231="PM","",IF(H231=0," ",J231/'Règles et points'!$F$23))</f>
        <v xml:space="preserve"> </v>
      </c>
      <c r="L231" s="3" t="str">
        <f>IF(H231=0,"",VLOOKUP(H231,'Règles et points'!$C$5:$AG$19,(HLOOKUP('Course 4'!C231,'Règles et points'!$C$5:$AG$5,1)+1)))</f>
        <v/>
      </c>
      <c r="M231" s="23">
        <f t="shared" si="3"/>
        <v>0</v>
      </c>
      <c r="N231" s="80"/>
      <c r="O231" s="51"/>
      <c r="P231" s="52"/>
    </row>
    <row r="232" spans="2:16" ht="12.75">
      <c r="B232" s="14">
        <v>228</v>
      </c>
      <c r="C232" s="28" t="str">
        <f>IF(Coureurs!C232="","",Coureurs!C232)</f>
        <v/>
      </c>
      <c r="D232" s="131" t="str">
        <f>IF(Coureurs!D232="","",Coureurs!D232)</f>
        <v>70</v>
      </c>
      <c r="E232" s="87" t="str">
        <f>IF(Coureurs!F232="","",Coureurs!F232)</f>
        <v/>
      </c>
      <c r="F232" s="87" t="str">
        <f>IF(Coureurs!G232="","",Coureurs!G232)</f>
        <v/>
      </c>
      <c r="G232" s="50" t="str">
        <f>IF(Coureurs!J232="","",Coureurs!J232)</f>
        <v/>
      </c>
      <c r="H232" s="25"/>
      <c r="I232" s="41"/>
      <c r="J232" s="8" t="str">
        <f>IF(I232="PM","",IF(H232=0," ",I232-HLOOKUP('Course 4'!H232,'tab4'!$C$3:$N$4,2)))</f>
        <v xml:space="preserve"> </v>
      </c>
      <c r="K232" s="23" t="str">
        <f>IF(I232="PM","",IF(H232=0," ",J232/'Règles et points'!$F$23))</f>
        <v xml:space="preserve"> </v>
      </c>
      <c r="L232" s="3" t="str">
        <f>IF(H232=0,"",VLOOKUP(H232,'Règles et points'!$C$5:$AG$19,(HLOOKUP('Course 4'!C232,'Règles et points'!$C$5:$AG$5,1)+1)))</f>
        <v/>
      </c>
      <c r="M232" s="23">
        <f t="shared" si="3"/>
        <v>0</v>
      </c>
      <c r="N232" s="80"/>
      <c r="O232" s="51"/>
      <c r="P232" s="52"/>
    </row>
    <row r="233" spans="2:16" ht="12.75">
      <c r="B233" s="14">
        <v>229</v>
      </c>
      <c r="C233" s="28" t="str">
        <f>IF(Coureurs!C233="","",Coureurs!C233)</f>
        <v/>
      </c>
      <c r="D233" s="131" t="str">
        <f>IF(Coureurs!D233="","",Coureurs!D233)</f>
        <v>70</v>
      </c>
      <c r="E233" s="87" t="str">
        <f>IF(Coureurs!F233="","",Coureurs!F233)</f>
        <v/>
      </c>
      <c r="F233" s="87" t="str">
        <f>IF(Coureurs!G233="","",Coureurs!G233)</f>
        <v/>
      </c>
      <c r="G233" s="50" t="str">
        <f>IF(Coureurs!J233="","",Coureurs!J233)</f>
        <v/>
      </c>
      <c r="H233" s="25"/>
      <c r="I233" s="41"/>
      <c r="J233" s="8" t="str">
        <f>IF(I233="PM","",IF(H233=0," ",I233-HLOOKUP('Course 4'!H233,'tab4'!$C$3:$N$4,2)))</f>
        <v xml:space="preserve"> </v>
      </c>
      <c r="K233" s="23" t="str">
        <f>IF(I233="PM","",IF(H233=0," ",J233/'Règles et points'!$F$23))</f>
        <v xml:space="preserve"> </v>
      </c>
      <c r="L233" s="3" t="str">
        <f>IF(H233=0,"",VLOOKUP(H233,'Règles et points'!$C$5:$AG$19,(HLOOKUP('Course 4'!C233,'Règles et points'!$C$5:$AG$5,1)+1)))</f>
        <v/>
      </c>
      <c r="M233" s="23">
        <f t="shared" si="3"/>
        <v>0</v>
      </c>
      <c r="N233" s="80"/>
      <c r="O233" s="51"/>
      <c r="P233" s="52"/>
    </row>
    <row r="234" spans="2:16" ht="12.75">
      <c r="B234" s="14">
        <v>230</v>
      </c>
      <c r="C234" s="28" t="str">
        <f>IF(Coureurs!C234="","",Coureurs!C234)</f>
        <v/>
      </c>
      <c r="D234" s="131" t="str">
        <f>IF(Coureurs!D234="","",Coureurs!D234)</f>
        <v>70</v>
      </c>
      <c r="E234" s="87" t="str">
        <f>IF(Coureurs!F234="","",Coureurs!F234)</f>
        <v/>
      </c>
      <c r="F234" s="87" t="str">
        <f>IF(Coureurs!G234="","",Coureurs!G234)</f>
        <v/>
      </c>
      <c r="G234" s="50" t="str">
        <f>IF(Coureurs!J234="","",Coureurs!J234)</f>
        <v/>
      </c>
      <c r="H234" s="25"/>
      <c r="I234" s="41"/>
      <c r="J234" s="8" t="str">
        <f>IF(I234="PM","",IF(H234=0," ",I234-HLOOKUP('Course 4'!H234,'tab4'!$C$3:$N$4,2)))</f>
        <v xml:space="preserve"> </v>
      </c>
      <c r="K234" s="23" t="str">
        <f>IF(I234="PM","",IF(H234=0," ",J234/'Règles et points'!$F$23))</f>
        <v xml:space="preserve"> </v>
      </c>
      <c r="L234" s="3" t="str">
        <f>IF(H234=0,"",VLOOKUP(H234,'Règles et points'!$C$5:$AG$19,(HLOOKUP('Course 4'!C234,'Règles et points'!$C$5:$AG$5,1)+1)))</f>
        <v/>
      </c>
      <c r="M234" s="23">
        <f t="shared" si="3"/>
        <v>0</v>
      </c>
      <c r="N234" s="80"/>
      <c r="O234" s="51"/>
      <c r="P234" s="52"/>
    </row>
    <row r="235" spans="2:16" ht="12.75">
      <c r="B235" s="14">
        <v>231</v>
      </c>
      <c r="C235" s="28" t="str">
        <f>IF(Coureurs!C235="","",Coureurs!C235)</f>
        <v/>
      </c>
      <c r="D235" s="131" t="str">
        <f>IF(Coureurs!D235="","",Coureurs!D235)</f>
        <v>70</v>
      </c>
      <c r="E235" s="87" t="str">
        <f>IF(Coureurs!F235="","",Coureurs!F235)</f>
        <v/>
      </c>
      <c r="F235" s="87" t="str">
        <f>IF(Coureurs!G235="","",Coureurs!G235)</f>
        <v/>
      </c>
      <c r="G235" s="50" t="str">
        <f>IF(Coureurs!J235="","",Coureurs!J235)</f>
        <v/>
      </c>
      <c r="H235" s="25"/>
      <c r="I235" s="41"/>
      <c r="J235" s="8" t="str">
        <f>IF(I235="PM","",IF(H235=0," ",I235-HLOOKUP('Course 4'!H235,'tab4'!$C$3:$N$4,2)))</f>
        <v xml:space="preserve"> </v>
      </c>
      <c r="K235" s="23" t="str">
        <f>IF(I235="PM","",IF(H235=0," ",J235/'Règles et points'!$F$23))</f>
        <v xml:space="preserve"> </v>
      </c>
      <c r="L235" s="3" t="str">
        <f>IF(H235=0,"",VLOOKUP(H235,'Règles et points'!$C$5:$AG$19,(HLOOKUP('Course 4'!C235,'Règles et points'!$C$5:$AG$5,1)+1)))</f>
        <v/>
      </c>
      <c r="M235" s="23">
        <f t="shared" si="3"/>
        <v>0</v>
      </c>
      <c r="N235" s="80"/>
      <c r="O235" s="51"/>
      <c r="P235" s="52"/>
    </row>
    <row r="236" spans="2:16" ht="12.75">
      <c r="B236" s="14">
        <v>232</v>
      </c>
      <c r="C236" s="28" t="str">
        <f>IF(Coureurs!C236="","",Coureurs!C236)</f>
        <v/>
      </c>
      <c r="D236" s="131" t="str">
        <f>IF(Coureurs!D236="","",Coureurs!D236)</f>
        <v>70</v>
      </c>
      <c r="E236" s="87" t="str">
        <f>IF(Coureurs!F236="","",Coureurs!F236)</f>
        <v/>
      </c>
      <c r="F236" s="87" t="str">
        <f>IF(Coureurs!G236="","",Coureurs!G236)</f>
        <v/>
      </c>
      <c r="G236" s="50" t="str">
        <f>IF(Coureurs!J236="","",Coureurs!J236)</f>
        <v/>
      </c>
      <c r="H236" s="25"/>
      <c r="I236" s="41"/>
      <c r="J236" s="8" t="str">
        <f>IF(I236="PM","",IF(H236=0," ",I236-HLOOKUP('Course 4'!H236,'tab4'!$C$3:$N$4,2)))</f>
        <v xml:space="preserve"> </v>
      </c>
      <c r="K236" s="23" t="str">
        <f>IF(I236="PM","",IF(H236=0," ",J236/'Règles et points'!$F$23))</f>
        <v xml:space="preserve"> </v>
      </c>
      <c r="L236" s="3" t="str">
        <f>IF(H236=0,"",VLOOKUP(H236,'Règles et points'!$C$5:$AG$19,(HLOOKUP('Course 4'!C236,'Règles et points'!$C$5:$AG$5,1)+1)))</f>
        <v/>
      </c>
      <c r="M236" s="23">
        <f t="shared" si="3"/>
        <v>0</v>
      </c>
      <c r="N236" s="80"/>
      <c r="O236" s="51"/>
      <c r="P236" s="52"/>
    </row>
    <row r="237" spans="2:16" ht="12.75">
      <c r="B237" s="14">
        <v>233</v>
      </c>
      <c r="C237" s="28" t="str">
        <f>IF(Coureurs!C237="","",Coureurs!C237)</f>
        <v/>
      </c>
      <c r="D237" s="131" t="str">
        <f>IF(Coureurs!D237="","",Coureurs!D237)</f>
        <v>70</v>
      </c>
      <c r="E237" s="87" t="str">
        <f>IF(Coureurs!F237="","",Coureurs!F237)</f>
        <v/>
      </c>
      <c r="F237" s="87" t="str">
        <f>IF(Coureurs!G237="","",Coureurs!G237)</f>
        <v/>
      </c>
      <c r="G237" s="50" t="str">
        <f>IF(Coureurs!J237="","",Coureurs!J237)</f>
        <v/>
      </c>
      <c r="H237" s="25"/>
      <c r="I237" s="41"/>
      <c r="J237" s="8" t="str">
        <f>IF(I237="PM","",IF(H237=0," ",I237-HLOOKUP('Course 4'!H237,'tab4'!$C$3:$N$4,2)))</f>
        <v xml:space="preserve"> </v>
      </c>
      <c r="K237" s="23" t="str">
        <f>IF(I237="PM","",IF(H237=0," ",J237/'Règles et points'!$F$23))</f>
        <v xml:space="preserve"> </v>
      </c>
      <c r="L237" s="3" t="str">
        <f>IF(H237=0,"",VLOOKUP(H237,'Règles et points'!$C$5:$AG$19,(HLOOKUP('Course 4'!C237,'Règles et points'!$C$5:$AG$5,1)+1)))</f>
        <v/>
      </c>
      <c r="M237" s="23">
        <f t="shared" si="3"/>
        <v>0</v>
      </c>
      <c r="N237" s="80"/>
      <c r="O237" s="51"/>
      <c r="P237" s="52"/>
    </row>
    <row r="238" spans="2:16" ht="12.75">
      <c r="B238" s="14">
        <v>234</v>
      </c>
      <c r="C238" s="28" t="str">
        <f>IF(Coureurs!C238="","",Coureurs!C238)</f>
        <v/>
      </c>
      <c r="D238" s="131" t="str">
        <f>IF(Coureurs!D238="","",Coureurs!D238)</f>
        <v>70</v>
      </c>
      <c r="E238" s="87" t="str">
        <f>IF(Coureurs!F238="","",Coureurs!F238)</f>
        <v/>
      </c>
      <c r="F238" s="87" t="str">
        <f>IF(Coureurs!G238="","",Coureurs!G238)</f>
        <v/>
      </c>
      <c r="G238" s="50" t="str">
        <f>IF(Coureurs!J238="","",Coureurs!J238)</f>
        <v/>
      </c>
      <c r="H238" s="25"/>
      <c r="I238" s="41"/>
      <c r="J238" s="8" t="str">
        <f>IF(I238="PM","",IF(H238=0," ",I238-HLOOKUP('Course 4'!H238,'tab4'!$C$3:$N$4,2)))</f>
        <v xml:space="preserve"> </v>
      </c>
      <c r="K238" s="23" t="str">
        <f>IF(I238="PM","",IF(H238=0," ",J238/'Règles et points'!$F$23))</f>
        <v xml:space="preserve"> </v>
      </c>
      <c r="L238" s="3" t="str">
        <f>IF(H238=0,"",VLOOKUP(H238,'Règles et points'!$C$5:$AG$19,(HLOOKUP('Course 4'!C238,'Règles et points'!$C$5:$AG$5,1)+1)))</f>
        <v/>
      </c>
      <c r="M238" s="23">
        <f t="shared" si="3"/>
        <v>0</v>
      </c>
      <c r="N238" s="80"/>
      <c r="O238" s="51"/>
      <c r="P238" s="52"/>
    </row>
    <row r="239" spans="2:16" ht="12.75">
      <c r="B239" s="14">
        <v>235</v>
      </c>
      <c r="C239" s="28" t="str">
        <f>IF(Coureurs!C239="","",Coureurs!C239)</f>
        <v/>
      </c>
      <c r="D239" s="131" t="str">
        <f>IF(Coureurs!D239="","",Coureurs!D239)</f>
        <v>70</v>
      </c>
      <c r="E239" s="87" t="str">
        <f>IF(Coureurs!F239="","",Coureurs!F239)</f>
        <v/>
      </c>
      <c r="F239" s="87" t="str">
        <f>IF(Coureurs!G239="","",Coureurs!G239)</f>
        <v/>
      </c>
      <c r="G239" s="50" t="str">
        <f>IF(Coureurs!J239="","",Coureurs!J239)</f>
        <v/>
      </c>
      <c r="H239" s="25"/>
      <c r="I239" s="41"/>
      <c r="J239" s="8" t="str">
        <f>IF(I239="PM","",IF(H239=0," ",I239-HLOOKUP('Course 4'!H239,'tab4'!$C$3:$N$4,2)))</f>
        <v xml:space="preserve"> </v>
      </c>
      <c r="K239" s="23" t="str">
        <f>IF(I239="PM","",IF(H239=0," ",J239/'Règles et points'!$F$23))</f>
        <v xml:space="preserve"> </v>
      </c>
      <c r="L239" s="3" t="str">
        <f>IF(H239=0,"",VLOOKUP(H239,'Règles et points'!$C$5:$AG$19,(HLOOKUP('Course 4'!C239,'Règles et points'!$C$5:$AG$5,1)+1)))</f>
        <v/>
      </c>
      <c r="M239" s="23">
        <f t="shared" si="3"/>
        <v>0</v>
      </c>
      <c r="N239" s="80"/>
      <c r="O239" s="51"/>
      <c r="P239" s="52"/>
    </row>
    <row r="240" spans="2:16" ht="12.75">
      <c r="B240" s="14">
        <v>236</v>
      </c>
      <c r="C240" s="28" t="str">
        <f>IF(Coureurs!C240="","",Coureurs!C240)</f>
        <v/>
      </c>
      <c r="D240" s="131" t="str">
        <f>IF(Coureurs!D240="","",Coureurs!D240)</f>
        <v>70</v>
      </c>
      <c r="E240" s="87" t="str">
        <f>IF(Coureurs!F240="","",Coureurs!F240)</f>
        <v/>
      </c>
      <c r="F240" s="87" t="str">
        <f>IF(Coureurs!G240="","",Coureurs!G240)</f>
        <v/>
      </c>
      <c r="G240" s="50" t="str">
        <f>IF(Coureurs!J240="","",Coureurs!J240)</f>
        <v/>
      </c>
      <c r="H240" s="25"/>
      <c r="I240" s="41"/>
      <c r="J240" s="8" t="str">
        <f>IF(I240="PM","",IF(H240=0," ",I240-HLOOKUP('Course 4'!H240,'tab4'!$C$3:$N$4,2)))</f>
        <v xml:space="preserve"> </v>
      </c>
      <c r="K240" s="23" t="str">
        <f>IF(I240="PM","",IF(H240=0," ",J240/'Règles et points'!$F$23))</f>
        <v xml:space="preserve"> </v>
      </c>
      <c r="L240" s="3" t="str">
        <f>IF(H240=0,"",VLOOKUP(H240,'Règles et points'!$C$5:$AG$19,(HLOOKUP('Course 4'!C240,'Règles et points'!$C$5:$AG$5,1)+1)))</f>
        <v/>
      </c>
      <c r="M240" s="23">
        <f t="shared" si="3"/>
        <v>0</v>
      </c>
      <c r="N240" s="80"/>
      <c r="O240" s="51"/>
      <c r="P240" s="52"/>
    </row>
    <row r="241" spans="2:16" ht="12.75">
      <c r="B241" s="14">
        <v>237</v>
      </c>
      <c r="C241" s="28" t="str">
        <f>IF(Coureurs!C241="","",Coureurs!C241)</f>
        <v/>
      </c>
      <c r="D241" s="131" t="str">
        <f>IF(Coureurs!D241="","",Coureurs!D241)</f>
        <v>70</v>
      </c>
      <c r="E241" s="87" t="str">
        <f>IF(Coureurs!F241="","",Coureurs!F241)</f>
        <v/>
      </c>
      <c r="F241" s="87" t="str">
        <f>IF(Coureurs!G241="","",Coureurs!G241)</f>
        <v/>
      </c>
      <c r="G241" s="50" t="str">
        <f>IF(Coureurs!J241="","",Coureurs!J241)</f>
        <v/>
      </c>
      <c r="H241" s="25"/>
      <c r="I241" s="41"/>
      <c r="J241" s="8" t="str">
        <f>IF(I241="PM","",IF(H241=0," ",I241-HLOOKUP('Course 4'!H241,'tab4'!$C$3:$N$4,2)))</f>
        <v xml:space="preserve"> </v>
      </c>
      <c r="K241" s="23" t="str">
        <f>IF(I241="PM","",IF(H241=0," ",J241/'Règles et points'!$F$23))</f>
        <v xml:space="preserve"> </v>
      </c>
      <c r="L241" s="3" t="str">
        <f>IF(H241=0,"",VLOOKUP(H241,'Règles et points'!$C$5:$AG$19,(HLOOKUP('Course 4'!C241,'Règles et points'!$C$5:$AG$5,1)+1)))</f>
        <v/>
      </c>
      <c r="M241" s="23">
        <f t="shared" si="3"/>
        <v>0</v>
      </c>
      <c r="N241" s="80"/>
      <c r="O241" s="51"/>
      <c r="P241" s="52"/>
    </row>
    <row r="242" spans="2:16" ht="12.75">
      <c r="B242" s="14">
        <v>238</v>
      </c>
      <c r="C242" s="28" t="str">
        <f>IF(Coureurs!C242="","",Coureurs!C242)</f>
        <v/>
      </c>
      <c r="D242" s="131" t="str">
        <f>IF(Coureurs!D242="","",Coureurs!D242)</f>
        <v>70</v>
      </c>
      <c r="E242" s="87" t="str">
        <f>IF(Coureurs!F242="","",Coureurs!F242)</f>
        <v/>
      </c>
      <c r="F242" s="87" t="str">
        <f>IF(Coureurs!G242="","",Coureurs!G242)</f>
        <v/>
      </c>
      <c r="G242" s="50" t="str">
        <f>IF(Coureurs!J242="","",Coureurs!J242)</f>
        <v/>
      </c>
      <c r="H242" s="25"/>
      <c r="I242" s="41"/>
      <c r="J242" s="8" t="str">
        <f>IF(I242="PM","",IF(H242=0," ",I242-HLOOKUP('Course 4'!H242,'tab4'!$C$3:$N$4,2)))</f>
        <v xml:space="preserve"> </v>
      </c>
      <c r="K242" s="23" t="str">
        <f>IF(I242="PM","",IF(H242=0," ",J242/'Règles et points'!$F$23))</f>
        <v xml:space="preserve"> </v>
      </c>
      <c r="L242" s="3" t="str">
        <f>IF(H242=0,"",VLOOKUP(H242,'Règles et points'!$C$5:$AG$19,(HLOOKUP('Course 4'!C242,'Règles et points'!$C$5:$AG$5,1)+1)))</f>
        <v/>
      </c>
      <c r="M242" s="23">
        <f t="shared" si="3"/>
        <v>0</v>
      </c>
      <c r="N242" s="80"/>
      <c r="O242" s="51"/>
      <c r="P242" s="52"/>
    </row>
    <row r="243" spans="2:16" ht="12.75">
      <c r="B243" s="14">
        <v>239</v>
      </c>
      <c r="C243" s="28" t="str">
        <f>IF(Coureurs!C243="","",Coureurs!C243)</f>
        <v/>
      </c>
      <c r="D243" s="131" t="str">
        <f>IF(Coureurs!D243="","",Coureurs!D243)</f>
        <v>70</v>
      </c>
      <c r="E243" s="87" t="str">
        <f>IF(Coureurs!F243="","",Coureurs!F243)</f>
        <v/>
      </c>
      <c r="F243" s="87" t="str">
        <f>IF(Coureurs!G243="","",Coureurs!G243)</f>
        <v/>
      </c>
      <c r="G243" s="50" t="str">
        <f>IF(Coureurs!J243="","",Coureurs!J243)</f>
        <v/>
      </c>
      <c r="H243" s="25"/>
      <c r="I243" s="41"/>
      <c r="J243" s="8" t="str">
        <f>IF(I243="PM","",IF(H243=0," ",I243-HLOOKUP('Course 4'!H243,'tab4'!$C$3:$N$4,2)))</f>
        <v xml:space="preserve"> </v>
      </c>
      <c r="K243" s="23" t="str">
        <f>IF(I243="PM","",IF(H243=0," ",J243/'Règles et points'!$F$23))</f>
        <v xml:space="preserve"> </v>
      </c>
      <c r="L243" s="3" t="str">
        <f>IF(H243=0,"",VLOOKUP(H243,'Règles et points'!$C$5:$AG$19,(HLOOKUP('Course 4'!C243,'Règles et points'!$C$5:$AG$5,1)+1)))</f>
        <v/>
      </c>
      <c r="M243" s="23">
        <f t="shared" si="3"/>
        <v>0</v>
      </c>
      <c r="N243" s="80"/>
      <c r="O243" s="51"/>
      <c r="P243" s="52"/>
    </row>
    <row r="244" spans="2:16" ht="12.75">
      <c r="B244" s="14">
        <v>240</v>
      </c>
      <c r="C244" s="28" t="str">
        <f>IF(Coureurs!C244="","",Coureurs!C244)</f>
        <v/>
      </c>
      <c r="D244" s="131" t="str">
        <f>IF(Coureurs!D244="","",Coureurs!D244)</f>
        <v>70</v>
      </c>
      <c r="E244" s="87" t="str">
        <f>IF(Coureurs!F244="","",Coureurs!F244)</f>
        <v/>
      </c>
      <c r="F244" s="87" t="str">
        <f>IF(Coureurs!G244="","",Coureurs!G244)</f>
        <v/>
      </c>
      <c r="G244" s="50" t="str">
        <f>IF(Coureurs!J244="","",Coureurs!J244)</f>
        <v/>
      </c>
      <c r="H244" s="25"/>
      <c r="I244" s="41"/>
      <c r="J244" s="8" t="str">
        <f>IF(I244="PM","",IF(H244=0," ",I244-HLOOKUP('Course 4'!H244,'tab4'!$C$3:$N$4,2)))</f>
        <v xml:space="preserve"> </v>
      </c>
      <c r="K244" s="23" t="str">
        <f>IF(I244="PM","",IF(H244=0," ",J244/'Règles et points'!$F$23))</f>
        <v xml:space="preserve"> </v>
      </c>
      <c r="L244" s="3" t="str">
        <f>IF(H244=0,"",VLOOKUP(H244,'Règles et points'!$C$5:$AG$19,(HLOOKUP('Course 4'!C244,'Règles et points'!$C$5:$AG$5,1)+1)))</f>
        <v/>
      </c>
      <c r="M244" s="23">
        <f t="shared" si="3"/>
        <v>0</v>
      </c>
      <c r="N244" s="80"/>
      <c r="O244" s="51"/>
      <c r="P244" s="52"/>
    </row>
    <row r="245" spans="2:16" ht="12.75">
      <c r="B245" s="14">
        <v>241</v>
      </c>
      <c r="C245" s="28" t="str">
        <f>IF(Coureurs!C245="","",Coureurs!C245)</f>
        <v/>
      </c>
      <c r="D245" s="131" t="str">
        <f>IF(Coureurs!D245="","",Coureurs!D245)</f>
        <v>70</v>
      </c>
      <c r="E245" s="87" t="str">
        <f>IF(Coureurs!F245="","",Coureurs!F245)</f>
        <v/>
      </c>
      <c r="F245" s="87" t="str">
        <f>IF(Coureurs!G245="","",Coureurs!G245)</f>
        <v/>
      </c>
      <c r="G245" s="50" t="str">
        <f>IF(Coureurs!J245="","",Coureurs!J245)</f>
        <v/>
      </c>
      <c r="H245" s="25"/>
      <c r="I245" s="41"/>
      <c r="J245" s="8" t="str">
        <f>IF(I245="PM","",IF(H245=0," ",I245-HLOOKUP('Course 4'!H245,'tab4'!$C$3:$N$4,2)))</f>
        <v xml:space="preserve"> </v>
      </c>
      <c r="K245" s="23" t="str">
        <f>IF(I245="PM","",IF(H245=0," ",J245/'Règles et points'!$F$23))</f>
        <v xml:space="preserve"> </v>
      </c>
      <c r="L245" s="3" t="str">
        <f>IF(H245=0,"",VLOOKUP(H245,'Règles et points'!$C$5:$AG$19,(HLOOKUP('Course 4'!C245,'Règles et points'!$C$5:$AG$5,1)+1)))</f>
        <v/>
      </c>
      <c r="M245" s="23">
        <f t="shared" si="3"/>
        <v>0</v>
      </c>
      <c r="N245" s="80"/>
      <c r="O245" s="51"/>
      <c r="P245" s="52"/>
    </row>
    <row r="246" spans="2:16" ht="12.75">
      <c r="B246" s="14">
        <v>242</v>
      </c>
      <c r="C246" s="28" t="str">
        <f>IF(Coureurs!C246="","",Coureurs!C246)</f>
        <v/>
      </c>
      <c r="D246" s="131" t="str">
        <f>IF(Coureurs!D246="","",Coureurs!D246)</f>
        <v>70</v>
      </c>
      <c r="E246" s="87" t="str">
        <f>IF(Coureurs!F246="","",Coureurs!F246)</f>
        <v/>
      </c>
      <c r="F246" s="87" t="str">
        <f>IF(Coureurs!G246="","",Coureurs!G246)</f>
        <v/>
      </c>
      <c r="G246" s="50" t="str">
        <f>IF(Coureurs!J246="","",Coureurs!J246)</f>
        <v/>
      </c>
      <c r="H246" s="25"/>
      <c r="I246" s="41"/>
      <c r="J246" s="8" t="str">
        <f>IF(I246="PM","",IF(H246=0," ",I246-HLOOKUP('Course 4'!H246,'tab4'!$C$3:$N$4,2)))</f>
        <v xml:space="preserve"> </v>
      </c>
      <c r="K246" s="23" t="str">
        <f>IF(I246="PM","",IF(H246=0," ",J246/'Règles et points'!$F$23))</f>
        <v xml:space="preserve"> </v>
      </c>
      <c r="L246" s="3" t="str">
        <f>IF(H246=0,"",VLOOKUP(H246,'Règles et points'!$C$5:$AG$19,(HLOOKUP('Course 4'!C246,'Règles et points'!$C$5:$AG$5,1)+1)))</f>
        <v/>
      </c>
      <c r="M246" s="23">
        <f t="shared" si="3"/>
        <v>0</v>
      </c>
      <c r="N246" s="80"/>
      <c r="O246" s="51"/>
      <c r="P246" s="52"/>
    </row>
    <row r="247" spans="2:16" ht="12.75">
      <c r="B247" s="14">
        <v>243</v>
      </c>
      <c r="C247" s="28" t="str">
        <f>IF(Coureurs!C247="","",Coureurs!C247)</f>
        <v/>
      </c>
      <c r="D247" s="131" t="str">
        <f>IF(Coureurs!D247="","",Coureurs!D247)</f>
        <v>70</v>
      </c>
      <c r="E247" s="87" t="str">
        <f>IF(Coureurs!F247="","",Coureurs!F247)</f>
        <v/>
      </c>
      <c r="F247" s="87" t="str">
        <f>IF(Coureurs!G247="","",Coureurs!G247)</f>
        <v/>
      </c>
      <c r="G247" s="50" t="str">
        <f>IF(Coureurs!J247="","",Coureurs!J247)</f>
        <v/>
      </c>
      <c r="H247" s="25"/>
      <c r="I247" s="41"/>
      <c r="J247" s="8" t="str">
        <f>IF(I247="PM","",IF(H247=0," ",I247-HLOOKUP('Course 4'!H247,'tab4'!$C$3:$N$4,2)))</f>
        <v xml:space="preserve"> </v>
      </c>
      <c r="K247" s="23" t="str">
        <f>IF(I247="PM","",IF(H247=0," ",J247/'Règles et points'!$F$23))</f>
        <v xml:space="preserve"> </v>
      </c>
      <c r="L247" s="3" t="str">
        <f>IF(H247=0,"",VLOOKUP(H247,'Règles et points'!$C$5:$AG$19,(HLOOKUP('Course 4'!C247,'Règles et points'!$C$5:$AG$5,1)+1)))</f>
        <v/>
      </c>
      <c r="M247" s="23">
        <f t="shared" si="3"/>
        <v>0</v>
      </c>
      <c r="N247" s="80"/>
      <c r="O247" s="51"/>
      <c r="P247" s="52"/>
    </row>
    <row r="248" spans="2:16" ht="12.75">
      <c r="B248" s="14">
        <v>244</v>
      </c>
      <c r="C248" s="28" t="str">
        <f>IF(Coureurs!C248="","",Coureurs!C248)</f>
        <v/>
      </c>
      <c r="D248" s="131" t="str">
        <f>IF(Coureurs!D248="","",Coureurs!D248)</f>
        <v>70</v>
      </c>
      <c r="E248" s="87" t="str">
        <f>IF(Coureurs!F248="","",Coureurs!F248)</f>
        <v/>
      </c>
      <c r="F248" s="87" t="str">
        <f>IF(Coureurs!G248="","",Coureurs!G248)</f>
        <v/>
      </c>
      <c r="G248" s="50" t="str">
        <f>IF(Coureurs!J248="","",Coureurs!J248)</f>
        <v/>
      </c>
      <c r="H248" s="25"/>
      <c r="I248" s="41"/>
      <c r="J248" s="8" t="str">
        <f>IF(I248="PM","",IF(H248=0," ",I248-HLOOKUP('Course 4'!H248,'tab4'!$C$3:$N$4,2)))</f>
        <v xml:space="preserve"> </v>
      </c>
      <c r="K248" s="23" t="str">
        <f>IF(I248="PM","",IF(H248=0," ",J248/'Règles et points'!$F$23))</f>
        <v xml:space="preserve"> </v>
      </c>
      <c r="L248" s="3" t="str">
        <f>IF(H248=0,"",VLOOKUP(H248,'Règles et points'!$C$5:$AG$19,(HLOOKUP('Course 4'!C248,'Règles et points'!$C$5:$AG$5,1)+1)))</f>
        <v/>
      </c>
      <c r="M248" s="23">
        <f t="shared" si="3"/>
        <v>0</v>
      </c>
      <c r="N248" s="80"/>
      <c r="O248" s="51"/>
      <c r="P248" s="52"/>
    </row>
    <row r="249" spans="2:16" ht="12.75">
      <c r="B249" s="14">
        <v>245</v>
      </c>
      <c r="C249" s="28" t="str">
        <f>IF(Coureurs!C249="","",Coureurs!C249)</f>
        <v/>
      </c>
      <c r="D249" s="131" t="str">
        <f>IF(Coureurs!D249="","",Coureurs!D249)</f>
        <v>70</v>
      </c>
      <c r="E249" s="87" t="str">
        <f>IF(Coureurs!F249="","",Coureurs!F249)</f>
        <v/>
      </c>
      <c r="F249" s="87" t="str">
        <f>IF(Coureurs!G249="","",Coureurs!G249)</f>
        <v/>
      </c>
      <c r="G249" s="50" t="str">
        <f>IF(Coureurs!J249="","",Coureurs!J249)</f>
        <v/>
      </c>
      <c r="H249" s="25"/>
      <c r="I249" s="41"/>
      <c r="J249" s="8" t="str">
        <f>IF(I249="PM","",IF(H249=0," ",I249-HLOOKUP('Course 4'!H249,'tab4'!$C$3:$N$4,2)))</f>
        <v xml:space="preserve"> </v>
      </c>
      <c r="K249" s="23" t="str">
        <f>IF(I249="PM","",IF(H249=0," ",J249/'Règles et points'!$F$23))</f>
        <v xml:space="preserve"> </v>
      </c>
      <c r="L249" s="3" t="str">
        <f>IF(H249=0,"",VLOOKUP(H249,'Règles et points'!$C$5:$AG$19,(HLOOKUP('Course 4'!C249,'Règles et points'!$C$5:$AG$5,1)+1)))</f>
        <v/>
      </c>
      <c r="M249" s="23">
        <f t="shared" si="3"/>
        <v>0</v>
      </c>
      <c r="N249" s="80"/>
      <c r="O249" s="51"/>
      <c r="P249" s="52"/>
    </row>
    <row r="250" spans="2:16" ht="12.75">
      <c r="B250" s="14">
        <v>246</v>
      </c>
      <c r="C250" s="28" t="str">
        <f>IF(Coureurs!C250="","",Coureurs!C250)</f>
        <v/>
      </c>
      <c r="D250" s="131" t="str">
        <f>IF(Coureurs!D250="","",Coureurs!D250)</f>
        <v>70</v>
      </c>
      <c r="E250" s="87" t="str">
        <f>IF(Coureurs!F250="","",Coureurs!F250)</f>
        <v/>
      </c>
      <c r="F250" s="87" t="str">
        <f>IF(Coureurs!G250="","",Coureurs!G250)</f>
        <v/>
      </c>
      <c r="G250" s="50" t="str">
        <f>IF(Coureurs!J250="","",Coureurs!J250)</f>
        <v/>
      </c>
      <c r="H250" s="25"/>
      <c r="I250" s="41"/>
      <c r="J250" s="8" t="str">
        <f>IF(I250="PM","",IF(H250=0," ",I250-HLOOKUP('Course 4'!H250,'tab4'!$C$3:$N$4,2)))</f>
        <v xml:space="preserve"> </v>
      </c>
      <c r="K250" s="23" t="str">
        <f>IF(I250="PM","",IF(H250=0," ",J250/'Règles et points'!$F$23))</f>
        <v xml:space="preserve"> </v>
      </c>
      <c r="L250" s="3" t="str">
        <f>IF(H250=0,"",VLOOKUP(H250,'Règles et points'!$C$5:$AG$19,(HLOOKUP('Course 4'!C250,'Règles et points'!$C$5:$AG$5,1)+1)))</f>
        <v/>
      </c>
      <c r="M250" s="23">
        <f t="shared" si="3"/>
        <v>0</v>
      </c>
      <c r="N250" s="80"/>
      <c r="O250" s="51"/>
      <c r="P250" s="52"/>
    </row>
    <row r="251" spans="2:16" ht="12.75">
      <c r="B251" s="14">
        <v>247</v>
      </c>
      <c r="C251" s="28" t="str">
        <f>IF(Coureurs!C251="","",Coureurs!C251)</f>
        <v/>
      </c>
      <c r="D251" s="131" t="str">
        <f>IF(Coureurs!D251="","",Coureurs!D251)</f>
        <v>70</v>
      </c>
      <c r="E251" s="87" t="str">
        <f>IF(Coureurs!F251="","",Coureurs!F251)</f>
        <v/>
      </c>
      <c r="F251" s="87" t="str">
        <f>IF(Coureurs!G251="","",Coureurs!G251)</f>
        <v/>
      </c>
      <c r="G251" s="50" t="str">
        <f>IF(Coureurs!J251="","",Coureurs!J251)</f>
        <v/>
      </c>
      <c r="H251" s="25"/>
      <c r="I251" s="41"/>
      <c r="J251" s="8" t="str">
        <f>IF(I251="PM","",IF(H251=0," ",I251-HLOOKUP('Course 4'!H251,'tab4'!$C$3:$N$4,2)))</f>
        <v xml:space="preserve"> </v>
      </c>
      <c r="K251" s="23" t="str">
        <f>IF(I251="PM","",IF(H251=0," ",J251/'Règles et points'!$F$23))</f>
        <v xml:space="preserve"> </v>
      </c>
      <c r="L251" s="3" t="str">
        <f>IF(H251=0,"",VLOOKUP(H251,'Règles et points'!$C$5:$AG$19,(HLOOKUP('Course 4'!C251,'Règles et points'!$C$5:$AG$5,1)+1)))</f>
        <v/>
      </c>
      <c r="M251" s="23">
        <f t="shared" si="3"/>
        <v>0</v>
      </c>
      <c r="N251" s="80"/>
      <c r="O251" s="51"/>
      <c r="P251" s="52"/>
    </row>
    <row r="252" spans="2:16" ht="12.75">
      <c r="B252" s="14">
        <v>248</v>
      </c>
      <c r="C252" s="28" t="str">
        <f>IF(Coureurs!C252="","",Coureurs!C252)</f>
        <v/>
      </c>
      <c r="D252" s="131" t="str">
        <f>IF(Coureurs!D252="","",Coureurs!D252)</f>
        <v>70</v>
      </c>
      <c r="E252" s="87" t="str">
        <f>IF(Coureurs!F252="","",Coureurs!F252)</f>
        <v/>
      </c>
      <c r="F252" s="87" t="str">
        <f>IF(Coureurs!G252="","",Coureurs!G252)</f>
        <v/>
      </c>
      <c r="G252" s="50" t="str">
        <f>IF(Coureurs!J252="","",Coureurs!J252)</f>
        <v/>
      </c>
      <c r="H252" s="25"/>
      <c r="I252" s="41"/>
      <c r="J252" s="8" t="str">
        <f>IF(I252="PM","",IF(H252=0," ",I252-HLOOKUP('Course 4'!H252,'tab4'!$C$3:$N$4,2)))</f>
        <v xml:space="preserve"> </v>
      </c>
      <c r="K252" s="23" t="str">
        <f>IF(I252="PM","",IF(H252=0," ",J252/'Règles et points'!$F$23))</f>
        <v xml:space="preserve"> </v>
      </c>
      <c r="L252" s="3" t="str">
        <f>IF(H252=0,"",VLOOKUP(H252,'Règles et points'!$C$5:$AG$19,(HLOOKUP('Course 4'!C252,'Règles et points'!$C$5:$AG$5,1)+1)))</f>
        <v/>
      </c>
      <c r="M252" s="23">
        <f t="shared" si="3"/>
        <v>0</v>
      </c>
      <c r="N252" s="80"/>
      <c r="O252" s="51"/>
      <c r="P252" s="52"/>
    </row>
    <row r="253" spans="2:16" ht="12.75">
      <c r="B253" s="14">
        <v>249</v>
      </c>
      <c r="C253" s="28" t="str">
        <f>IF(Coureurs!C253="","",Coureurs!C253)</f>
        <v/>
      </c>
      <c r="D253" s="131" t="str">
        <f>IF(Coureurs!D253="","",Coureurs!D253)</f>
        <v>70</v>
      </c>
      <c r="E253" s="87" t="str">
        <f>IF(Coureurs!F253="","",Coureurs!F253)</f>
        <v/>
      </c>
      <c r="F253" s="87" t="str">
        <f>IF(Coureurs!G253="","",Coureurs!G253)</f>
        <v/>
      </c>
      <c r="G253" s="50" t="str">
        <f>IF(Coureurs!J253="","",Coureurs!J253)</f>
        <v/>
      </c>
      <c r="H253" s="25"/>
      <c r="I253" s="41"/>
      <c r="J253" s="8" t="str">
        <f>IF(I253="PM","",IF(H253=0," ",I253-HLOOKUP('Course 4'!H253,'tab4'!$C$3:$N$4,2)))</f>
        <v xml:space="preserve"> </v>
      </c>
      <c r="K253" s="23" t="str">
        <f>IF(I253="PM","",IF(H253=0," ",J253/'Règles et points'!$F$23))</f>
        <v xml:space="preserve"> </v>
      </c>
      <c r="L253" s="3" t="str">
        <f>IF(H253=0,"",VLOOKUP(H253,'Règles et points'!$C$5:$AG$19,(HLOOKUP('Course 4'!C253,'Règles et points'!$C$5:$AG$5,1)+1)))</f>
        <v/>
      </c>
      <c r="M253" s="23">
        <f t="shared" si="3"/>
        <v>0</v>
      </c>
      <c r="N253" s="80"/>
      <c r="O253" s="51"/>
      <c r="P253" s="52"/>
    </row>
    <row r="254" spans="2:16" ht="12.75">
      <c r="B254" s="14">
        <v>250</v>
      </c>
      <c r="C254" s="28" t="str">
        <f>IF(Coureurs!C254="","",Coureurs!C254)</f>
        <v/>
      </c>
      <c r="D254" s="131" t="str">
        <f>IF(Coureurs!D254="","",Coureurs!D254)</f>
        <v>70</v>
      </c>
      <c r="E254" s="87" t="str">
        <f>IF(Coureurs!F254="","",Coureurs!F254)</f>
        <v/>
      </c>
      <c r="F254" s="87" t="str">
        <f>IF(Coureurs!G254="","",Coureurs!G254)</f>
        <v/>
      </c>
      <c r="G254" s="50" t="str">
        <f>IF(Coureurs!J254="","",Coureurs!J254)</f>
        <v/>
      </c>
      <c r="H254" s="25"/>
      <c r="I254" s="41"/>
      <c r="J254" s="8" t="str">
        <f>IF(I254="PM","",IF(H254=0," ",I254-HLOOKUP('Course 4'!H254,'tab4'!$C$3:$N$4,2)))</f>
        <v xml:space="preserve"> </v>
      </c>
      <c r="K254" s="23" t="str">
        <f>IF(I254="PM","",IF(H254=0," ",J254/'Règles et points'!$F$23))</f>
        <v xml:space="preserve"> </v>
      </c>
      <c r="L254" s="3" t="str">
        <f>IF(H254=0,"",VLOOKUP(H254,'Règles et points'!$C$5:$AG$19,(HLOOKUP('Course 4'!C254,'Règles et points'!$C$5:$AG$5,1)+1)))</f>
        <v/>
      </c>
      <c r="M254" s="23">
        <f t="shared" si="3"/>
        <v>0</v>
      </c>
      <c r="N254" s="80"/>
      <c r="O254" s="51"/>
      <c r="P254" s="52"/>
    </row>
    <row r="255" spans="2:16" ht="12.75">
      <c r="B255" s="14">
        <v>251</v>
      </c>
      <c r="C255" s="28" t="str">
        <f>IF(Coureurs!C255="","",Coureurs!C255)</f>
        <v/>
      </c>
      <c r="D255" s="131" t="str">
        <f>IF(Coureurs!D255="","",Coureurs!D255)</f>
        <v>70</v>
      </c>
      <c r="E255" s="87" t="str">
        <f>IF(Coureurs!F255="","",Coureurs!F255)</f>
        <v/>
      </c>
      <c r="F255" s="87" t="str">
        <f>IF(Coureurs!G255="","",Coureurs!G255)</f>
        <v/>
      </c>
      <c r="G255" s="50" t="str">
        <f>IF(Coureurs!J255="","",Coureurs!J255)</f>
        <v/>
      </c>
      <c r="H255" s="25"/>
      <c r="I255" s="41"/>
      <c r="J255" s="8" t="str">
        <f>IF(I255="PM","",IF(H255=0," ",I255-HLOOKUP('Course 4'!H255,'tab4'!$C$3:$N$4,2)))</f>
        <v xml:space="preserve"> </v>
      </c>
      <c r="K255" s="23" t="str">
        <f>IF(I255="PM","",IF(H255=0," ",J255/'Règles et points'!$F$23))</f>
        <v xml:space="preserve"> </v>
      </c>
      <c r="L255" s="3" t="str">
        <f>IF(H255=0,"",VLOOKUP(H255,'Règles et points'!$C$5:$AG$19,(HLOOKUP('Course 4'!C255,'Règles et points'!$C$5:$AG$5,1)+1)))</f>
        <v/>
      </c>
      <c r="M255" s="23">
        <f t="shared" si="3"/>
        <v>0</v>
      </c>
      <c r="N255" s="80"/>
      <c r="O255" s="51"/>
      <c r="P255" s="52"/>
    </row>
    <row r="256" spans="2:16" ht="12.75">
      <c r="B256" s="14">
        <v>252</v>
      </c>
      <c r="C256" s="28" t="str">
        <f>IF(Coureurs!C256="","",Coureurs!C256)</f>
        <v/>
      </c>
      <c r="D256" s="131" t="str">
        <f>IF(Coureurs!D256="","",Coureurs!D256)</f>
        <v>70</v>
      </c>
      <c r="E256" s="87" t="str">
        <f>IF(Coureurs!F256="","",Coureurs!F256)</f>
        <v/>
      </c>
      <c r="F256" s="87" t="str">
        <f>IF(Coureurs!G256="","",Coureurs!G256)</f>
        <v/>
      </c>
      <c r="G256" s="50" t="str">
        <f>IF(Coureurs!J256="","",Coureurs!J256)</f>
        <v/>
      </c>
      <c r="H256" s="25"/>
      <c r="I256" s="41"/>
      <c r="J256" s="8" t="str">
        <f>IF(I256="PM","",IF(H256=0," ",I256-HLOOKUP('Course 4'!H256,'tab4'!$C$3:$N$4,2)))</f>
        <v xml:space="preserve"> </v>
      </c>
      <c r="K256" s="23" t="str">
        <f>IF(I256="PM","",IF(H256=0," ",J256/'Règles et points'!$F$23))</f>
        <v xml:space="preserve"> </v>
      </c>
      <c r="L256" s="3" t="str">
        <f>IF(H256=0,"",VLOOKUP(H256,'Règles et points'!$C$5:$AG$19,(HLOOKUP('Course 4'!C256,'Règles et points'!$C$5:$AG$5,1)+1)))</f>
        <v/>
      </c>
      <c r="M256" s="23">
        <f t="shared" si="3"/>
        <v>0</v>
      </c>
      <c r="N256" s="80"/>
      <c r="O256" s="51"/>
      <c r="P256" s="52"/>
    </row>
    <row r="257" spans="2:16" ht="12.75">
      <c r="B257" s="14">
        <v>253</v>
      </c>
      <c r="C257" s="28" t="str">
        <f>IF(Coureurs!C257="","",Coureurs!C257)</f>
        <v/>
      </c>
      <c r="D257" s="131" t="str">
        <f>IF(Coureurs!D257="","",Coureurs!D257)</f>
        <v>70</v>
      </c>
      <c r="E257" s="87" t="str">
        <f>IF(Coureurs!F257="","",Coureurs!F257)</f>
        <v/>
      </c>
      <c r="F257" s="87" t="str">
        <f>IF(Coureurs!G257="","",Coureurs!G257)</f>
        <v/>
      </c>
      <c r="G257" s="50" t="str">
        <f>IF(Coureurs!J257="","",Coureurs!J257)</f>
        <v/>
      </c>
      <c r="H257" s="25"/>
      <c r="I257" s="41"/>
      <c r="J257" s="8" t="str">
        <f>IF(I257="PM","",IF(H257=0," ",I257-HLOOKUP('Course 4'!H257,'tab4'!$C$3:$N$4,2)))</f>
        <v xml:space="preserve"> </v>
      </c>
      <c r="K257" s="23" t="str">
        <f>IF(I257="PM","",IF(H257=0," ",J257/'Règles et points'!$F$23))</f>
        <v xml:space="preserve"> </v>
      </c>
      <c r="L257" s="3" t="str">
        <f>IF(H257=0,"",VLOOKUP(H257,'Règles et points'!$C$5:$AG$19,(HLOOKUP('Course 4'!C257,'Règles et points'!$C$5:$AG$5,1)+1)))</f>
        <v/>
      </c>
      <c r="M257" s="23">
        <f t="shared" si="3"/>
        <v>0</v>
      </c>
      <c r="N257" s="80"/>
      <c r="O257" s="51"/>
      <c r="P257" s="52"/>
    </row>
    <row r="258" spans="2:16" ht="12.75">
      <c r="B258" s="14">
        <v>254</v>
      </c>
      <c r="C258" s="28" t="str">
        <f>IF(Coureurs!C258="","",Coureurs!C258)</f>
        <v/>
      </c>
      <c r="D258" s="131" t="str">
        <f>IF(Coureurs!D258="","",Coureurs!D258)</f>
        <v>70</v>
      </c>
      <c r="E258" s="87" t="str">
        <f>IF(Coureurs!F258="","",Coureurs!F258)</f>
        <v/>
      </c>
      <c r="F258" s="87" t="str">
        <f>IF(Coureurs!G258="","",Coureurs!G258)</f>
        <v/>
      </c>
      <c r="G258" s="50" t="str">
        <f>IF(Coureurs!J258="","",Coureurs!J258)</f>
        <v/>
      </c>
      <c r="H258" s="25"/>
      <c r="I258" s="41"/>
      <c r="J258" s="8" t="str">
        <f>IF(I258="PM","",IF(H258=0," ",I258-HLOOKUP('Course 4'!H258,'tab4'!$C$3:$N$4,2)))</f>
        <v xml:space="preserve"> </v>
      </c>
      <c r="K258" s="23" t="str">
        <f>IF(I258="PM","",IF(H258=0," ",J258/'Règles et points'!$F$23))</f>
        <v xml:space="preserve"> </v>
      </c>
      <c r="L258" s="3" t="str">
        <f>IF(H258=0,"",VLOOKUP(H258,'Règles et points'!$C$5:$AG$19,(HLOOKUP('Course 4'!C258,'Règles et points'!$C$5:$AG$5,1)+1)))</f>
        <v/>
      </c>
      <c r="M258" s="23">
        <f t="shared" si="3"/>
        <v>0</v>
      </c>
      <c r="N258" s="80"/>
      <c r="O258" s="51"/>
      <c r="P258" s="52"/>
    </row>
    <row r="259" spans="2:16" ht="12.75">
      <c r="B259" s="14">
        <v>255</v>
      </c>
      <c r="C259" s="28" t="str">
        <f>IF(Coureurs!C259="","",Coureurs!C259)</f>
        <v/>
      </c>
      <c r="D259" s="131" t="str">
        <f>IF(Coureurs!D259="","",Coureurs!D259)</f>
        <v>70</v>
      </c>
      <c r="E259" s="87" t="str">
        <f>IF(Coureurs!F259="","",Coureurs!F259)</f>
        <v/>
      </c>
      <c r="F259" s="87" t="str">
        <f>IF(Coureurs!G259="","",Coureurs!G259)</f>
        <v/>
      </c>
      <c r="G259" s="50" t="str">
        <f>IF(Coureurs!J259="","",Coureurs!J259)</f>
        <v/>
      </c>
      <c r="H259" s="25"/>
      <c r="I259" s="41"/>
      <c r="J259" s="8" t="str">
        <f>IF(I259="PM","",IF(H259=0," ",I259-HLOOKUP('Course 4'!H259,'tab4'!$C$3:$N$4,2)))</f>
        <v xml:space="preserve"> </v>
      </c>
      <c r="K259" s="23" t="str">
        <f>IF(I259="PM","",IF(H259=0," ",J259/'Règles et points'!$F$23))</f>
        <v xml:space="preserve"> </v>
      </c>
      <c r="L259" s="3" t="str">
        <f>IF(H259=0,"",VLOOKUP(H259,'Règles et points'!$C$5:$AG$19,(HLOOKUP('Course 4'!C259,'Règles et points'!$C$5:$AG$5,1)+1)))</f>
        <v/>
      </c>
      <c r="M259" s="23">
        <f t="shared" si="3"/>
        <v>0</v>
      </c>
      <c r="N259" s="80"/>
      <c r="O259" s="51"/>
      <c r="P259" s="52"/>
    </row>
    <row r="260" spans="2:16" ht="12.75">
      <c r="B260" s="14">
        <v>256</v>
      </c>
      <c r="C260" s="28" t="str">
        <f>IF(Coureurs!C260="","",Coureurs!C260)</f>
        <v/>
      </c>
      <c r="D260" s="131" t="str">
        <f>IF(Coureurs!D260="","",Coureurs!D260)</f>
        <v>70</v>
      </c>
      <c r="E260" s="87" t="str">
        <f>IF(Coureurs!F260="","",Coureurs!F260)</f>
        <v/>
      </c>
      <c r="F260" s="87" t="str">
        <f>IF(Coureurs!G260="","",Coureurs!G260)</f>
        <v/>
      </c>
      <c r="G260" s="50" t="str">
        <f>IF(Coureurs!J260="","",Coureurs!J260)</f>
        <v/>
      </c>
      <c r="H260" s="25"/>
      <c r="I260" s="41"/>
      <c r="J260" s="8" t="str">
        <f>IF(I260="PM","",IF(H260=0," ",I260-HLOOKUP('Course 4'!H260,'tab4'!$C$3:$N$4,2)))</f>
        <v xml:space="preserve"> </v>
      </c>
      <c r="K260" s="23" t="str">
        <f>IF(I260="PM","",IF(H260=0," ",J260/'Règles et points'!$F$23))</f>
        <v xml:space="preserve"> </v>
      </c>
      <c r="L260" s="3" t="str">
        <f>IF(H260=0,"",VLOOKUP(H260,'Règles et points'!$C$5:$AG$19,(HLOOKUP('Course 4'!C260,'Règles et points'!$C$5:$AG$5,1)+1)))</f>
        <v/>
      </c>
      <c r="M260" s="23">
        <f t="shared" ref="M260:M302" si="4">IF(I260="PM",0,IF(H260=0,0,L260-K260))+N260</f>
        <v>0</v>
      </c>
      <c r="N260" s="80"/>
      <c r="O260" s="51"/>
      <c r="P260" s="52"/>
    </row>
    <row r="261" spans="2:16" ht="12.75">
      <c r="B261" s="14">
        <v>257</v>
      </c>
      <c r="C261" s="28" t="str">
        <f>IF(Coureurs!C261="","",Coureurs!C261)</f>
        <v/>
      </c>
      <c r="D261" s="131" t="str">
        <f>IF(Coureurs!D261="","",Coureurs!D261)</f>
        <v>70</v>
      </c>
      <c r="E261" s="87" t="str">
        <f>IF(Coureurs!F261="","",Coureurs!F261)</f>
        <v/>
      </c>
      <c r="F261" s="87" t="str">
        <f>IF(Coureurs!G261="","",Coureurs!G261)</f>
        <v/>
      </c>
      <c r="G261" s="50" t="str">
        <f>IF(Coureurs!J261="","",Coureurs!J261)</f>
        <v/>
      </c>
      <c r="H261" s="25"/>
      <c r="I261" s="41"/>
      <c r="J261" s="8" t="str">
        <f>IF(I261="PM","",IF(H261=0," ",I261-HLOOKUP('Course 4'!H261,'tab4'!$C$3:$N$4,2)))</f>
        <v xml:space="preserve"> </v>
      </c>
      <c r="K261" s="23" t="str">
        <f>IF(I261="PM","",IF(H261=0," ",J261/'Règles et points'!$F$23))</f>
        <v xml:space="preserve"> </v>
      </c>
      <c r="L261" s="3" t="str">
        <f>IF(H261=0,"",VLOOKUP(H261,'Règles et points'!$C$5:$AG$19,(HLOOKUP('Course 4'!C261,'Règles et points'!$C$5:$AG$5,1)+1)))</f>
        <v/>
      </c>
      <c r="M261" s="23">
        <f t="shared" si="4"/>
        <v>0</v>
      </c>
      <c r="N261" s="80"/>
      <c r="O261" s="51"/>
      <c r="P261" s="52"/>
    </row>
    <row r="262" spans="2:16" ht="12.75">
      <c r="B262" s="14">
        <v>258</v>
      </c>
      <c r="C262" s="28" t="str">
        <f>IF(Coureurs!C262="","",Coureurs!C262)</f>
        <v/>
      </c>
      <c r="D262" s="131" t="str">
        <f>IF(Coureurs!D262="","",Coureurs!D262)</f>
        <v>70</v>
      </c>
      <c r="E262" s="87" t="str">
        <f>IF(Coureurs!F262="","",Coureurs!F262)</f>
        <v/>
      </c>
      <c r="F262" s="87" t="str">
        <f>IF(Coureurs!G262="","",Coureurs!G262)</f>
        <v/>
      </c>
      <c r="G262" s="50" t="str">
        <f>IF(Coureurs!J262="","",Coureurs!J262)</f>
        <v/>
      </c>
      <c r="H262" s="25"/>
      <c r="I262" s="41"/>
      <c r="J262" s="8" t="str">
        <f>IF(I262="PM","",IF(H262=0," ",I262-HLOOKUP('Course 4'!H262,'tab4'!$C$3:$N$4,2)))</f>
        <v xml:space="preserve"> </v>
      </c>
      <c r="K262" s="23" t="str">
        <f>IF(I262="PM","",IF(H262=0," ",J262/'Règles et points'!$F$23))</f>
        <v xml:space="preserve"> </v>
      </c>
      <c r="L262" s="3" t="str">
        <f>IF(H262=0,"",VLOOKUP(H262,'Règles et points'!$C$5:$AG$19,(HLOOKUP('Course 4'!C262,'Règles et points'!$C$5:$AG$5,1)+1)))</f>
        <v/>
      </c>
      <c r="M262" s="23">
        <f t="shared" si="4"/>
        <v>0</v>
      </c>
      <c r="N262" s="80"/>
      <c r="O262" s="51"/>
      <c r="P262" s="52"/>
    </row>
    <row r="263" spans="2:16" ht="12.75">
      <c r="B263" s="14">
        <v>259</v>
      </c>
      <c r="C263" s="28" t="str">
        <f>IF(Coureurs!C263="","",Coureurs!C263)</f>
        <v/>
      </c>
      <c r="D263" s="131" t="str">
        <f>IF(Coureurs!D263="","",Coureurs!D263)</f>
        <v>70</v>
      </c>
      <c r="E263" s="87" t="str">
        <f>IF(Coureurs!F263="","",Coureurs!F263)</f>
        <v/>
      </c>
      <c r="F263" s="87" t="str">
        <f>IF(Coureurs!G263="","",Coureurs!G263)</f>
        <v/>
      </c>
      <c r="G263" s="50" t="str">
        <f>IF(Coureurs!J263="","",Coureurs!J263)</f>
        <v/>
      </c>
      <c r="H263" s="25"/>
      <c r="I263" s="41"/>
      <c r="J263" s="8" t="str">
        <f>IF(I263="PM","",IF(H263=0," ",I263-HLOOKUP('Course 4'!H263,'tab4'!$C$3:$N$4,2)))</f>
        <v xml:space="preserve"> </v>
      </c>
      <c r="K263" s="23" t="str">
        <f>IF(I263="PM","",IF(H263=0," ",J263/'Règles et points'!$F$23))</f>
        <v xml:space="preserve"> </v>
      </c>
      <c r="L263" s="3" t="str">
        <f>IF(H263=0,"",VLOOKUP(H263,'Règles et points'!$C$5:$AG$19,(HLOOKUP('Course 4'!C263,'Règles et points'!$C$5:$AG$5,1)+1)))</f>
        <v/>
      </c>
      <c r="M263" s="23">
        <f t="shared" si="4"/>
        <v>0</v>
      </c>
      <c r="N263" s="80"/>
      <c r="O263" s="51"/>
      <c r="P263" s="52"/>
    </row>
    <row r="264" spans="2:16" ht="12.75">
      <c r="B264" s="14">
        <v>260</v>
      </c>
      <c r="C264" s="28" t="str">
        <f>IF(Coureurs!C264="","",Coureurs!C264)</f>
        <v/>
      </c>
      <c r="D264" s="131" t="str">
        <f>IF(Coureurs!D264="","",Coureurs!D264)</f>
        <v>70</v>
      </c>
      <c r="E264" s="87" t="str">
        <f>IF(Coureurs!F264="","",Coureurs!F264)</f>
        <v/>
      </c>
      <c r="F264" s="87" t="str">
        <f>IF(Coureurs!G264="","",Coureurs!G264)</f>
        <v/>
      </c>
      <c r="G264" s="50" t="str">
        <f>IF(Coureurs!J264="","",Coureurs!J264)</f>
        <v/>
      </c>
      <c r="H264" s="25"/>
      <c r="I264" s="41"/>
      <c r="J264" s="8" t="str">
        <f>IF(I264="PM","",IF(H264=0," ",I264-HLOOKUP('Course 4'!H264,'tab4'!$C$3:$N$4,2)))</f>
        <v xml:space="preserve"> </v>
      </c>
      <c r="K264" s="23" t="str">
        <f>IF(I264="PM","",IF(H264=0," ",J264/'Règles et points'!$F$23))</f>
        <v xml:space="preserve"> </v>
      </c>
      <c r="L264" s="3" t="str">
        <f>IF(H264=0,"",VLOOKUP(H264,'Règles et points'!$C$5:$AG$19,(HLOOKUP('Course 4'!C264,'Règles et points'!$C$5:$AG$5,1)+1)))</f>
        <v/>
      </c>
      <c r="M264" s="23">
        <f t="shared" si="4"/>
        <v>0</v>
      </c>
      <c r="N264" s="80"/>
      <c r="O264" s="51"/>
      <c r="P264" s="52"/>
    </row>
    <row r="265" spans="2:16" ht="12.75">
      <c r="B265" s="14">
        <v>261</v>
      </c>
      <c r="C265" s="28" t="str">
        <f>IF(Coureurs!C265="","",Coureurs!C265)</f>
        <v/>
      </c>
      <c r="D265" s="131" t="str">
        <f>IF(Coureurs!D265="","",Coureurs!D265)</f>
        <v>70</v>
      </c>
      <c r="E265" s="87" t="str">
        <f>IF(Coureurs!F265="","",Coureurs!F265)</f>
        <v/>
      </c>
      <c r="F265" s="87" t="str">
        <f>IF(Coureurs!G265="","",Coureurs!G265)</f>
        <v/>
      </c>
      <c r="G265" s="50" t="str">
        <f>IF(Coureurs!J265="","",Coureurs!J265)</f>
        <v/>
      </c>
      <c r="H265" s="25"/>
      <c r="I265" s="41"/>
      <c r="J265" s="8" t="str">
        <f>IF(I265="PM","",IF(H265=0," ",I265-HLOOKUP('Course 4'!H265,'tab4'!$C$3:$N$4,2)))</f>
        <v xml:space="preserve"> </v>
      </c>
      <c r="K265" s="23" t="str">
        <f>IF(I265="PM","",IF(H265=0," ",J265/'Règles et points'!$F$23))</f>
        <v xml:space="preserve"> </v>
      </c>
      <c r="L265" s="3" t="str">
        <f>IF(H265=0,"",VLOOKUP(H265,'Règles et points'!$C$5:$AG$19,(HLOOKUP('Course 4'!C265,'Règles et points'!$C$5:$AG$5,1)+1)))</f>
        <v/>
      </c>
      <c r="M265" s="23">
        <f t="shared" si="4"/>
        <v>0</v>
      </c>
      <c r="N265" s="80"/>
      <c r="O265" s="51"/>
      <c r="P265" s="52"/>
    </row>
    <row r="266" spans="2:16" ht="12.75">
      <c r="B266" s="14">
        <v>262</v>
      </c>
      <c r="C266" s="28" t="str">
        <f>IF(Coureurs!C266="","",Coureurs!C266)</f>
        <v/>
      </c>
      <c r="D266" s="131" t="str">
        <f>IF(Coureurs!D266="","",Coureurs!D266)</f>
        <v>70</v>
      </c>
      <c r="E266" s="87" t="str">
        <f>IF(Coureurs!F266="","",Coureurs!F266)</f>
        <v/>
      </c>
      <c r="F266" s="87" t="str">
        <f>IF(Coureurs!G266="","",Coureurs!G266)</f>
        <v/>
      </c>
      <c r="G266" s="50" t="str">
        <f>IF(Coureurs!J266="","",Coureurs!J266)</f>
        <v/>
      </c>
      <c r="H266" s="25"/>
      <c r="I266" s="41"/>
      <c r="J266" s="8" t="str">
        <f>IF(I266="PM","",IF(H266=0," ",I266-HLOOKUP('Course 4'!H266,'tab4'!$C$3:$N$4,2)))</f>
        <v xml:space="preserve"> </v>
      </c>
      <c r="K266" s="23" t="str">
        <f>IF(I266="PM","",IF(H266=0," ",J266/'Règles et points'!$F$23))</f>
        <v xml:space="preserve"> </v>
      </c>
      <c r="L266" s="3" t="str">
        <f>IF(H266=0,"",VLOOKUP(H266,'Règles et points'!$C$5:$AG$19,(HLOOKUP('Course 4'!C266,'Règles et points'!$C$5:$AG$5,1)+1)))</f>
        <v/>
      </c>
      <c r="M266" s="23">
        <f t="shared" si="4"/>
        <v>0</v>
      </c>
      <c r="N266" s="80"/>
      <c r="O266" s="51"/>
      <c r="P266" s="52"/>
    </row>
    <row r="267" spans="2:16" ht="12.75">
      <c r="B267" s="14">
        <v>263</v>
      </c>
      <c r="C267" s="28" t="str">
        <f>IF(Coureurs!C267="","",Coureurs!C267)</f>
        <v/>
      </c>
      <c r="D267" s="131" t="str">
        <f>IF(Coureurs!D267="","",Coureurs!D267)</f>
        <v>70</v>
      </c>
      <c r="E267" s="87" t="str">
        <f>IF(Coureurs!F267="","",Coureurs!F267)</f>
        <v/>
      </c>
      <c r="F267" s="87" t="str">
        <f>IF(Coureurs!G267="","",Coureurs!G267)</f>
        <v/>
      </c>
      <c r="G267" s="50" t="str">
        <f>IF(Coureurs!J267="","",Coureurs!J267)</f>
        <v/>
      </c>
      <c r="H267" s="25"/>
      <c r="I267" s="41"/>
      <c r="J267" s="8" t="str">
        <f>IF(I267="PM","",IF(H267=0," ",I267-HLOOKUP('Course 4'!H267,'tab4'!$C$3:$N$4,2)))</f>
        <v xml:space="preserve"> </v>
      </c>
      <c r="K267" s="23" t="str">
        <f>IF(I267="PM","",IF(H267=0," ",J267/'Règles et points'!$F$23))</f>
        <v xml:space="preserve"> </v>
      </c>
      <c r="L267" s="3" t="str">
        <f>IF(H267=0,"",VLOOKUP(H267,'Règles et points'!$C$5:$AG$19,(HLOOKUP('Course 4'!C267,'Règles et points'!$C$5:$AG$5,1)+1)))</f>
        <v/>
      </c>
      <c r="M267" s="23">
        <f t="shared" si="4"/>
        <v>0</v>
      </c>
      <c r="N267" s="80"/>
      <c r="O267" s="51"/>
      <c r="P267" s="52"/>
    </row>
    <row r="268" spans="2:16" ht="12.75">
      <c r="B268" s="14">
        <v>264</v>
      </c>
      <c r="C268" s="28" t="str">
        <f>IF(Coureurs!C268="","",Coureurs!C268)</f>
        <v/>
      </c>
      <c r="D268" s="131" t="str">
        <f>IF(Coureurs!D268="","",Coureurs!D268)</f>
        <v>70</v>
      </c>
      <c r="E268" s="87" t="str">
        <f>IF(Coureurs!F268="","",Coureurs!F268)</f>
        <v/>
      </c>
      <c r="F268" s="87" t="str">
        <f>IF(Coureurs!G268="","",Coureurs!G268)</f>
        <v/>
      </c>
      <c r="G268" s="50" t="str">
        <f>IF(Coureurs!J268="","",Coureurs!J268)</f>
        <v/>
      </c>
      <c r="H268" s="25"/>
      <c r="I268" s="41"/>
      <c r="J268" s="8" t="str">
        <f>IF(I268="PM","",IF(H268=0," ",I268-HLOOKUP('Course 4'!H268,'tab4'!$C$3:$N$4,2)))</f>
        <v xml:space="preserve"> </v>
      </c>
      <c r="K268" s="23" t="str">
        <f>IF(I268="PM","",IF(H268=0," ",J268/'Règles et points'!$F$23))</f>
        <v xml:space="preserve"> </v>
      </c>
      <c r="L268" s="3" t="str">
        <f>IF(H268=0,"",VLOOKUP(H268,'Règles et points'!$C$5:$AG$19,(HLOOKUP('Course 4'!C268,'Règles et points'!$C$5:$AG$5,1)+1)))</f>
        <v/>
      </c>
      <c r="M268" s="23">
        <f t="shared" si="4"/>
        <v>0</v>
      </c>
      <c r="N268" s="80"/>
      <c r="O268" s="51"/>
      <c r="P268" s="52"/>
    </row>
    <row r="269" spans="2:16" ht="12.75">
      <c r="B269" s="14">
        <v>265</v>
      </c>
      <c r="C269" s="28" t="str">
        <f>IF(Coureurs!C269="","",Coureurs!C269)</f>
        <v/>
      </c>
      <c r="D269" s="131" t="str">
        <f>IF(Coureurs!D269="","",Coureurs!D269)</f>
        <v>70</v>
      </c>
      <c r="E269" s="87" t="str">
        <f>IF(Coureurs!F269="","",Coureurs!F269)</f>
        <v/>
      </c>
      <c r="F269" s="87" t="str">
        <f>IF(Coureurs!G269="","",Coureurs!G269)</f>
        <v/>
      </c>
      <c r="G269" s="50" t="str">
        <f>IF(Coureurs!J269="","",Coureurs!J269)</f>
        <v/>
      </c>
      <c r="H269" s="25"/>
      <c r="I269" s="41"/>
      <c r="J269" s="8" t="str">
        <f>IF(I269="PM","",IF(H269=0," ",I269-HLOOKUP('Course 4'!H269,'tab4'!$C$3:$N$4,2)))</f>
        <v xml:space="preserve"> </v>
      </c>
      <c r="K269" s="23" t="str">
        <f>IF(I269="PM","",IF(H269=0," ",J269/'Règles et points'!$F$23))</f>
        <v xml:space="preserve"> </v>
      </c>
      <c r="L269" s="3" t="str">
        <f>IF(H269=0,"",VLOOKUP(H269,'Règles et points'!$C$5:$AG$19,(HLOOKUP('Course 4'!C269,'Règles et points'!$C$5:$AG$5,1)+1)))</f>
        <v/>
      </c>
      <c r="M269" s="23">
        <f t="shared" si="4"/>
        <v>0</v>
      </c>
      <c r="N269" s="80"/>
      <c r="O269" s="51"/>
      <c r="P269" s="52"/>
    </row>
    <row r="270" spans="2:16" ht="12.75">
      <c r="B270" s="14">
        <v>266</v>
      </c>
      <c r="C270" s="28" t="str">
        <f>IF(Coureurs!C270="","",Coureurs!C270)</f>
        <v/>
      </c>
      <c r="D270" s="131" t="str">
        <f>IF(Coureurs!D270="","",Coureurs!D270)</f>
        <v>70</v>
      </c>
      <c r="E270" s="87" t="str">
        <f>IF(Coureurs!F270="","",Coureurs!F270)</f>
        <v/>
      </c>
      <c r="F270" s="87" t="str">
        <f>IF(Coureurs!G270="","",Coureurs!G270)</f>
        <v/>
      </c>
      <c r="G270" s="50" t="str">
        <f>IF(Coureurs!J270="","",Coureurs!J270)</f>
        <v/>
      </c>
      <c r="H270" s="25"/>
      <c r="I270" s="41"/>
      <c r="J270" s="8" t="str">
        <f>IF(I270="PM","",IF(H270=0," ",I270-HLOOKUP('Course 4'!H270,'tab4'!$C$3:$N$4,2)))</f>
        <v xml:space="preserve"> </v>
      </c>
      <c r="K270" s="23" t="str">
        <f>IF(I270="PM","",IF(H270=0," ",J270/'Règles et points'!$F$23))</f>
        <v xml:space="preserve"> </v>
      </c>
      <c r="L270" s="3" t="str">
        <f>IF(H270=0,"",VLOOKUP(H270,'Règles et points'!$C$5:$AG$19,(HLOOKUP('Course 4'!C270,'Règles et points'!$C$5:$AG$5,1)+1)))</f>
        <v/>
      </c>
      <c r="M270" s="23">
        <f t="shared" si="4"/>
        <v>0</v>
      </c>
      <c r="N270" s="80"/>
      <c r="O270" s="51"/>
      <c r="P270" s="52"/>
    </row>
    <row r="271" spans="2:16" ht="12.75">
      <c r="B271" s="14">
        <v>267</v>
      </c>
      <c r="C271" s="28" t="str">
        <f>IF(Coureurs!C271="","",Coureurs!C271)</f>
        <v/>
      </c>
      <c r="D271" s="131" t="str">
        <f>IF(Coureurs!D271="","",Coureurs!D271)</f>
        <v>70</v>
      </c>
      <c r="E271" s="87" t="str">
        <f>IF(Coureurs!F271="","",Coureurs!F271)</f>
        <v/>
      </c>
      <c r="F271" s="87" t="str">
        <f>IF(Coureurs!G271="","",Coureurs!G271)</f>
        <v/>
      </c>
      <c r="G271" s="50" t="str">
        <f>IF(Coureurs!J271="","",Coureurs!J271)</f>
        <v/>
      </c>
      <c r="H271" s="25"/>
      <c r="I271" s="41"/>
      <c r="J271" s="8" t="str">
        <f>IF(I271="PM","",IF(H271=0," ",I271-HLOOKUP('Course 4'!H271,'tab4'!$C$3:$N$4,2)))</f>
        <v xml:space="preserve"> </v>
      </c>
      <c r="K271" s="23" t="str">
        <f>IF(I271="PM","",IF(H271=0," ",J271/'Règles et points'!$F$23))</f>
        <v xml:space="preserve"> </v>
      </c>
      <c r="L271" s="3" t="str">
        <f>IF(H271=0,"",VLOOKUP(H271,'Règles et points'!$C$5:$AG$19,(HLOOKUP('Course 4'!C271,'Règles et points'!$C$5:$AG$5,1)+1)))</f>
        <v/>
      </c>
      <c r="M271" s="23">
        <f t="shared" si="4"/>
        <v>0</v>
      </c>
      <c r="N271" s="80"/>
      <c r="O271" s="51"/>
      <c r="P271" s="52"/>
    </row>
    <row r="272" spans="2:16" ht="12.75">
      <c r="B272" s="14">
        <v>268</v>
      </c>
      <c r="C272" s="28" t="str">
        <f>IF(Coureurs!C272="","",Coureurs!C272)</f>
        <v/>
      </c>
      <c r="D272" s="131" t="str">
        <f>IF(Coureurs!D272="","",Coureurs!D272)</f>
        <v>70</v>
      </c>
      <c r="E272" s="87" t="str">
        <f>IF(Coureurs!F272="","",Coureurs!F272)</f>
        <v/>
      </c>
      <c r="F272" s="87" t="str">
        <f>IF(Coureurs!G272="","",Coureurs!G272)</f>
        <v/>
      </c>
      <c r="G272" s="50" t="str">
        <f>IF(Coureurs!J272="","",Coureurs!J272)</f>
        <v/>
      </c>
      <c r="H272" s="25"/>
      <c r="I272" s="41"/>
      <c r="J272" s="8" t="str">
        <f>IF(I272="PM","",IF(H272=0," ",I272-HLOOKUP('Course 4'!H272,'tab4'!$C$3:$N$4,2)))</f>
        <v xml:space="preserve"> </v>
      </c>
      <c r="K272" s="23" t="str">
        <f>IF(I272="PM","",IF(H272=0," ",J272/'Règles et points'!$F$23))</f>
        <v xml:space="preserve"> </v>
      </c>
      <c r="L272" s="3" t="str">
        <f>IF(H272=0,"",VLOOKUP(H272,'Règles et points'!$C$5:$AG$19,(HLOOKUP('Course 4'!C272,'Règles et points'!$C$5:$AG$5,1)+1)))</f>
        <v/>
      </c>
      <c r="M272" s="23">
        <f t="shared" si="4"/>
        <v>0</v>
      </c>
      <c r="N272" s="80"/>
      <c r="O272" s="51"/>
      <c r="P272" s="52"/>
    </row>
    <row r="273" spans="2:16" ht="12.75">
      <c r="B273" s="14">
        <v>269</v>
      </c>
      <c r="C273" s="28" t="str">
        <f>IF(Coureurs!C273="","",Coureurs!C273)</f>
        <v/>
      </c>
      <c r="D273" s="131" t="str">
        <f>IF(Coureurs!D273="","",Coureurs!D273)</f>
        <v>70</v>
      </c>
      <c r="E273" s="87" t="str">
        <f>IF(Coureurs!F273="","",Coureurs!F273)</f>
        <v/>
      </c>
      <c r="F273" s="87" t="str">
        <f>IF(Coureurs!G273="","",Coureurs!G273)</f>
        <v/>
      </c>
      <c r="G273" s="50" t="str">
        <f>IF(Coureurs!J273="","",Coureurs!J273)</f>
        <v/>
      </c>
      <c r="H273" s="25"/>
      <c r="I273" s="41"/>
      <c r="J273" s="8" t="str">
        <f>IF(I273="PM","",IF(H273=0," ",I273-HLOOKUP('Course 4'!H273,'tab4'!$C$3:$N$4,2)))</f>
        <v xml:space="preserve"> </v>
      </c>
      <c r="K273" s="23" t="str">
        <f>IF(I273="PM","",IF(H273=0," ",J273/'Règles et points'!$F$23))</f>
        <v xml:space="preserve"> </v>
      </c>
      <c r="L273" s="3" t="str">
        <f>IF(H273=0,"",VLOOKUP(H273,'Règles et points'!$C$5:$AG$19,(HLOOKUP('Course 4'!C273,'Règles et points'!$C$5:$AG$5,1)+1)))</f>
        <v/>
      </c>
      <c r="M273" s="23">
        <f t="shared" si="4"/>
        <v>0</v>
      </c>
      <c r="N273" s="80"/>
      <c r="O273" s="51"/>
      <c r="P273" s="52"/>
    </row>
    <row r="274" spans="2:16" ht="12.75">
      <c r="B274" s="14">
        <v>270</v>
      </c>
      <c r="C274" s="28" t="str">
        <f>IF(Coureurs!C274="","",Coureurs!C274)</f>
        <v/>
      </c>
      <c r="D274" s="131" t="str">
        <f>IF(Coureurs!D274="","",Coureurs!D274)</f>
        <v>70</v>
      </c>
      <c r="E274" s="87" t="str">
        <f>IF(Coureurs!F274="","",Coureurs!F274)</f>
        <v/>
      </c>
      <c r="F274" s="87" t="str">
        <f>IF(Coureurs!G274="","",Coureurs!G274)</f>
        <v/>
      </c>
      <c r="G274" s="50" t="str">
        <f>IF(Coureurs!J274="","",Coureurs!J274)</f>
        <v/>
      </c>
      <c r="H274" s="25"/>
      <c r="I274" s="41"/>
      <c r="J274" s="8" t="str">
        <f>IF(I274="PM","",IF(H274=0," ",I274-HLOOKUP('Course 4'!H274,'tab4'!$C$3:$N$4,2)))</f>
        <v xml:space="preserve"> </v>
      </c>
      <c r="K274" s="23" t="str">
        <f>IF(I274="PM","",IF(H274=0," ",J274/'Règles et points'!$F$23))</f>
        <v xml:space="preserve"> </v>
      </c>
      <c r="L274" s="3" t="str">
        <f>IF(H274=0,"",VLOOKUP(H274,'Règles et points'!$C$5:$AG$19,(HLOOKUP('Course 4'!C274,'Règles et points'!$C$5:$AG$5,1)+1)))</f>
        <v/>
      </c>
      <c r="M274" s="23">
        <f t="shared" si="4"/>
        <v>0</v>
      </c>
      <c r="N274" s="80"/>
      <c r="O274" s="51"/>
      <c r="P274" s="52"/>
    </row>
    <row r="275" spans="2:16" ht="12.75">
      <c r="B275" s="14">
        <v>271</v>
      </c>
      <c r="C275" s="28" t="str">
        <f>IF(Coureurs!C275="","",Coureurs!C275)</f>
        <v/>
      </c>
      <c r="D275" s="131" t="str">
        <f>IF(Coureurs!D275="","",Coureurs!D275)</f>
        <v>70</v>
      </c>
      <c r="E275" s="87" t="str">
        <f>IF(Coureurs!F275="","",Coureurs!F275)</f>
        <v/>
      </c>
      <c r="F275" s="87" t="str">
        <f>IF(Coureurs!G275="","",Coureurs!G275)</f>
        <v/>
      </c>
      <c r="G275" s="50" t="str">
        <f>IF(Coureurs!J275="","",Coureurs!J275)</f>
        <v/>
      </c>
      <c r="H275" s="25"/>
      <c r="I275" s="41"/>
      <c r="J275" s="8" t="str">
        <f>IF(I275="PM","",IF(H275=0," ",I275-HLOOKUP('Course 4'!H275,'tab4'!$C$3:$N$4,2)))</f>
        <v xml:space="preserve"> </v>
      </c>
      <c r="K275" s="23" t="str">
        <f>IF(I275="PM","",IF(H275=0," ",J275/'Règles et points'!$F$23))</f>
        <v xml:space="preserve"> </v>
      </c>
      <c r="L275" s="3" t="str">
        <f>IF(H275=0,"",VLOOKUP(H275,'Règles et points'!$C$5:$AG$19,(HLOOKUP('Course 4'!C275,'Règles et points'!$C$5:$AG$5,1)+1)))</f>
        <v/>
      </c>
      <c r="M275" s="23">
        <f t="shared" si="4"/>
        <v>0</v>
      </c>
      <c r="N275" s="80"/>
      <c r="O275" s="51"/>
      <c r="P275" s="52"/>
    </row>
    <row r="276" spans="2:16" ht="12.75">
      <c r="B276" s="14">
        <v>272</v>
      </c>
      <c r="C276" s="28" t="str">
        <f>IF(Coureurs!C276="","",Coureurs!C276)</f>
        <v/>
      </c>
      <c r="D276" s="131" t="str">
        <f>IF(Coureurs!D276="","",Coureurs!D276)</f>
        <v>70</v>
      </c>
      <c r="E276" s="87" t="str">
        <f>IF(Coureurs!F276="","",Coureurs!F276)</f>
        <v/>
      </c>
      <c r="F276" s="87" t="str">
        <f>IF(Coureurs!G276="","",Coureurs!G276)</f>
        <v/>
      </c>
      <c r="G276" s="50" t="str">
        <f>IF(Coureurs!J276="","",Coureurs!J276)</f>
        <v/>
      </c>
      <c r="H276" s="25"/>
      <c r="I276" s="41"/>
      <c r="J276" s="8" t="str">
        <f>IF(I276="PM","",IF(H276=0," ",I276-HLOOKUP('Course 4'!H276,'tab4'!$C$3:$N$4,2)))</f>
        <v xml:space="preserve"> </v>
      </c>
      <c r="K276" s="23" t="str">
        <f>IF(I276="PM","",IF(H276=0," ",J276/'Règles et points'!$F$23))</f>
        <v xml:space="preserve"> </v>
      </c>
      <c r="L276" s="3" t="str">
        <f>IF(H276=0,"",VLOOKUP(H276,'Règles et points'!$C$5:$AG$19,(HLOOKUP('Course 4'!C276,'Règles et points'!$C$5:$AG$5,1)+1)))</f>
        <v/>
      </c>
      <c r="M276" s="23">
        <f t="shared" si="4"/>
        <v>0</v>
      </c>
      <c r="N276" s="80"/>
      <c r="O276" s="51"/>
      <c r="P276" s="52"/>
    </row>
    <row r="277" spans="2:16" ht="12.75">
      <c r="B277" s="14">
        <v>273</v>
      </c>
      <c r="C277" s="28" t="str">
        <f>IF(Coureurs!C277="","",Coureurs!C277)</f>
        <v/>
      </c>
      <c r="D277" s="131" t="str">
        <f>IF(Coureurs!D277="","",Coureurs!D277)</f>
        <v>70</v>
      </c>
      <c r="E277" s="87" t="str">
        <f>IF(Coureurs!F277="","",Coureurs!F277)</f>
        <v/>
      </c>
      <c r="F277" s="87" t="str">
        <f>IF(Coureurs!G277="","",Coureurs!G277)</f>
        <v/>
      </c>
      <c r="G277" s="50" t="str">
        <f>IF(Coureurs!J277="","",Coureurs!J277)</f>
        <v/>
      </c>
      <c r="H277" s="25"/>
      <c r="I277" s="41"/>
      <c r="J277" s="8" t="str">
        <f>IF(I277="PM","",IF(H277=0," ",I277-HLOOKUP('Course 4'!H277,'tab4'!$C$3:$N$4,2)))</f>
        <v xml:space="preserve"> </v>
      </c>
      <c r="K277" s="23" t="str">
        <f>IF(I277="PM","",IF(H277=0," ",J277/'Règles et points'!$F$23))</f>
        <v xml:space="preserve"> </v>
      </c>
      <c r="L277" s="3" t="str">
        <f>IF(H277=0,"",VLOOKUP(H277,'Règles et points'!$C$5:$AG$19,(HLOOKUP('Course 4'!C277,'Règles et points'!$C$5:$AG$5,1)+1)))</f>
        <v/>
      </c>
      <c r="M277" s="23">
        <f t="shared" si="4"/>
        <v>0</v>
      </c>
      <c r="N277" s="80"/>
      <c r="O277" s="51"/>
      <c r="P277" s="52"/>
    </row>
    <row r="278" spans="2:16" ht="12.75">
      <c r="B278" s="14">
        <v>274</v>
      </c>
      <c r="C278" s="28" t="str">
        <f>IF(Coureurs!C278="","",Coureurs!C278)</f>
        <v/>
      </c>
      <c r="D278" s="131" t="str">
        <f>IF(Coureurs!D278="","",Coureurs!D278)</f>
        <v>70</v>
      </c>
      <c r="E278" s="87" t="str">
        <f>IF(Coureurs!F278="","",Coureurs!F278)</f>
        <v/>
      </c>
      <c r="F278" s="87" t="str">
        <f>IF(Coureurs!G278="","",Coureurs!G278)</f>
        <v/>
      </c>
      <c r="G278" s="50" t="str">
        <f>IF(Coureurs!J278="","",Coureurs!J278)</f>
        <v/>
      </c>
      <c r="H278" s="25"/>
      <c r="I278" s="41"/>
      <c r="J278" s="8" t="str">
        <f>IF(I278="PM","",IF(H278=0," ",I278-HLOOKUP('Course 4'!H278,'tab4'!$C$3:$N$4,2)))</f>
        <v xml:space="preserve"> </v>
      </c>
      <c r="K278" s="23" t="str">
        <f>IF(I278="PM","",IF(H278=0," ",J278/'Règles et points'!$F$23))</f>
        <v xml:space="preserve"> </v>
      </c>
      <c r="L278" s="3" t="str">
        <f>IF(H278=0,"",VLOOKUP(H278,'Règles et points'!$C$5:$AG$19,(HLOOKUP('Course 4'!C278,'Règles et points'!$C$5:$AG$5,1)+1)))</f>
        <v/>
      </c>
      <c r="M278" s="23">
        <f t="shared" si="4"/>
        <v>0</v>
      </c>
      <c r="N278" s="80"/>
      <c r="O278" s="51"/>
      <c r="P278" s="52"/>
    </row>
    <row r="279" spans="2:16" ht="12.75">
      <c r="B279" s="14">
        <v>275</v>
      </c>
      <c r="C279" s="28" t="str">
        <f>IF(Coureurs!C279="","",Coureurs!C279)</f>
        <v/>
      </c>
      <c r="D279" s="131" t="str">
        <f>IF(Coureurs!D279="","",Coureurs!D279)</f>
        <v>70</v>
      </c>
      <c r="E279" s="87" t="str">
        <f>IF(Coureurs!F279="","",Coureurs!F279)</f>
        <v/>
      </c>
      <c r="F279" s="87" t="str">
        <f>IF(Coureurs!G279="","",Coureurs!G279)</f>
        <v/>
      </c>
      <c r="G279" s="50" t="str">
        <f>IF(Coureurs!J279="","",Coureurs!J279)</f>
        <v/>
      </c>
      <c r="H279" s="25"/>
      <c r="I279" s="41"/>
      <c r="J279" s="8" t="str">
        <f>IF(I279="PM","",IF(H279=0," ",I279-HLOOKUP('Course 4'!H279,'tab4'!$C$3:$N$4,2)))</f>
        <v xml:space="preserve"> </v>
      </c>
      <c r="K279" s="23" t="str">
        <f>IF(I279="PM","",IF(H279=0," ",J279/'Règles et points'!$F$23))</f>
        <v xml:space="preserve"> </v>
      </c>
      <c r="L279" s="3" t="str">
        <f>IF(H279=0,"",VLOOKUP(H279,'Règles et points'!$C$5:$AG$19,(HLOOKUP('Course 4'!C279,'Règles et points'!$C$5:$AG$5,1)+1)))</f>
        <v/>
      </c>
      <c r="M279" s="23">
        <f t="shared" si="4"/>
        <v>0</v>
      </c>
      <c r="N279" s="80"/>
      <c r="O279" s="51"/>
      <c r="P279" s="52"/>
    </row>
    <row r="280" spans="2:16" ht="12.75">
      <c r="B280" s="14">
        <v>276</v>
      </c>
      <c r="C280" s="28" t="str">
        <f>IF(Coureurs!C280="","",Coureurs!C280)</f>
        <v/>
      </c>
      <c r="D280" s="131" t="str">
        <f>IF(Coureurs!D280="","",Coureurs!D280)</f>
        <v>70</v>
      </c>
      <c r="E280" s="87" t="str">
        <f>IF(Coureurs!F280="","",Coureurs!F280)</f>
        <v/>
      </c>
      <c r="F280" s="87" t="str">
        <f>IF(Coureurs!G280="","",Coureurs!G280)</f>
        <v/>
      </c>
      <c r="G280" s="50" t="str">
        <f>IF(Coureurs!J280="","",Coureurs!J280)</f>
        <v/>
      </c>
      <c r="H280" s="25"/>
      <c r="I280" s="41"/>
      <c r="J280" s="8" t="str">
        <f>IF(I280="PM","",IF(H280=0," ",I280-HLOOKUP('Course 4'!H280,'tab4'!$C$3:$N$4,2)))</f>
        <v xml:space="preserve"> </v>
      </c>
      <c r="K280" s="23" t="str">
        <f>IF(I280="PM","",IF(H280=0," ",J280/'Règles et points'!$F$23))</f>
        <v xml:space="preserve"> </v>
      </c>
      <c r="L280" s="3" t="str">
        <f>IF(H280=0,"",VLOOKUP(H280,'Règles et points'!$C$5:$AG$19,(HLOOKUP('Course 4'!C280,'Règles et points'!$C$5:$AG$5,1)+1)))</f>
        <v/>
      </c>
      <c r="M280" s="23">
        <f t="shared" si="4"/>
        <v>0</v>
      </c>
      <c r="N280" s="80"/>
      <c r="O280" s="51"/>
      <c r="P280" s="52"/>
    </row>
    <row r="281" spans="2:16" ht="12.75">
      <c r="B281" s="14">
        <v>277</v>
      </c>
      <c r="C281" s="28" t="str">
        <f>IF(Coureurs!C281="","",Coureurs!C281)</f>
        <v/>
      </c>
      <c r="D281" s="131" t="str">
        <f>IF(Coureurs!D281="","",Coureurs!D281)</f>
        <v>70</v>
      </c>
      <c r="E281" s="87" t="str">
        <f>IF(Coureurs!F281="","",Coureurs!F281)</f>
        <v/>
      </c>
      <c r="F281" s="87" t="str">
        <f>IF(Coureurs!G281="","",Coureurs!G281)</f>
        <v/>
      </c>
      <c r="G281" s="50" t="str">
        <f>IF(Coureurs!J281="","",Coureurs!J281)</f>
        <v/>
      </c>
      <c r="H281" s="25"/>
      <c r="I281" s="41"/>
      <c r="J281" s="8" t="str">
        <f>IF(I281="PM","",IF(H281=0," ",I281-HLOOKUP('Course 4'!H281,'tab4'!$C$3:$N$4,2)))</f>
        <v xml:space="preserve"> </v>
      </c>
      <c r="K281" s="23" t="str">
        <f>IF(I281="PM","",IF(H281=0," ",J281/'Règles et points'!$F$23))</f>
        <v xml:space="preserve"> </v>
      </c>
      <c r="L281" s="3" t="str">
        <f>IF(H281=0,"",VLOOKUP(H281,'Règles et points'!$C$5:$AG$19,(HLOOKUP('Course 4'!C281,'Règles et points'!$C$5:$AG$5,1)+1)))</f>
        <v/>
      </c>
      <c r="M281" s="23">
        <f t="shared" si="4"/>
        <v>0</v>
      </c>
      <c r="N281" s="80"/>
      <c r="O281" s="51"/>
      <c r="P281" s="52"/>
    </row>
    <row r="282" spans="2:16" ht="12.75">
      <c r="B282" s="14">
        <v>278</v>
      </c>
      <c r="C282" s="28" t="str">
        <f>IF(Coureurs!C282="","",Coureurs!C282)</f>
        <v/>
      </c>
      <c r="D282" s="131" t="str">
        <f>IF(Coureurs!D282="","",Coureurs!D282)</f>
        <v>70</v>
      </c>
      <c r="E282" s="87" t="str">
        <f>IF(Coureurs!F282="","",Coureurs!F282)</f>
        <v/>
      </c>
      <c r="F282" s="87" t="str">
        <f>IF(Coureurs!G282="","",Coureurs!G282)</f>
        <v/>
      </c>
      <c r="G282" s="50" t="str">
        <f>IF(Coureurs!J282="","",Coureurs!J282)</f>
        <v/>
      </c>
      <c r="H282" s="25"/>
      <c r="I282" s="41"/>
      <c r="J282" s="8" t="str">
        <f>IF(I282="PM","",IF(H282=0," ",I282-HLOOKUP('Course 4'!H282,'tab4'!$C$3:$N$4,2)))</f>
        <v xml:space="preserve"> </v>
      </c>
      <c r="K282" s="23" t="str">
        <f>IF(I282="PM","",IF(H282=0," ",J282/'Règles et points'!$F$23))</f>
        <v xml:space="preserve"> </v>
      </c>
      <c r="L282" s="3" t="str">
        <f>IF(H282=0,"",VLOOKUP(H282,'Règles et points'!$C$5:$AG$19,(HLOOKUP('Course 4'!C282,'Règles et points'!$C$5:$AG$5,1)+1)))</f>
        <v/>
      </c>
      <c r="M282" s="23">
        <f t="shared" si="4"/>
        <v>0</v>
      </c>
      <c r="N282" s="80"/>
      <c r="O282" s="51"/>
      <c r="P282" s="52"/>
    </row>
    <row r="283" spans="2:16" ht="12.75">
      <c r="B283" s="14">
        <v>279</v>
      </c>
      <c r="C283" s="28" t="str">
        <f>IF(Coureurs!C283="","",Coureurs!C283)</f>
        <v/>
      </c>
      <c r="D283" s="131" t="str">
        <f>IF(Coureurs!D283="","",Coureurs!D283)</f>
        <v>70</v>
      </c>
      <c r="E283" s="87" t="str">
        <f>IF(Coureurs!F283="","",Coureurs!F283)</f>
        <v/>
      </c>
      <c r="F283" s="87" t="str">
        <f>IF(Coureurs!G283="","",Coureurs!G283)</f>
        <v/>
      </c>
      <c r="G283" s="50" t="str">
        <f>IF(Coureurs!J283="","",Coureurs!J283)</f>
        <v/>
      </c>
      <c r="H283" s="25"/>
      <c r="I283" s="41"/>
      <c r="J283" s="8" t="str">
        <f>IF(I283="PM","",IF(H283=0," ",I283-HLOOKUP('Course 4'!H283,'tab4'!$C$3:$N$4,2)))</f>
        <v xml:space="preserve"> </v>
      </c>
      <c r="K283" s="23" t="str">
        <f>IF(I283="PM","",IF(H283=0," ",J283/'Règles et points'!$F$23))</f>
        <v xml:space="preserve"> </v>
      </c>
      <c r="L283" s="3" t="str">
        <f>IF(H283=0,"",VLOOKUP(H283,'Règles et points'!$C$5:$AG$19,(HLOOKUP('Course 4'!C283,'Règles et points'!$C$5:$AG$5,1)+1)))</f>
        <v/>
      </c>
      <c r="M283" s="23">
        <f t="shared" si="4"/>
        <v>0</v>
      </c>
      <c r="N283" s="80"/>
      <c r="O283" s="51"/>
      <c r="P283" s="52"/>
    </row>
    <row r="284" spans="2:16" ht="12.75">
      <c r="B284" s="14">
        <v>280</v>
      </c>
      <c r="C284" s="28" t="str">
        <f>IF(Coureurs!C284="","",Coureurs!C284)</f>
        <v/>
      </c>
      <c r="D284" s="131" t="str">
        <f>IF(Coureurs!D284="","",Coureurs!D284)</f>
        <v>70</v>
      </c>
      <c r="E284" s="87" t="str">
        <f>IF(Coureurs!F284="","",Coureurs!F284)</f>
        <v/>
      </c>
      <c r="F284" s="87" t="str">
        <f>IF(Coureurs!G284="","",Coureurs!G284)</f>
        <v/>
      </c>
      <c r="G284" s="50" t="str">
        <f>IF(Coureurs!J284="","",Coureurs!J284)</f>
        <v/>
      </c>
      <c r="H284" s="25"/>
      <c r="I284" s="41"/>
      <c r="J284" s="8" t="str">
        <f>IF(I284="PM","",IF(H284=0," ",I284-HLOOKUP('Course 4'!H284,'tab4'!$C$3:$N$4,2)))</f>
        <v xml:space="preserve"> </v>
      </c>
      <c r="K284" s="23" t="str">
        <f>IF(I284="PM","",IF(H284=0," ",J284/'Règles et points'!$F$23))</f>
        <v xml:space="preserve"> </v>
      </c>
      <c r="L284" s="3" t="str">
        <f>IF(H284=0,"",VLOOKUP(H284,'Règles et points'!$C$5:$AG$19,(HLOOKUP('Course 4'!C284,'Règles et points'!$C$5:$AG$5,1)+1)))</f>
        <v/>
      </c>
      <c r="M284" s="23">
        <f t="shared" si="4"/>
        <v>0</v>
      </c>
      <c r="N284" s="80"/>
      <c r="O284" s="51"/>
      <c r="P284" s="52"/>
    </row>
    <row r="285" spans="2:16" ht="12.75">
      <c r="B285" s="14">
        <v>281</v>
      </c>
      <c r="C285" s="28" t="str">
        <f>IF(Coureurs!C285="","",Coureurs!C285)</f>
        <v/>
      </c>
      <c r="D285" s="131" t="str">
        <f>IF(Coureurs!D285="","",Coureurs!D285)</f>
        <v>70</v>
      </c>
      <c r="E285" s="87" t="str">
        <f>IF(Coureurs!F285="","",Coureurs!F285)</f>
        <v/>
      </c>
      <c r="F285" s="87" t="str">
        <f>IF(Coureurs!G285="","",Coureurs!G285)</f>
        <v/>
      </c>
      <c r="G285" s="50" t="str">
        <f>IF(Coureurs!J285="","",Coureurs!J285)</f>
        <v/>
      </c>
      <c r="H285" s="25"/>
      <c r="I285" s="41"/>
      <c r="J285" s="8" t="str">
        <f>IF(I285="PM","",IF(H285=0," ",I285-HLOOKUP('Course 4'!H285,'tab4'!$C$3:$N$4,2)))</f>
        <v xml:space="preserve"> </v>
      </c>
      <c r="K285" s="23" t="str">
        <f>IF(I285="PM","",IF(H285=0," ",J285/'Règles et points'!$F$23))</f>
        <v xml:space="preserve"> </v>
      </c>
      <c r="L285" s="3" t="str">
        <f>IF(H285=0,"",VLOOKUP(H285,'Règles et points'!$C$5:$AG$19,(HLOOKUP('Course 4'!C285,'Règles et points'!$C$5:$AG$5,1)+1)))</f>
        <v/>
      </c>
      <c r="M285" s="23">
        <f t="shared" si="4"/>
        <v>0</v>
      </c>
      <c r="N285" s="80"/>
      <c r="O285" s="51"/>
      <c r="P285" s="52"/>
    </row>
    <row r="286" spans="2:16" ht="12.75">
      <c r="B286" s="14">
        <v>282</v>
      </c>
      <c r="C286" s="28" t="str">
        <f>IF(Coureurs!C286="","",Coureurs!C286)</f>
        <v/>
      </c>
      <c r="D286" s="131" t="str">
        <f>IF(Coureurs!D286="","",Coureurs!D286)</f>
        <v>70</v>
      </c>
      <c r="E286" s="87" t="str">
        <f>IF(Coureurs!F286="","",Coureurs!F286)</f>
        <v/>
      </c>
      <c r="F286" s="87" t="str">
        <f>IF(Coureurs!G286="","",Coureurs!G286)</f>
        <v/>
      </c>
      <c r="G286" s="50" t="str">
        <f>IF(Coureurs!J286="","",Coureurs!J286)</f>
        <v/>
      </c>
      <c r="H286" s="25"/>
      <c r="I286" s="41"/>
      <c r="J286" s="8" t="str">
        <f>IF(I286="PM","",IF(H286=0," ",I286-HLOOKUP('Course 4'!H286,'tab4'!$C$3:$N$4,2)))</f>
        <v xml:space="preserve"> </v>
      </c>
      <c r="K286" s="23" t="str">
        <f>IF(I286="PM","",IF(H286=0," ",J286/'Règles et points'!$F$23))</f>
        <v xml:space="preserve"> </v>
      </c>
      <c r="L286" s="3" t="str">
        <f>IF(H286=0,"",VLOOKUP(H286,'Règles et points'!$C$5:$AG$19,(HLOOKUP('Course 4'!C286,'Règles et points'!$C$5:$AG$5,1)+1)))</f>
        <v/>
      </c>
      <c r="M286" s="23">
        <f t="shared" si="4"/>
        <v>0</v>
      </c>
      <c r="N286" s="80"/>
      <c r="O286" s="51"/>
      <c r="P286" s="52"/>
    </row>
    <row r="287" spans="2:16" ht="12.75">
      <c r="B287" s="14">
        <v>283</v>
      </c>
      <c r="C287" s="28" t="str">
        <f>IF(Coureurs!C287="","",Coureurs!C287)</f>
        <v/>
      </c>
      <c r="D287" s="131" t="str">
        <f>IF(Coureurs!D287="","",Coureurs!D287)</f>
        <v>70</v>
      </c>
      <c r="E287" s="87" t="str">
        <f>IF(Coureurs!F287="","",Coureurs!F287)</f>
        <v/>
      </c>
      <c r="F287" s="87" t="str">
        <f>IF(Coureurs!G287="","",Coureurs!G287)</f>
        <v/>
      </c>
      <c r="G287" s="50" t="str">
        <f>IF(Coureurs!J287="","",Coureurs!J287)</f>
        <v/>
      </c>
      <c r="H287" s="25"/>
      <c r="I287" s="41"/>
      <c r="J287" s="8" t="str">
        <f>IF(I287="PM","",IF(H287=0," ",I287-HLOOKUP('Course 4'!H287,'tab4'!$C$3:$N$4,2)))</f>
        <v xml:space="preserve"> </v>
      </c>
      <c r="K287" s="23" t="str">
        <f>IF(I287="PM","",IF(H287=0," ",J287/'Règles et points'!$F$23))</f>
        <v xml:space="preserve"> </v>
      </c>
      <c r="L287" s="3" t="str">
        <f>IF(H287=0,"",VLOOKUP(H287,'Règles et points'!$C$5:$AG$19,(HLOOKUP('Course 4'!C287,'Règles et points'!$C$5:$AG$5,1)+1)))</f>
        <v/>
      </c>
      <c r="M287" s="23">
        <f t="shared" si="4"/>
        <v>0</v>
      </c>
      <c r="N287" s="80"/>
      <c r="O287" s="51"/>
      <c r="P287" s="52"/>
    </row>
    <row r="288" spans="2:16" ht="12.75">
      <c r="B288" s="14">
        <v>284</v>
      </c>
      <c r="C288" s="28" t="str">
        <f>IF(Coureurs!C288="","",Coureurs!C288)</f>
        <v/>
      </c>
      <c r="D288" s="131" t="str">
        <f>IF(Coureurs!D288="","",Coureurs!D288)</f>
        <v>70</v>
      </c>
      <c r="E288" s="87" t="str">
        <f>IF(Coureurs!F288="","",Coureurs!F288)</f>
        <v/>
      </c>
      <c r="F288" s="87" t="str">
        <f>IF(Coureurs!G288="","",Coureurs!G288)</f>
        <v/>
      </c>
      <c r="G288" s="50" t="str">
        <f>IF(Coureurs!J288="","",Coureurs!J288)</f>
        <v/>
      </c>
      <c r="H288" s="25"/>
      <c r="I288" s="41"/>
      <c r="J288" s="8" t="str">
        <f>IF(I288="PM","",IF(H288=0," ",I288-HLOOKUP('Course 4'!H288,'tab4'!$C$3:$N$4,2)))</f>
        <v xml:space="preserve"> </v>
      </c>
      <c r="K288" s="23" t="str">
        <f>IF(I288="PM","",IF(H288=0," ",J288/'Règles et points'!$F$23))</f>
        <v xml:space="preserve"> </v>
      </c>
      <c r="L288" s="3" t="str">
        <f>IF(H288=0,"",VLOOKUP(H288,'Règles et points'!$C$5:$AG$19,(HLOOKUP('Course 4'!C288,'Règles et points'!$C$5:$AG$5,1)+1)))</f>
        <v/>
      </c>
      <c r="M288" s="23">
        <f t="shared" si="4"/>
        <v>0</v>
      </c>
      <c r="N288" s="80"/>
      <c r="O288" s="51"/>
      <c r="P288" s="52"/>
    </row>
    <row r="289" spans="2:16" ht="12.75">
      <c r="B289" s="14">
        <v>285</v>
      </c>
      <c r="C289" s="28" t="str">
        <f>IF(Coureurs!C289="","",Coureurs!C289)</f>
        <v/>
      </c>
      <c r="D289" s="131" t="str">
        <f>IF(Coureurs!D289="","",Coureurs!D289)</f>
        <v>70</v>
      </c>
      <c r="E289" s="87" t="str">
        <f>IF(Coureurs!F289="","",Coureurs!F289)</f>
        <v/>
      </c>
      <c r="F289" s="87" t="str">
        <f>IF(Coureurs!G289="","",Coureurs!G289)</f>
        <v/>
      </c>
      <c r="G289" s="50" t="str">
        <f>IF(Coureurs!J289="","",Coureurs!J289)</f>
        <v/>
      </c>
      <c r="H289" s="25"/>
      <c r="I289" s="41"/>
      <c r="J289" s="8" t="str">
        <f>IF(I289="PM","",IF(H289=0," ",I289-HLOOKUP('Course 4'!H289,'tab4'!$C$3:$N$4,2)))</f>
        <v xml:space="preserve"> </v>
      </c>
      <c r="K289" s="23" t="str">
        <f>IF(I289="PM","",IF(H289=0," ",J289/'Règles et points'!$F$23))</f>
        <v xml:space="preserve"> </v>
      </c>
      <c r="L289" s="3" t="str">
        <f>IF(H289=0,"",VLOOKUP(H289,'Règles et points'!$C$5:$AG$19,(HLOOKUP('Course 4'!C289,'Règles et points'!$C$5:$AG$5,1)+1)))</f>
        <v/>
      </c>
      <c r="M289" s="23">
        <f t="shared" si="4"/>
        <v>0</v>
      </c>
      <c r="N289" s="80"/>
      <c r="O289" s="51"/>
      <c r="P289" s="52"/>
    </row>
    <row r="290" spans="2:16" ht="12.75">
      <c r="B290" s="14">
        <v>286</v>
      </c>
      <c r="C290" s="28" t="str">
        <f>IF(Coureurs!C290="","",Coureurs!C290)</f>
        <v/>
      </c>
      <c r="D290" s="131" t="str">
        <f>IF(Coureurs!D290="","",Coureurs!D290)</f>
        <v>70</v>
      </c>
      <c r="E290" s="87" t="str">
        <f>IF(Coureurs!F290="","",Coureurs!F290)</f>
        <v/>
      </c>
      <c r="F290" s="87" t="str">
        <f>IF(Coureurs!G290="","",Coureurs!G290)</f>
        <v/>
      </c>
      <c r="G290" s="50" t="str">
        <f>IF(Coureurs!J290="","",Coureurs!J290)</f>
        <v/>
      </c>
      <c r="H290" s="25"/>
      <c r="I290" s="41"/>
      <c r="J290" s="8" t="str">
        <f>IF(I290="PM","",IF(H290=0," ",I290-HLOOKUP('Course 4'!H290,'tab4'!$C$3:$N$4,2)))</f>
        <v xml:space="preserve"> </v>
      </c>
      <c r="K290" s="23" t="str">
        <f>IF(I290="PM","",IF(H290=0," ",J290/'Règles et points'!$F$23))</f>
        <v xml:space="preserve"> </v>
      </c>
      <c r="L290" s="3" t="str">
        <f>IF(H290=0,"",VLOOKUP(H290,'Règles et points'!$C$5:$AG$19,(HLOOKUP('Course 4'!C290,'Règles et points'!$C$5:$AG$5,1)+1)))</f>
        <v/>
      </c>
      <c r="M290" s="23">
        <f t="shared" si="4"/>
        <v>0</v>
      </c>
      <c r="N290" s="80"/>
      <c r="O290" s="51"/>
      <c r="P290" s="52"/>
    </row>
    <row r="291" spans="2:16" ht="12.75">
      <c r="B291" s="14">
        <v>287</v>
      </c>
      <c r="C291" s="28" t="str">
        <f>IF(Coureurs!C291="","",Coureurs!C291)</f>
        <v/>
      </c>
      <c r="D291" s="131" t="str">
        <f>IF(Coureurs!D291="","",Coureurs!D291)</f>
        <v>70</v>
      </c>
      <c r="E291" s="87" t="str">
        <f>IF(Coureurs!F291="","",Coureurs!F291)</f>
        <v/>
      </c>
      <c r="F291" s="87" t="str">
        <f>IF(Coureurs!G291="","",Coureurs!G291)</f>
        <v/>
      </c>
      <c r="G291" s="50" t="str">
        <f>IF(Coureurs!J291="","",Coureurs!J291)</f>
        <v/>
      </c>
      <c r="H291" s="25"/>
      <c r="I291" s="41"/>
      <c r="J291" s="8" t="str">
        <f>IF(I291="PM","",IF(H291=0," ",I291-HLOOKUP('Course 4'!H291,'tab4'!$C$3:$N$4,2)))</f>
        <v xml:space="preserve"> </v>
      </c>
      <c r="K291" s="23" t="str">
        <f>IF(I291="PM","",IF(H291=0," ",J291/'Règles et points'!$F$23))</f>
        <v xml:space="preserve"> </v>
      </c>
      <c r="L291" s="3" t="str">
        <f>IF(H291=0,"",VLOOKUP(H291,'Règles et points'!$C$5:$AG$19,(HLOOKUP('Course 4'!C291,'Règles et points'!$C$5:$AG$5,1)+1)))</f>
        <v/>
      </c>
      <c r="M291" s="23">
        <f t="shared" si="4"/>
        <v>0</v>
      </c>
      <c r="N291" s="80"/>
      <c r="O291" s="51"/>
      <c r="P291" s="52"/>
    </row>
    <row r="292" spans="2:16" ht="12.75">
      <c r="B292" s="14">
        <v>288</v>
      </c>
      <c r="C292" s="28" t="str">
        <f>IF(Coureurs!C292="","",Coureurs!C292)</f>
        <v/>
      </c>
      <c r="D292" s="131" t="str">
        <f>IF(Coureurs!D292="","",Coureurs!D292)</f>
        <v>70</v>
      </c>
      <c r="E292" s="87" t="str">
        <f>IF(Coureurs!F292="","",Coureurs!F292)</f>
        <v/>
      </c>
      <c r="F292" s="87" t="str">
        <f>IF(Coureurs!G292="","",Coureurs!G292)</f>
        <v/>
      </c>
      <c r="G292" s="50" t="str">
        <f>IF(Coureurs!J292="","",Coureurs!J292)</f>
        <v/>
      </c>
      <c r="H292" s="25"/>
      <c r="I292" s="41"/>
      <c r="J292" s="8" t="str">
        <f>IF(I292="PM","",IF(H292=0," ",I292-HLOOKUP('Course 4'!H292,'tab4'!$C$3:$N$4,2)))</f>
        <v xml:space="preserve"> </v>
      </c>
      <c r="K292" s="23" t="str">
        <f>IF(I292="PM","",IF(H292=0," ",J292/'Règles et points'!$F$23))</f>
        <v xml:space="preserve"> </v>
      </c>
      <c r="L292" s="3" t="str">
        <f>IF(H292=0,"",VLOOKUP(H292,'Règles et points'!$C$5:$AG$19,(HLOOKUP('Course 4'!C292,'Règles et points'!$C$5:$AG$5,1)+1)))</f>
        <v/>
      </c>
      <c r="M292" s="23">
        <f t="shared" si="4"/>
        <v>0</v>
      </c>
      <c r="N292" s="80"/>
      <c r="O292" s="51"/>
      <c r="P292" s="52"/>
    </row>
    <row r="293" spans="2:16" ht="12.75">
      <c r="B293" s="14">
        <v>289</v>
      </c>
      <c r="C293" s="28" t="str">
        <f>IF(Coureurs!C293="","",Coureurs!C293)</f>
        <v/>
      </c>
      <c r="D293" s="131" t="str">
        <f>IF(Coureurs!D293="","",Coureurs!D293)</f>
        <v>70</v>
      </c>
      <c r="E293" s="87" t="str">
        <f>IF(Coureurs!F293="","",Coureurs!F293)</f>
        <v/>
      </c>
      <c r="F293" s="87" t="str">
        <f>IF(Coureurs!G293="","",Coureurs!G293)</f>
        <v/>
      </c>
      <c r="G293" s="50" t="str">
        <f>IF(Coureurs!J293="","",Coureurs!J293)</f>
        <v/>
      </c>
      <c r="H293" s="25"/>
      <c r="I293" s="41"/>
      <c r="J293" s="8" t="str">
        <f>IF(I293="PM","",IF(H293=0," ",I293-HLOOKUP('Course 4'!H293,'tab4'!$C$3:$N$4,2)))</f>
        <v xml:space="preserve"> </v>
      </c>
      <c r="K293" s="23" t="str">
        <f>IF(I293="PM","",IF(H293=0," ",J293/'Règles et points'!$F$23))</f>
        <v xml:space="preserve"> </v>
      </c>
      <c r="L293" s="3" t="str">
        <f>IF(H293=0,"",VLOOKUP(H293,'Règles et points'!$C$5:$AG$19,(HLOOKUP('Course 4'!C293,'Règles et points'!$C$5:$AG$5,1)+1)))</f>
        <v/>
      </c>
      <c r="M293" s="23">
        <f t="shared" si="4"/>
        <v>0</v>
      </c>
      <c r="N293" s="80"/>
      <c r="O293" s="51"/>
      <c r="P293" s="52"/>
    </row>
    <row r="294" spans="2:16" ht="12.75">
      <c r="B294" s="14">
        <v>290</v>
      </c>
      <c r="C294" s="28" t="str">
        <f>IF(Coureurs!C294="","",Coureurs!C294)</f>
        <v/>
      </c>
      <c r="D294" s="131" t="str">
        <f>IF(Coureurs!D294="","",Coureurs!D294)</f>
        <v>70</v>
      </c>
      <c r="E294" s="87" t="str">
        <f>IF(Coureurs!F294="","",Coureurs!F294)</f>
        <v/>
      </c>
      <c r="F294" s="87" t="str">
        <f>IF(Coureurs!G294="","",Coureurs!G294)</f>
        <v/>
      </c>
      <c r="G294" s="50" t="str">
        <f>IF(Coureurs!J294="","",Coureurs!J294)</f>
        <v/>
      </c>
      <c r="H294" s="25"/>
      <c r="I294" s="41"/>
      <c r="J294" s="8" t="str">
        <f>IF(I294="PM","",IF(H294=0," ",I294-HLOOKUP('Course 4'!H294,'tab4'!$C$3:$N$4,2)))</f>
        <v xml:space="preserve"> </v>
      </c>
      <c r="K294" s="23" t="str">
        <f>IF(I294="PM","",IF(H294=0," ",J294/'Règles et points'!$F$23))</f>
        <v xml:space="preserve"> </v>
      </c>
      <c r="L294" s="3" t="str">
        <f>IF(H294=0,"",VLOOKUP(H294,'Règles et points'!$C$5:$AG$19,(HLOOKUP('Course 4'!C294,'Règles et points'!$C$5:$AG$5,1)+1)))</f>
        <v/>
      </c>
      <c r="M294" s="23">
        <f t="shared" si="4"/>
        <v>0</v>
      </c>
      <c r="N294" s="80"/>
      <c r="O294" s="51"/>
      <c r="P294" s="52"/>
    </row>
    <row r="295" spans="2:16" ht="12.75">
      <c r="B295" s="14">
        <v>291</v>
      </c>
      <c r="C295" s="28" t="str">
        <f>IF(Coureurs!C295="","",Coureurs!C295)</f>
        <v/>
      </c>
      <c r="D295" s="131" t="str">
        <f>IF(Coureurs!D295="","",Coureurs!D295)</f>
        <v>70</v>
      </c>
      <c r="E295" s="87" t="str">
        <f>IF(Coureurs!F295="","",Coureurs!F295)</f>
        <v/>
      </c>
      <c r="F295" s="87" t="str">
        <f>IF(Coureurs!G295="","",Coureurs!G295)</f>
        <v/>
      </c>
      <c r="G295" s="50" t="str">
        <f>IF(Coureurs!J295="","",Coureurs!J295)</f>
        <v/>
      </c>
      <c r="H295" s="25"/>
      <c r="I295" s="41"/>
      <c r="J295" s="8" t="str">
        <f>IF(I295="PM","",IF(H295=0," ",I295-HLOOKUP('Course 4'!H295,'tab4'!$C$3:$N$4,2)))</f>
        <v xml:space="preserve"> </v>
      </c>
      <c r="K295" s="23" t="str">
        <f>IF(I295="PM","",IF(H295=0," ",J295/'Règles et points'!$F$23))</f>
        <v xml:space="preserve"> </v>
      </c>
      <c r="L295" s="3" t="str">
        <f>IF(H295=0,"",VLOOKUP(H295,'Règles et points'!$C$5:$AG$19,(HLOOKUP('Course 4'!C295,'Règles et points'!$C$5:$AG$5,1)+1)))</f>
        <v/>
      </c>
      <c r="M295" s="23">
        <f t="shared" si="4"/>
        <v>0</v>
      </c>
      <c r="N295" s="80"/>
      <c r="O295" s="51"/>
      <c r="P295" s="52"/>
    </row>
    <row r="296" spans="2:16" ht="12.75">
      <c r="B296" s="14">
        <v>292</v>
      </c>
      <c r="C296" s="28" t="str">
        <f>IF(Coureurs!C296="","",Coureurs!C296)</f>
        <v/>
      </c>
      <c r="D296" s="131" t="str">
        <f>IF(Coureurs!D296="","",Coureurs!D296)</f>
        <v>70</v>
      </c>
      <c r="E296" s="87" t="str">
        <f>IF(Coureurs!F296="","",Coureurs!F296)</f>
        <v/>
      </c>
      <c r="F296" s="87" t="str">
        <f>IF(Coureurs!G296="","",Coureurs!G296)</f>
        <v/>
      </c>
      <c r="G296" s="50" t="str">
        <f>IF(Coureurs!J296="","",Coureurs!J296)</f>
        <v/>
      </c>
      <c r="H296" s="25"/>
      <c r="I296" s="41"/>
      <c r="J296" s="8" t="str">
        <f>IF(I296="PM","",IF(H296=0," ",I296-HLOOKUP('Course 4'!H296,'tab4'!$C$3:$N$4,2)))</f>
        <v xml:space="preserve"> </v>
      </c>
      <c r="K296" s="23" t="str">
        <f>IF(I296="PM","",IF(H296=0," ",J296/'Règles et points'!$F$23))</f>
        <v xml:space="preserve"> </v>
      </c>
      <c r="L296" s="3" t="str">
        <f>IF(H296=0,"",VLOOKUP(H296,'Règles et points'!$C$5:$AG$19,(HLOOKUP('Course 4'!C296,'Règles et points'!$C$5:$AG$5,1)+1)))</f>
        <v/>
      </c>
      <c r="M296" s="23">
        <f t="shared" si="4"/>
        <v>0</v>
      </c>
      <c r="N296" s="80"/>
      <c r="O296" s="51"/>
      <c r="P296" s="52"/>
    </row>
    <row r="297" spans="2:16" ht="12.75">
      <c r="B297" s="14">
        <v>293</v>
      </c>
      <c r="C297" s="28" t="str">
        <f>IF(Coureurs!C297="","",Coureurs!C297)</f>
        <v/>
      </c>
      <c r="D297" s="131" t="str">
        <f>IF(Coureurs!D297="","",Coureurs!D297)</f>
        <v>70</v>
      </c>
      <c r="E297" s="87" t="str">
        <f>IF(Coureurs!F297="","",Coureurs!F297)</f>
        <v/>
      </c>
      <c r="F297" s="87" t="str">
        <f>IF(Coureurs!G297="","",Coureurs!G297)</f>
        <v/>
      </c>
      <c r="G297" s="50" t="str">
        <f>IF(Coureurs!J297="","",Coureurs!J297)</f>
        <v/>
      </c>
      <c r="H297" s="25"/>
      <c r="I297" s="41"/>
      <c r="J297" s="8" t="str">
        <f>IF(I297="PM","",IF(H297=0," ",I297-HLOOKUP('Course 4'!H297,'tab4'!$C$3:$N$4,2)))</f>
        <v xml:space="preserve"> </v>
      </c>
      <c r="K297" s="23" t="str">
        <f>IF(I297="PM","",IF(H297=0," ",J297/'Règles et points'!$F$23))</f>
        <v xml:space="preserve"> </v>
      </c>
      <c r="L297" s="3" t="str">
        <f>IF(H297=0,"",VLOOKUP(H297,'Règles et points'!$C$5:$AG$19,(HLOOKUP('Course 4'!C297,'Règles et points'!$C$5:$AG$5,1)+1)))</f>
        <v/>
      </c>
      <c r="M297" s="23">
        <f t="shared" si="4"/>
        <v>0</v>
      </c>
      <c r="N297" s="80"/>
      <c r="O297" s="51"/>
      <c r="P297" s="52"/>
    </row>
    <row r="298" spans="2:16" ht="12.75">
      <c r="B298" s="14">
        <v>294</v>
      </c>
      <c r="C298" s="28" t="str">
        <f>IF(Coureurs!C298="","",Coureurs!C298)</f>
        <v/>
      </c>
      <c r="D298" s="131" t="str">
        <f>IF(Coureurs!D298="","",Coureurs!D298)</f>
        <v>70</v>
      </c>
      <c r="E298" s="87" t="str">
        <f>IF(Coureurs!F298="","",Coureurs!F298)</f>
        <v/>
      </c>
      <c r="F298" s="87" t="str">
        <f>IF(Coureurs!G298="","",Coureurs!G298)</f>
        <v/>
      </c>
      <c r="G298" s="50" t="str">
        <f>IF(Coureurs!J298="","",Coureurs!J298)</f>
        <v/>
      </c>
      <c r="H298" s="25"/>
      <c r="I298" s="41"/>
      <c r="J298" s="8" t="str">
        <f>IF(I298="PM","",IF(H298=0," ",I298-HLOOKUP('Course 4'!H298,'tab4'!$C$3:$N$4,2)))</f>
        <v xml:space="preserve"> </v>
      </c>
      <c r="K298" s="23" t="str">
        <f>IF(I298="PM","",IF(H298=0," ",J298/'Règles et points'!$F$23))</f>
        <v xml:space="preserve"> </v>
      </c>
      <c r="L298" s="3" t="str">
        <f>IF(H298=0,"",VLOOKUP(H298,'Règles et points'!$C$5:$AG$19,(HLOOKUP('Course 4'!C298,'Règles et points'!$C$5:$AG$5,1)+1)))</f>
        <v/>
      </c>
      <c r="M298" s="23">
        <f t="shared" si="4"/>
        <v>0</v>
      </c>
      <c r="N298" s="80"/>
      <c r="O298" s="51"/>
      <c r="P298" s="52"/>
    </row>
    <row r="299" spans="2:16" ht="12.75">
      <c r="B299" s="14">
        <v>295</v>
      </c>
      <c r="C299" s="28" t="str">
        <f>IF(Coureurs!C299="","",Coureurs!C299)</f>
        <v/>
      </c>
      <c r="D299" s="131" t="str">
        <f>IF(Coureurs!D299="","",Coureurs!D299)</f>
        <v>70</v>
      </c>
      <c r="E299" s="87" t="str">
        <f>IF(Coureurs!F299="","",Coureurs!F299)</f>
        <v/>
      </c>
      <c r="F299" s="87" t="str">
        <f>IF(Coureurs!G299="","",Coureurs!G299)</f>
        <v/>
      </c>
      <c r="G299" s="50" t="str">
        <f>IF(Coureurs!J299="","",Coureurs!J299)</f>
        <v/>
      </c>
      <c r="H299" s="25"/>
      <c r="I299" s="41"/>
      <c r="J299" s="8" t="str">
        <f>IF(I299="PM","",IF(H299=0," ",I299-HLOOKUP('Course 4'!H299,'tab4'!$C$3:$N$4,2)))</f>
        <v xml:space="preserve"> </v>
      </c>
      <c r="K299" s="23" t="str">
        <f>IF(I299="PM","",IF(H299=0," ",J299/'Règles et points'!$F$23))</f>
        <v xml:space="preserve"> </v>
      </c>
      <c r="L299" s="3" t="str">
        <f>IF(H299=0,"",VLOOKUP(H299,'Règles et points'!$C$5:$AG$19,(HLOOKUP('Course 4'!C299,'Règles et points'!$C$5:$AG$5,1)+1)))</f>
        <v/>
      </c>
      <c r="M299" s="23">
        <f t="shared" si="4"/>
        <v>0</v>
      </c>
      <c r="N299" s="80"/>
      <c r="O299" s="51"/>
      <c r="P299" s="52"/>
    </row>
    <row r="300" spans="2:16" ht="12.75">
      <c r="B300" s="14">
        <v>296</v>
      </c>
      <c r="C300" s="28" t="str">
        <f>IF(Coureurs!C300="","",Coureurs!C300)</f>
        <v/>
      </c>
      <c r="D300" s="131" t="str">
        <f>IF(Coureurs!D300="","",Coureurs!D300)</f>
        <v>70</v>
      </c>
      <c r="E300" s="87" t="str">
        <f>IF(Coureurs!F300="","",Coureurs!F300)</f>
        <v/>
      </c>
      <c r="F300" s="87" t="str">
        <f>IF(Coureurs!G300="","",Coureurs!G300)</f>
        <v/>
      </c>
      <c r="G300" s="50" t="str">
        <f>IF(Coureurs!J300="","",Coureurs!J300)</f>
        <v/>
      </c>
      <c r="H300" s="25"/>
      <c r="I300" s="41"/>
      <c r="J300" s="8" t="str">
        <f>IF(I300="PM","",IF(H300=0," ",I300-HLOOKUP('Course 4'!H300,'tab4'!$C$3:$N$4,2)))</f>
        <v xml:space="preserve"> </v>
      </c>
      <c r="K300" s="23" t="str">
        <f>IF(I300="PM","",IF(H300=0," ",J300/'Règles et points'!$F$23))</f>
        <v xml:space="preserve"> </v>
      </c>
      <c r="L300" s="3" t="str">
        <f>IF(H300=0,"",VLOOKUP(H300,'Règles et points'!$C$5:$AG$19,(HLOOKUP('Course 4'!C300,'Règles et points'!$C$5:$AG$5,1)+1)))</f>
        <v/>
      </c>
      <c r="M300" s="23">
        <f t="shared" si="4"/>
        <v>0</v>
      </c>
      <c r="N300" s="80"/>
      <c r="O300" s="51"/>
      <c r="P300" s="52"/>
    </row>
    <row r="301" spans="2:16" ht="12.75">
      <c r="B301" s="14">
        <v>297</v>
      </c>
      <c r="C301" s="28" t="str">
        <f>IF(Coureurs!C301="","",Coureurs!C301)</f>
        <v/>
      </c>
      <c r="D301" s="131" t="str">
        <f>IF(Coureurs!D301="","",Coureurs!D301)</f>
        <v>70</v>
      </c>
      <c r="E301" s="87" t="str">
        <f>IF(Coureurs!F301="","",Coureurs!F301)</f>
        <v/>
      </c>
      <c r="F301" s="87" t="str">
        <f>IF(Coureurs!G301="","",Coureurs!G301)</f>
        <v/>
      </c>
      <c r="G301" s="50" t="str">
        <f>IF(Coureurs!J301="","",Coureurs!J301)</f>
        <v/>
      </c>
      <c r="H301" s="25"/>
      <c r="I301" s="41"/>
      <c r="J301" s="8" t="str">
        <f>IF(I301="PM","",IF(H301=0," ",I301-HLOOKUP('Course 4'!H301,'tab4'!$C$3:$N$4,2)))</f>
        <v xml:space="preserve"> </v>
      </c>
      <c r="K301" s="23" t="str">
        <f>IF(I301="PM","",IF(H301=0," ",J301/'Règles et points'!$F$23))</f>
        <v xml:space="preserve"> </v>
      </c>
      <c r="L301" s="3" t="str">
        <f>IF(H301=0,"",VLOOKUP(H301,'Règles et points'!$C$5:$AG$19,(HLOOKUP('Course 4'!C301,'Règles et points'!$C$5:$AG$5,1)+1)))</f>
        <v/>
      </c>
      <c r="M301" s="23">
        <f t="shared" si="4"/>
        <v>0</v>
      </c>
      <c r="N301" s="80"/>
      <c r="O301" s="51"/>
      <c r="P301" s="52"/>
    </row>
    <row r="302" spans="2:16" ht="12.75">
      <c r="B302" s="14">
        <v>298</v>
      </c>
      <c r="C302" s="28" t="str">
        <f>IF(Coureurs!C302="","",Coureurs!C302)</f>
        <v/>
      </c>
      <c r="D302" s="131" t="str">
        <f>IF(Coureurs!D302="","",Coureurs!D302)</f>
        <v>70</v>
      </c>
      <c r="E302" s="87" t="str">
        <f>IF(Coureurs!F302="","",Coureurs!F302)</f>
        <v/>
      </c>
      <c r="F302" s="87" t="str">
        <f>IF(Coureurs!G302="","",Coureurs!G302)</f>
        <v/>
      </c>
      <c r="G302" s="50" t="str">
        <f>IF(Coureurs!J302="","",Coureurs!J302)</f>
        <v/>
      </c>
      <c r="H302" s="25"/>
      <c r="I302" s="88"/>
      <c r="J302" s="8" t="str">
        <f>IF(I302="PM","",IF(H302=0," ",I302-HLOOKUP('Course 4'!H302,'tab4'!$C$3:$N$4,2)))</f>
        <v xml:space="preserve"> </v>
      </c>
      <c r="K302" s="23" t="str">
        <f>IF(I302="PM","",IF(H302=0," ",J302/'Règles et points'!$F$23))</f>
        <v xml:space="preserve"> </v>
      </c>
      <c r="L302" s="3" t="str">
        <f>IF(H302=0,"",VLOOKUP(H302,'Règles et points'!$C$5:$AG$19,(HLOOKUP('Course 4'!C302,'Règles et points'!$C$5:$AG$5,1)+1)))</f>
        <v/>
      </c>
      <c r="M302" s="23">
        <f t="shared" si="4"/>
        <v>0</v>
      </c>
      <c r="N302" s="80"/>
      <c r="O302" s="51"/>
      <c r="P302" s="52"/>
    </row>
    <row r="303" spans="2:16" ht="12.75">
      <c r="B303" s="14">
        <v>299</v>
      </c>
      <c r="C303" s="28" t="str">
        <f>IF(Coureurs!C303="","",Coureurs!C303)</f>
        <v/>
      </c>
      <c r="D303" s="131" t="str">
        <f>IF(Coureurs!D303="","",Coureurs!D303)</f>
        <v>70</v>
      </c>
      <c r="E303" s="87" t="str">
        <f>IF(Coureurs!F303="","",Coureurs!F303)</f>
        <v/>
      </c>
      <c r="F303" s="87" t="str">
        <f>IF(Coureurs!G303="","",Coureurs!G303)</f>
        <v/>
      </c>
      <c r="G303" s="50" t="str">
        <f>IF(Coureurs!J303="","",Coureurs!J303)</f>
        <v/>
      </c>
      <c r="H303" s="25"/>
      <c r="I303" s="88"/>
      <c r="J303" s="8" t="str">
        <f>IF(I303="PM","",IF(H303=0," ",I303-HLOOKUP('Course 4'!H303,'tab4'!$C$3:$N$4,2)))</f>
        <v xml:space="preserve"> </v>
      </c>
      <c r="K303" s="23" t="str">
        <f>IF(I303="PM","",IF(H303=0," ",J303/'Règles et points'!$F$23))</f>
        <v xml:space="preserve"> </v>
      </c>
      <c r="L303" s="3" t="str">
        <f>IF(H303=0,"",VLOOKUP(H303,'Règles et points'!$C$5:$AG$19,(HLOOKUP('Course 4'!C303,'Règles et points'!$C$5:$AG$5,1)+1)))</f>
        <v/>
      </c>
      <c r="M303" s="23">
        <f t="shared" ref="M303:M304" si="5">IF(I303="PM",0,IF(H303=0,0,L303-K303))+N303</f>
        <v>0</v>
      </c>
      <c r="N303" s="80"/>
      <c r="O303" s="51"/>
      <c r="P303" s="52"/>
    </row>
    <row r="304" spans="2:16" ht="12.75">
      <c r="B304" s="14">
        <v>300</v>
      </c>
      <c r="C304" s="28" t="str">
        <f>IF(Coureurs!C304="","",Coureurs!C304)</f>
        <v/>
      </c>
      <c r="D304" s="131" t="str">
        <f>IF(Coureurs!D304="","",Coureurs!D304)</f>
        <v>70</v>
      </c>
      <c r="E304" s="87" t="str">
        <f>IF(Coureurs!F304="","",Coureurs!F304)</f>
        <v/>
      </c>
      <c r="F304" s="87" t="str">
        <f>IF(Coureurs!G304="","",Coureurs!G304)</f>
        <v/>
      </c>
      <c r="G304" s="50" t="str">
        <f>IF(Coureurs!J304="","",Coureurs!J304)</f>
        <v/>
      </c>
      <c r="H304" s="25"/>
      <c r="I304" s="88"/>
      <c r="J304" s="8" t="str">
        <f>IF(I304="PM","",IF(H304=0," ",I304-HLOOKUP('Course 4'!H304,'tab4'!$C$3:$N$4,2)))</f>
        <v xml:space="preserve"> </v>
      </c>
      <c r="K304" s="23" t="str">
        <f>IF(I304="PM","",IF(H304=0," ",J304/'Règles et points'!$F$23))</f>
        <v xml:space="preserve"> </v>
      </c>
      <c r="L304" s="3" t="str">
        <f>IF(H304=0,"",VLOOKUP(H304,'Règles et points'!$C$5:$AG$19,(HLOOKUP('Course 4'!C304,'Règles et points'!$C$5:$AG$5,1)+1)))</f>
        <v/>
      </c>
      <c r="M304" s="23">
        <f t="shared" si="5"/>
        <v>0</v>
      </c>
      <c r="N304" s="80"/>
      <c r="O304" s="51"/>
      <c r="P304" s="52"/>
    </row>
  </sheetData>
  <sheetProtection password="CFA8" sheet="1" objects="1" scenarios="1" selectLockedCells="1"/>
  <mergeCells count="1">
    <mergeCell ref="D1:P1"/>
  </mergeCells>
  <phoneticPr fontId="0" type="noConversion"/>
  <pageMargins left="0.78740157499999996" right="0.78740157499999996" top="0.984251969" bottom="0.984251969" header="0.4921259845" footer="0.4921259845"/>
  <pageSetup paperSize="9" orientation="portrait" horizontalDpi="4294967293" verticalDpi="4294967293"/>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sheetPr codeName="Feuil7" enableFormatConditionsCalculation="0"/>
  <dimension ref="B1:S304"/>
  <sheetViews>
    <sheetView workbookViewId="0">
      <pane ySplit="3" topLeftCell="A4" activePane="bottomLeft" state="frozen"/>
      <selection activeCell="C1" sqref="C1"/>
      <selection pane="bottomLeft" activeCell="H5" sqref="H5"/>
    </sheetView>
  </sheetViews>
  <sheetFormatPr baseColWidth="10" defaultRowHeight="15.75"/>
  <cols>
    <col min="1" max="1" width="9.42578125" customWidth="1"/>
    <col min="2" max="2" width="9" hidden="1" customWidth="1"/>
    <col min="3" max="3" width="12.28515625" style="33" hidden="1" customWidth="1"/>
    <col min="4" max="4" width="12.28515625" style="29" customWidth="1"/>
    <col min="5" max="5" width="15.140625" customWidth="1"/>
    <col min="6" max="6" width="11.85546875" customWidth="1"/>
    <col min="7" max="7" width="4.7109375" style="14" customWidth="1"/>
    <col min="8" max="8" width="9.42578125" style="14" customWidth="1"/>
    <col min="9" max="9" width="12.28515625" style="38" customWidth="1"/>
    <col min="10" max="13" width="12.28515625" customWidth="1"/>
    <col min="14" max="14" width="9.42578125" customWidth="1"/>
    <col min="15" max="15" width="9.42578125" style="2" customWidth="1"/>
    <col min="16" max="16" width="21.42578125" customWidth="1"/>
    <col min="17" max="17" width="4.140625" customWidth="1"/>
    <col min="19" max="20" width="10.85546875" customWidth="1"/>
  </cols>
  <sheetData>
    <row r="1" spans="2:19" ht="45" customHeight="1" thickBot="1">
      <c r="D1" s="189" t="s">
        <v>83</v>
      </c>
      <c r="E1" s="189"/>
      <c r="F1" s="189"/>
      <c r="G1" s="189"/>
      <c r="H1" s="189"/>
      <c r="I1" s="189"/>
      <c r="J1" s="189"/>
      <c r="K1" s="189"/>
      <c r="L1" s="189"/>
      <c r="M1" s="189"/>
      <c r="N1" s="189"/>
      <c r="O1" s="189"/>
      <c r="P1" s="189"/>
    </row>
    <row r="2" spans="2:19" ht="65.099999999999994" customHeight="1" thickBot="1">
      <c r="C2" s="128" t="s">
        <v>78</v>
      </c>
      <c r="D2" s="138" t="s">
        <v>1</v>
      </c>
      <c r="E2" s="139" t="s">
        <v>14</v>
      </c>
      <c r="F2" s="139" t="s">
        <v>25</v>
      </c>
      <c r="G2" s="139" t="s">
        <v>16</v>
      </c>
      <c r="H2" s="139" t="s">
        <v>0</v>
      </c>
      <c r="I2" s="135" t="s">
        <v>29</v>
      </c>
      <c r="J2" s="136" t="s">
        <v>22</v>
      </c>
      <c r="K2" s="136" t="s">
        <v>23</v>
      </c>
      <c r="L2" s="135" t="s">
        <v>24</v>
      </c>
      <c r="M2" s="139" t="s">
        <v>15</v>
      </c>
      <c r="N2" s="134" t="s">
        <v>43</v>
      </c>
      <c r="O2" s="137" t="s">
        <v>36</v>
      </c>
      <c r="P2" s="140" t="s">
        <v>37</v>
      </c>
    </row>
    <row r="3" spans="2:19" ht="41.1" customHeight="1" thickBot="1">
      <c r="C3" s="28" t="e">
        <f>IF(Coureurs!#REF!="","",Coureurs!#REF!)</f>
        <v>#REF!</v>
      </c>
      <c r="D3" s="125"/>
      <c r="E3" s="126"/>
      <c r="F3" s="156" t="s">
        <v>75</v>
      </c>
      <c r="G3" s="127"/>
      <c r="H3" s="126"/>
      <c r="I3" s="127"/>
      <c r="J3" s="157"/>
      <c r="K3" s="158"/>
      <c r="L3" s="159"/>
      <c r="M3" s="158"/>
      <c r="N3" s="158"/>
      <c r="O3" s="157"/>
      <c r="P3" s="160"/>
      <c r="S3" s="112"/>
    </row>
    <row r="4" spans="2:19" ht="21" hidden="1" customHeight="1">
      <c r="C4" s="28" t="str">
        <f>IF(Coureurs!C4="","",Coureurs!C4)</f>
        <v/>
      </c>
      <c r="D4" s="130" t="str">
        <f>IF(Coureurs!D4="","",Coureurs!D4)</f>
        <v/>
      </c>
      <c r="E4" s="97" t="str">
        <f>IF(Coureurs!F4="","",Coureurs!F4)</f>
        <v/>
      </c>
      <c r="F4" s="97" t="str">
        <f>IF(Coureurs!G4="","",Coureurs!G4)</f>
        <v/>
      </c>
      <c r="G4" s="96" t="str">
        <f>IF(Coureurs!J4="","",Coureurs!J4)</f>
        <v/>
      </c>
      <c r="H4" s="120"/>
      <c r="I4" s="121"/>
      <c r="J4" s="98" t="str">
        <f>IF(I4="PM","",IF(H4=0," ",I4-HLOOKUP('Course 5'!H4,'tab5'!$C$3:$N$4,2)))</f>
        <v xml:space="preserve"> </v>
      </c>
      <c r="K4" s="99" t="str">
        <f>IF(I4="PM","",IF(H4=0," ",J4/'Règles et points'!$F$23))</f>
        <v xml:space="preserve"> </v>
      </c>
      <c r="L4" s="100" t="str">
        <f>IF(H4=0,"",VLOOKUP(H4,'Règles et points'!$C$5:$AG$19,(HLOOKUP('Course 5'!C4,'Règles et points'!$C$5:$AG$5,1)+1)))</f>
        <v/>
      </c>
      <c r="M4" s="99">
        <f t="shared" ref="M4:M67" si="0">IF(I4="PM",0,IF(H4=0,0,L4-K4))+N4</f>
        <v>0</v>
      </c>
      <c r="N4" s="101"/>
      <c r="O4" s="102"/>
      <c r="P4" s="103"/>
      <c r="S4" s="112"/>
    </row>
    <row r="5" spans="2:19" ht="12.75">
      <c r="B5" s="14">
        <v>1</v>
      </c>
      <c r="C5" s="28">
        <f>IF(Coureurs!C5="","",Coureurs!C5)</f>
        <v>24</v>
      </c>
      <c r="D5" s="131" t="str">
        <f>IF(Coureurs!D5="","",Coureurs!D5)</f>
        <v>H40</v>
      </c>
      <c r="E5" s="87" t="str">
        <f>IF(Coureurs!F5="","",Coureurs!F5)</f>
        <v>GARDEUR</v>
      </c>
      <c r="F5" s="87" t="str">
        <f>IF(Coureurs!G5="","",Coureurs!G5)</f>
        <v>Julien</v>
      </c>
      <c r="G5" s="50">
        <f>IF(Coureurs!J5="","",Coureurs!J5)</f>
        <v>35002</v>
      </c>
      <c r="H5" s="108"/>
      <c r="I5" s="40"/>
      <c r="J5" s="8" t="str">
        <f>IF(I5="PM","",IF(H5=0," ",I5-HLOOKUP('Course 5'!H5,'tab5'!$C$3:$N$4,2)))</f>
        <v xml:space="preserve"> </v>
      </c>
      <c r="K5" s="23" t="str">
        <f>IF(I5="PM","",IF(H5=0," ",J5/'Règles et points'!$F$23))</f>
        <v xml:space="preserve"> </v>
      </c>
      <c r="L5" s="3" t="str">
        <f>IF(H5=0,"",VLOOKUP(H5,'Règles et points'!$C$5:$AG$19,(HLOOKUP('Course 5'!C5,'Règles et points'!$C$5:$AG$5,1)+1)))</f>
        <v/>
      </c>
      <c r="M5" s="23">
        <f t="shared" si="0"/>
        <v>0</v>
      </c>
      <c r="N5" s="80"/>
      <c r="O5" s="51"/>
      <c r="P5" s="52"/>
    </row>
    <row r="6" spans="2:19" ht="12.75">
      <c r="B6" s="14">
        <v>2</v>
      </c>
      <c r="C6" s="28">
        <f>IF(Coureurs!C6="","",Coureurs!C6)</f>
        <v>26</v>
      </c>
      <c r="D6" s="131" t="str">
        <f>IF(Coureurs!D6="","",Coureurs!D6)</f>
        <v>H50</v>
      </c>
      <c r="E6" s="87" t="str">
        <f>IF(Coureurs!F6="","",Coureurs!F6)</f>
        <v>TOUSSAINT</v>
      </c>
      <c r="F6" s="87" t="str">
        <f>IF(Coureurs!G6="","",Coureurs!G6)</f>
        <v>Stéphane</v>
      </c>
      <c r="G6" s="50">
        <f>IF(Coureurs!J6="","",Coureurs!J6)</f>
        <v>1770314</v>
      </c>
      <c r="H6" s="25"/>
      <c r="I6" s="40"/>
      <c r="J6" s="8" t="str">
        <f>IF(I6="PM","",IF(H6=0," ",I6-HLOOKUP('Course 5'!H6,'tab5'!$C$3:$N$4,2)))</f>
        <v xml:space="preserve"> </v>
      </c>
      <c r="K6" s="23" t="str">
        <f>IF(I6="PM","",IF(H6=0," ",J6/'Règles et points'!$F$23))</f>
        <v xml:space="preserve"> </v>
      </c>
      <c r="L6" s="3" t="str">
        <f>IF(H6=0,"",VLOOKUP(H6,'Règles et points'!$C$5:$AG$19,(HLOOKUP('Course 5'!C6,'Règles et points'!$C$5:$AG$5,1)+1)))</f>
        <v/>
      </c>
      <c r="M6" s="23">
        <f t="shared" si="0"/>
        <v>0</v>
      </c>
      <c r="N6" s="80"/>
      <c r="O6" s="51"/>
      <c r="P6" s="52"/>
    </row>
    <row r="7" spans="2:19" ht="12.75">
      <c r="B7" s="14">
        <v>3</v>
      </c>
      <c r="C7" s="28">
        <f>IF(Coureurs!C7="","",Coureurs!C7)</f>
        <v>25</v>
      </c>
      <c r="D7" s="131" t="str">
        <f>IF(Coureurs!D7="","",Coureurs!D7)</f>
        <v>H45</v>
      </c>
      <c r="E7" s="87" t="str">
        <f>IF(Coureurs!F7="","",Coureurs!F7)</f>
        <v>VANNIER</v>
      </c>
      <c r="F7" s="87" t="str">
        <f>IF(Coureurs!G7="","",Coureurs!G7)</f>
        <v>Fabrice</v>
      </c>
      <c r="G7" s="50">
        <f>IF(Coureurs!J7="","",Coureurs!J7)</f>
        <v>1770320</v>
      </c>
      <c r="H7" s="106"/>
      <c r="I7" s="40"/>
      <c r="J7" s="8" t="str">
        <f>IF(I7="PM","",IF(H7=0," ",I7-HLOOKUP('Course 5'!H7,'tab5'!$C$3:$N$4,2)))</f>
        <v xml:space="preserve"> </v>
      </c>
      <c r="K7" s="23" t="str">
        <f>IF(I7="PM","",IF(H7=0," ",J7/'Règles et points'!$F$23))</f>
        <v xml:space="preserve"> </v>
      </c>
      <c r="L7" s="3" t="str">
        <f>IF(H7=0,"",VLOOKUP(H7,'Règles et points'!$C$5:$AG$19,(HLOOKUP('Course 5'!C7,'Règles et points'!$C$5:$AG$5,1)+1)))</f>
        <v/>
      </c>
      <c r="M7" s="23">
        <f t="shared" si="0"/>
        <v>0</v>
      </c>
      <c r="N7" s="80"/>
      <c r="O7" s="51"/>
      <c r="P7" s="52"/>
    </row>
    <row r="8" spans="2:19" ht="12.75">
      <c r="B8" s="14">
        <v>4</v>
      </c>
      <c r="C8" s="28">
        <f>IF(Coureurs!C8="","",Coureurs!C8)</f>
        <v>30</v>
      </c>
      <c r="D8" s="131" t="str">
        <f>IF(Coureurs!D8="","",Coureurs!D8)</f>
        <v>H70</v>
      </c>
      <c r="E8" s="87" t="str">
        <f>IF(Coureurs!F8="","",Coureurs!F8)</f>
        <v>HAMON</v>
      </c>
      <c r="F8" s="87" t="str">
        <f>IF(Coureurs!G8="","",Coureurs!G8)</f>
        <v>Patrick</v>
      </c>
      <c r="G8" s="50">
        <f>IF(Coureurs!J8="","",Coureurs!J8)</f>
        <v>9001020</v>
      </c>
      <c r="H8" s="25"/>
      <c r="I8" s="40"/>
      <c r="J8" s="8" t="str">
        <f>IF(I8="PM","",IF(H8=0," ",I8-HLOOKUP('Course 5'!H8,'tab5'!$C$3:$N$4,2)))</f>
        <v xml:space="preserve"> </v>
      </c>
      <c r="K8" s="23" t="str">
        <f>IF(I8="PM","",IF(H8=0," ",J8/'Règles et points'!$F$23))</f>
        <v xml:space="preserve"> </v>
      </c>
      <c r="L8" s="3" t="str">
        <f>IF(H8=0,"",VLOOKUP(H8,'Règles et points'!$C$5:$AG$19,(HLOOKUP('Course 5'!C8,'Règles et points'!$C$5:$AG$5,1)+1)))</f>
        <v/>
      </c>
      <c r="M8" s="23">
        <f t="shared" si="0"/>
        <v>0</v>
      </c>
      <c r="N8" s="80"/>
      <c r="O8" s="40"/>
      <c r="P8" s="52"/>
    </row>
    <row r="9" spans="2:19" ht="12.75">
      <c r="B9" s="14">
        <v>5</v>
      </c>
      <c r="C9" s="28">
        <f>IF(Coureurs!C9="","",Coureurs!C9)</f>
        <v>27</v>
      </c>
      <c r="D9" s="131" t="str">
        <f>IF(Coureurs!D9="","",Coureurs!D9)</f>
        <v>H55</v>
      </c>
      <c r="E9" s="87" t="str">
        <f>IF(Coureurs!F9="","",Coureurs!F9)</f>
        <v>GILLARD</v>
      </c>
      <c r="F9" s="87" t="str">
        <f>IF(Coureurs!G9="","",Coureurs!G9)</f>
        <v>Hugues</v>
      </c>
      <c r="G9" s="50">
        <f>IF(Coureurs!J9="","",Coureurs!J9)</f>
        <v>1000717</v>
      </c>
      <c r="H9" s="106"/>
      <c r="I9" s="40"/>
      <c r="J9" s="8" t="str">
        <f>IF(I9="PM","",IF(H9=0," ",I9-HLOOKUP('Course 5'!H9,'tab5'!$C$3:$N$4,2)))</f>
        <v xml:space="preserve"> </v>
      </c>
      <c r="K9" s="23" t="str">
        <f>IF(I9="PM","",IF(H9=0," ",J9/'Règles et points'!$F$23))</f>
        <v xml:space="preserve"> </v>
      </c>
      <c r="L9" s="3" t="str">
        <f>IF(H9=0,"",VLOOKUP(H9,'Règles et points'!$C$5:$AG$19,(HLOOKUP('Course 5'!C9,'Règles et points'!$C$5:$AG$5,1)+1)))</f>
        <v/>
      </c>
      <c r="M9" s="23">
        <f t="shared" si="0"/>
        <v>0</v>
      </c>
      <c r="N9" s="80"/>
      <c r="O9" s="40"/>
      <c r="P9" s="52"/>
      <c r="S9" s="34"/>
    </row>
    <row r="10" spans="2:19" ht="12.75">
      <c r="B10" s="14">
        <v>6</v>
      </c>
      <c r="C10" s="28">
        <f>IF(Coureurs!C10="","",Coureurs!C10)</f>
        <v>11</v>
      </c>
      <c r="D10" s="131" t="str">
        <f>IF(Coureurs!D10="","",Coureurs!D10)</f>
        <v>D50</v>
      </c>
      <c r="E10" s="87" t="str">
        <f>IF(Coureurs!F10="","",Coureurs!F10)</f>
        <v>OLIVIER</v>
      </c>
      <c r="F10" s="87" t="str">
        <f>IF(Coureurs!G10="","",Coureurs!G10)</f>
        <v>Sandra</v>
      </c>
      <c r="G10" s="50">
        <f>IF(Coureurs!J10="","",Coureurs!J10)</f>
        <v>8001980</v>
      </c>
      <c r="H10" s="25"/>
      <c r="I10" s="40"/>
      <c r="J10" s="8" t="str">
        <f>IF(I10="PM","",IF(H10=0," ",I10-HLOOKUP('Course 5'!H10,'tab5'!$C$3:$N$4,2)))</f>
        <v xml:space="preserve"> </v>
      </c>
      <c r="K10" s="23" t="str">
        <f>IF(I10="PM","",IF(H10=0," ",J10/'Règles et points'!$F$23))</f>
        <v xml:space="preserve"> </v>
      </c>
      <c r="L10" s="3" t="str">
        <f>IF(H10=0,"",VLOOKUP(H10,'Règles et points'!$C$5:$AG$19,(HLOOKUP('Course 5'!C10,'Règles et points'!$C$5:$AG$5,1)+1)))</f>
        <v/>
      </c>
      <c r="M10" s="23">
        <f t="shared" si="0"/>
        <v>0</v>
      </c>
      <c r="N10" s="80"/>
      <c r="O10" s="51"/>
      <c r="P10" s="52"/>
      <c r="S10" s="34"/>
    </row>
    <row r="11" spans="2:19" ht="12.75">
      <c r="B11" s="14">
        <v>7</v>
      </c>
      <c r="C11" s="28">
        <f>IF(Coureurs!C11="","",Coureurs!C11)</f>
        <v>13</v>
      </c>
      <c r="D11" s="131" t="str">
        <f>IF(Coureurs!D11="","",Coureurs!D11)</f>
        <v>D60</v>
      </c>
      <c r="E11" s="87" t="str">
        <f>IF(Coureurs!F11="","",Coureurs!F11)</f>
        <v>MOLINIER</v>
      </c>
      <c r="F11" s="87" t="str">
        <f>IF(Coureurs!G11="","",Coureurs!G11)</f>
        <v>Frederique</v>
      </c>
      <c r="G11" s="50">
        <f>IF(Coureurs!J11="","",Coureurs!J11)</f>
        <v>1000979</v>
      </c>
      <c r="H11" s="25"/>
      <c r="I11" s="40"/>
      <c r="J11" s="8" t="str">
        <f>IF(I11="PM","",IF(H11=0," ",I11-HLOOKUP('Course 5'!H11,'tab5'!$C$3:$N$4,2)))</f>
        <v xml:space="preserve"> </v>
      </c>
      <c r="K11" s="23" t="str">
        <f>IF(I11="PM","",IF(H11=0," ",J11/'Règles et points'!$F$23))</f>
        <v xml:space="preserve"> </v>
      </c>
      <c r="L11" s="3" t="str">
        <f>IF(H11=0,"",VLOOKUP(H11,'Règles et points'!$C$5:$AG$19,(HLOOKUP('Course 5'!C11,'Règles et points'!$C$5:$AG$5,1)+1)))</f>
        <v/>
      </c>
      <c r="M11" s="23">
        <f t="shared" si="0"/>
        <v>0</v>
      </c>
      <c r="N11" s="80"/>
      <c r="O11" s="51"/>
      <c r="P11" s="52"/>
    </row>
    <row r="12" spans="2:19" ht="12.75">
      <c r="B12" s="14">
        <v>8</v>
      </c>
      <c r="C12" s="28">
        <f>IF(Coureurs!C12="","",Coureurs!C12)</f>
        <v>7</v>
      </c>
      <c r="D12" s="131" t="str">
        <f>IF(Coureurs!D12="","",Coureurs!D12)</f>
        <v>D21</v>
      </c>
      <c r="E12" s="87" t="str">
        <f>IF(Coureurs!F12="","",Coureurs!F12)</f>
        <v>MOLINIER</v>
      </c>
      <c r="F12" s="87" t="str">
        <f>IF(Coureurs!G12="","",Coureurs!G12)</f>
        <v>Caroline</v>
      </c>
      <c r="G12" s="50">
        <f>IF(Coureurs!J12="","",Coureurs!J12)</f>
        <v>31320</v>
      </c>
      <c r="H12" s="25"/>
      <c r="I12" s="40"/>
      <c r="J12" s="8" t="str">
        <f>IF(I12="PM","",IF(H12=0," ",I12-HLOOKUP('Course 5'!H12,'tab5'!$C$3:$N$4,2)))</f>
        <v xml:space="preserve"> </v>
      </c>
      <c r="K12" s="23" t="str">
        <f>IF(I12="PM","",IF(H12=0," ",J12/'Règles et points'!$F$23))</f>
        <v xml:space="preserve"> </v>
      </c>
      <c r="L12" s="3" t="str">
        <f>IF(H12=0,"",VLOOKUP(H12,'Règles et points'!$C$5:$AG$19,(HLOOKUP('Course 5'!C12,'Règles et points'!$C$5:$AG$5,1)+1)))</f>
        <v/>
      </c>
      <c r="M12" s="23">
        <f t="shared" si="0"/>
        <v>0</v>
      </c>
      <c r="N12" s="80"/>
      <c r="O12" s="51"/>
      <c r="P12" s="52"/>
    </row>
    <row r="13" spans="2:19" ht="12.75">
      <c r="B13" s="14">
        <v>9</v>
      </c>
      <c r="C13" s="28">
        <f>IF(Coureurs!C13="","",Coureurs!C13)</f>
        <v>28</v>
      </c>
      <c r="D13" s="131" t="str">
        <f>IF(Coureurs!D13="","",Coureurs!D13)</f>
        <v>H60</v>
      </c>
      <c r="E13" s="87" t="str">
        <f>IF(Coureurs!F13="","",Coureurs!F13)</f>
        <v>RORA</v>
      </c>
      <c r="F13" s="87" t="str">
        <f>IF(Coureurs!G13="","",Coureurs!G13)</f>
        <v>Jose</v>
      </c>
      <c r="G13" s="50">
        <f>IF(Coureurs!J13="","",Coureurs!J13)</f>
        <v>8077060</v>
      </c>
      <c r="H13" s="25"/>
      <c r="I13" s="40"/>
      <c r="J13" s="8" t="str">
        <f>IF(I13="PM","",IF(H13=0," ",I13-HLOOKUP('Course 5'!H13,'tab5'!$C$3:$N$4,2)))</f>
        <v xml:space="preserve"> </v>
      </c>
      <c r="K13" s="23" t="str">
        <f>IF(I13="PM","",IF(H13=0," ",J13/'Règles et points'!$F$23))</f>
        <v xml:space="preserve"> </v>
      </c>
      <c r="L13" s="3" t="str">
        <f>IF(H13=0,"",VLOOKUP(H13,'Règles et points'!$C$5:$AG$19,(HLOOKUP('Course 5'!C13,'Règles et points'!$C$5:$AG$5,1)+1)))</f>
        <v/>
      </c>
      <c r="M13" s="23">
        <f t="shared" si="0"/>
        <v>0</v>
      </c>
      <c r="N13" s="80"/>
      <c r="O13" s="51"/>
      <c r="P13" s="52"/>
    </row>
    <row r="14" spans="2:19" ht="12.75">
      <c r="B14" s="14">
        <v>10</v>
      </c>
      <c r="C14" s="28">
        <f>IF(Coureurs!C14="","",Coureurs!C14)</f>
        <v>12</v>
      </c>
      <c r="D14" s="131" t="str">
        <f>IF(Coureurs!D14="","",Coureurs!D14)</f>
        <v>D55</v>
      </c>
      <c r="E14" s="87" t="str">
        <f>IF(Coureurs!F14="","",Coureurs!F14)</f>
        <v>RORA</v>
      </c>
      <c r="F14" s="87" t="str">
        <f>IF(Coureurs!G14="","",Coureurs!G14)</f>
        <v>Isabelle</v>
      </c>
      <c r="G14" s="50">
        <f>IF(Coureurs!J14="","",Coureurs!J14)</f>
        <v>9771900</v>
      </c>
      <c r="H14" s="25"/>
      <c r="I14" s="40"/>
      <c r="J14" s="8" t="str">
        <f>IF(I14="PM","",IF(H14=0," ",I14-HLOOKUP('Course 5'!H14,'tab5'!$C$3:$N$4,2)))</f>
        <v xml:space="preserve"> </v>
      </c>
      <c r="K14" s="23" t="str">
        <f>IF(I14="PM","",IF(H14=0," ",J14/'Règles et points'!$F$23))</f>
        <v xml:space="preserve"> </v>
      </c>
      <c r="L14" s="3" t="str">
        <f>IF(H14=0,"",VLOOKUP(H14,'Règles et points'!$C$5:$AG$19,(HLOOKUP('Course 5'!C14,'Règles et points'!$C$5:$AG$5,1)+1)))</f>
        <v/>
      </c>
      <c r="M14" s="23">
        <f t="shared" si="0"/>
        <v>0</v>
      </c>
      <c r="N14" s="80"/>
      <c r="O14" s="51"/>
      <c r="P14" s="52"/>
    </row>
    <row r="15" spans="2:19" ht="12.75">
      <c r="B15" s="14">
        <v>11</v>
      </c>
      <c r="C15" s="28">
        <f>IF(Coureurs!C15="","",Coureurs!C15)</f>
        <v>29</v>
      </c>
      <c r="D15" s="131" t="str">
        <f>IF(Coureurs!D15="","",Coureurs!D15)</f>
        <v>H65</v>
      </c>
      <c r="E15" s="87" t="str">
        <f>IF(Coureurs!F15="","",Coureurs!F15)</f>
        <v>PERSE</v>
      </c>
      <c r="F15" s="87" t="str">
        <f>IF(Coureurs!G15="","",Coureurs!G15)</f>
        <v>Philippe</v>
      </c>
      <c r="G15" s="50">
        <f>IF(Coureurs!J15="","",Coureurs!J15)</f>
        <v>355162</v>
      </c>
      <c r="H15" s="106"/>
      <c r="I15" s="40"/>
      <c r="J15" s="8" t="str">
        <f>IF(I15="PM","",IF(H15=0," ",I15-HLOOKUP('Course 5'!H15,'tab5'!$C$3:$N$4,2)))</f>
        <v xml:space="preserve"> </v>
      </c>
      <c r="K15" s="23" t="str">
        <f>IF(I15="PM","",IF(H15=0," ",J15/'Règles et points'!$F$23))</f>
        <v xml:space="preserve"> </v>
      </c>
      <c r="L15" s="3" t="str">
        <f>IF(H15=0,"",VLOOKUP(H15,'Règles et points'!$C$5:$AG$19,(HLOOKUP('Course 5'!C15,'Règles et points'!$C$5:$AG$5,1)+1)))</f>
        <v/>
      </c>
      <c r="M15" s="23">
        <f t="shared" si="0"/>
        <v>0</v>
      </c>
      <c r="N15" s="80"/>
      <c r="O15" s="51"/>
      <c r="P15" s="52"/>
    </row>
    <row r="16" spans="2:19" ht="12.75">
      <c r="B16" s="14">
        <v>12</v>
      </c>
      <c r="C16" s="28">
        <f>IF(Coureurs!C16="","",Coureurs!C16)</f>
        <v>30</v>
      </c>
      <c r="D16" s="131" t="str">
        <f>IF(Coureurs!D16="","",Coureurs!D16)</f>
        <v>H70</v>
      </c>
      <c r="E16" s="87" t="str">
        <f>IF(Coureurs!F16="","",Coureurs!F16)</f>
        <v>DENIAU</v>
      </c>
      <c r="F16" s="87" t="str">
        <f>IF(Coureurs!G16="","",Coureurs!G16)</f>
        <v>Alain</v>
      </c>
      <c r="G16" s="50">
        <f>IF(Coureurs!J16="","",Coureurs!J16)</f>
        <v>304383</v>
      </c>
      <c r="H16" s="106"/>
      <c r="I16" s="40"/>
      <c r="J16" s="8" t="str">
        <f>IF(I16="PM","",IF(H16=0," ",I16-HLOOKUP('Course 5'!H16,'tab5'!$C$3:$N$4,2)))</f>
        <v xml:space="preserve"> </v>
      </c>
      <c r="K16" s="23" t="str">
        <f>IF(I16="PM","",IF(H16=0," ",J16/'Règles et points'!$F$23))</f>
        <v xml:space="preserve"> </v>
      </c>
      <c r="L16" s="3" t="str">
        <f>IF(H16=0,"",VLOOKUP(H16,'Règles et points'!$C$5:$AG$19,(HLOOKUP('Course 5'!C16,'Règles et points'!$C$5:$AG$5,1)+1)))</f>
        <v/>
      </c>
      <c r="M16" s="23">
        <f t="shared" si="0"/>
        <v>0</v>
      </c>
      <c r="N16" s="80"/>
      <c r="O16" s="51"/>
      <c r="P16" s="52"/>
    </row>
    <row r="17" spans="2:16" ht="12.75">
      <c r="B17" s="14">
        <v>13</v>
      </c>
      <c r="C17" s="28">
        <f>IF(Coureurs!C17="","",Coureurs!C17)</f>
        <v>10</v>
      </c>
      <c r="D17" s="131" t="str">
        <f>IF(Coureurs!D17="","",Coureurs!D17)</f>
        <v>D45</v>
      </c>
      <c r="E17" s="87" t="str">
        <f>IF(Coureurs!F17="","",Coureurs!F17)</f>
        <v>LAGRANGE</v>
      </c>
      <c r="F17" s="87" t="str">
        <f>IF(Coureurs!G17="","",Coureurs!G17)</f>
        <v>Florence</v>
      </c>
      <c r="G17" s="50">
        <f>IF(Coureurs!J17="","",Coureurs!J17)</f>
        <v>9877777</v>
      </c>
      <c r="H17" s="25"/>
      <c r="I17" s="40"/>
      <c r="J17" s="8" t="str">
        <f>IF(I17="PM","",IF(H17=0," ",I17-HLOOKUP('Course 5'!H17,'tab5'!$C$3:$N$4,2)))</f>
        <v xml:space="preserve"> </v>
      </c>
      <c r="K17" s="23" t="str">
        <f>IF(I17="PM","",IF(H17=0," ",J17/'Règles et points'!$F$23))</f>
        <v xml:space="preserve"> </v>
      </c>
      <c r="L17" s="3" t="str">
        <f>IF(H17=0,"",VLOOKUP(H17,'Règles et points'!$C$5:$AG$19,(HLOOKUP('Course 5'!C17,'Règles et points'!$C$5:$AG$5,1)+1)))</f>
        <v/>
      </c>
      <c r="M17" s="23">
        <f t="shared" si="0"/>
        <v>0</v>
      </c>
      <c r="N17" s="80"/>
      <c r="O17" s="51"/>
      <c r="P17" s="52"/>
    </row>
    <row r="18" spans="2:16" ht="12.75">
      <c r="B18" s="14">
        <v>14</v>
      </c>
      <c r="C18" s="28">
        <f>IF(Coureurs!C18="","",Coureurs!C18)</f>
        <v>27</v>
      </c>
      <c r="D18" s="131" t="str">
        <f>IF(Coureurs!D18="","",Coureurs!D18)</f>
        <v>H55</v>
      </c>
      <c r="E18" s="87" t="str">
        <f>IF(Coureurs!F18="","",Coureurs!F18)</f>
        <v>FINAUD-GUYOT</v>
      </c>
      <c r="F18" s="87" t="str">
        <f>IF(Coureurs!G18="","",Coureurs!G18)</f>
        <v>Lionel</v>
      </c>
      <c r="G18" s="50">
        <f>IF(Coureurs!J18="","",Coureurs!J18)</f>
        <v>229141</v>
      </c>
      <c r="H18" s="25"/>
      <c r="I18" s="40"/>
      <c r="J18" s="8" t="str">
        <f>IF(I18="PM","",IF(H18=0," ",I18-HLOOKUP('Course 5'!H18,'tab5'!$C$3:$N$4,2)))</f>
        <v xml:space="preserve"> </v>
      </c>
      <c r="K18" s="23" t="str">
        <f>IF(I18="PM","",IF(H18=0," ",J18/'Règles et points'!$F$23))</f>
        <v xml:space="preserve"> </v>
      </c>
      <c r="L18" s="3" t="str">
        <f>IF(H18=0,"",VLOOKUP(H18,'Règles et points'!$C$5:$AG$19,(HLOOKUP('Course 5'!C18,'Règles et points'!$C$5:$AG$5,1)+1)))</f>
        <v/>
      </c>
      <c r="M18" s="23">
        <f t="shared" si="0"/>
        <v>0</v>
      </c>
      <c r="N18" s="80"/>
      <c r="O18" s="51"/>
      <c r="P18" s="52"/>
    </row>
    <row r="19" spans="2:16" ht="12.75">
      <c r="B19" s="14">
        <v>15</v>
      </c>
      <c r="C19" s="28">
        <f>IF(Coureurs!C19="","",Coureurs!C19)</f>
        <v>28</v>
      </c>
      <c r="D19" s="131" t="str">
        <f>IF(Coureurs!D19="","",Coureurs!D19)</f>
        <v>H60</v>
      </c>
      <c r="E19" s="87" t="str">
        <f>IF(Coureurs!F19="","",Coureurs!F19)</f>
        <v>ADOLPHE</v>
      </c>
      <c r="F19" s="87" t="str">
        <f>IF(Coureurs!G19="","",Coureurs!G19)</f>
        <v>Philippe</v>
      </c>
      <c r="G19" s="50">
        <f>IF(Coureurs!J19="","",Coureurs!J19)</f>
        <v>8091800</v>
      </c>
      <c r="H19" s="106"/>
      <c r="I19" s="40"/>
      <c r="J19" s="8" t="str">
        <f>IF(I19="PM","",IF(H19=0," ",I19-HLOOKUP('Course 5'!H19,'tab5'!$C$3:$N$4,2)))</f>
        <v xml:space="preserve"> </v>
      </c>
      <c r="K19" s="23" t="str">
        <f>IF(I19="PM","",IF(H19=0," ",J19/'Règles et points'!$F$23))</f>
        <v xml:space="preserve"> </v>
      </c>
      <c r="L19" s="3" t="str">
        <f>IF(H19=0,"",VLOOKUP(H19,'Règles et points'!$C$5:$AG$19,(HLOOKUP('Course 5'!C19,'Règles et points'!$C$5:$AG$5,1)+1)))</f>
        <v/>
      </c>
      <c r="M19" s="23">
        <f t="shared" si="0"/>
        <v>0</v>
      </c>
      <c r="N19" s="80"/>
      <c r="O19" s="40"/>
      <c r="P19" s="52"/>
    </row>
    <row r="20" spans="2:16" ht="12.75">
      <c r="B20" s="14">
        <v>16</v>
      </c>
      <c r="C20" s="28">
        <f>IF(Coureurs!C20="","",Coureurs!C20)</f>
        <v>28</v>
      </c>
      <c r="D20" s="131" t="str">
        <f>IF(Coureurs!D20="","",Coureurs!D20)</f>
        <v>H60</v>
      </c>
      <c r="E20" s="87" t="str">
        <f>IF(Coureurs!F20="","",Coureurs!F20)</f>
        <v>LECONTE</v>
      </c>
      <c r="F20" s="87" t="str">
        <f>IF(Coureurs!G20="","",Coureurs!G20)</f>
        <v>Gilbert</v>
      </c>
      <c r="G20" s="50">
        <f>IF(Coureurs!J20="","",Coureurs!J20)</f>
        <v>9601555</v>
      </c>
      <c r="H20" s="110"/>
      <c r="I20" s="40"/>
      <c r="J20" s="8" t="str">
        <f>IF(I20="PM","",IF(H20=0," ",I20-HLOOKUP('Course 5'!H20,'tab5'!$C$3:$N$4,2)))</f>
        <v xml:space="preserve"> </v>
      </c>
      <c r="K20" s="23" t="str">
        <f>IF(I20="PM","",IF(H20=0," ",J20/'Règles et points'!$F$23))</f>
        <v xml:space="preserve"> </v>
      </c>
      <c r="L20" s="3" t="str">
        <f>IF(H20=0,"",VLOOKUP(H20,'Règles et points'!$C$5:$AG$19,(HLOOKUP('Course 5'!C20,'Règles et points'!$C$5:$AG$5,1)+1)))</f>
        <v/>
      </c>
      <c r="M20" s="23">
        <f t="shared" si="0"/>
        <v>0</v>
      </c>
      <c r="N20" s="80"/>
      <c r="O20" s="51"/>
      <c r="P20" s="52"/>
    </row>
    <row r="21" spans="2:16" ht="12.75">
      <c r="B21" s="14">
        <v>17</v>
      </c>
      <c r="C21" s="28">
        <f>IF(Coureurs!C21="","",Coureurs!C21)</f>
        <v>13</v>
      </c>
      <c r="D21" s="131" t="str">
        <f>IF(Coureurs!D21="","",Coureurs!D21)</f>
        <v>D60</v>
      </c>
      <c r="E21" s="87" t="str">
        <f>IF(Coureurs!F21="","",Coureurs!F21)</f>
        <v>LECONTE</v>
      </c>
      <c r="F21" s="87" t="str">
        <f>IF(Coureurs!G21="","",Coureurs!G21)</f>
        <v>Sylvie</v>
      </c>
      <c r="G21" s="50">
        <f>IF(Coureurs!J21="","",Coureurs!J21)</f>
        <v>1000983</v>
      </c>
      <c r="H21" s="106"/>
      <c r="I21" s="40"/>
      <c r="J21" s="8" t="str">
        <f>IF(I21="PM","",IF(H21=0," ",I21-HLOOKUP('Course 5'!H21,'tab5'!$C$3:$N$4,2)))</f>
        <v xml:space="preserve"> </v>
      </c>
      <c r="K21" s="23" t="str">
        <f>IF(I21="PM","",IF(H21=0," ",J21/'Règles et points'!$F$23))</f>
        <v xml:space="preserve"> </v>
      </c>
      <c r="L21" s="3" t="str">
        <f>IF(H21=0,"",VLOOKUP(H21,'Règles et points'!$C$5:$AG$19,(HLOOKUP('Course 5'!C21,'Règles et points'!$C$5:$AG$5,1)+1)))</f>
        <v/>
      </c>
      <c r="M21" s="23">
        <f t="shared" si="0"/>
        <v>0</v>
      </c>
      <c r="N21" s="80"/>
      <c r="O21" s="51"/>
      <c r="P21" s="52"/>
    </row>
    <row r="22" spans="2:16" ht="12.75">
      <c r="B22" s="14">
        <v>18</v>
      </c>
      <c r="C22" s="28">
        <f>IF(Coureurs!C22="","",Coureurs!C22)</f>
        <v>8</v>
      </c>
      <c r="D22" s="131" t="str">
        <f>IF(Coureurs!D22="","",Coureurs!D22)</f>
        <v>D35</v>
      </c>
      <c r="E22" s="87" t="str">
        <f>IF(Coureurs!F22="","",Coureurs!F22)</f>
        <v>MEY</v>
      </c>
      <c r="F22" s="87" t="str">
        <f>IF(Coureurs!G22="","",Coureurs!G22)</f>
        <v>Milena</v>
      </c>
      <c r="G22" s="50">
        <f>IF(Coureurs!J22="","",Coureurs!J22)</f>
        <v>1986217</v>
      </c>
      <c r="H22" s="25"/>
      <c r="I22" s="40"/>
      <c r="J22" s="8" t="str">
        <f>IF(I22="PM","",IF(H22=0," ",I22-HLOOKUP('Course 5'!H22,'tab5'!$C$3:$N$4,2)))</f>
        <v xml:space="preserve"> </v>
      </c>
      <c r="K22" s="23" t="str">
        <f>IF(I22="PM","",IF(H22=0," ",J22/'Règles et points'!$F$23))</f>
        <v xml:space="preserve"> </v>
      </c>
      <c r="L22" s="3" t="str">
        <f>IF(H22=0,"",VLOOKUP(H22,'Règles et points'!$C$5:$AG$19,(HLOOKUP('Course 5'!C22,'Règles et points'!$C$5:$AG$5,1)+1)))</f>
        <v/>
      </c>
      <c r="M22" s="23">
        <f t="shared" si="0"/>
        <v>0</v>
      </c>
      <c r="N22" s="80"/>
      <c r="O22" s="51"/>
      <c r="P22" s="52"/>
    </row>
    <row r="23" spans="2:16" ht="12.75">
      <c r="B23" s="14">
        <v>19</v>
      </c>
      <c r="C23" s="28">
        <f>IF(Coureurs!C23="","",Coureurs!C23)</f>
        <v>22</v>
      </c>
      <c r="D23" s="131" t="str">
        <f>IF(Coureurs!D23="","",Coureurs!D23)</f>
        <v>H21</v>
      </c>
      <c r="E23" s="87" t="str">
        <f>IF(Coureurs!F23="","",Coureurs!F23)</f>
        <v>TOUSSAINT</v>
      </c>
      <c r="F23" s="87" t="str">
        <f>IF(Coureurs!G23="","",Coureurs!G23)</f>
        <v>Tom</v>
      </c>
      <c r="G23" s="50">
        <f>IF(Coureurs!J23="","",Coureurs!J23)</f>
        <v>1770313</v>
      </c>
      <c r="H23" s="25"/>
      <c r="I23" s="40"/>
      <c r="J23" s="8" t="str">
        <f>IF(I23="PM","",IF(H23=0," ",I23-HLOOKUP('Course 5'!H23,'tab5'!$C$3:$N$4,2)))</f>
        <v xml:space="preserve"> </v>
      </c>
      <c r="K23" s="23" t="str">
        <f>IF(I23="PM","",IF(H23=0," ",J23/'Règles et points'!$F$23))</f>
        <v xml:space="preserve"> </v>
      </c>
      <c r="L23" s="3" t="str">
        <f>IF(H23=0,"",VLOOKUP(H23,'Règles et points'!$C$5:$AG$19,(HLOOKUP('Course 5'!C23,'Règles et points'!$C$5:$AG$5,1)+1)))</f>
        <v/>
      </c>
      <c r="M23" s="23">
        <f t="shared" si="0"/>
        <v>0</v>
      </c>
      <c r="N23" s="80"/>
      <c r="O23" s="51"/>
      <c r="P23" s="52"/>
    </row>
    <row r="24" spans="2:16" ht="12.75">
      <c r="B24" s="14">
        <v>20</v>
      </c>
      <c r="C24" s="28">
        <f>IF(Coureurs!C24="","",Coureurs!C24)</f>
        <v>6</v>
      </c>
      <c r="D24" s="131" t="str">
        <f>IF(Coureurs!D24="","",Coureurs!D24)</f>
        <v>D20</v>
      </c>
      <c r="E24" s="87" t="str">
        <f>IF(Coureurs!F24="","",Coureurs!F24)</f>
        <v>TOUSSAINT</v>
      </c>
      <c r="F24" s="87" t="str">
        <f>IF(Coureurs!G24="","",Coureurs!G24)</f>
        <v>Perrine</v>
      </c>
      <c r="G24" s="50">
        <f>IF(Coureurs!J24="","",Coureurs!J24)</f>
        <v>8002045</v>
      </c>
      <c r="H24" s="106"/>
      <c r="I24" s="40"/>
      <c r="J24" s="8" t="str">
        <f>IF(I24="PM","",IF(H24=0," ",I24-HLOOKUP('Course 5'!H24,'tab5'!$C$3:$N$4,2)))</f>
        <v xml:space="preserve"> </v>
      </c>
      <c r="K24" s="23" t="str">
        <f>IF(I24="PM","",IF(H24=0," ",J24/'Règles et points'!$F$23))</f>
        <v xml:space="preserve"> </v>
      </c>
      <c r="L24" s="3" t="str">
        <f>IF(H24=0,"",VLOOKUP(H24,'Règles et points'!$C$5:$AG$19,(HLOOKUP('Course 5'!C24,'Règles et points'!$C$5:$AG$5,1)+1)))</f>
        <v/>
      </c>
      <c r="M24" s="23">
        <f t="shared" si="0"/>
        <v>0</v>
      </c>
      <c r="N24" s="80"/>
      <c r="O24" s="51"/>
      <c r="P24" s="52"/>
    </row>
    <row r="25" spans="2:16" ht="12.75">
      <c r="B25" s="14">
        <v>21</v>
      </c>
      <c r="C25" s="28">
        <f>IF(Coureurs!C25="","",Coureurs!C25)</f>
        <v>20</v>
      </c>
      <c r="D25" s="131" t="str">
        <f>IF(Coureurs!D25="","",Coureurs!D25)</f>
        <v>H18</v>
      </c>
      <c r="E25" s="87" t="str">
        <f>IF(Coureurs!F25="","",Coureurs!F25)</f>
        <v>GILLARD</v>
      </c>
      <c r="F25" s="87" t="str">
        <f>IF(Coureurs!G25="","",Coureurs!G25)</f>
        <v>Lucas</v>
      </c>
      <c r="G25" s="50">
        <f>IF(Coureurs!J25="","",Coureurs!J25)</f>
        <v>1000716</v>
      </c>
      <c r="H25" s="106"/>
      <c r="I25" s="107"/>
      <c r="J25" s="8" t="str">
        <f>IF(I25="PM","",IF(H25=0," ",I25-HLOOKUP('Course 5'!H25,'tab5'!$C$3:$N$4,2)))</f>
        <v xml:space="preserve"> </v>
      </c>
      <c r="K25" s="23" t="str">
        <f>IF(I25="PM","",IF(H25=0," ",J25/'Règles et points'!$F$23))</f>
        <v xml:space="preserve"> </v>
      </c>
      <c r="L25" s="3" t="str">
        <f>IF(H25=0,"",VLOOKUP(H25,'Règles et points'!$C$5:$AG$19,(HLOOKUP('Course 5'!C25,'Règles et points'!$C$5:$AG$5,1)+1)))</f>
        <v/>
      </c>
      <c r="M25" s="23">
        <f t="shared" si="0"/>
        <v>0</v>
      </c>
      <c r="N25" s="80"/>
      <c r="O25" s="51"/>
      <c r="P25" s="52"/>
    </row>
    <row r="26" spans="2:16" ht="12.75">
      <c r="B26" s="14">
        <v>22</v>
      </c>
      <c r="C26" s="28">
        <f>IF(Coureurs!C26="","",Coureurs!C26)</f>
        <v>11</v>
      </c>
      <c r="D26" s="131" t="str">
        <f>IF(Coureurs!D26="","",Coureurs!D26)</f>
        <v>D50</v>
      </c>
      <c r="E26" s="87" t="str">
        <f>IF(Coureurs!F26="","",Coureurs!F26)</f>
        <v>LEBLOIS</v>
      </c>
      <c r="F26" s="87" t="str">
        <f>IF(Coureurs!G26="","",Coureurs!G26)</f>
        <v>Delphine</v>
      </c>
      <c r="G26" s="50">
        <f>IF(Coureurs!J26="","",Coureurs!J26)</f>
        <v>2037864</v>
      </c>
      <c r="H26" s="25"/>
      <c r="I26" s="40"/>
      <c r="J26" s="8" t="str">
        <f>IF(I26="PM","",IF(H26=0," ",I26-HLOOKUP('Course 5'!H26,'tab5'!$C$3:$N$4,2)))</f>
        <v xml:space="preserve"> </v>
      </c>
      <c r="K26" s="23" t="str">
        <f>IF(I26="PM","",IF(H26=0," ",J26/'Règles et points'!$F$23))</f>
        <v xml:space="preserve"> </v>
      </c>
      <c r="L26" s="3" t="str">
        <f>IF(H26=0,"",VLOOKUP(H26,'Règles et points'!$C$5:$AG$19,(HLOOKUP('Course 5'!C26,'Règles et points'!$C$5:$AG$5,1)+1)))</f>
        <v/>
      </c>
      <c r="M26" s="23">
        <f t="shared" si="0"/>
        <v>0</v>
      </c>
      <c r="N26" s="80"/>
      <c r="O26" s="51"/>
      <c r="P26" s="52"/>
    </row>
    <row r="27" spans="2:16" ht="12.75">
      <c r="B27" s="14">
        <v>23</v>
      </c>
      <c r="C27" s="28">
        <f>IF(Coureurs!C27="","",Coureurs!C27)</f>
        <v>22</v>
      </c>
      <c r="D27" s="131" t="str">
        <f>IF(Coureurs!D27="","",Coureurs!D27)</f>
        <v>H21</v>
      </c>
      <c r="E27" s="87" t="str">
        <f>IF(Coureurs!F27="","",Coureurs!F27)</f>
        <v>FONTAINE</v>
      </c>
      <c r="F27" s="87" t="str">
        <f>IF(Coureurs!G27="","",Coureurs!G27)</f>
        <v>Valentin</v>
      </c>
      <c r="G27" s="50">
        <f>IF(Coureurs!J27="","",Coureurs!J27)</f>
        <v>7005132</v>
      </c>
      <c r="H27" s="106"/>
      <c r="I27" s="40"/>
      <c r="J27" s="8" t="str">
        <f>IF(I27="PM","",IF(H27=0," ",I27-HLOOKUP('Course 5'!H27,'tab5'!$C$3:$N$4,2)))</f>
        <v xml:space="preserve"> </v>
      </c>
      <c r="K27" s="23" t="str">
        <f>IF(I27="PM","",IF(H27=0," ",J27/'Règles et points'!$F$23))</f>
        <v xml:space="preserve"> </v>
      </c>
      <c r="L27" s="3" t="str">
        <f>IF(H27=0,"",VLOOKUP(H27,'Règles et points'!$C$5:$AG$19,(HLOOKUP('Course 5'!C27,'Règles et points'!$C$5:$AG$5,1)+1)))</f>
        <v/>
      </c>
      <c r="M27" s="23">
        <f t="shared" si="0"/>
        <v>0</v>
      </c>
      <c r="N27" s="80"/>
      <c r="O27" s="51"/>
      <c r="P27" s="52"/>
    </row>
    <row r="28" spans="2:16" ht="12.75">
      <c r="B28" s="14">
        <v>24</v>
      </c>
      <c r="C28" s="28">
        <f>IF(Coureurs!C28="","",Coureurs!C28)</f>
        <v>12</v>
      </c>
      <c r="D28" s="131" t="str">
        <f>IF(Coureurs!D28="","",Coureurs!D28)</f>
        <v>D55</v>
      </c>
      <c r="E28" s="87" t="str">
        <f>IF(Coureurs!F28="","",Coureurs!F28)</f>
        <v>FOUCHER</v>
      </c>
      <c r="F28" s="87" t="str">
        <f>IF(Coureurs!G28="","",Coureurs!G28)</f>
        <v>Marie</v>
      </c>
      <c r="G28" s="50">
        <f>IF(Coureurs!J28="","",Coureurs!J28)</f>
        <v>2026171</v>
      </c>
      <c r="H28" s="25"/>
      <c r="I28" s="40"/>
      <c r="J28" s="8" t="str">
        <f>IF(I28="PM","",IF(H28=0," ",I28-HLOOKUP('Course 5'!H28,'tab5'!$C$3:$N$4,2)))</f>
        <v xml:space="preserve"> </v>
      </c>
      <c r="K28" s="23" t="str">
        <f>IF(I28="PM","",IF(H28=0," ",J28/'Règles et points'!$F$23))</f>
        <v xml:space="preserve"> </v>
      </c>
      <c r="L28" s="3" t="str">
        <f>IF(H28=0,"",VLOOKUP(H28,'Règles et points'!$C$5:$AG$19,(HLOOKUP('Course 5'!C28,'Règles et points'!$C$5:$AG$5,1)+1)))</f>
        <v/>
      </c>
      <c r="M28" s="23">
        <f t="shared" si="0"/>
        <v>0</v>
      </c>
      <c r="N28" s="80"/>
      <c r="O28" s="51"/>
      <c r="P28" s="52"/>
    </row>
    <row r="29" spans="2:16" ht="12.75">
      <c r="B29" s="14">
        <v>25</v>
      </c>
      <c r="C29" s="28">
        <f>IF(Coureurs!C29="","",Coureurs!C29)</f>
        <v>24</v>
      </c>
      <c r="D29" s="131" t="str">
        <f>IF(Coureurs!D29="","",Coureurs!D29)</f>
        <v>H40</v>
      </c>
      <c r="E29" s="87" t="str">
        <f>IF(Coureurs!F29="","",Coureurs!F29)</f>
        <v>GUERIN</v>
      </c>
      <c r="F29" s="87" t="str">
        <f>IF(Coureurs!G29="","",Coureurs!G29)</f>
        <v>Fabien</v>
      </c>
      <c r="G29" s="50">
        <f>IF(Coureurs!J29="","",Coureurs!J29)</f>
        <v>2037868</v>
      </c>
      <c r="H29" s="25"/>
      <c r="I29" s="40"/>
      <c r="J29" s="8" t="str">
        <f>IF(I29="PM","",IF(H29=0," ",I29-HLOOKUP('Course 5'!H29,'tab5'!$C$3:$N$4,2)))</f>
        <v xml:space="preserve"> </v>
      </c>
      <c r="K29" s="23" t="str">
        <f>IF(I29="PM","",IF(H29=0," ",J29/'Règles et points'!$F$23))</f>
        <v xml:space="preserve"> </v>
      </c>
      <c r="L29" s="3" t="str">
        <f>IF(H29=0,"",VLOOKUP(H29,'Règles et points'!$C$5:$AG$19,(HLOOKUP('Course 5'!C29,'Règles et points'!$C$5:$AG$5,1)+1)))</f>
        <v/>
      </c>
      <c r="M29" s="23">
        <f t="shared" si="0"/>
        <v>0</v>
      </c>
      <c r="N29" s="80"/>
      <c r="O29" s="51"/>
      <c r="P29" s="52"/>
    </row>
    <row r="30" spans="2:16" ht="12.75">
      <c r="B30" s="14">
        <v>26</v>
      </c>
      <c r="C30" s="28">
        <f>IF(Coureurs!C30="","",Coureurs!C30)</f>
        <v>24</v>
      </c>
      <c r="D30" s="131" t="str">
        <f>IF(Coureurs!D30="","",Coureurs!D30)</f>
        <v>H40</v>
      </c>
      <c r="E30" s="87" t="str">
        <f>IF(Coureurs!F30="","",Coureurs!F30)</f>
        <v>BIARD</v>
      </c>
      <c r="F30" s="87" t="str">
        <f>IF(Coureurs!G30="","",Coureurs!G30)</f>
        <v>Michael</v>
      </c>
      <c r="G30" s="50">
        <f>IF(Coureurs!J30="","",Coureurs!J30)</f>
        <v>1967657</v>
      </c>
      <c r="H30" s="106"/>
      <c r="I30" s="40"/>
      <c r="J30" s="8" t="str">
        <f>IF(I30="PM","",IF(H30=0," ",I30-HLOOKUP('Course 5'!H30,'tab5'!$C$3:$N$4,2)))</f>
        <v xml:space="preserve"> </v>
      </c>
      <c r="K30" s="23" t="str">
        <f>IF(I30="PM","",IF(H30=0," ",J30/'Règles et points'!$F$23))</f>
        <v xml:space="preserve"> </v>
      </c>
      <c r="L30" s="3" t="str">
        <f>IF(H30=0,"",VLOOKUP(H30,'Règles et points'!$C$5:$AG$19,(HLOOKUP('Course 5'!C30,'Règles et points'!$C$5:$AG$5,1)+1)))</f>
        <v/>
      </c>
      <c r="M30" s="23">
        <f t="shared" si="0"/>
        <v>0</v>
      </c>
      <c r="N30" s="80"/>
      <c r="O30" s="51"/>
      <c r="P30" s="52"/>
    </row>
    <row r="31" spans="2:16" ht="12.75">
      <c r="B31" s="14">
        <v>27</v>
      </c>
      <c r="C31" s="28">
        <f>IF(Coureurs!C31="","",Coureurs!C31)</f>
        <v>18</v>
      </c>
      <c r="D31" s="131" t="str">
        <f>IF(Coureurs!D31="","",Coureurs!D31)</f>
        <v>H14</v>
      </c>
      <c r="E31" s="87" t="str">
        <f>IF(Coureurs!F31="","",Coureurs!F31)</f>
        <v>GUERINI</v>
      </c>
      <c r="F31" s="87" t="str">
        <f>IF(Coureurs!G31="","",Coureurs!G31)</f>
        <v>Robin</v>
      </c>
      <c r="G31" s="50">
        <f>IF(Coureurs!J31="","",Coureurs!J31)</f>
        <v>1018613</v>
      </c>
      <c r="H31" s="25"/>
      <c r="I31" s="40"/>
      <c r="J31" s="8" t="str">
        <f>IF(I31="PM","",IF(H31=0," ",I31-HLOOKUP('Course 5'!H31,'tab5'!$C$3:$N$4,2)))</f>
        <v xml:space="preserve"> </v>
      </c>
      <c r="K31" s="23" t="str">
        <f>IF(I31="PM","",IF(H31=0," ",J31/'Règles et points'!$F$23))</f>
        <v xml:space="preserve"> </v>
      </c>
      <c r="L31" s="3" t="str">
        <f>IF(H31=0,"",VLOOKUP(H31,'Règles et points'!$C$5:$AG$19,(HLOOKUP('Course 5'!C31,'Règles et points'!$C$5:$AG$5,1)+1)))</f>
        <v/>
      </c>
      <c r="M31" s="23">
        <f t="shared" si="0"/>
        <v>0</v>
      </c>
      <c r="N31" s="80"/>
      <c r="O31" s="51"/>
      <c r="P31" s="52"/>
    </row>
    <row r="32" spans="2:16" ht="12.75">
      <c r="B32" s="14">
        <v>28</v>
      </c>
      <c r="C32" s="28">
        <f>IF(Coureurs!C32="","",Coureurs!C32)</f>
        <v>4</v>
      </c>
      <c r="D32" s="131" t="str">
        <f>IF(Coureurs!D32="","",Coureurs!D32)</f>
        <v>D16</v>
      </c>
      <c r="E32" s="87" t="str">
        <f>IF(Coureurs!F32="","",Coureurs!F32)</f>
        <v>GUERINI</v>
      </c>
      <c r="F32" s="87" t="str">
        <f>IF(Coureurs!G32="","",Coureurs!G32)</f>
        <v>Alice</v>
      </c>
      <c r="G32" s="50">
        <f>IF(Coureurs!J32="","",Coureurs!J32)</f>
        <v>1508341</v>
      </c>
      <c r="H32" s="106"/>
      <c r="I32" s="40"/>
      <c r="J32" s="8" t="str">
        <f>IF(I32="PM","",IF(H32=0," ",I32-HLOOKUP('Course 5'!H32,'tab5'!$C$3:$N$4,2)))</f>
        <v xml:space="preserve"> </v>
      </c>
      <c r="K32" s="23" t="str">
        <f>IF(I32="PM","",IF(H32=0," ",J32/'Règles et points'!$F$23))</f>
        <v xml:space="preserve"> </v>
      </c>
      <c r="L32" s="3" t="str">
        <f>IF(H32=0,"",VLOOKUP(H32,'Règles et points'!$C$5:$AG$19,(HLOOKUP('Course 5'!C32,'Règles et points'!$C$5:$AG$5,1)+1)))</f>
        <v/>
      </c>
      <c r="M32" s="23">
        <f t="shared" si="0"/>
        <v>0</v>
      </c>
      <c r="N32" s="80"/>
      <c r="O32" s="51"/>
      <c r="P32" s="52"/>
    </row>
    <row r="33" spans="2:18" ht="12.75">
      <c r="B33" s="14">
        <v>29</v>
      </c>
      <c r="C33" s="28">
        <f>IF(Coureurs!C33="","",Coureurs!C33)</f>
        <v>9</v>
      </c>
      <c r="D33" s="131" t="str">
        <f>IF(Coureurs!D33="","",Coureurs!D33)</f>
        <v>D40</v>
      </c>
      <c r="E33" s="87" t="str">
        <f>IF(Coureurs!F33="","",Coureurs!F33)</f>
        <v>RINTJEMA</v>
      </c>
      <c r="F33" s="87" t="str">
        <f>IF(Coureurs!G33="","",Coureurs!G33)</f>
        <v>Carole</v>
      </c>
      <c r="G33" s="50">
        <f>IF(Coureurs!J33="","",Coureurs!J33)</f>
        <v>1017719</v>
      </c>
      <c r="H33" s="25"/>
      <c r="I33" s="40"/>
      <c r="J33" s="8" t="str">
        <f>IF(I33="PM","",IF(H33=0," ",I33-HLOOKUP('Course 5'!H33,'tab5'!$C$3:$N$4,2)))</f>
        <v xml:space="preserve"> </v>
      </c>
      <c r="K33" s="23" t="str">
        <f>IF(I33="PM","",IF(H33=0," ",J33/'Règles et points'!$F$23))</f>
        <v xml:space="preserve"> </v>
      </c>
      <c r="L33" s="3" t="str">
        <f>IF(H33=0,"",VLOOKUP(H33,'Règles et points'!$C$5:$AG$19,(HLOOKUP('Course 5'!C33,'Règles et points'!$C$5:$AG$5,1)+1)))</f>
        <v/>
      </c>
      <c r="M33" s="23">
        <f t="shared" si="0"/>
        <v>0</v>
      </c>
      <c r="N33" s="80"/>
      <c r="O33" s="51"/>
      <c r="P33" s="52"/>
    </row>
    <row r="34" spans="2:18" ht="12.75">
      <c r="B34" s="14">
        <v>30</v>
      </c>
      <c r="C34" s="28">
        <f>IF(Coureurs!C34="","",Coureurs!C34)</f>
        <v>19</v>
      </c>
      <c r="D34" s="131" t="str">
        <f>IF(Coureurs!D34="","",Coureurs!D34)</f>
        <v>H16</v>
      </c>
      <c r="E34" s="87" t="str">
        <f>IF(Coureurs!F34="","",Coureurs!F34)</f>
        <v>GARDETTE-POIRIER</v>
      </c>
      <c r="F34" s="87" t="str">
        <f>IF(Coureurs!G34="","",Coureurs!G34)</f>
        <v>Théodore</v>
      </c>
      <c r="G34" s="50" t="str">
        <f>IF(Coureurs!J34="","",Coureurs!J34)</f>
        <v/>
      </c>
      <c r="H34" s="25"/>
      <c r="I34" s="40"/>
      <c r="J34" s="8" t="str">
        <f>IF(I34="PM","",IF(H34=0," ",I34-HLOOKUP('Course 5'!H34,'tab5'!$C$3:$N$4,2)))</f>
        <v xml:space="preserve"> </v>
      </c>
      <c r="K34" s="23" t="str">
        <f>IF(I34="PM","",IF(H34=0," ",J34/'Règles et points'!$F$23))</f>
        <v xml:space="preserve"> </v>
      </c>
      <c r="L34" s="3" t="str">
        <f>IF(H34=0,"",VLOOKUP(H34,'Règles et points'!$C$5:$AG$19,(HLOOKUP('Course 5'!C34,'Règles et points'!$C$5:$AG$5,1)+1)))</f>
        <v/>
      </c>
      <c r="M34" s="23">
        <f t="shared" si="0"/>
        <v>0</v>
      </c>
      <c r="N34" s="80"/>
      <c r="O34" s="51"/>
      <c r="P34" s="52"/>
    </row>
    <row r="35" spans="2:18" ht="12.75">
      <c r="B35" s="14">
        <v>31</v>
      </c>
      <c r="C35" s="28">
        <f>IF(Coureurs!C35="","",Coureurs!C35)</f>
        <v>27</v>
      </c>
      <c r="D35" s="131" t="str">
        <f>IF(Coureurs!D35="","",Coureurs!D35)</f>
        <v>H55</v>
      </c>
      <c r="E35" s="87" t="str">
        <f>IF(Coureurs!F35="","",Coureurs!F35)</f>
        <v>ALBERT</v>
      </c>
      <c r="F35" s="87" t="str">
        <f>IF(Coureurs!G35="","",Coureurs!G35)</f>
        <v>Arnault</v>
      </c>
      <c r="G35" s="50" t="str">
        <f>IF(Coureurs!J35="","",Coureurs!J35)</f>
        <v/>
      </c>
      <c r="H35" s="25"/>
      <c r="I35" s="40"/>
      <c r="J35" s="8" t="str">
        <f>IF(I35="PM","",IF(H35=0," ",I35-HLOOKUP('Course 5'!H35,'tab5'!$C$3:$N$4,2)))</f>
        <v xml:space="preserve"> </v>
      </c>
      <c r="K35" s="23" t="str">
        <f>IF(I35="PM","",IF(H35=0," ",J35/'Règles et points'!$F$23))</f>
        <v xml:space="preserve"> </v>
      </c>
      <c r="L35" s="3" t="str">
        <f>IF(H35=0,"",VLOOKUP(H35,'Règles et points'!$C$5:$AG$19,(HLOOKUP('Course 5'!C35,'Règles et points'!$C$5:$AG$5,1)+1)))</f>
        <v/>
      </c>
      <c r="M35" s="23">
        <f t="shared" si="0"/>
        <v>0</v>
      </c>
      <c r="N35" s="80"/>
      <c r="O35" s="51"/>
      <c r="P35" s="52"/>
    </row>
    <row r="36" spans="2:18" ht="12.75">
      <c r="B36" s="14">
        <v>32</v>
      </c>
      <c r="C36" s="28">
        <f>IF(Coureurs!C36="","",Coureurs!C36)</f>
        <v>7</v>
      </c>
      <c r="D36" s="131" t="str">
        <f>IF(Coureurs!D36="","",Coureurs!D36)</f>
        <v>D21</v>
      </c>
      <c r="E36" s="87" t="str">
        <f>IF(Coureurs!F36="","",Coureurs!F36)</f>
        <v>AUDEFROY</v>
      </c>
      <c r="F36" s="87" t="str">
        <f>IF(Coureurs!G36="","",Coureurs!G36)</f>
        <v>Elsa</v>
      </c>
      <c r="G36" s="50">
        <f>IF(Coureurs!J36="","",Coureurs!J36)</f>
        <v>1001973</v>
      </c>
      <c r="H36" s="25"/>
      <c r="I36" s="40"/>
      <c r="J36" s="8" t="str">
        <f>IF(I36="PM","",IF(H36=0," ",I36-HLOOKUP('Course 5'!H36,'tab5'!$C$3:$N$4,2)))</f>
        <v xml:space="preserve"> </v>
      </c>
      <c r="K36" s="23" t="str">
        <f>IF(I36="PM","",IF(H36=0," ",J36/'Règles et points'!$F$23))</f>
        <v xml:space="preserve"> </v>
      </c>
      <c r="L36" s="3" t="str">
        <f>IF(H36=0,"",VLOOKUP(H36,'Règles et points'!$C$5:$AG$19,(HLOOKUP('Course 5'!C36,'Règles et points'!$C$5:$AG$5,1)+1)))</f>
        <v/>
      </c>
      <c r="M36" s="23">
        <f t="shared" si="0"/>
        <v>0</v>
      </c>
      <c r="N36" s="80"/>
      <c r="O36" s="51"/>
      <c r="P36" s="52"/>
    </row>
    <row r="37" spans="2:18" ht="12.75">
      <c r="B37" s="14">
        <v>33</v>
      </c>
      <c r="C37" s="28">
        <f>IF(Coureurs!C37="","",Coureurs!C37)</f>
        <v>25</v>
      </c>
      <c r="D37" s="131" t="str">
        <f>IF(Coureurs!D37="","",Coureurs!D37)</f>
        <v>H45</v>
      </c>
      <c r="E37" s="87" t="str">
        <f>IF(Coureurs!F37="","",Coureurs!F37)</f>
        <v>COIFFIER</v>
      </c>
      <c r="F37" s="87" t="str">
        <f>IF(Coureurs!G37="","",Coureurs!G37)</f>
        <v>Laurent</v>
      </c>
      <c r="G37" s="50">
        <f>IF(Coureurs!J37="","",Coureurs!J37)</f>
        <v>2800059</v>
      </c>
      <c r="H37" s="106"/>
      <c r="I37" s="40"/>
      <c r="J37" s="8" t="str">
        <f>IF(I37="PM","",IF(H37=0," ",I37-HLOOKUP('Course 5'!H37,'tab5'!$C$3:$N$4,2)))</f>
        <v xml:space="preserve"> </v>
      </c>
      <c r="K37" s="23" t="str">
        <f>IF(I37="PM","",IF(H37=0," ",J37/'Règles et points'!$F$23))</f>
        <v xml:space="preserve"> </v>
      </c>
      <c r="L37" s="3" t="str">
        <f>IF(H37=0,"",VLOOKUP(H37,'Règles et points'!$C$5:$AG$19,(HLOOKUP('Course 5'!C37,'Règles et points'!$C$5:$AG$5,1)+1)))</f>
        <v/>
      </c>
      <c r="M37" s="23">
        <f t="shared" si="0"/>
        <v>0</v>
      </c>
      <c r="N37" s="80"/>
      <c r="O37" s="51"/>
      <c r="P37" s="52"/>
    </row>
    <row r="38" spans="2:18" ht="12.75">
      <c r="B38" s="14">
        <v>34</v>
      </c>
      <c r="C38" s="28">
        <f>IF(Coureurs!C38="","",Coureurs!C38)</f>
        <v>18</v>
      </c>
      <c r="D38" s="131" t="str">
        <f>IF(Coureurs!D38="","",Coureurs!D38)</f>
        <v>H14</v>
      </c>
      <c r="E38" s="87" t="str">
        <f>IF(Coureurs!F38="","",Coureurs!F38)</f>
        <v>ANDRIEU-PHELEP</v>
      </c>
      <c r="F38" s="87" t="str">
        <f>IF(Coureurs!G38="","",Coureurs!G38)</f>
        <v>Titouan</v>
      </c>
      <c r="G38" s="50">
        <f>IF(Coureurs!J38="","",Coureurs!J38)</f>
        <v>2109543</v>
      </c>
      <c r="H38" s="25"/>
      <c r="I38" s="40"/>
      <c r="J38" s="8" t="str">
        <f>IF(I38="PM","",IF(H38=0," ",I38-HLOOKUP('Course 5'!H38,'tab5'!$C$3:$N$4,2)))</f>
        <v xml:space="preserve"> </v>
      </c>
      <c r="K38" s="23" t="str">
        <f>IF(I38="PM","",IF(H38=0," ",J38/'Règles et points'!$F$23))</f>
        <v xml:space="preserve"> </v>
      </c>
      <c r="L38" s="3" t="str">
        <f>IF(H38=0,"",VLOOKUP(H38,'Règles et points'!$C$5:$AG$19,(HLOOKUP('Course 5'!C38,'Règles et points'!$C$5:$AG$5,1)+1)))</f>
        <v/>
      </c>
      <c r="M38" s="23">
        <f t="shared" si="0"/>
        <v>0</v>
      </c>
      <c r="N38" s="80"/>
      <c r="O38" s="51"/>
      <c r="P38" s="52"/>
    </row>
    <row r="39" spans="2:18" ht="12.75">
      <c r="B39" s="14">
        <v>35</v>
      </c>
      <c r="C39" s="28">
        <f>IF(Coureurs!C39="","",Coureurs!C39)</f>
        <v>19</v>
      </c>
      <c r="D39" s="131" t="str">
        <f>IF(Coureurs!D39="","",Coureurs!D39)</f>
        <v>H16</v>
      </c>
      <c r="E39" s="87" t="str">
        <f>IF(Coureurs!F39="","",Coureurs!F39)</f>
        <v>TONDU</v>
      </c>
      <c r="F39" s="87" t="str">
        <f>IF(Coureurs!G39="","",Coureurs!G39)</f>
        <v>maxime</v>
      </c>
      <c r="G39" s="50">
        <f>IF(Coureurs!J39="","",Coureurs!J39)</f>
        <v>2109547</v>
      </c>
      <c r="H39" s="25"/>
      <c r="I39" s="40"/>
      <c r="J39" s="8" t="str">
        <f>IF(I39="PM","",IF(H39=0," ",I39-HLOOKUP('Course 5'!H39,'tab5'!$C$3:$N$4,2)))</f>
        <v xml:space="preserve"> </v>
      </c>
      <c r="K39" s="23" t="str">
        <f>IF(I39="PM","",IF(H39=0," ",J39/'Règles et points'!$F$23))</f>
        <v xml:space="preserve"> </v>
      </c>
      <c r="L39" s="3" t="str">
        <f>IF(H39=0,"",VLOOKUP(H39,'Règles et points'!$C$5:$AG$19,(HLOOKUP('Course 5'!C39,'Règles et points'!$C$5:$AG$5,1)+1)))</f>
        <v/>
      </c>
      <c r="M39" s="23">
        <f t="shared" si="0"/>
        <v>0</v>
      </c>
      <c r="N39" s="80"/>
      <c r="O39" s="51"/>
      <c r="P39" s="52"/>
    </row>
    <row r="40" spans="2:18" ht="12.75">
      <c r="B40" s="14">
        <v>36</v>
      </c>
      <c r="C40" s="28">
        <f>IF(Coureurs!C40="","",Coureurs!C40)</f>
        <v>19</v>
      </c>
      <c r="D40" s="131" t="str">
        <f>IF(Coureurs!D40="","",Coureurs!D40)</f>
        <v>H16</v>
      </c>
      <c r="E40" s="87" t="str">
        <f>IF(Coureurs!F40="","",Coureurs!F40)</f>
        <v>SNELLMAN</v>
      </c>
      <c r="F40" s="87" t="str">
        <f>IF(Coureurs!G40="","",Coureurs!G40)</f>
        <v>Max</v>
      </c>
      <c r="G40" s="50">
        <f>IF(Coureurs!J40="","",Coureurs!J40)</f>
        <v>9977252</v>
      </c>
      <c r="H40" s="106"/>
      <c r="I40" s="40"/>
      <c r="J40" s="8" t="str">
        <f>IF(I40="PM","",IF(H40=0," ",I40-HLOOKUP('Course 5'!H40,'tab5'!$C$3:$N$4,2)))</f>
        <v xml:space="preserve"> </v>
      </c>
      <c r="K40" s="23" t="str">
        <f>IF(I40="PM","",IF(H40=0," ",J40/'Règles et points'!$F$23))</f>
        <v xml:space="preserve"> </v>
      </c>
      <c r="L40" s="3" t="str">
        <f>IF(H40=0,"",VLOOKUP(H40,'Règles et points'!$C$5:$AG$19,(HLOOKUP('Course 5'!C40,'Règles et points'!$C$5:$AG$5,1)+1)))</f>
        <v/>
      </c>
      <c r="M40" s="23">
        <f t="shared" si="0"/>
        <v>0</v>
      </c>
      <c r="N40" s="80"/>
      <c r="O40" s="51"/>
      <c r="P40" s="52"/>
    </row>
    <row r="41" spans="2:18" ht="12.75">
      <c r="B41" s="14">
        <v>37</v>
      </c>
      <c r="C41" s="28">
        <f>IF(Coureurs!C41="","",Coureurs!C41)</f>
        <v>17</v>
      </c>
      <c r="D41" s="131" t="str">
        <f>IF(Coureurs!D41="","",Coureurs!D41)</f>
        <v>H12</v>
      </c>
      <c r="E41" s="87" t="str">
        <f>IF(Coureurs!F41="","",Coureurs!F41)</f>
        <v>GARDETTE -POIRIER</v>
      </c>
      <c r="F41" s="87" t="str">
        <f>IF(Coureurs!G41="","",Coureurs!G41)</f>
        <v>Arthur</v>
      </c>
      <c r="G41" s="50" t="str">
        <f>IF(Coureurs!J41="","",Coureurs!J41)</f>
        <v/>
      </c>
      <c r="H41" s="25"/>
      <c r="I41" s="40"/>
      <c r="J41" s="8" t="str">
        <f>IF(I41="PM","",IF(H41=0," ",I41-HLOOKUP('Course 5'!H41,'tab5'!$C$3:$N$4,2)))</f>
        <v xml:space="preserve"> </v>
      </c>
      <c r="K41" s="23" t="str">
        <f>IF(I41="PM","",IF(H41=0," ",J41/'Règles et points'!$F$23))</f>
        <v xml:space="preserve"> </v>
      </c>
      <c r="L41" s="3" t="str">
        <f>IF(H41=0,"",VLOOKUP(H41,'Règles et points'!$C$5:$AG$19,(HLOOKUP('Course 5'!C41,'Règles et points'!$C$5:$AG$5,1)+1)))</f>
        <v/>
      </c>
      <c r="M41" s="23">
        <f t="shared" si="0"/>
        <v>0</v>
      </c>
      <c r="N41" s="80"/>
      <c r="O41" s="51"/>
      <c r="P41" s="52"/>
    </row>
    <row r="42" spans="2:18" ht="12.75">
      <c r="B42" s="14">
        <v>38</v>
      </c>
      <c r="C42" s="28">
        <f>IF(Coureurs!C42="","",Coureurs!C42)</f>
        <v>3</v>
      </c>
      <c r="D42" s="131" t="str">
        <f>IF(Coureurs!D42="","",Coureurs!D42)</f>
        <v>D14</v>
      </c>
      <c r="E42" s="87" t="str">
        <f>IF(Coureurs!F42="","",Coureurs!F42)</f>
        <v>BIARD</v>
      </c>
      <c r="F42" s="87" t="str">
        <f>IF(Coureurs!G42="","",Coureurs!G42)</f>
        <v>Loïza</v>
      </c>
      <c r="G42" s="50">
        <f>IF(Coureurs!J42="","",Coureurs!J42)</f>
        <v>209386</v>
      </c>
      <c r="H42" s="106"/>
      <c r="I42" s="40"/>
      <c r="J42" s="8" t="str">
        <f>IF(I42="PM","",IF(H42=0," ",I42-HLOOKUP('Course 5'!H42,'tab5'!$C$3:$N$4,2)))</f>
        <v xml:space="preserve"> </v>
      </c>
      <c r="K42" s="23" t="str">
        <f>IF(I42="PM","",IF(H42=0," ",J42/'Règles et points'!$F$23))</f>
        <v xml:space="preserve"> </v>
      </c>
      <c r="L42" s="3" t="str">
        <f>IF(H42=0,"",VLOOKUP(H42,'Règles et points'!$C$5:$AG$19,(HLOOKUP('Course 5'!C42,'Règles et points'!$C$5:$AG$5,1)+1)))</f>
        <v/>
      </c>
      <c r="M42" s="23">
        <f t="shared" si="0"/>
        <v>0</v>
      </c>
      <c r="N42" s="80"/>
      <c r="O42" s="51"/>
      <c r="P42" s="52"/>
    </row>
    <row r="43" spans="2:18" ht="12.75">
      <c r="B43" s="14">
        <v>39</v>
      </c>
      <c r="C43" s="28">
        <f>IF(Coureurs!C43="","",Coureurs!C43)</f>
        <v>10</v>
      </c>
      <c r="D43" s="131" t="str">
        <f>IF(Coureurs!D43="","",Coureurs!D43)</f>
        <v>D45</v>
      </c>
      <c r="E43" s="87" t="str">
        <f>IF(Coureurs!F43="","",Coureurs!F43)</f>
        <v>DERLOT</v>
      </c>
      <c r="F43" s="87" t="str">
        <f>IF(Coureurs!G43="","",Coureurs!G43)</f>
        <v>Stéphanie</v>
      </c>
      <c r="G43" s="50">
        <f>IF(Coureurs!J43="","",Coureurs!J43)</f>
        <v>2109546</v>
      </c>
      <c r="H43" s="25"/>
      <c r="I43" s="40"/>
      <c r="J43" s="8" t="str">
        <f>IF(I43="PM","",IF(H43=0," ",I43-HLOOKUP('Course 5'!H43,'tab5'!$C$3:$N$4,2)))</f>
        <v xml:space="preserve"> </v>
      </c>
      <c r="K43" s="23" t="str">
        <f>IF(I43="PM","",IF(H43=0," ",J43/'Règles et points'!$F$23))</f>
        <v xml:space="preserve"> </v>
      </c>
      <c r="L43" s="3" t="str">
        <f>IF(H43=0,"",VLOOKUP(H43,'Règles et points'!$C$5:$AG$19,(HLOOKUP('Course 5'!C43,'Règles et points'!$C$5:$AG$5,1)+1)))</f>
        <v/>
      </c>
      <c r="M43" s="23">
        <f t="shared" si="0"/>
        <v>0</v>
      </c>
      <c r="N43" s="80"/>
      <c r="O43" s="51"/>
      <c r="P43" s="52"/>
    </row>
    <row r="44" spans="2:18" ht="12.75">
      <c r="B44" s="14">
        <v>40</v>
      </c>
      <c r="C44" s="28">
        <f>IF(Coureurs!C44="","",Coureurs!C44)</f>
        <v>25</v>
      </c>
      <c r="D44" s="131" t="str">
        <f>IF(Coureurs!D44="","",Coureurs!D44)</f>
        <v>H45</v>
      </c>
      <c r="E44" s="87" t="str">
        <f>IF(Coureurs!F44="","",Coureurs!F44)</f>
        <v>DERLOT</v>
      </c>
      <c r="F44" s="87" t="str">
        <f>IF(Coureurs!G44="","",Coureurs!G44)</f>
        <v>Damien</v>
      </c>
      <c r="G44" s="50">
        <f>IF(Coureurs!J44="","",Coureurs!J44)</f>
        <v>2420999</v>
      </c>
      <c r="H44" s="25"/>
      <c r="I44" s="41"/>
      <c r="J44" s="8" t="str">
        <f>IF(I44="PM","",IF(H44=0," ",I44-HLOOKUP('Course 5'!H44,'tab5'!$C$3:$N$4,2)))</f>
        <v xml:space="preserve"> </v>
      </c>
      <c r="K44" s="23" t="str">
        <f>IF(I44="PM","",IF(H44=0," ",J44/'Règles et points'!$F$23))</f>
        <v xml:space="preserve"> </v>
      </c>
      <c r="L44" s="3" t="str">
        <f>IF(H44=0,"",VLOOKUP(H44,'Règles et points'!$C$5:$AG$19,(HLOOKUP('Course 5'!C44,'Règles et points'!$C$5:$AG$5,1)+1)))</f>
        <v/>
      </c>
      <c r="M44" s="23">
        <f t="shared" si="0"/>
        <v>0</v>
      </c>
      <c r="N44" s="80"/>
      <c r="O44" s="51"/>
      <c r="P44" s="52"/>
    </row>
    <row r="45" spans="2:18" ht="12.75">
      <c r="B45" s="14">
        <v>41</v>
      </c>
      <c r="C45" s="28">
        <f>IF(Coureurs!C45="","",Coureurs!C45)</f>
        <v>3</v>
      </c>
      <c r="D45" s="131" t="str">
        <f>IF(Coureurs!D45="","",Coureurs!D45)</f>
        <v>D14</v>
      </c>
      <c r="E45" s="87" t="str">
        <f>IF(Coureurs!F45="","",Coureurs!F45)</f>
        <v>DERLOT</v>
      </c>
      <c r="F45" s="87" t="str">
        <f>IF(Coureurs!G45="","",Coureurs!G45)</f>
        <v>Lise</v>
      </c>
      <c r="G45" s="50">
        <f>IF(Coureurs!J45="","",Coureurs!J45)</f>
        <v>2144320</v>
      </c>
      <c r="H45" s="25"/>
      <c r="I45" s="40"/>
      <c r="J45" s="8" t="str">
        <f>IF(I45="PM","",IF(H45=0," ",I45-HLOOKUP('Course 5'!H45,'tab5'!$C$3:$N$4,2)))</f>
        <v xml:space="preserve"> </v>
      </c>
      <c r="K45" s="23" t="str">
        <f>IF(I45="PM","",IF(H45=0," ",J45/'Règles et points'!$F$23))</f>
        <v xml:space="preserve"> </v>
      </c>
      <c r="L45" s="3" t="str">
        <f>IF(H45=0,"",VLOOKUP(H45,'Règles et points'!$C$5:$AG$19,(HLOOKUP('Course 5'!C45,'Règles et points'!$C$5:$AG$5,1)+1)))</f>
        <v/>
      </c>
      <c r="M45" s="23">
        <f t="shared" si="0"/>
        <v>0</v>
      </c>
      <c r="N45" s="80"/>
      <c r="O45" s="51"/>
      <c r="P45" s="52"/>
    </row>
    <row r="46" spans="2:18" ht="12.75">
      <c r="B46" s="14">
        <v>42</v>
      </c>
      <c r="C46" s="28">
        <f>IF(Coureurs!C46="","",Coureurs!C46)</f>
        <v>27</v>
      </c>
      <c r="D46" s="131" t="str">
        <f>IF(Coureurs!D46="","",Coureurs!D46)</f>
        <v>H55</v>
      </c>
      <c r="E46" s="87" t="str">
        <f>IF(Coureurs!F46="","",Coureurs!F46)</f>
        <v>DE LAMINNE</v>
      </c>
      <c r="F46" s="87" t="str">
        <f>IF(Coureurs!G46="","",Coureurs!G46)</f>
        <v>Gilles</v>
      </c>
      <c r="G46" s="50">
        <f>IF(Coureurs!J46="","",Coureurs!J46)</f>
        <v>2109542</v>
      </c>
      <c r="H46" s="25"/>
      <c r="I46" s="40"/>
      <c r="J46" s="8" t="str">
        <f>IF(I46="PM","",IF(H46=0," ",I46-HLOOKUP('Course 5'!H46,'tab5'!$C$3:$N$4,2)))</f>
        <v xml:space="preserve"> </v>
      </c>
      <c r="K46" s="23" t="str">
        <f>IF(I46="PM","",IF(H46=0," ",J46/'Règles et points'!$F$23))</f>
        <v xml:space="preserve"> </v>
      </c>
      <c r="L46" s="3" t="str">
        <f>IF(H46=0,"",VLOOKUP(H46,'Règles et points'!$C$5:$AG$19,(HLOOKUP('Course 5'!C46,'Règles et points'!$C$5:$AG$5,1)+1)))</f>
        <v/>
      </c>
      <c r="M46" s="23">
        <f t="shared" si="0"/>
        <v>0</v>
      </c>
      <c r="N46" s="80"/>
      <c r="O46" s="51"/>
      <c r="P46" s="52"/>
    </row>
    <row r="47" spans="2:18" ht="12.75">
      <c r="B47" s="14">
        <v>43</v>
      </c>
      <c r="C47" s="28">
        <f>IF(Coureurs!C47="","",Coureurs!C47)</f>
        <v>2</v>
      </c>
      <c r="D47" s="131" t="str">
        <f>IF(Coureurs!D47="","",Coureurs!D47)</f>
        <v>D12</v>
      </c>
      <c r="E47" s="87" t="str">
        <f>IF(Coureurs!F47="","",Coureurs!F47)</f>
        <v>LUCAS-VIOU</v>
      </c>
      <c r="F47" s="87" t="str">
        <f>IF(Coureurs!G47="","",Coureurs!G47)</f>
        <v>Charlotte</v>
      </c>
      <c r="G47" s="50">
        <f>IF(Coureurs!J47="","",Coureurs!J47)</f>
        <v>2144318</v>
      </c>
      <c r="H47" s="25"/>
      <c r="I47" s="40"/>
      <c r="J47" s="8" t="str">
        <f>IF(I47="PM","",IF(H47=0," ",I47-HLOOKUP('Course 5'!H47,'tab5'!$C$3:$N$4,2)))</f>
        <v xml:space="preserve"> </v>
      </c>
      <c r="K47" s="23" t="str">
        <f>IF(I47="PM","",IF(H47=0," ",J47/'Règles et points'!$F$23))</f>
        <v xml:space="preserve"> </v>
      </c>
      <c r="L47" s="3" t="str">
        <f>IF(H47=0,"",VLOOKUP(H47,'Règles et points'!$C$5:$AG$19,(HLOOKUP('Course 5'!C47,'Règles et points'!$C$5:$AG$5,1)+1)))</f>
        <v/>
      </c>
      <c r="M47" s="23">
        <f t="shared" si="0"/>
        <v>0</v>
      </c>
      <c r="N47" s="80"/>
      <c r="O47" s="51"/>
      <c r="P47" s="52"/>
    </row>
    <row r="48" spans="2:18" ht="12.75">
      <c r="B48" s="14">
        <v>44</v>
      </c>
      <c r="C48" s="28">
        <f>IF(Coureurs!C48="","",Coureurs!C48)</f>
        <v>18</v>
      </c>
      <c r="D48" s="131" t="str">
        <f>IF(Coureurs!D48="","",Coureurs!D48)</f>
        <v>H14</v>
      </c>
      <c r="E48" s="87" t="str">
        <f>IF(Coureurs!F48="","",Coureurs!F48)</f>
        <v>CHAFI</v>
      </c>
      <c r="F48" s="87" t="str">
        <f>IF(Coureurs!G48="","",Coureurs!G48)</f>
        <v>Yanis</v>
      </c>
      <c r="G48" s="50">
        <f>IF(Coureurs!J48="","",Coureurs!J48)</f>
        <v>2144314</v>
      </c>
      <c r="H48" s="25"/>
      <c r="I48" s="40"/>
      <c r="J48" s="8" t="str">
        <f>IF(I48="PM","",IF(H48=0," ",I48-HLOOKUP('Course 5'!H48,'tab5'!$C$3:$N$4,2)))</f>
        <v xml:space="preserve"> </v>
      </c>
      <c r="K48" s="23" t="str">
        <f>IF(I48="PM","",IF(H48=0," ",J48/'Règles et points'!$F$23))</f>
        <v xml:space="preserve"> </v>
      </c>
      <c r="L48" s="3" t="str">
        <f>IF(H48=0,"",VLOOKUP(H48,'Règles et points'!$C$5:$AG$19,(HLOOKUP('Course 5'!C48,'Règles et points'!$C$5:$AG$5,1)+1)))</f>
        <v/>
      </c>
      <c r="M48" s="23">
        <f t="shared" si="0"/>
        <v>0</v>
      </c>
      <c r="N48" s="80"/>
      <c r="O48" s="51"/>
      <c r="P48" s="52"/>
      <c r="R48" s="34"/>
    </row>
    <row r="49" spans="2:18" ht="12.75">
      <c r="B49" s="14">
        <v>45</v>
      </c>
      <c r="C49" s="28">
        <f>IF(Coureurs!C49="","",Coureurs!C49)</f>
        <v>17</v>
      </c>
      <c r="D49" s="131" t="str">
        <f>IF(Coureurs!D49="","",Coureurs!D49)</f>
        <v>H12</v>
      </c>
      <c r="E49" s="87" t="str">
        <f>IF(Coureurs!F49="","",Coureurs!F49)</f>
        <v>NONDEDEO</v>
      </c>
      <c r="F49" s="87" t="str">
        <f>IF(Coureurs!G49="","",Coureurs!G49)</f>
        <v>Baptiste</v>
      </c>
      <c r="G49" s="50">
        <f>IF(Coureurs!J49="","",Coureurs!J49)</f>
        <v>2311188</v>
      </c>
      <c r="H49" s="25"/>
      <c r="I49" s="41"/>
      <c r="J49" s="8" t="str">
        <f>IF(I49="PM","",IF(H49=0," ",I49-HLOOKUP('Course 5'!H49,'tab5'!$C$3:$N$4,2)))</f>
        <v xml:space="preserve"> </v>
      </c>
      <c r="K49" s="23" t="str">
        <f>IF(I49="PM","",IF(H49=0," ",J49/'Règles et points'!$F$23))</f>
        <v xml:space="preserve"> </v>
      </c>
      <c r="L49" s="3" t="str">
        <f>IF(H49=0,"",VLOOKUP(H49,'Règles et points'!$C$5:$AG$19,(HLOOKUP('Course 5'!C49,'Règles et points'!$C$5:$AG$5,1)+1)))</f>
        <v/>
      </c>
      <c r="M49" s="23">
        <f t="shared" si="0"/>
        <v>0</v>
      </c>
      <c r="N49" s="80"/>
      <c r="O49" s="51"/>
      <c r="P49" s="52"/>
      <c r="R49" s="34"/>
    </row>
    <row r="50" spans="2:18" ht="12.75">
      <c r="B50" s="14">
        <v>46</v>
      </c>
      <c r="C50" s="28">
        <f>IF(Coureurs!C50="","",Coureurs!C50)</f>
        <v>3</v>
      </c>
      <c r="D50" s="131" t="str">
        <f>IF(Coureurs!D50="","",Coureurs!D50)</f>
        <v>D14</v>
      </c>
      <c r="E50" s="109" t="str">
        <f>IF(Coureurs!F50="","",Coureurs!F50)</f>
        <v>LANFRANCHI</v>
      </c>
      <c r="F50" s="87" t="str">
        <f>IF(Coureurs!G50="","",Coureurs!G50)</f>
        <v>lucine</v>
      </c>
      <c r="G50" s="50">
        <f>IF(Coureurs!J50="","",Coureurs!J50)</f>
        <v>1001028</v>
      </c>
      <c r="H50" s="25"/>
      <c r="I50" s="41"/>
      <c r="J50" s="8" t="str">
        <f>IF(I50="PM","",IF(H50=0," ",I50-HLOOKUP('Course 5'!H50,'tab5'!$C$3:$N$4,2)))</f>
        <v xml:space="preserve"> </v>
      </c>
      <c r="K50" s="23" t="str">
        <f>IF(I50="PM","",IF(H50=0," ",J50/'Règles et points'!$F$23))</f>
        <v xml:space="preserve"> </v>
      </c>
      <c r="L50" s="3" t="str">
        <f>IF(H50=0,"",VLOOKUP(H50,'Règles et points'!$C$5:$AG$19,(HLOOKUP('Course 5'!C50,'Règles et points'!$C$5:$AG$5,1)+1)))</f>
        <v/>
      </c>
      <c r="M50" s="23">
        <f t="shared" si="0"/>
        <v>0</v>
      </c>
      <c r="N50" s="80"/>
      <c r="O50" s="51"/>
      <c r="P50" s="52"/>
      <c r="R50" s="34"/>
    </row>
    <row r="51" spans="2:18" ht="12.75">
      <c r="B51" s="14">
        <v>47</v>
      </c>
      <c r="C51" s="28">
        <f>IF(Coureurs!C51="","",Coureurs!C51)</f>
        <v>25</v>
      </c>
      <c r="D51" s="131" t="str">
        <f>IF(Coureurs!D51="","",Coureurs!D51)</f>
        <v>H45</v>
      </c>
      <c r="E51" s="109" t="str">
        <f>IF(Coureurs!F51="","",Coureurs!F51)</f>
        <v>PACHER</v>
      </c>
      <c r="F51" s="109" t="str">
        <f>IF(Coureurs!G51="","",Coureurs!G51)</f>
        <v>Vincent</v>
      </c>
      <c r="G51" s="50" t="str">
        <f>IF(Coureurs!J51="","",Coureurs!J51)</f>
        <v/>
      </c>
      <c r="H51" s="25"/>
      <c r="I51" s="40"/>
      <c r="J51" s="8" t="str">
        <f>IF(I51="PM","",IF(H51=0," ",I51-HLOOKUP('Course 5'!H51,'tab5'!$C$3:$N$4,2)))</f>
        <v xml:space="preserve"> </v>
      </c>
      <c r="K51" s="23" t="str">
        <f>IF(I51="PM","",IF(H51=0," ",J51/'Règles et points'!$F$23))</f>
        <v xml:space="preserve"> </v>
      </c>
      <c r="L51" s="3" t="str">
        <f>IF(H51=0,"",VLOOKUP(H51,'Règles et points'!$C$5:$AG$19,(HLOOKUP('Course 5'!C51,'Règles et points'!$C$5:$AG$5,1)+1)))</f>
        <v/>
      </c>
      <c r="M51" s="23">
        <f t="shared" si="0"/>
        <v>0</v>
      </c>
      <c r="N51" s="80"/>
      <c r="O51" s="51"/>
      <c r="P51" s="52"/>
    </row>
    <row r="52" spans="2:18" ht="12.75">
      <c r="B52" s="14">
        <v>48</v>
      </c>
      <c r="C52" s="28">
        <f>IF(Coureurs!C52="","",Coureurs!C52)</f>
        <v>3</v>
      </c>
      <c r="D52" s="131" t="str">
        <f>IF(Coureurs!D52="","",Coureurs!D52)</f>
        <v>D14</v>
      </c>
      <c r="E52" s="109" t="str">
        <f>IF(Coureurs!F52="","",Coureurs!F52)</f>
        <v>PACHER</v>
      </c>
      <c r="F52" s="109" t="str">
        <f>IF(Coureurs!G52="","",Coureurs!G52)</f>
        <v>Laetitia</v>
      </c>
      <c r="G52" s="50">
        <f>IF(Coureurs!J52="","",Coureurs!J52)</f>
        <v>2420985</v>
      </c>
      <c r="H52" s="25"/>
      <c r="I52" s="40"/>
      <c r="J52" s="8" t="str">
        <f>IF(I52="PM","",IF(H52=0," ",I52-HLOOKUP('Course 5'!H52,'tab5'!$C$3:$N$4,2)))</f>
        <v xml:space="preserve"> </v>
      </c>
      <c r="K52" s="23" t="str">
        <f>IF(I52="PM","",IF(H52=0," ",J52/'Règles et points'!$F$23))</f>
        <v xml:space="preserve"> </v>
      </c>
      <c r="L52" s="3" t="str">
        <f>IF(H52=0,"",VLOOKUP(H52,'Règles et points'!$C$5:$AG$19,(HLOOKUP('Course 5'!C52,'Règles et points'!$C$5:$AG$5,1)+1)))</f>
        <v/>
      </c>
      <c r="M52" s="23">
        <f t="shared" si="0"/>
        <v>0</v>
      </c>
      <c r="N52" s="80"/>
      <c r="O52" s="51"/>
      <c r="P52" s="52"/>
    </row>
    <row r="53" spans="2:18" ht="12.75">
      <c r="B53" s="14">
        <v>49</v>
      </c>
      <c r="C53" s="28">
        <f>IF(Coureurs!C53="","",Coureurs!C53)</f>
        <v>17</v>
      </c>
      <c r="D53" s="131" t="str">
        <f>IF(Coureurs!D53="","",Coureurs!D53)</f>
        <v>H12</v>
      </c>
      <c r="E53" s="87" t="str">
        <f>IF(Coureurs!F53="","",Coureurs!F53)</f>
        <v>PACHER</v>
      </c>
      <c r="F53" s="87" t="str">
        <f>IF(Coureurs!G53="","",Coureurs!G53)</f>
        <v>Alexandre</v>
      </c>
      <c r="G53" s="50" t="str">
        <f>IF(Coureurs!J53="","",Coureurs!J53)</f>
        <v/>
      </c>
      <c r="H53" s="25"/>
      <c r="I53" s="40"/>
      <c r="J53" s="8" t="str">
        <f>IF(I53="PM","",IF(H53=0," ",I53-HLOOKUP('Course 5'!H53,'tab5'!$C$3:$N$4,2)))</f>
        <v xml:space="preserve"> </v>
      </c>
      <c r="K53" s="23" t="str">
        <f>IF(I53="PM","",IF(H53=0," ",J53/'Règles et points'!$F$23))</f>
        <v xml:space="preserve"> </v>
      </c>
      <c r="L53" s="3" t="str">
        <f>IF(H53=0,"",VLOOKUP(H53,'Règles et points'!$C$5:$AG$19,(HLOOKUP('Course 5'!C53,'Règles et points'!$C$5:$AG$5,1)+1)))</f>
        <v/>
      </c>
      <c r="M53" s="23">
        <f t="shared" si="0"/>
        <v>0</v>
      </c>
      <c r="N53" s="80"/>
      <c r="O53" s="51"/>
      <c r="P53" s="52"/>
    </row>
    <row r="54" spans="2:18" ht="12.75">
      <c r="B54" s="14">
        <v>50</v>
      </c>
      <c r="C54" s="28">
        <f>IF(Coureurs!C54="","",Coureurs!C54)</f>
        <v>4</v>
      </c>
      <c r="D54" s="131" t="str">
        <f>IF(Coureurs!D54="","",Coureurs!D54)</f>
        <v>D16</v>
      </c>
      <c r="E54" s="87" t="str">
        <f>IF(Coureurs!F54="","",Coureurs!F54)</f>
        <v>PACHER</v>
      </c>
      <c r="F54" s="87" t="str">
        <f>IF(Coureurs!G54="","",Coureurs!G54)</f>
        <v>Maeva</v>
      </c>
      <c r="G54" s="50" t="str">
        <f>IF(Coureurs!J54="","",Coureurs!J54)</f>
        <v/>
      </c>
      <c r="H54" s="25"/>
      <c r="I54" s="41"/>
      <c r="J54" s="8" t="str">
        <f>IF(I54="PM","",IF(H54=0," ",I54-HLOOKUP('Course 5'!H54,'tab5'!$C$3:$N$4,2)))</f>
        <v xml:space="preserve"> </v>
      </c>
      <c r="K54" s="23" t="str">
        <f>IF(I54="PM","",IF(H54=0," ",J54/'Règles et points'!$F$23))</f>
        <v xml:space="preserve"> </v>
      </c>
      <c r="L54" s="3" t="str">
        <f>IF(H54=0,"",VLOOKUP(H54,'Règles et points'!$C$5:$AG$19,(HLOOKUP('Course 5'!C54,'Règles et points'!$C$5:$AG$5,1)+1)))</f>
        <v/>
      </c>
      <c r="M54" s="23">
        <f t="shared" si="0"/>
        <v>0</v>
      </c>
      <c r="N54" s="80"/>
      <c r="O54" s="51"/>
      <c r="P54" s="52"/>
    </row>
    <row r="55" spans="2:18" ht="12.75">
      <c r="B55" s="14">
        <v>51</v>
      </c>
      <c r="C55" s="28">
        <f>IF(Coureurs!C55="","",Coureurs!C55)</f>
        <v>9</v>
      </c>
      <c r="D55" s="131" t="str">
        <f>IF(Coureurs!D55="","",Coureurs!D55)</f>
        <v>D40</v>
      </c>
      <c r="E55" s="87" t="str">
        <f>IF(Coureurs!F55="","",Coureurs!F55)</f>
        <v>MONTANDON VARODA</v>
      </c>
      <c r="F55" s="87" t="str">
        <f>IF(Coureurs!G55="","",Coureurs!G55)</f>
        <v>Christine</v>
      </c>
      <c r="G55" s="50">
        <f>IF(Coureurs!J55="","",Coureurs!J55)</f>
        <v>2720992</v>
      </c>
      <c r="H55" s="106"/>
      <c r="I55" s="40"/>
      <c r="J55" s="8" t="str">
        <f>IF(I55="PM","",IF(H55=0," ",I55-HLOOKUP('Course 5'!H55,'tab5'!$C$3:$N$4,2)))</f>
        <v xml:space="preserve"> </v>
      </c>
      <c r="K55" s="23" t="str">
        <f>IF(I55="PM","",IF(H55=0," ",J55/'Règles et points'!$F$23))</f>
        <v xml:space="preserve"> </v>
      </c>
      <c r="L55" s="3" t="str">
        <f>IF(H55=0,"",VLOOKUP(H55,'Règles et points'!$C$5:$AG$19,(HLOOKUP('Course 5'!C55,'Règles et points'!$C$5:$AG$5,1)+1)))</f>
        <v/>
      </c>
      <c r="M55" s="23">
        <f t="shared" si="0"/>
        <v>0</v>
      </c>
      <c r="N55" s="80"/>
      <c r="O55" s="51"/>
      <c r="P55" s="52"/>
    </row>
    <row r="56" spans="2:18" ht="12.75">
      <c r="B56" s="14">
        <v>52</v>
      </c>
      <c r="C56" s="28">
        <f>IF(Coureurs!C56="","",Coureurs!C56)</f>
        <v>2</v>
      </c>
      <c r="D56" s="131" t="str">
        <f>IF(Coureurs!D56="","",Coureurs!D56)</f>
        <v>D12</v>
      </c>
      <c r="E56" s="87" t="str">
        <f>IF(Coureurs!F56="","",Coureurs!F56)</f>
        <v>TONDU</v>
      </c>
      <c r="F56" s="87" t="str">
        <f>IF(Coureurs!G56="","",Coureurs!G56)</f>
        <v>Jeanne</v>
      </c>
      <c r="G56" s="50">
        <f>IF(Coureurs!J56="","",Coureurs!J56)</f>
        <v>2420998</v>
      </c>
      <c r="H56" s="25"/>
      <c r="I56" s="40"/>
      <c r="J56" s="8" t="str">
        <f>IF(I56="PM","",IF(H56=0," ",I56-HLOOKUP('Course 5'!H56,'tab5'!$C$3:$N$4,2)))</f>
        <v xml:space="preserve"> </v>
      </c>
      <c r="K56" s="23" t="str">
        <f>IF(I56="PM","",IF(H56=0," ",J56/'Règles et points'!$F$23))</f>
        <v xml:space="preserve"> </v>
      </c>
      <c r="L56" s="3" t="str">
        <f>IF(H56=0,"",VLOOKUP(H56,'Règles et points'!$C$5:$AG$19,(HLOOKUP('Course 5'!C56,'Règles et points'!$C$5:$AG$5,1)+1)))</f>
        <v/>
      </c>
      <c r="M56" s="23">
        <f t="shared" si="0"/>
        <v>0</v>
      </c>
      <c r="N56" s="80"/>
      <c r="O56" s="51"/>
      <c r="P56" s="52"/>
    </row>
    <row r="57" spans="2:18" ht="12.75">
      <c r="B57" s="14">
        <v>53</v>
      </c>
      <c r="C57" s="28">
        <f>IF(Coureurs!C57="","",Coureurs!C57)</f>
        <v>10</v>
      </c>
      <c r="D57" s="131" t="str">
        <f>IF(Coureurs!D57="","",Coureurs!D57)</f>
        <v>D45</v>
      </c>
      <c r="E57" s="87" t="str">
        <f>IF(Coureurs!F57="","",Coureurs!F57)</f>
        <v>TONDU</v>
      </c>
      <c r="F57" s="87" t="str">
        <f>IF(Coureurs!G57="","",Coureurs!G57)</f>
        <v>Alexandra</v>
      </c>
      <c r="G57" s="50">
        <f>IF(Coureurs!J57="","",Coureurs!J57)</f>
        <v>2109545</v>
      </c>
      <c r="H57" s="106"/>
      <c r="I57" s="41"/>
      <c r="J57" s="8" t="str">
        <f>IF(I57="PM","",IF(H57=0," ",I57-HLOOKUP('Course 5'!H57,'tab5'!$C$3:$N$4,2)))</f>
        <v xml:space="preserve"> </v>
      </c>
      <c r="K57" s="23" t="str">
        <f>IF(I57="PM","",IF(H57=0," ",J57/'Règles et points'!$F$23))</f>
        <v xml:space="preserve"> </v>
      </c>
      <c r="L57" s="3" t="str">
        <f>IF(H57=0,"",VLOOKUP(H57,'Règles et points'!$C$5:$AG$19,(HLOOKUP('Course 5'!C57,'Règles et points'!$C$5:$AG$5,1)+1)))</f>
        <v/>
      </c>
      <c r="M57" s="23">
        <f t="shared" si="0"/>
        <v>0</v>
      </c>
      <c r="N57" s="80"/>
      <c r="O57" s="40"/>
      <c r="P57" s="52"/>
    </row>
    <row r="58" spans="2:18" ht="12.75">
      <c r="B58" s="14">
        <v>54</v>
      </c>
      <c r="C58" s="28">
        <f>IF(Coureurs!C58="","",Coureurs!C58)</f>
        <v>5</v>
      </c>
      <c r="D58" s="131" t="str">
        <f>IF(Coureurs!D58="","",Coureurs!D58)</f>
        <v>D18</v>
      </c>
      <c r="E58" s="87" t="str">
        <f>IF(Coureurs!F58="","",Coureurs!F58)</f>
        <v>CHATAIGNIER</v>
      </c>
      <c r="F58" s="87" t="str">
        <f>IF(Coureurs!G58="","",Coureurs!G58)</f>
        <v>Louise</v>
      </c>
      <c r="G58" s="50">
        <f>IF(Coureurs!J58="","",Coureurs!J58)</f>
        <v>2144319</v>
      </c>
      <c r="H58" s="25"/>
      <c r="I58" s="41"/>
      <c r="J58" s="8" t="str">
        <f>IF(I58="PM","",IF(H58=0," ",I58-HLOOKUP('Course 5'!H58,'tab5'!$C$3:$N$4,2)))</f>
        <v xml:space="preserve"> </v>
      </c>
      <c r="K58" s="23" t="str">
        <f>IF(I58="PM","",IF(H58=0," ",J58/'Règles et points'!$F$23))</f>
        <v xml:space="preserve"> </v>
      </c>
      <c r="L58" s="3" t="str">
        <f>IF(H58=0,"",VLOOKUP(H58,'Règles et points'!$C$5:$AG$19,(HLOOKUP('Course 5'!C58,'Règles et points'!$C$5:$AG$5,1)+1)))</f>
        <v/>
      </c>
      <c r="M58" s="23">
        <f t="shared" si="0"/>
        <v>0</v>
      </c>
      <c r="N58" s="80"/>
      <c r="O58" s="51"/>
      <c r="P58" s="52"/>
    </row>
    <row r="59" spans="2:18" ht="12.75">
      <c r="B59" s="14">
        <v>55</v>
      </c>
      <c r="C59" s="28">
        <f>IF(Coureurs!C59="","",Coureurs!C59)</f>
        <v>3</v>
      </c>
      <c r="D59" s="131" t="str">
        <f>IF(Coureurs!D59="","",Coureurs!D59)</f>
        <v>D14</v>
      </c>
      <c r="E59" s="87" t="str">
        <f>IF(Coureurs!F59="","",Coureurs!F59)</f>
        <v>KOEPP</v>
      </c>
      <c r="F59" s="87" t="str">
        <f>IF(Coureurs!G59="","",Coureurs!G59)</f>
        <v>Sonora</v>
      </c>
      <c r="G59" s="50">
        <f>IF(Coureurs!J59="","",Coureurs!J59)</f>
        <v>2113830</v>
      </c>
      <c r="H59" s="25"/>
      <c r="I59" s="41"/>
      <c r="J59" s="8" t="str">
        <f>IF(I59="PM","",IF(H59=0," ",I59-HLOOKUP('Course 5'!H59,'tab5'!$C$3:$N$4,2)))</f>
        <v xml:space="preserve"> </v>
      </c>
      <c r="K59" s="23" t="str">
        <f>IF(I59="PM","",IF(H59=0," ",J59/'Règles et points'!$F$23))</f>
        <v xml:space="preserve"> </v>
      </c>
      <c r="L59" s="3" t="str">
        <f>IF(H59=0,"",VLOOKUP(H59,'Règles et points'!$C$5:$AG$19,(HLOOKUP('Course 5'!C59,'Règles et points'!$C$5:$AG$5,1)+1)))</f>
        <v/>
      </c>
      <c r="M59" s="23">
        <f t="shared" si="0"/>
        <v>0</v>
      </c>
      <c r="N59" s="80"/>
      <c r="O59" s="51"/>
      <c r="P59" s="52"/>
    </row>
    <row r="60" spans="2:18" ht="12.75">
      <c r="B60" s="14">
        <v>56</v>
      </c>
      <c r="C60" s="28">
        <f>IF(Coureurs!C60="","",Coureurs!C60)</f>
        <v>18</v>
      </c>
      <c r="D60" s="131" t="str">
        <f>IF(Coureurs!D60="","",Coureurs!D60)</f>
        <v>H14</v>
      </c>
      <c r="E60" s="87" t="str">
        <f>IF(Coureurs!F60="","",Coureurs!F60)</f>
        <v>FRENOY</v>
      </c>
      <c r="F60" s="87" t="str">
        <f>IF(Coureurs!G60="","",Coureurs!G60)</f>
        <v>Anatole</v>
      </c>
      <c r="G60" s="50">
        <f>IF(Coureurs!J60="","",Coureurs!J60)</f>
        <v>2420989</v>
      </c>
      <c r="H60" s="25"/>
      <c r="I60" s="41"/>
      <c r="J60" s="8" t="str">
        <f>IF(I60="PM","",IF(H60=0," ",I60-HLOOKUP('Course 5'!H60,'tab5'!$C$3:$N$4,2)))</f>
        <v xml:space="preserve"> </v>
      </c>
      <c r="K60" s="23" t="str">
        <f>IF(I60="PM","",IF(H60=0," ",J60/'Règles et points'!$F$23))</f>
        <v xml:space="preserve"> </v>
      </c>
      <c r="L60" s="3" t="str">
        <f>IF(H60=0,"",VLOOKUP(H60,'Règles et points'!$C$5:$AG$19,(HLOOKUP('Course 5'!C60,'Règles et points'!$C$5:$AG$5,1)+1)))</f>
        <v/>
      </c>
      <c r="M60" s="23">
        <f t="shared" si="0"/>
        <v>0</v>
      </c>
      <c r="N60" s="80"/>
      <c r="O60" s="51"/>
      <c r="P60" s="52"/>
    </row>
    <row r="61" spans="2:18" ht="12.75">
      <c r="B61" s="14">
        <v>57</v>
      </c>
      <c r="C61" s="28">
        <f>IF(Coureurs!C61="","",Coureurs!C61)</f>
        <v>18</v>
      </c>
      <c r="D61" s="131" t="str">
        <f>IF(Coureurs!D61="","",Coureurs!D61)</f>
        <v>H14</v>
      </c>
      <c r="E61" s="87" t="str">
        <f>IF(Coureurs!F61="","",Coureurs!F61)</f>
        <v>BROCHOT</v>
      </c>
      <c r="F61" s="87" t="str">
        <f>IF(Coureurs!G61="","",Coureurs!G61)</f>
        <v>Remi</v>
      </c>
      <c r="G61" s="50">
        <f>IF(Coureurs!J61="","",Coureurs!J61)</f>
        <v>8002209</v>
      </c>
      <c r="H61" s="106"/>
      <c r="I61" s="40"/>
      <c r="J61" s="8" t="str">
        <f>IF(I61="PM","",IF(H61=0," ",I61-HLOOKUP('Course 5'!H61,'tab5'!$C$3:$N$4,2)))</f>
        <v xml:space="preserve"> </v>
      </c>
      <c r="K61" s="23" t="str">
        <f>IF(I61="PM","",IF(H61=0," ",J61/'Règles et points'!$F$23))</f>
        <v xml:space="preserve"> </v>
      </c>
      <c r="L61" s="3" t="str">
        <f>IF(H61=0,"",VLOOKUP(H61,'Règles et points'!$C$5:$AG$19,(HLOOKUP('Course 5'!C61,'Règles et points'!$C$5:$AG$5,1)+1)))</f>
        <v/>
      </c>
      <c r="M61" s="23">
        <f t="shared" si="0"/>
        <v>0</v>
      </c>
      <c r="N61" s="80"/>
      <c r="O61" s="51"/>
      <c r="P61" s="52"/>
    </row>
    <row r="62" spans="2:18" ht="12.75">
      <c r="B62" s="14">
        <v>58</v>
      </c>
      <c r="C62" s="28">
        <f>IF(Coureurs!C62="","",Coureurs!C62)</f>
        <v>10</v>
      </c>
      <c r="D62" s="131" t="str">
        <f>IF(Coureurs!D62="","",Coureurs!D62)</f>
        <v>D45</v>
      </c>
      <c r="E62" s="87" t="str">
        <f>IF(Coureurs!F62="","",Coureurs!F62)</f>
        <v>KORZEC</v>
      </c>
      <c r="F62" s="87" t="str">
        <f>IF(Coureurs!G62="","",Coureurs!G62)</f>
        <v>Patricia</v>
      </c>
      <c r="G62" s="50">
        <f>IF(Coureurs!J62="","",Coureurs!J62)</f>
        <v>2420993</v>
      </c>
      <c r="H62" s="25"/>
      <c r="I62" s="41"/>
      <c r="J62" s="8" t="str">
        <f>IF(I62="PM","",IF(H62=0," ",I62-HLOOKUP('Course 5'!H62,'tab5'!$C$3:$N$4,2)))</f>
        <v xml:space="preserve"> </v>
      </c>
      <c r="K62" s="23" t="str">
        <f>IF(I62="PM","",IF(H62=0," ",J62/'Règles et points'!$F$23))</f>
        <v xml:space="preserve"> </v>
      </c>
      <c r="L62" s="3" t="str">
        <f>IF(H62=0,"",VLOOKUP(H62,'Règles et points'!$C$5:$AG$19,(HLOOKUP('Course 5'!C62,'Règles et points'!$C$5:$AG$5,1)+1)))</f>
        <v/>
      </c>
      <c r="M62" s="23">
        <f t="shared" si="0"/>
        <v>0</v>
      </c>
      <c r="N62" s="80"/>
      <c r="O62" s="51"/>
      <c r="P62" s="52"/>
    </row>
    <row r="63" spans="2:18" ht="12.75">
      <c r="B63" s="14">
        <v>59</v>
      </c>
      <c r="C63" s="28">
        <f>IF(Coureurs!C63="","",Coureurs!C63)</f>
        <v>4</v>
      </c>
      <c r="D63" s="132" t="str">
        <f>IF(Coureurs!D63="","",Coureurs!D63)</f>
        <v>D16</v>
      </c>
      <c r="E63" s="87" t="str">
        <f>IF(Coureurs!F63="","",Coureurs!F63)</f>
        <v>BOUSQUET</v>
      </c>
      <c r="F63" s="87" t="str">
        <f>IF(Coureurs!G63="","",Coureurs!G63)</f>
        <v>Claire</v>
      </c>
      <c r="G63" s="50">
        <f>IF(Coureurs!J63="","",Coureurs!J63)</f>
        <v>2113811</v>
      </c>
      <c r="H63" s="106"/>
      <c r="I63" s="40"/>
      <c r="J63" s="8" t="str">
        <f>IF(I63="PM","",IF(H63=0," ",I63-HLOOKUP('Course 5'!H63,'tab5'!$C$3:$N$4,2)))</f>
        <v xml:space="preserve"> </v>
      </c>
      <c r="K63" s="23" t="str">
        <f>IF(I63="PM","",IF(H63=0," ",J63/'Règles et points'!$F$23))</f>
        <v xml:space="preserve"> </v>
      </c>
      <c r="L63" s="3" t="str">
        <f>IF(H63=0,"",VLOOKUP(H63,'Règles et points'!$C$5:$AG$19,(HLOOKUP('Course 5'!C63,'Règles et points'!$C$5:$AG$5,1)+1)))</f>
        <v/>
      </c>
      <c r="M63" s="23">
        <f t="shared" si="0"/>
        <v>0</v>
      </c>
      <c r="N63" s="80"/>
      <c r="O63" s="40"/>
      <c r="P63" s="52"/>
    </row>
    <row r="64" spans="2:18" ht="12.75">
      <c r="B64" s="14">
        <v>60</v>
      </c>
      <c r="C64" s="28">
        <f>IF(Coureurs!C64="","",Coureurs!C64)</f>
        <v>18</v>
      </c>
      <c r="D64" s="131" t="str">
        <f>IF(Coureurs!D64="","",Coureurs!D64)</f>
        <v>H14</v>
      </c>
      <c r="E64" s="87" t="str">
        <f>IF(Coureurs!F64="","",Coureurs!F64)</f>
        <v>ROGUIEZ</v>
      </c>
      <c r="F64" s="87" t="str">
        <f>IF(Coureurs!G64="","",Coureurs!G64)</f>
        <v>Timéo</v>
      </c>
      <c r="G64" s="50">
        <f>IF(Coureurs!J64="","",Coureurs!J64)</f>
        <v>2082468</v>
      </c>
      <c r="H64" s="25"/>
      <c r="I64" s="40"/>
      <c r="J64" s="8" t="str">
        <f>IF(I64="PM","",IF(H64=0," ",I64-HLOOKUP('Course 5'!H64,'tab5'!$C$3:$N$4,2)))</f>
        <v xml:space="preserve"> </v>
      </c>
      <c r="K64" s="23" t="str">
        <f>IF(I64="PM","",IF(H64=0," ",J64/'Règles et points'!$F$23))</f>
        <v xml:space="preserve"> </v>
      </c>
      <c r="L64" s="3" t="str">
        <f>IF(H64=0,"",VLOOKUP(H64,'Règles et points'!$C$5:$AG$19,(HLOOKUP('Course 5'!C64,'Règles et points'!$C$5:$AG$5,1)+1)))</f>
        <v/>
      </c>
      <c r="M64" s="23">
        <f t="shared" si="0"/>
        <v>0</v>
      </c>
      <c r="N64" s="80"/>
      <c r="O64" s="51"/>
      <c r="P64" s="52"/>
    </row>
    <row r="65" spans="2:16" ht="12.75">
      <c r="B65" s="14">
        <v>61</v>
      </c>
      <c r="C65" s="28">
        <f>IF(Coureurs!C65="","",Coureurs!C65)</f>
        <v>1</v>
      </c>
      <c r="D65" s="131" t="str">
        <f>IF(Coureurs!D65="","",Coureurs!D65)</f>
        <v>D10</v>
      </c>
      <c r="E65" s="87" t="str">
        <f>IF(Coureurs!F65="","",Coureurs!F65)</f>
        <v>DERLOT</v>
      </c>
      <c r="F65" s="87" t="str">
        <f>IF(Coureurs!G65="","",Coureurs!G65)</f>
        <v>Alix</v>
      </c>
      <c r="G65" s="50">
        <f>IF(Coureurs!J65="","",Coureurs!J65)</f>
        <v>228368</v>
      </c>
      <c r="H65" s="106"/>
      <c r="I65" s="40"/>
      <c r="J65" s="8" t="str">
        <f>IF(I65="PM","",IF(H65=0," ",I65-HLOOKUP('Course 5'!H65,'tab5'!$C$3:$N$4,2)))</f>
        <v xml:space="preserve"> </v>
      </c>
      <c r="K65" s="23" t="str">
        <f>IF(I65="PM","",IF(H65=0," ",J65/'Règles et points'!$F$23))</f>
        <v xml:space="preserve"> </v>
      </c>
      <c r="L65" s="3" t="str">
        <f>IF(H65=0,"",VLOOKUP(H65,'Règles et points'!$C$5:$AG$19,(HLOOKUP('Course 5'!C65,'Règles et points'!$C$5:$AG$5,1)+1)))</f>
        <v/>
      </c>
      <c r="M65" s="23">
        <f t="shared" si="0"/>
        <v>0</v>
      </c>
      <c r="N65" s="80"/>
      <c r="O65" s="51"/>
      <c r="P65" s="52"/>
    </row>
    <row r="66" spans="2:16" ht="12.75">
      <c r="B66" s="14">
        <v>62</v>
      </c>
      <c r="C66" s="28">
        <f>IF(Coureurs!C66="","",Coureurs!C66)</f>
        <v>17</v>
      </c>
      <c r="D66" s="131" t="str">
        <f>IF(Coureurs!D66="","",Coureurs!D66)</f>
        <v>H12</v>
      </c>
      <c r="E66" s="87" t="str">
        <f>IF(Coureurs!F66="","",Coureurs!F66)</f>
        <v>BELLECOURT</v>
      </c>
      <c r="F66" s="87" t="str">
        <f>IF(Coureurs!G66="","",Coureurs!G66)</f>
        <v>Loic</v>
      </c>
      <c r="G66" s="50">
        <f>IF(Coureurs!J66="","",Coureurs!J66)</f>
        <v>2311181</v>
      </c>
      <c r="H66" s="106"/>
      <c r="I66" s="40"/>
      <c r="J66" s="8" t="str">
        <f>IF(I66="PM","",IF(H66=0," ",I66-HLOOKUP('Course 5'!H66,'tab5'!$C$3:$N$4,2)))</f>
        <v xml:space="preserve"> </v>
      </c>
      <c r="K66" s="23" t="str">
        <f>IF(I66="PM","",IF(H66=0," ",J66/'Règles et points'!$F$23))</f>
        <v xml:space="preserve"> </v>
      </c>
      <c r="L66" s="3" t="str">
        <f>IF(H66=0,"",VLOOKUP(H66,'Règles et points'!$C$5:$AG$19,(HLOOKUP('Course 5'!C66,'Règles et points'!$C$5:$AG$5,1)+1)))</f>
        <v/>
      </c>
      <c r="M66" s="23">
        <f t="shared" si="0"/>
        <v>0</v>
      </c>
      <c r="N66" s="80"/>
      <c r="O66" s="51"/>
      <c r="P66" s="52"/>
    </row>
    <row r="67" spans="2:16" ht="12.75">
      <c r="B67" s="14">
        <v>63</v>
      </c>
      <c r="C67" s="28">
        <f>IF(Coureurs!C67="","",Coureurs!C67)</f>
        <v>24</v>
      </c>
      <c r="D67" s="131" t="str">
        <f>IF(Coureurs!D67="","",Coureurs!D67)</f>
        <v>H40</v>
      </c>
      <c r="E67" s="87" t="str">
        <f>IF(Coureurs!F67="","",Coureurs!F67)</f>
        <v>KOEPP</v>
      </c>
      <c r="F67" s="87" t="str">
        <f>IF(Coureurs!G67="","",Coureurs!G67)</f>
        <v>Aaron</v>
      </c>
      <c r="G67" s="50" t="str">
        <f>IF(Coureurs!J67="","",Coureurs!J67)</f>
        <v/>
      </c>
      <c r="H67" s="106"/>
      <c r="I67" s="40"/>
      <c r="J67" s="8" t="str">
        <f>IF(I67="PM","",IF(H67=0," ",I67-HLOOKUP('Course 5'!H67,'tab5'!$C$3:$N$4,2)))</f>
        <v xml:space="preserve"> </v>
      </c>
      <c r="K67" s="23" t="str">
        <f>IF(I67="PM","",IF(H67=0," ",J67/'Règles et points'!$F$23))</f>
        <v xml:space="preserve"> </v>
      </c>
      <c r="L67" s="3" t="str">
        <f>IF(H67=0,"",VLOOKUP(H67,'Règles et points'!$C$5:$AG$19,(HLOOKUP('Course 5'!C67,'Règles et points'!$C$5:$AG$5,1)+1)))</f>
        <v/>
      </c>
      <c r="M67" s="23">
        <f t="shared" si="0"/>
        <v>0</v>
      </c>
      <c r="N67" s="80"/>
      <c r="O67" s="51"/>
      <c r="P67" s="52"/>
    </row>
    <row r="68" spans="2:16" ht="12.75">
      <c r="B68" s="14">
        <v>64</v>
      </c>
      <c r="C68" s="28">
        <f>IF(Coureurs!C68="","",Coureurs!C68)</f>
        <v>9</v>
      </c>
      <c r="D68" s="131" t="str">
        <f>IF(Coureurs!D68="","",Coureurs!D68)</f>
        <v>D40</v>
      </c>
      <c r="E68" s="87" t="str">
        <f>IF(Coureurs!F68="","",Coureurs!F68)</f>
        <v>KOEPP</v>
      </c>
      <c r="F68" s="87" t="str">
        <f>IF(Coureurs!G68="","",Coureurs!G68)</f>
        <v>Nanette</v>
      </c>
      <c r="G68" s="50" t="str">
        <f>IF(Coureurs!J68="","",Coureurs!J68)</f>
        <v/>
      </c>
      <c r="H68" s="106"/>
      <c r="I68" s="40"/>
      <c r="J68" s="8" t="str">
        <f>IF(I68="PM","",IF(H68=0," ",I68-HLOOKUP('Course 5'!H68,'tab5'!$C$3:$N$4,2)))</f>
        <v xml:space="preserve"> </v>
      </c>
      <c r="K68" s="23" t="str">
        <f>IF(I68="PM","",IF(H68=0," ",J68/'Règles et points'!$F$23))</f>
        <v xml:space="preserve"> </v>
      </c>
      <c r="L68" s="3" t="str">
        <f>IF(H68=0,"",VLOOKUP(H68,'Règles et points'!$C$5:$AG$19,(HLOOKUP('Course 5'!C68,'Règles et points'!$C$5:$AG$5,1)+1)))</f>
        <v/>
      </c>
      <c r="M68" s="23">
        <f t="shared" ref="M68:M131" si="1">IF(I68="PM",0,IF(H68=0,0,L68-K68))+N68</f>
        <v>0</v>
      </c>
      <c r="N68" s="80"/>
      <c r="O68" s="51"/>
      <c r="P68" s="52"/>
    </row>
    <row r="69" spans="2:16" ht="12.75">
      <c r="B69" s="14">
        <v>65</v>
      </c>
      <c r="C69" s="28">
        <f>IF(Coureurs!C69="","",Coureurs!C69)</f>
        <v>2</v>
      </c>
      <c r="D69" s="131" t="str">
        <f>IF(Coureurs!D69="","",Coureurs!D69)</f>
        <v>D12</v>
      </c>
      <c r="E69" s="87" t="str">
        <f>IF(Coureurs!F69="","",Coureurs!F69)</f>
        <v>KOEPP</v>
      </c>
      <c r="F69" s="87" t="str">
        <f>IF(Coureurs!G69="","",Coureurs!G69)</f>
        <v>Sahara</v>
      </c>
      <c r="G69" s="50">
        <f>IF(Coureurs!J69="","",Coureurs!J69)</f>
        <v>2311187</v>
      </c>
      <c r="H69" s="106"/>
      <c r="I69" s="40"/>
      <c r="J69" s="8" t="str">
        <f>IF(I69="PM","",IF(H69=0," ",I69-HLOOKUP('Course 5'!H69,'tab5'!$C$3:$N$4,2)))</f>
        <v xml:space="preserve"> </v>
      </c>
      <c r="K69" s="23" t="str">
        <f>IF(I69="PM","",IF(H69=0," ",J69/'Règles et points'!$F$23))</f>
        <v xml:space="preserve"> </v>
      </c>
      <c r="L69" s="3" t="str">
        <f>IF(H69=0,"",VLOOKUP(H69,'Règles et points'!$C$5:$AG$19,(HLOOKUP('Course 5'!C69,'Règles et points'!$C$5:$AG$5,1)+1)))</f>
        <v/>
      </c>
      <c r="M69" s="23">
        <f t="shared" si="1"/>
        <v>0</v>
      </c>
      <c r="N69" s="80"/>
      <c r="O69" s="51"/>
      <c r="P69" s="52"/>
    </row>
    <row r="70" spans="2:16" ht="12.75">
      <c r="B70" s="14">
        <v>66</v>
      </c>
      <c r="C70" s="28">
        <f>IF(Coureurs!C70="","",Coureurs!C70)</f>
        <v>17</v>
      </c>
      <c r="D70" s="131" t="str">
        <f>IF(Coureurs!D70="","",Coureurs!D70)</f>
        <v>H12</v>
      </c>
      <c r="E70" s="87" t="str">
        <f>IF(Coureurs!F70="","",Coureurs!F70)</f>
        <v>DE LA ROCHE</v>
      </c>
      <c r="F70" s="87" t="str">
        <f>IF(Coureurs!G70="","",Coureurs!G70)</f>
        <v>Paul</v>
      </c>
      <c r="G70" s="50">
        <f>IF(Coureurs!J70="","",Coureurs!J70)</f>
        <v>2311182</v>
      </c>
      <c r="H70" s="25"/>
      <c r="I70" s="40"/>
      <c r="J70" s="8" t="str">
        <f>IF(I70="PM","",IF(H70=0," ",I70-HLOOKUP('Course 5'!H70,'tab5'!$C$3:$N$4,2)))</f>
        <v xml:space="preserve"> </v>
      </c>
      <c r="K70" s="23" t="str">
        <f>IF(I70="PM","",IF(H70=0," ",J70/'Règles et points'!$F$23))</f>
        <v xml:space="preserve"> </v>
      </c>
      <c r="L70" s="3" t="str">
        <f>IF(H70=0,"",VLOOKUP(H70,'Règles et points'!$C$5:$AG$19,(HLOOKUP('Course 5'!C70,'Règles et points'!$C$5:$AG$5,1)+1)))</f>
        <v/>
      </c>
      <c r="M70" s="23">
        <f t="shared" si="1"/>
        <v>0</v>
      </c>
      <c r="N70" s="80"/>
      <c r="O70" s="51"/>
      <c r="P70" s="52"/>
    </row>
    <row r="71" spans="2:16" ht="12.75">
      <c r="B71" s="14">
        <v>67</v>
      </c>
      <c r="C71" s="28">
        <f>IF(Coureurs!C71="","",Coureurs!C71)</f>
        <v>18</v>
      </c>
      <c r="D71" s="131" t="str">
        <f>IF(Coureurs!D71="","",Coureurs!D71)</f>
        <v>H14</v>
      </c>
      <c r="E71" s="87" t="str">
        <f>IF(Coureurs!F71="","",Coureurs!F71)</f>
        <v>DE LA ROCHE</v>
      </c>
      <c r="F71" s="87" t="str">
        <f>IF(Coureurs!G71="","",Coureurs!G71)</f>
        <v>Raphael</v>
      </c>
      <c r="G71" s="50">
        <f>IF(Coureurs!J71="","",Coureurs!J71)</f>
        <v>2311184</v>
      </c>
      <c r="H71" s="106"/>
      <c r="I71" s="40"/>
      <c r="J71" s="8" t="str">
        <f>IF(I71="PM","",IF(H71=0," ",I71-HLOOKUP('Course 5'!H71,'tab5'!$C$3:$N$4,2)))</f>
        <v xml:space="preserve"> </v>
      </c>
      <c r="K71" s="23" t="str">
        <f>IF(I71="PM","",IF(H71=0," ",J71/'Règles et points'!$F$23))</f>
        <v xml:space="preserve"> </v>
      </c>
      <c r="L71" s="3" t="str">
        <f>IF(H71=0,"",VLOOKUP(H71,'Règles et points'!$C$5:$AG$19,(HLOOKUP('Course 5'!C71,'Règles et points'!$C$5:$AG$5,1)+1)))</f>
        <v/>
      </c>
      <c r="M71" s="23">
        <f t="shared" si="1"/>
        <v>0</v>
      </c>
      <c r="N71" s="80"/>
      <c r="O71" s="51"/>
      <c r="P71" s="52"/>
    </row>
    <row r="72" spans="2:16" ht="12.75">
      <c r="B72" s="14">
        <v>68</v>
      </c>
      <c r="C72" s="28">
        <f>IF(Coureurs!C72="","",Coureurs!C72)</f>
        <v>2</v>
      </c>
      <c r="D72" s="131" t="str">
        <f>IF(Coureurs!D72="","",Coureurs!D72)</f>
        <v>D12</v>
      </c>
      <c r="E72" s="87" t="str">
        <f>IF(Coureurs!F72="","",Coureurs!F72)</f>
        <v>LAGARDE</v>
      </c>
      <c r="F72" s="87" t="str">
        <f>IF(Coureurs!G72="","",Coureurs!G72)</f>
        <v>Lilia</v>
      </c>
      <c r="G72" s="50">
        <f>IF(Coureurs!J72="","",Coureurs!J72)</f>
        <v>2311185</v>
      </c>
      <c r="H72" s="106"/>
      <c r="I72" s="40"/>
      <c r="J72" s="8" t="str">
        <f>IF(I72="PM","",IF(H72=0," ",I72-HLOOKUP('Course 5'!H72,'tab5'!$C$3:$N$4,2)))</f>
        <v xml:space="preserve"> </v>
      </c>
      <c r="K72" s="23" t="str">
        <f>IF(I72="PM","",IF(H72=0," ",J72/'Règles et points'!$F$23))</f>
        <v xml:space="preserve"> </v>
      </c>
      <c r="L72" s="3" t="str">
        <f>IF(H72=0,"",VLOOKUP(H72,'Règles et points'!$C$5:$AG$19,(HLOOKUP('Course 5'!C72,'Règles et points'!$C$5:$AG$5,1)+1)))</f>
        <v/>
      </c>
      <c r="M72" s="23">
        <f t="shared" si="1"/>
        <v>0</v>
      </c>
      <c r="N72" s="80"/>
      <c r="O72" s="51"/>
      <c r="P72" s="52"/>
    </row>
    <row r="73" spans="2:16" ht="12.75">
      <c r="B73" s="14">
        <v>69</v>
      </c>
      <c r="C73" s="28">
        <f>IF(Coureurs!C73="","",Coureurs!C73)</f>
        <v>24</v>
      </c>
      <c r="D73" s="131" t="str">
        <f>IF(Coureurs!D73="","",Coureurs!D73)</f>
        <v>H40</v>
      </c>
      <c r="E73" s="87" t="str">
        <f>IF(Coureurs!F73="","",Coureurs!F73)</f>
        <v>BROCHOT</v>
      </c>
      <c r="F73" s="87" t="str">
        <f>IF(Coureurs!G73="","",Coureurs!G73)</f>
        <v>Vincent</v>
      </c>
      <c r="G73" s="50">
        <f>IF(Coureurs!J73="","",Coureurs!J73)</f>
        <v>8000186</v>
      </c>
      <c r="H73" s="106"/>
      <c r="I73" s="40"/>
      <c r="J73" s="8" t="str">
        <f>IF(I73="PM","",IF(H73=0," ",I73-HLOOKUP('Course 5'!H73,'tab5'!$C$3:$N$4,2)))</f>
        <v xml:space="preserve"> </v>
      </c>
      <c r="K73" s="23" t="str">
        <f>IF(I73="PM","",IF(H73=0," ",J73/'Règles et points'!$F$23))</f>
        <v xml:space="preserve"> </v>
      </c>
      <c r="L73" s="3" t="str">
        <f>IF(H73=0,"",VLOOKUP(H73,'Règles et points'!$C$5:$AG$19,(HLOOKUP('Course 5'!C73,'Règles et points'!$C$5:$AG$5,1)+1)))</f>
        <v/>
      </c>
      <c r="M73" s="23">
        <f t="shared" si="1"/>
        <v>0</v>
      </c>
      <c r="N73" s="80"/>
      <c r="O73" s="51"/>
      <c r="P73" s="52"/>
    </row>
    <row r="74" spans="2:16" ht="12.75">
      <c r="B74" s="14">
        <v>70</v>
      </c>
      <c r="C74" s="28">
        <f>IF(Coureurs!C74="","",Coureurs!C74)</f>
        <v>4</v>
      </c>
      <c r="D74" s="131" t="str">
        <f>IF(Coureurs!D74="","",Coureurs!D74)</f>
        <v>D16</v>
      </c>
      <c r="E74" s="87" t="str">
        <f>IF(Coureurs!F74="","",Coureurs!F74)</f>
        <v>PASQUALINI</v>
      </c>
      <c r="F74" s="87" t="str">
        <f>IF(Coureurs!G74="","",Coureurs!G74)</f>
        <v>Hanna</v>
      </c>
      <c r="G74" s="50">
        <f>IF(Coureurs!J74="","",Coureurs!J74)</f>
        <v>2311190</v>
      </c>
      <c r="H74" s="106"/>
      <c r="I74" s="40"/>
      <c r="J74" s="8" t="str">
        <f>IF(I74="PM","",IF(H74=0," ",I74-HLOOKUP('Course 5'!H74,'tab5'!$C$3:$N$4,2)))</f>
        <v xml:space="preserve"> </v>
      </c>
      <c r="K74" s="23" t="str">
        <f>IF(I74="PM","",IF(H74=0," ",J74/'Règles et points'!$F$23))</f>
        <v xml:space="preserve"> </v>
      </c>
      <c r="L74" s="3" t="str">
        <f>IF(H74=0,"",VLOOKUP(H74,'Règles et points'!$C$5:$AG$19,(HLOOKUP('Course 5'!C74,'Règles et points'!$C$5:$AG$5,1)+1)))</f>
        <v/>
      </c>
      <c r="M74" s="23">
        <f t="shared" si="1"/>
        <v>0</v>
      </c>
      <c r="N74" s="80"/>
      <c r="O74" s="51"/>
      <c r="P74" s="52"/>
    </row>
    <row r="75" spans="2:16" ht="12.75">
      <c r="B75" s="14">
        <v>71</v>
      </c>
      <c r="C75" s="28">
        <f>IF(Coureurs!C75="","",Coureurs!C75)</f>
        <v>17</v>
      </c>
      <c r="D75" s="131" t="str">
        <f>IF(Coureurs!D75="","",Coureurs!D75)</f>
        <v>H12</v>
      </c>
      <c r="E75" s="87" t="str">
        <f>IF(Coureurs!F75="","",Coureurs!F75)</f>
        <v>LAUDET</v>
      </c>
      <c r="F75" s="87" t="str">
        <f>IF(Coureurs!G75="","",Coureurs!G75)</f>
        <v>Sacha</v>
      </c>
      <c r="G75" s="50">
        <f>IF(Coureurs!J75="","",Coureurs!J75)</f>
        <v>2311183</v>
      </c>
      <c r="H75" s="106"/>
      <c r="I75" s="40"/>
      <c r="J75" s="8" t="str">
        <f>IF(I75="PM","",IF(H75=0," ",I75-HLOOKUP('Course 5'!H75,'tab5'!$C$3:$N$4,2)))</f>
        <v xml:space="preserve"> </v>
      </c>
      <c r="K75" s="23" t="str">
        <f>IF(I75="PM","",IF(H75=0," ",J75/'Règles et points'!$F$23))</f>
        <v xml:space="preserve"> </v>
      </c>
      <c r="L75" s="3" t="str">
        <f>IF(H75=0,"",VLOOKUP(H75,'Règles et points'!$C$5:$AG$19,(HLOOKUP('Course 5'!C75,'Règles et points'!$C$5:$AG$5,1)+1)))</f>
        <v/>
      </c>
      <c r="M75" s="23">
        <f t="shared" si="1"/>
        <v>0</v>
      </c>
      <c r="N75" s="80"/>
      <c r="O75" s="51"/>
      <c r="P75" s="52"/>
    </row>
    <row r="76" spans="2:16" ht="12.75">
      <c r="B76" s="14">
        <v>72</v>
      </c>
      <c r="C76" s="28">
        <f>IF(Coureurs!C76="","",Coureurs!C76)</f>
        <v>18</v>
      </c>
      <c r="D76" s="131" t="str">
        <f>IF(Coureurs!D76="","",Coureurs!D76)</f>
        <v>H14</v>
      </c>
      <c r="E76" s="87" t="str">
        <f>IF(Coureurs!F76="","",Coureurs!F76)</f>
        <v>LEFEVRE</v>
      </c>
      <c r="F76" s="87" t="str">
        <f>IF(Coureurs!G76="","",Coureurs!G76)</f>
        <v>Gauthier</v>
      </c>
      <c r="G76" s="50">
        <f>IF(Coureurs!J76="","",Coureurs!J76)</f>
        <v>2420990</v>
      </c>
      <c r="H76" s="106"/>
      <c r="I76" s="40"/>
      <c r="J76" s="8" t="str">
        <f>IF(I76="PM","",IF(H76=0," ",I76-HLOOKUP('Course 5'!H76,'tab5'!$C$3:$N$4,2)))</f>
        <v xml:space="preserve"> </v>
      </c>
      <c r="K76" s="23" t="str">
        <f>IF(I76="PM","",IF(H76=0," ",J76/'Règles et points'!$F$23))</f>
        <v xml:space="preserve"> </v>
      </c>
      <c r="L76" s="3" t="str">
        <f>IF(H76=0,"",VLOOKUP(H76,'Règles et points'!$C$5:$AG$19,(HLOOKUP('Course 5'!C76,'Règles et points'!$C$5:$AG$5,1)+1)))</f>
        <v/>
      </c>
      <c r="M76" s="23">
        <f t="shared" si="1"/>
        <v>0</v>
      </c>
      <c r="N76" s="80"/>
      <c r="O76" s="51"/>
      <c r="P76" s="52"/>
    </row>
    <row r="77" spans="2:16" ht="12.75">
      <c r="B77" s="14">
        <v>73</v>
      </c>
      <c r="C77" s="28">
        <f>IF(Coureurs!C77="","",Coureurs!C77)</f>
        <v>3</v>
      </c>
      <c r="D77" s="131" t="str">
        <f>IF(Coureurs!D77="","",Coureurs!D77)</f>
        <v>D14</v>
      </c>
      <c r="E77" s="87" t="str">
        <f>IF(Coureurs!F77="","",Coureurs!F77)</f>
        <v>BENSET</v>
      </c>
      <c r="F77" s="87" t="str">
        <f>IF(Coureurs!G77="","",Coureurs!G77)</f>
        <v>Estelle</v>
      </c>
      <c r="G77" s="50">
        <f>IF(Coureurs!J77="","",Coureurs!J77)</f>
        <v>2150413</v>
      </c>
      <c r="H77" s="106"/>
      <c r="I77" s="40"/>
      <c r="J77" s="8" t="str">
        <f>IF(I77="PM","",IF(H77=0," ",I77-HLOOKUP('Course 5'!H77,'tab5'!$C$3:$N$4,2)))</f>
        <v xml:space="preserve"> </v>
      </c>
      <c r="K77" s="23" t="str">
        <f>IF(I77="PM","",IF(H77=0," ",J77/'Règles et points'!$F$23))</f>
        <v xml:space="preserve"> </v>
      </c>
      <c r="L77" s="3" t="str">
        <f>IF(H77=0,"",VLOOKUP(H77,'Règles et points'!$C$5:$AG$19,(HLOOKUP('Course 5'!C77,'Règles et points'!$C$5:$AG$5,1)+1)))</f>
        <v/>
      </c>
      <c r="M77" s="23">
        <f t="shared" si="1"/>
        <v>0</v>
      </c>
      <c r="N77" s="80"/>
      <c r="O77" s="51"/>
      <c r="P77" s="52"/>
    </row>
    <row r="78" spans="2:16" ht="12.75">
      <c r="B78" s="14">
        <v>74</v>
      </c>
      <c r="C78" s="28">
        <f>IF(Coureurs!C78="","",Coureurs!C78)</f>
        <v>27</v>
      </c>
      <c r="D78" s="131" t="str">
        <f>IF(Coureurs!D78="","",Coureurs!D78)</f>
        <v>H55</v>
      </c>
      <c r="E78" s="87" t="str">
        <f>IF(Coureurs!F78="","",Coureurs!F78)</f>
        <v>BOUCHERIE</v>
      </c>
      <c r="F78" s="87" t="str">
        <f>IF(Coureurs!G78="","",Coureurs!G78)</f>
        <v>Pascal</v>
      </c>
      <c r="G78" s="50">
        <f>IF(Coureurs!J78="","",Coureurs!J78)</f>
        <v>2420986</v>
      </c>
      <c r="H78" s="106"/>
      <c r="I78" s="40"/>
      <c r="J78" s="8" t="str">
        <f>IF(I78="PM","",IF(H78=0," ",I78-HLOOKUP('Course 5'!H78,'tab5'!$C$3:$N$4,2)))</f>
        <v xml:space="preserve"> </v>
      </c>
      <c r="K78" s="23" t="str">
        <f>IF(I78="PM","",IF(H78=0," ",J78/'Règles et points'!$F$23))</f>
        <v xml:space="preserve"> </v>
      </c>
      <c r="L78" s="3" t="str">
        <f>IF(H78=0,"",VLOOKUP(H78,'Règles et points'!$C$5:$AG$19,(HLOOKUP('Course 5'!C78,'Règles et points'!$C$5:$AG$5,1)+1)))</f>
        <v/>
      </c>
      <c r="M78" s="23">
        <f t="shared" si="1"/>
        <v>0</v>
      </c>
      <c r="N78" s="80"/>
      <c r="O78" s="51"/>
      <c r="P78" s="52"/>
    </row>
    <row r="79" spans="2:16" ht="12.75">
      <c r="B79" s="14">
        <v>75</v>
      </c>
      <c r="C79" s="28">
        <f>IF(Coureurs!C79="","",Coureurs!C79)</f>
        <v>12</v>
      </c>
      <c r="D79" s="131" t="str">
        <f>IF(Coureurs!D79="","",Coureurs!D79)</f>
        <v>D55</v>
      </c>
      <c r="E79" s="87" t="str">
        <f>IF(Coureurs!F79="","",Coureurs!F79)</f>
        <v>BOUCHERIE</v>
      </c>
      <c r="F79" s="87" t="str">
        <f>IF(Coureurs!G79="","",Coureurs!G79)</f>
        <v>caroline</v>
      </c>
      <c r="G79" s="50">
        <f>IF(Coureurs!J79="","",Coureurs!J79)</f>
        <v>2420987</v>
      </c>
      <c r="H79" s="106"/>
      <c r="I79" s="40"/>
      <c r="J79" s="8" t="str">
        <f>IF(I79="PM","",IF(H79=0," ",I79-HLOOKUP('Course 5'!H79,'tab5'!$C$3:$N$4,2)))</f>
        <v xml:space="preserve"> </v>
      </c>
      <c r="K79" s="23" t="str">
        <f>IF(I79="PM","",IF(H79=0," ",J79/'Règles et points'!$F$23))</f>
        <v xml:space="preserve"> </v>
      </c>
      <c r="L79" s="3" t="str">
        <f>IF(H79=0,"",VLOOKUP(H79,'Règles et points'!$C$5:$AG$19,(HLOOKUP('Course 5'!C79,'Règles et points'!$C$5:$AG$5,1)+1)))</f>
        <v/>
      </c>
      <c r="M79" s="23">
        <f t="shared" si="1"/>
        <v>0</v>
      </c>
      <c r="N79" s="80"/>
      <c r="O79" s="51"/>
      <c r="P79" s="52"/>
    </row>
    <row r="80" spans="2:16" ht="12.75">
      <c r="B80" s="14">
        <v>76</v>
      </c>
      <c r="C80" s="28">
        <f>IF(Coureurs!C80="","",Coureurs!C80)</f>
        <v>17</v>
      </c>
      <c r="D80" s="131" t="str">
        <f>IF(Coureurs!D80="","",Coureurs!D80)</f>
        <v>H12</v>
      </c>
      <c r="E80" s="87" t="str">
        <f>IF(Coureurs!F80="","",Coureurs!F80)</f>
        <v>BOUCHERIE</v>
      </c>
      <c r="F80" s="87" t="str">
        <f>IF(Coureurs!G80="","",Coureurs!G80)</f>
        <v>Achille</v>
      </c>
      <c r="G80" s="50">
        <f>IF(Coureurs!J80="","",Coureurs!J80)</f>
        <v>2311189</v>
      </c>
      <c r="H80" s="25"/>
      <c r="I80" s="41"/>
      <c r="J80" s="8" t="str">
        <f>IF(I80="PM","",IF(H80=0," ",I80-HLOOKUP('Course 5'!H80,'tab5'!$C$3:$N$4,2)))</f>
        <v xml:space="preserve"> </v>
      </c>
      <c r="K80" s="23" t="str">
        <f>IF(I80="PM","",IF(H80=0," ",J80/'Règles et points'!$F$23))</f>
        <v xml:space="preserve"> </v>
      </c>
      <c r="L80" s="3" t="str">
        <f>IF(H80=0,"",VLOOKUP(H80,'Règles et points'!$C$5:$AG$19,(HLOOKUP('Course 5'!C80,'Règles et points'!$C$5:$AG$5,1)+1)))</f>
        <v/>
      </c>
      <c r="M80" s="23">
        <f t="shared" si="1"/>
        <v>0</v>
      </c>
      <c r="N80" s="80"/>
      <c r="O80" s="51"/>
      <c r="P80" s="52"/>
    </row>
    <row r="81" spans="2:16" ht="12.75">
      <c r="B81" s="14">
        <v>77</v>
      </c>
      <c r="C81" s="28">
        <f>IF(Coureurs!C81="","",Coureurs!C81)</f>
        <v>22</v>
      </c>
      <c r="D81" s="131" t="str">
        <f>IF(Coureurs!D81="","",Coureurs!D81)</f>
        <v>H21</v>
      </c>
      <c r="E81" s="87" t="str">
        <f>IF(Coureurs!F81="","",Coureurs!F81)</f>
        <v>BOUCHERIE</v>
      </c>
      <c r="F81" s="87" t="str">
        <f>IF(Coureurs!G81="","",Coureurs!G81)</f>
        <v>jules</v>
      </c>
      <c r="G81" s="50">
        <f>IF(Coureurs!J81="","",Coureurs!J81)</f>
        <v>2150411</v>
      </c>
      <c r="H81" s="25"/>
      <c r="I81" s="41"/>
      <c r="J81" s="8" t="str">
        <f>IF(I81="PM","",IF(H81=0," ",I81-HLOOKUP('Course 5'!H81,'tab5'!$C$3:$N$4,2)))</f>
        <v xml:space="preserve"> </v>
      </c>
      <c r="K81" s="23" t="str">
        <f>IF(I81="PM","",IF(H81=0," ",J81/'Règles et points'!$F$23))</f>
        <v xml:space="preserve"> </v>
      </c>
      <c r="L81" s="3" t="str">
        <f>IF(H81=0,"",VLOOKUP(H81,'Règles et points'!$C$5:$AG$19,(HLOOKUP('Course 5'!C81,'Règles et points'!$C$5:$AG$5,1)+1)))</f>
        <v/>
      </c>
      <c r="M81" s="23">
        <f t="shared" si="1"/>
        <v>0</v>
      </c>
      <c r="N81" s="80"/>
      <c r="O81" s="51"/>
      <c r="P81" s="52"/>
    </row>
    <row r="82" spans="2:16" ht="12.75">
      <c r="B82" s="14">
        <v>78</v>
      </c>
      <c r="C82" s="28">
        <f>IF(Coureurs!C82="","",Coureurs!C82)</f>
        <v>22</v>
      </c>
      <c r="D82" s="131" t="str">
        <f>IF(Coureurs!D82="","",Coureurs!D82)</f>
        <v>H21</v>
      </c>
      <c r="E82" s="87" t="str">
        <f>IF(Coureurs!F82="","",Coureurs!F82)</f>
        <v>BOUCHERIE</v>
      </c>
      <c r="F82" s="87" t="str">
        <f>IF(Coureurs!G82="","",Coureurs!G82)</f>
        <v>louis</v>
      </c>
      <c r="G82" s="50">
        <f>IF(Coureurs!J82="","",Coureurs!J82)</f>
        <v>2150412</v>
      </c>
      <c r="H82" s="25"/>
      <c r="I82" s="41"/>
      <c r="J82" s="8" t="str">
        <f>IF(I82="PM","",IF(H82=0," ",I82-HLOOKUP('Course 5'!H82,'tab5'!$C$3:$N$4,2)))</f>
        <v xml:space="preserve"> </v>
      </c>
      <c r="K82" s="23" t="str">
        <f>IF(I82="PM","",IF(H82=0," ",J82/'Règles et points'!$F$23))</f>
        <v xml:space="preserve"> </v>
      </c>
      <c r="L82" s="3" t="str">
        <f>IF(H82=0,"",VLOOKUP(H82,'Règles et points'!$C$5:$AG$19,(HLOOKUP('Course 5'!C82,'Règles et points'!$C$5:$AG$5,1)+1)))</f>
        <v/>
      </c>
      <c r="M82" s="23">
        <f t="shared" si="1"/>
        <v>0</v>
      </c>
      <c r="N82" s="80"/>
      <c r="O82" s="51"/>
      <c r="P82" s="52"/>
    </row>
    <row r="83" spans="2:16" ht="12.75">
      <c r="B83" s="14">
        <v>79</v>
      </c>
      <c r="C83" s="28">
        <f>IF(Coureurs!C83="","",Coureurs!C83)</f>
        <v>18</v>
      </c>
      <c r="D83" s="131" t="str">
        <f>IF(Coureurs!D83="","",Coureurs!D83)</f>
        <v>H14</v>
      </c>
      <c r="E83" s="87" t="str">
        <f>IF(Coureurs!F83="","",Coureurs!F83)</f>
        <v>ZHANG</v>
      </c>
      <c r="F83" s="87" t="str">
        <f>IF(Coureurs!G83="","",Coureurs!G83)</f>
        <v>Felix</v>
      </c>
      <c r="G83" s="50">
        <f>IF(Coureurs!J83="","",Coureurs!J83)</f>
        <v>2150416</v>
      </c>
      <c r="H83" s="25"/>
      <c r="I83" s="41"/>
      <c r="J83" s="8" t="str">
        <f>IF(I83="PM","",IF(H83=0," ",I83-HLOOKUP('Course 5'!H83,'tab5'!$C$3:$N$4,2)))</f>
        <v xml:space="preserve"> </v>
      </c>
      <c r="K83" s="23" t="str">
        <f>IF(I83="PM","",IF(H83=0," ",J83/'Règles et points'!$F$23))</f>
        <v xml:space="preserve"> </v>
      </c>
      <c r="L83" s="3" t="str">
        <f>IF(H83=0,"",VLOOKUP(H83,'Règles et points'!$C$5:$AG$19,(HLOOKUP('Course 5'!C83,'Règles et points'!$C$5:$AG$5,1)+1)))</f>
        <v/>
      </c>
      <c r="M83" s="23">
        <f t="shared" si="1"/>
        <v>0</v>
      </c>
      <c r="N83" s="80"/>
      <c r="O83" s="51"/>
      <c r="P83" s="52"/>
    </row>
    <row r="84" spans="2:16" ht="12.75">
      <c r="B84" s="14">
        <v>80</v>
      </c>
      <c r="C84" s="28">
        <f>IF(Coureurs!C84="","",Coureurs!C84)</f>
        <v>2</v>
      </c>
      <c r="D84" s="131" t="str">
        <f>IF(Coureurs!D84="","",Coureurs!D84)</f>
        <v>D12</v>
      </c>
      <c r="E84" s="87" t="str">
        <f>IF(Coureurs!F84="","",Coureurs!F84)</f>
        <v>DUSSAIX</v>
      </c>
      <c r="F84" s="87" t="str">
        <f>IF(Coureurs!G84="","",Coureurs!G84)</f>
        <v>Margaux</v>
      </c>
      <c r="G84" s="50">
        <f>IF(Coureurs!J84="","",Coureurs!J84)</f>
        <v>2150414</v>
      </c>
      <c r="H84" s="25"/>
      <c r="I84" s="41"/>
      <c r="J84" s="8" t="str">
        <f>IF(I84="PM","",IF(H84=0," ",I84-HLOOKUP('Course 5'!H84,'tab5'!$C$3:$N$4,2)))</f>
        <v xml:space="preserve"> </v>
      </c>
      <c r="K84" s="23" t="str">
        <f>IF(I84="PM","",IF(H84=0," ",J84/'Règles et points'!$F$23))</f>
        <v xml:space="preserve"> </v>
      </c>
      <c r="L84" s="3" t="str">
        <f>IF(H84=0,"",VLOOKUP(H84,'Règles et points'!$C$5:$AG$19,(HLOOKUP('Course 5'!C84,'Règles et points'!$C$5:$AG$5,1)+1)))</f>
        <v/>
      </c>
      <c r="M84" s="23">
        <f t="shared" si="1"/>
        <v>0</v>
      </c>
      <c r="N84" s="80"/>
      <c r="O84" s="51"/>
      <c r="P84" s="52"/>
    </row>
    <row r="85" spans="2:16" ht="12.75">
      <c r="B85" s="14">
        <v>81</v>
      </c>
      <c r="C85" s="28">
        <f>IF(Coureurs!C85="","",Coureurs!C85)</f>
        <v>26</v>
      </c>
      <c r="D85" s="131" t="str">
        <f>IF(Coureurs!D85="","",Coureurs!D85)</f>
        <v>H50</v>
      </c>
      <c r="E85" s="87" t="str">
        <f>IF(Coureurs!F85="","",Coureurs!F85)</f>
        <v>DELABROYE DUCROQ</v>
      </c>
      <c r="F85" s="87" t="str">
        <f>IF(Coureurs!G85="","",Coureurs!G85)</f>
        <v>Arnaud</v>
      </c>
      <c r="G85" s="50" t="str">
        <f>IF(Coureurs!J85="","",Coureurs!J85)</f>
        <v/>
      </c>
      <c r="H85" s="25"/>
      <c r="I85" s="41"/>
      <c r="J85" s="8" t="str">
        <f>IF(I85="PM","",IF(H85=0," ",I85-HLOOKUP('Course 5'!H85,'tab5'!$C$3:$N$4,2)))</f>
        <v xml:space="preserve"> </v>
      </c>
      <c r="K85" s="23" t="str">
        <f>IF(I85="PM","",IF(H85=0," ",J85/'Règles et points'!$F$23))</f>
        <v xml:space="preserve"> </v>
      </c>
      <c r="L85" s="3" t="str">
        <f>IF(H85=0,"",VLOOKUP(H85,'Règles et points'!$C$5:$AG$19,(HLOOKUP('Course 5'!C85,'Règles et points'!$C$5:$AG$5,1)+1)))</f>
        <v/>
      </c>
      <c r="M85" s="23">
        <f t="shared" si="1"/>
        <v>0</v>
      </c>
      <c r="N85" s="80"/>
      <c r="O85" s="51"/>
      <c r="P85" s="52"/>
    </row>
    <row r="86" spans="2:16" ht="12.75">
      <c r="B86" s="14">
        <v>82</v>
      </c>
      <c r="C86" s="28">
        <f>IF(Coureurs!C86="","",Coureurs!C86)</f>
        <v>16</v>
      </c>
      <c r="D86" s="131" t="str">
        <f>IF(Coureurs!D86="","",Coureurs!D86)</f>
        <v>H10</v>
      </c>
      <c r="E86" s="87" t="str">
        <f>IF(Coureurs!F86="","",Coureurs!F86)</f>
        <v>DELABROYE DUCROQ</v>
      </c>
      <c r="F86" s="87" t="str">
        <f>IF(Coureurs!G86="","",Coureurs!G86)</f>
        <v>Adam</v>
      </c>
      <c r="G86" s="50" t="str">
        <f>IF(Coureurs!J86="","",Coureurs!J86)</f>
        <v/>
      </c>
      <c r="H86" s="25"/>
      <c r="I86" s="41"/>
      <c r="J86" s="8" t="str">
        <f>IF(I86="PM","",IF(H86=0," ",I86-HLOOKUP('Course 5'!H86,'tab5'!$C$3:$N$4,2)))</f>
        <v xml:space="preserve"> </v>
      </c>
      <c r="K86" s="23" t="str">
        <f>IF(I86="PM","",IF(H86=0," ",J86/'Règles et points'!$F$23))</f>
        <v xml:space="preserve"> </v>
      </c>
      <c r="L86" s="3" t="str">
        <f>IF(H86=0,"",VLOOKUP(H86,'Règles et points'!$C$5:$AG$19,(HLOOKUP('Course 5'!C86,'Règles et points'!$C$5:$AG$5,1)+1)))</f>
        <v/>
      </c>
      <c r="M86" s="23">
        <f t="shared" si="1"/>
        <v>0</v>
      </c>
      <c r="N86" s="80"/>
      <c r="O86" s="51"/>
      <c r="P86" s="52"/>
    </row>
    <row r="87" spans="2:16" ht="12.75">
      <c r="B87" s="14">
        <v>83</v>
      </c>
      <c r="C87" s="28">
        <f>IF(Coureurs!C87="","",Coureurs!C87)</f>
        <v>18</v>
      </c>
      <c r="D87" s="131" t="str">
        <f>IF(Coureurs!D87="","",Coureurs!D87)</f>
        <v>H14</v>
      </c>
      <c r="E87" s="87" t="str">
        <f>IF(Coureurs!F87="","",Coureurs!F87)</f>
        <v>RICHARD</v>
      </c>
      <c r="F87" s="87" t="str">
        <f>IF(Coureurs!G87="","",Coureurs!G87)</f>
        <v>Mathis</v>
      </c>
      <c r="G87" s="50">
        <f>IF(Coureurs!J87="","",Coureurs!J87)</f>
        <v>2311186</v>
      </c>
      <c r="H87" s="25"/>
      <c r="I87" s="41"/>
      <c r="J87" s="8" t="str">
        <f>IF(I87="PM","",IF(H87=0," ",I87-HLOOKUP('Course 5'!H87,'tab5'!$C$3:$N$4,2)))</f>
        <v xml:space="preserve"> </v>
      </c>
      <c r="K87" s="23" t="str">
        <f>IF(I87="PM","",IF(H87=0," ",J87/'Règles et points'!$F$23))</f>
        <v xml:space="preserve"> </v>
      </c>
      <c r="L87" s="3" t="str">
        <f>IF(H87=0,"",VLOOKUP(H87,'Règles et points'!$C$5:$AG$19,(HLOOKUP('Course 5'!C87,'Règles et points'!$C$5:$AG$5,1)+1)))</f>
        <v/>
      </c>
      <c r="M87" s="23">
        <f t="shared" si="1"/>
        <v>0</v>
      </c>
      <c r="N87" s="80"/>
      <c r="O87" s="51"/>
      <c r="P87" s="52"/>
    </row>
    <row r="88" spans="2:16" ht="12.75">
      <c r="B88" s="14">
        <v>84</v>
      </c>
      <c r="C88" s="28">
        <f>IF(Coureurs!C88="","",Coureurs!C88)</f>
        <v>9</v>
      </c>
      <c r="D88" s="131" t="str">
        <f>IF(Coureurs!D88="","",Coureurs!D88)</f>
        <v>D40</v>
      </c>
      <c r="E88" s="87" t="str">
        <f>IF(Coureurs!F88="","",Coureurs!F88)</f>
        <v>COQUET</v>
      </c>
      <c r="F88" s="87" t="str">
        <f>IF(Coureurs!G88="","",Coureurs!G88)</f>
        <v>Coralie</v>
      </c>
      <c r="G88" s="50" t="str">
        <f>IF(Coureurs!J88="","",Coureurs!J88)</f>
        <v/>
      </c>
      <c r="H88" s="25"/>
      <c r="I88" s="41"/>
      <c r="J88" s="8" t="str">
        <f>IF(I88="PM","",IF(H88=0," ",I88-HLOOKUP('Course 5'!H88,'tab5'!$C$3:$N$4,2)))</f>
        <v xml:space="preserve"> </v>
      </c>
      <c r="K88" s="23" t="str">
        <f>IF(I88="PM","",IF(H88=0," ",J88/'Règles et points'!$F$23))</f>
        <v xml:space="preserve"> </v>
      </c>
      <c r="L88" s="3" t="str">
        <f>IF(H88=0,"",VLOOKUP(H88,'Règles et points'!$C$5:$AG$19,(HLOOKUP('Course 5'!C88,'Règles et points'!$C$5:$AG$5,1)+1)))</f>
        <v/>
      </c>
      <c r="M88" s="23">
        <f t="shared" si="1"/>
        <v>0</v>
      </c>
      <c r="N88" s="80"/>
      <c r="O88" s="51"/>
      <c r="P88" s="52"/>
    </row>
    <row r="89" spans="2:16" ht="12.75">
      <c r="B89" s="14">
        <v>85</v>
      </c>
      <c r="C89" s="28">
        <f>IF(Coureurs!C89="","",Coureurs!C89)</f>
        <v>17</v>
      </c>
      <c r="D89" s="131" t="str">
        <f>IF(Coureurs!D89="","",Coureurs!D89)</f>
        <v>H12</v>
      </c>
      <c r="E89" s="87" t="str">
        <f>IF(Coureurs!F89="","",Coureurs!F89)</f>
        <v>MONTACIE</v>
      </c>
      <c r="F89" s="87" t="str">
        <f>IF(Coureurs!G89="","",Coureurs!G89)</f>
        <v>Victor</v>
      </c>
      <c r="G89" s="50">
        <f>IF(Coureurs!J89="","",Coureurs!J89)</f>
        <v>2150417</v>
      </c>
      <c r="H89" s="25"/>
      <c r="I89" s="41"/>
      <c r="J89" s="8" t="str">
        <f>IF(I89="PM","",IF(H89=0," ",I89-HLOOKUP('Course 5'!H89,'tab5'!$C$3:$N$4,2)))</f>
        <v xml:space="preserve"> </v>
      </c>
      <c r="K89" s="23" t="str">
        <f>IF(I89="PM","",IF(H89=0," ",J89/'Règles et points'!$F$23))</f>
        <v xml:space="preserve"> </v>
      </c>
      <c r="L89" s="3" t="str">
        <f>IF(H89=0,"",VLOOKUP(H89,'Règles et points'!$C$5:$AG$19,(HLOOKUP('Course 5'!C89,'Règles et points'!$C$5:$AG$5,1)+1)))</f>
        <v/>
      </c>
      <c r="M89" s="23">
        <f t="shared" si="1"/>
        <v>0</v>
      </c>
      <c r="N89" s="80"/>
      <c r="O89" s="51"/>
      <c r="P89" s="52"/>
    </row>
    <row r="90" spans="2:16" ht="12.75">
      <c r="B90" s="14">
        <v>86</v>
      </c>
      <c r="C90" s="28">
        <f>IF(Coureurs!C90="","",Coureurs!C90)</f>
        <v>19</v>
      </c>
      <c r="D90" s="131" t="str">
        <f>IF(Coureurs!D90="","",Coureurs!D90)</f>
        <v>H16</v>
      </c>
      <c r="E90" s="87" t="str">
        <f>IF(Coureurs!F90="","",Coureurs!F90)</f>
        <v>MEUNIER</v>
      </c>
      <c r="F90" s="87" t="str">
        <f>IF(Coureurs!G90="","",Coureurs!G90)</f>
        <v>Hadrien</v>
      </c>
      <c r="G90" s="50">
        <f>IF(Coureurs!J90="","",Coureurs!J90)</f>
        <v>2144316</v>
      </c>
      <c r="H90" s="25"/>
      <c r="I90" s="41"/>
      <c r="J90" s="8" t="str">
        <f>IF(I90="PM","",IF(H90=0," ",I90-HLOOKUP('Course 5'!H90,'tab5'!$C$3:$N$4,2)))</f>
        <v xml:space="preserve"> </v>
      </c>
      <c r="K90" s="23" t="str">
        <f>IF(I90="PM","",IF(H90=0," ",J90/'Règles et points'!$F$23))</f>
        <v xml:space="preserve"> </v>
      </c>
      <c r="L90" s="3" t="str">
        <f>IF(H90=0,"",VLOOKUP(H90,'Règles et points'!$C$5:$AG$19,(HLOOKUP('Course 5'!C90,'Règles et points'!$C$5:$AG$5,1)+1)))</f>
        <v/>
      </c>
      <c r="M90" s="23">
        <f t="shared" si="1"/>
        <v>0</v>
      </c>
      <c r="N90" s="80"/>
      <c r="O90" s="51"/>
      <c r="P90" s="52"/>
    </row>
    <row r="91" spans="2:16" ht="12.75">
      <c r="B91" s="14">
        <v>87</v>
      </c>
      <c r="C91" s="28">
        <f>IF(Coureurs!C91="","",Coureurs!C91)</f>
        <v>10</v>
      </c>
      <c r="D91" s="131" t="str">
        <f>IF(Coureurs!D91="","",Coureurs!D91)</f>
        <v>D45</v>
      </c>
      <c r="E91" s="87" t="str">
        <f>IF(Coureurs!F91="","",Coureurs!F91)</f>
        <v>SNELLMAN</v>
      </c>
      <c r="F91" s="87" t="str">
        <f>IF(Coureurs!G91="","",Coureurs!G91)</f>
        <v>Kaisa</v>
      </c>
      <c r="G91" s="50" t="str">
        <f>IF(Coureurs!J91="","",Coureurs!J91)</f>
        <v/>
      </c>
      <c r="H91" s="25"/>
      <c r="I91" s="41"/>
      <c r="J91" s="8" t="str">
        <f>IF(I91="PM","",IF(H91=0," ",I91-HLOOKUP('Course 5'!H91,'tab5'!$C$3:$N$4,2)))</f>
        <v xml:space="preserve"> </v>
      </c>
      <c r="K91" s="23" t="str">
        <f>IF(I91="PM","",IF(H91=0," ",J91/'Règles et points'!$F$23))</f>
        <v xml:space="preserve"> </v>
      </c>
      <c r="L91" s="3" t="str">
        <f>IF(H91=0,"",VLOOKUP(H91,'Règles et points'!$C$5:$AG$19,(HLOOKUP('Course 5'!C91,'Règles et points'!$C$5:$AG$5,1)+1)))</f>
        <v/>
      </c>
      <c r="M91" s="23">
        <f t="shared" si="1"/>
        <v>0</v>
      </c>
      <c r="N91" s="80"/>
      <c r="O91" s="51"/>
      <c r="P91" s="52"/>
    </row>
    <row r="92" spans="2:16" ht="12.75">
      <c r="B92" s="14">
        <v>88</v>
      </c>
      <c r="C92" s="28" t="e">
        <f>IF(Coureurs!C92="","",Coureurs!C92)</f>
        <v>#N/A</v>
      </c>
      <c r="D92" s="131" t="str">
        <f>IF(Coureurs!D92="","",Coureurs!D92)</f>
        <v>70</v>
      </c>
      <c r="E92" s="87" t="str">
        <f>IF(Coureurs!F92="","",Coureurs!F92)</f>
        <v/>
      </c>
      <c r="F92" s="87" t="str">
        <f>IF(Coureurs!G92="","",Coureurs!G92)</f>
        <v/>
      </c>
      <c r="G92" s="50" t="str">
        <f>IF(Coureurs!J92="","",Coureurs!J92)</f>
        <v/>
      </c>
      <c r="H92" s="25"/>
      <c r="I92" s="41"/>
      <c r="J92" s="8" t="str">
        <f>IF(I92="PM","",IF(H92=0," ",I92-HLOOKUP('Course 5'!H92,'tab5'!$C$3:$N$4,2)))</f>
        <v xml:space="preserve"> </v>
      </c>
      <c r="K92" s="23" t="str">
        <f>IF(I92="PM","",IF(H92=0," ",J92/'Règles et points'!$F$23))</f>
        <v xml:space="preserve"> </v>
      </c>
      <c r="L92" s="3" t="str">
        <f>IF(H92=0,"",VLOOKUP(H92,'Règles et points'!$C$5:$AG$19,(HLOOKUP('Course 5'!C92,'Règles et points'!$C$5:$AG$5,1)+1)))</f>
        <v/>
      </c>
      <c r="M92" s="23">
        <f t="shared" si="1"/>
        <v>0</v>
      </c>
      <c r="N92" s="80"/>
      <c r="O92" s="51"/>
      <c r="P92" s="52"/>
    </row>
    <row r="93" spans="2:16" ht="12.75">
      <c r="B93" s="14">
        <v>89</v>
      </c>
      <c r="C93" s="28" t="e">
        <f>IF(Coureurs!C93="","",Coureurs!C93)</f>
        <v>#N/A</v>
      </c>
      <c r="D93" s="131" t="str">
        <f>IF(Coureurs!D93="","",Coureurs!D93)</f>
        <v>70</v>
      </c>
      <c r="E93" s="87" t="str">
        <f>IF(Coureurs!F93="","",Coureurs!F93)</f>
        <v/>
      </c>
      <c r="F93" s="87" t="str">
        <f>IF(Coureurs!G93="","",Coureurs!G93)</f>
        <v/>
      </c>
      <c r="G93" s="50" t="str">
        <f>IF(Coureurs!J93="","",Coureurs!J93)</f>
        <v/>
      </c>
      <c r="H93" s="25"/>
      <c r="I93" s="41"/>
      <c r="J93" s="8" t="str">
        <f>IF(I93="PM","",IF(H93=0," ",I93-HLOOKUP('Course 5'!H93,'tab5'!$C$3:$N$4,2)))</f>
        <v xml:space="preserve"> </v>
      </c>
      <c r="K93" s="23" t="str">
        <f>IF(I93="PM","",IF(H93=0," ",J93/'Règles et points'!$F$23))</f>
        <v xml:space="preserve"> </v>
      </c>
      <c r="L93" s="3" t="str">
        <f>IF(H93=0,"",VLOOKUP(H93,'Règles et points'!$C$5:$AG$19,(HLOOKUP('Course 5'!C93,'Règles et points'!$C$5:$AG$5,1)+1)))</f>
        <v/>
      </c>
      <c r="M93" s="23">
        <f t="shared" si="1"/>
        <v>0</v>
      </c>
      <c r="N93" s="80"/>
      <c r="O93" s="51"/>
      <c r="P93" s="52"/>
    </row>
    <row r="94" spans="2:16" ht="12.75">
      <c r="B94" s="14">
        <v>90</v>
      </c>
      <c r="C94" s="28" t="e">
        <f>IF(Coureurs!C94="","",Coureurs!C94)</f>
        <v>#N/A</v>
      </c>
      <c r="D94" s="131" t="str">
        <f>IF(Coureurs!D94="","",Coureurs!D94)</f>
        <v>70</v>
      </c>
      <c r="E94" s="87" t="str">
        <f>IF(Coureurs!F94="","",Coureurs!F94)</f>
        <v/>
      </c>
      <c r="F94" s="87" t="str">
        <f>IF(Coureurs!G94="","",Coureurs!G94)</f>
        <v/>
      </c>
      <c r="G94" s="50" t="str">
        <f>IF(Coureurs!J94="","",Coureurs!J94)</f>
        <v/>
      </c>
      <c r="H94" s="25"/>
      <c r="I94" s="41"/>
      <c r="J94" s="8" t="str">
        <f>IF(I94="PM","",IF(H94=0," ",I94-HLOOKUP('Course 5'!H94,'tab5'!$C$3:$N$4,2)))</f>
        <v xml:space="preserve"> </v>
      </c>
      <c r="K94" s="23" t="str">
        <f>IF(I94="PM","",IF(H94=0," ",J94/'Règles et points'!$F$23))</f>
        <v xml:space="preserve"> </v>
      </c>
      <c r="L94" s="3" t="str">
        <f>IF(H94=0,"",VLOOKUP(H94,'Règles et points'!$C$5:$AG$19,(HLOOKUP('Course 5'!C94,'Règles et points'!$C$5:$AG$5,1)+1)))</f>
        <v/>
      </c>
      <c r="M94" s="23">
        <f t="shared" si="1"/>
        <v>0</v>
      </c>
      <c r="N94" s="80"/>
      <c r="O94" s="51"/>
      <c r="P94" s="52"/>
    </row>
    <row r="95" spans="2:16" ht="12.75">
      <c r="B95" s="14">
        <v>91</v>
      </c>
      <c r="C95" s="28" t="e">
        <f>IF(Coureurs!C95="","",Coureurs!C95)</f>
        <v>#N/A</v>
      </c>
      <c r="D95" s="131" t="str">
        <f>IF(Coureurs!D95="","",Coureurs!D95)</f>
        <v>70</v>
      </c>
      <c r="E95" s="87" t="str">
        <f>IF(Coureurs!F95="","",Coureurs!F95)</f>
        <v/>
      </c>
      <c r="F95" s="87" t="str">
        <f>IF(Coureurs!G95="","",Coureurs!G95)</f>
        <v/>
      </c>
      <c r="G95" s="50" t="str">
        <f>IF(Coureurs!J95="","",Coureurs!J95)</f>
        <v/>
      </c>
      <c r="H95" s="25"/>
      <c r="I95" s="41"/>
      <c r="J95" s="8" t="str">
        <f>IF(I95="PM","",IF(H95=0," ",I95-HLOOKUP('Course 5'!H95,'tab5'!$C$3:$N$4,2)))</f>
        <v xml:space="preserve"> </v>
      </c>
      <c r="K95" s="23" t="str">
        <f>IF(I95="PM","",IF(H95=0," ",J95/'Règles et points'!$F$23))</f>
        <v xml:space="preserve"> </v>
      </c>
      <c r="L95" s="3" t="str">
        <f>IF(H95=0,"",VLOOKUP(H95,'Règles et points'!$C$5:$AG$19,(HLOOKUP('Course 5'!C95,'Règles et points'!$C$5:$AG$5,1)+1)))</f>
        <v/>
      </c>
      <c r="M95" s="23">
        <f t="shared" si="1"/>
        <v>0</v>
      </c>
      <c r="N95" s="80"/>
      <c r="O95" s="51"/>
      <c r="P95" s="52"/>
    </row>
    <row r="96" spans="2:16" ht="12.75">
      <c r="B96" s="14">
        <v>92</v>
      </c>
      <c r="C96" s="28" t="e">
        <f>IF(Coureurs!C96="","",Coureurs!C96)</f>
        <v>#N/A</v>
      </c>
      <c r="D96" s="131" t="str">
        <f>IF(Coureurs!D96="","",Coureurs!D96)</f>
        <v>70</v>
      </c>
      <c r="E96" s="87" t="str">
        <f>IF(Coureurs!F96="","",Coureurs!F96)</f>
        <v/>
      </c>
      <c r="F96" s="87" t="str">
        <f>IF(Coureurs!G96="","",Coureurs!G96)</f>
        <v/>
      </c>
      <c r="G96" s="50" t="str">
        <f>IF(Coureurs!J96="","",Coureurs!J96)</f>
        <v/>
      </c>
      <c r="H96" s="25"/>
      <c r="I96" s="41"/>
      <c r="J96" s="8" t="str">
        <f>IF(I96="PM","",IF(H96=0," ",I96-HLOOKUP('Course 5'!H96,'tab5'!$C$3:$N$4,2)))</f>
        <v xml:space="preserve"> </v>
      </c>
      <c r="K96" s="23" t="str">
        <f>IF(I96="PM","",IF(H96=0," ",J96/'Règles et points'!$F$23))</f>
        <v xml:space="preserve"> </v>
      </c>
      <c r="L96" s="3" t="str">
        <f>IF(H96=0,"",VLOOKUP(H96,'Règles et points'!$C$5:$AG$19,(HLOOKUP('Course 5'!C96,'Règles et points'!$C$5:$AG$5,1)+1)))</f>
        <v/>
      </c>
      <c r="M96" s="23">
        <f t="shared" si="1"/>
        <v>0</v>
      </c>
      <c r="N96" s="80"/>
      <c r="O96" s="51"/>
      <c r="P96" s="52"/>
    </row>
    <row r="97" spans="2:16" ht="12.75">
      <c r="B97" s="14">
        <v>93</v>
      </c>
      <c r="C97" s="28" t="e">
        <f>IF(Coureurs!C97="","",Coureurs!C97)</f>
        <v>#N/A</v>
      </c>
      <c r="D97" s="131" t="str">
        <f>IF(Coureurs!D97="","",Coureurs!D97)</f>
        <v>70</v>
      </c>
      <c r="E97" s="87" t="str">
        <f>IF(Coureurs!F97="","",Coureurs!F97)</f>
        <v/>
      </c>
      <c r="F97" s="87" t="str">
        <f>IF(Coureurs!G97="","",Coureurs!G97)</f>
        <v/>
      </c>
      <c r="G97" s="50" t="str">
        <f>IF(Coureurs!J97="","",Coureurs!J97)</f>
        <v/>
      </c>
      <c r="H97" s="25"/>
      <c r="I97" s="41"/>
      <c r="J97" s="8" t="str">
        <f>IF(I97="PM","",IF(H97=0," ",I97-HLOOKUP('Course 5'!H97,'tab5'!$C$3:$N$4,2)))</f>
        <v xml:space="preserve"> </v>
      </c>
      <c r="K97" s="23" t="str">
        <f>IF(I97="PM","",IF(H97=0," ",J97/'Règles et points'!$F$23))</f>
        <v xml:space="preserve"> </v>
      </c>
      <c r="L97" s="3" t="str">
        <f>IF(H97=0,"",VLOOKUP(H97,'Règles et points'!$C$5:$AG$19,(HLOOKUP('Course 5'!C97,'Règles et points'!$C$5:$AG$5,1)+1)))</f>
        <v/>
      </c>
      <c r="M97" s="23">
        <f t="shared" si="1"/>
        <v>0</v>
      </c>
      <c r="N97" s="80"/>
      <c r="O97" s="51"/>
      <c r="P97" s="52"/>
    </row>
    <row r="98" spans="2:16" ht="12.75">
      <c r="B98" s="14">
        <v>94</v>
      </c>
      <c r="C98" s="28" t="e">
        <f>IF(Coureurs!C98="","",Coureurs!C98)</f>
        <v>#N/A</v>
      </c>
      <c r="D98" s="131" t="str">
        <f>IF(Coureurs!D98="","",Coureurs!D98)</f>
        <v>70</v>
      </c>
      <c r="E98" s="87" t="str">
        <f>IF(Coureurs!F98="","",Coureurs!F98)</f>
        <v/>
      </c>
      <c r="F98" s="87" t="str">
        <f>IF(Coureurs!G98="","",Coureurs!G98)</f>
        <v/>
      </c>
      <c r="G98" s="50" t="str">
        <f>IF(Coureurs!J98="","",Coureurs!J98)</f>
        <v/>
      </c>
      <c r="H98" s="25"/>
      <c r="I98" s="41"/>
      <c r="J98" s="8" t="str">
        <f>IF(I98="PM","",IF(H98=0," ",I98-HLOOKUP('Course 5'!H98,'tab5'!$C$3:$N$4,2)))</f>
        <v xml:space="preserve"> </v>
      </c>
      <c r="K98" s="23" t="str">
        <f>IF(I98="PM","",IF(H98=0," ",J98/'Règles et points'!$F$23))</f>
        <v xml:space="preserve"> </v>
      </c>
      <c r="L98" s="3" t="str">
        <f>IF(H98=0,"",VLOOKUP(H98,'Règles et points'!$C$5:$AG$19,(HLOOKUP('Course 5'!C98,'Règles et points'!$C$5:$AG$5,1)+1)))</f>
        <v/>
      </c>
      <c r="M98" s="23">
        <f t="shared" si="1"/>
        <v>0</v>
      </c>
      <c r="N98" s="80"/>
      <c r="O98" s="51"/>
      <c r="P98" s="52"/>
    </row>
    <row r="99" spans="2:16" ht="12.75">
      <c r="B99" s="14">
        <v>95</v>
      </c>
      <c r="C99" s="28" t="e">
        <f>IF(Coureurs!C99="","",Coureurs!C99)</f>
        <v>#N/A</v>
      </c>
      <c r="D99" s="131" t="str">
        <f>IF(Coureurs!D99="","",Coureurs!D99)</f>
        <v>70</v>
      </c>
      <c r="E99" s="87" t="str">
        <f>IF(Coureurs!F99="","",Coureurs!F99)</f>
        <v/>
      </c>
      <c r="F99" s="87" t="str">
        <f>IF(Coureurs!G99="","",Coureurs!G99)</f>
        <v/>
      </c>
      <c r="G99" s="50" t="str">
        <f>IF(Coureurs!J99="","",Coureurs!J99)</f>
        <v/>
      </c>
      <c r="H99" s="25"/>
      <c r="I99" s="41"/>
      <c r="J99" s="8" t="str">
        <f>IF(I99="PM","",IF(H99=0," ",I99-HLOOKUP('Course 5'!H99,'tab5'!$C$3:$N$4,2)))</f>
        <v xml:space="preserve"> </v>
      </c>
      <c r="K99" s="23" t="str">
        <f>IF(I99="PM","",IF(H99=0," ",J99/'Règles et points'!$F$23))</f>
        <v xml:space="preserve"> </v>
      </c>
      <c r="L99" s="3" t="str">
        <f>IF(H99=0,"",VLOOKUP(H99,'Règles et points'!$C$5:$AG$19,(HLOOKUP('Course 5'!C99,'Règles et points'!$C$5:$AG$5,1)+1)))</f>
        <v/>
      </c>
      <c r="M99" s="23">
        <f t="shared" si="1"/>
        <v>0</v>
      </c>
      <c r="N99" s="80"/>
      <c r="O99" s="51"/>
      <c r="P99" s="52"/>
    </row>
    <row r="100" spans="2:16" ht="12.75">
      <c r="B100" s="14">
        <v>96</v>
      </c>
      <c r="C100" s="28" t="e">
        <f>IF(Coureurs!C100="","",Coureurs!C100)</f>
        <v>#N/A</v>
      </c>
      <c r="D100" s="131" t="str">
        <f>IF(Coureurs!D100="","",Coureurs!D100)</f>
        <v>70</v>
      </c>
      <c r="E100" s="87" t="str">
        <f>IF(Coureurs!F100="","",Coureurs!F100)</f>
        <v/>
      </c>
      <c r="F100" s="87" t="str">
        <f>IF(Coureurs!G100="","",Coureurs!G100)</f>
        <v/>
      </c>
      <c r="G100" s="50" t="str">
        <f>IF(Coureurs!J100="","",Coureurs!J100)</f>
        <v/>
      </c>
      <c r="H100" s="25"/>
      <c r="I100" s="41"/>
      <c r="J100" s="8" t="str">
        <f>IF(I100="PM","",IF(H100=0," ",I100-HLOOKUP('Course 5'!H100,'tab5'!$C$3:$N$4,2)))</f>
        <v xml:space="preserve"> </v>
      </c>
      <c r="K100" s="23" t="str">
        <f>IF(I100="PM","",IF(H100=0," ",J100/'Règles et points'!$F$23))</f>
        <v xml:space="preserve"> </v>
      </c>
      <c r="L100" s="3" t="str">
        <f>IF(H100=0,"",VLOOKUP(H100,'Règles et points'!$C$5:$AG$19,(HLOOKUP('Course 5'!C100,'Règles et points'!$C$5:$AG$5,1)+1)))</f>
        <v/>
      </c>
      <c r="M100" s="23">
        <f t="shared" si="1"/>
        <v>0</v>
      </c>
      <c r="N100" s="80"/>
      <c r="O100" s="51"/>
      <c r="P100" s="52"/>
    </row>
    <row r="101" spans="2:16" ht="12.75">
      <c r="B101" s="14">
        <v>97</v>
      </c>
      <c r="C101" s="28" t="e">
        <f>IF(Coureurs!C101="","",Coureurs!C101)</f>
        <v>#N/A</v>
      </c>
      <c r="D101" s="131" t="str">
        <f>IF(Coureurs!D101="","",Coureurs!D101)</f>
        <v>70</v>
      </c>
      <c r="E101" s="87" t="str">
        <f>IF(Coureurs!F101="","",Coureurs!F101)</f>
        <v/>
      </c>
      <c r="F101" s="87" t="str">
        <f>IF(Coureurs!G101="","",Coureurs!G101)</f>
        <v/>
      </c>
      <c r="G101" s="50" t="str">
        <f>IF(Coureurs!J101="","",Coureurs!J101)</f>
        <v/>
      </c>
      <c r="H101" s="25"/>
      <c r="I101" s="41"/>
      <c r="J101" s="8" t="str">
        <f>IF(I101="PM","",IF(H101=0," ",I101-HLOOKUP('Course 5'!H101,'tab5'!$C$3:$N$4,2)))</f>
        <v xml:space="preserve"> </v>
      </c>
      <c r="K101" s="23" t="str">
        <f>IF(I101="PM","",IF(H101=0," ",J101/'Règles et points'!$F$23))</f>
        <v xml:space="preserve"> </v>
      </c>
      <c r="L101" s="3" t="str">
        <f>IF(H101=0,"",VLOOKUP(H101,'Règles et points'!$C$5:$AG$19,(HLOOKUP('Course 5'!C101,'Règles et points'!$C$5:$AG$5,1)+1)))</f>
        <v/>
      </c>
      <c r="M101" s="23">
        <f t="shared" si="1"/>
        <v>0</v>
      </c>
      <c r="N101" s="80"/>
      <c r="O101" s="51"/>
      <c r="P101" s="52"/>
    </row>
    <row r="102" spans="2:16" ht="12.75">
      <c r="B102" s="14">
        <v>98</v>
      </c>
      <c r="C102" s="28" t="e">
        <f>IF(Coureurs!C102="","",Coureurs!C102)</f>
        <v>#N/A</v>
      </c>
      <c r="D102" s="131" t="str">
        <f>IF(Coureurs!D102="","",Coureurs!D102)</f>
        <v>70</v>
      </c>
      <c r="E102" s="87" t="str">
        <f>IF(Coureurs!F102="","",Coureurs!F102)</f>
        <v/>
      </c>
      <c r="F102" s="87" t="str">
        <f>IF(Coureurs!G102="","",Coureurs!G102)</f>
        <v/>
      </c>
      <c r="G102" s="50" t="str">
        <f>IF(Coureurs!J102="","",Coureurs!J102)</f>
        <v/>
      </c>
      <c r="H102" s="25"/>
      <c r="I102" s="41"/>
      <c r="J102" s="8" t="str">
        <f>IF(I102="PM","",IF(H102=0," ",I102-HLOOKUP('Course 5'!H102,'tab5'!$C$3:$N$4,2)))</f>
        <v xml:space="preserve"> </v>
      </c>
      <c r="K102" s="23" t="str">
        <f>IF(I102="PM","",IF(H102=0," ",J102/'Règles et points'!$F$23))</f>
        <v xml:space="preserve"> </v>
      </c>
      <c r="L102" s="3" t="str">
        <f>IF(H102=0,"",VLOOKUP(H102,'Règles et points'!$C$5:$AG$19,(HLOOKUP('Course 5'!C102,'Règles et points'!$C$5:$AG$5,1)+1)))</f>
        <v/>
      </c>
      <c r="M102" s="23">
        <f t="shared" si="1"/>
        <v>0</v>
      </c>
      <c r="N102" s="80"/>
      <c r="O102" s="51"/>
      <c r="P102" s="52"/>
    </row>
    <row r="103" spans="2:16" ht="12.75">
      <c r="B103" s="14">
        <v>99</v>
      </c>
      <c r="C103" s="28" t="e">
        <f>IF(Coureurs!C103="","",Coureurs!C103)</f>
        <v>#N/A</v>
      </c>
      <c r="D103" s="131" t="str">
        <f>IF(Coureurs!D103="","",Coureurs!D103)</f>
        <v>70</v>
      </c>
      <c r="E103" s="87" t="str">
        <f>IF(Coureurs!F103="","",Coureurs!F103)</f>
        <v/>
      </c>
      <c r="F103" s="87" t="str">
        <f>IF(Coureurs!G103="","",Coureurs!G103)</f>
        <v/>
      </c>
      <c r="G103" s="50" t="str">
        <f>IF(Coureurs!J103="","",Coureurs!J103)</f>
        <v/>
      </c>
      <c r="H103" s="25"/>
      <c r="I103" s="41"/>
      <c r="J103" s="8" t="str">
        <f>IF(I103="PM","",IF(H103=0," ",I103-HLOOKUP('Course 5'!H103,'tab5'!$C$3:$N$4,2)))</f>
        <v xml:space="preserve"> </v>
      </c>
      <c r="K103" s="23" t="str">
        <f>IF(I103="PM","",IF(H103=0," ",J103/'Règles et points'!$F$23))</f>
        <v xml:space="preserve"> </v>
      </c>
      <c r="L103" s="3" t="str">
        <f>IF(H103=0,"",VLOOKUP(H103,'Règles et points'!$C$5:$AG$19,(HLOOKUP('Course 5'!C103,'Règles et points'!$C$5:$AG$5,1)+1)))</f>
        <v/>
      </c>
      <c r="M103" s="23">
        <f t="shared" si="1"/>
        <v>0</v>
      </c>
      <c r="N103" s="80"/>
      <c r="O103" s="51"/>
      <c r="P103" s="52"/>
    </row>
    <row r="104" spans="2:16" ht="12.75">
      <c r="B104" s="14">
        <v>100</v>
      </c>
      <c r="C104" s="28" t="e">
        <f>IF(Coureurs!C104="","",Coureurs!C104)</f>
        <v>#N/A</v>
      </c>
      <c r="D104" s="131" t="str">
        <f>IF(Coureurs!D104="","",Coureurs!D104)</f>
        <v>70</v>
      </c>
      <c r="E104" s="87" t="str">
        <f>IF(Coureurs!F104="","",Coureurs!F104)</f>
        <v/>
      </c>
      <c r="F104" s="87" t="str">
        <f>IF(Coureurs!G104="","",Coureurs!G104)</f>
        <v/>
      </c>
      <c r="G104" s="50" t="str">
        <f>IF(Coureurs!J104="","",Coureurs!J104)</f>
        <v/>
      </c>
      <c r="H104" s="25"/>
      <c r="I104" s="41"/>
      <c r="J104" s="8" t="str">
        <f>IF(I104="PM","",IF(H104=0," ",I104-HLOOKUP('Course 5'!H104,'tab5'!$C$3:$N$4,2)))</f>
        <v xml:space="preserve"> </v>
      </c>
      <c r="K104" s="23" t="str">
        <f>IF(I104="PM","",IF(H104=0," ",J104/'Règles et points'!$F$23))</f>
        <v xml:space="preserve"> </v>
      </c>
      <c r="L104" s="3" t="str">
        <f>IF(H104=0,"",VLOOKUP(H104,'Règles et points'!$C$5:$AG$19,(HLOOKUP('Course 5'!C104,'Règles et points'!$C$5:$AG$5,1)+1)))</f>
        <v/>
      </c>
      <c r="M104" s="23">
        <f t="shared" si="1"/>
        <v>0</v>
      </c>
      <c r="N104" s="80"/>
      <c r="O104" s="51"/>
      <c r="P104" s="52"/>
    </row>
    <row r="105" spans="2:16" ht="12.75">
      <c r="B105" s="14">
        <v>101</v>
      </c>
      <c r="C105" s="28" t="e">
        <f>IF(Coureurs!C105="","",Coureurs!C105)</f>
        <v>#N/A</v>
      </c>
      <c r="D105" s="131" t="str">
        <f>IF(Coureurs!D105="","",Coureurs!D105)</f>
        <v>70</v>
      </c>
      <c r="E105" s="87" t="str">
        <f>IF(Coureurs!F105="","",Coureurs!F105)</f>
        <v/>
      </c>
      <c r="F105" s="87" t="str">
        <f>IF(Coureurs!G105="","",Coureurs!G105)</f>
        <v/>
      </c>
      <c r="G105" s="50" t="str">
        <f>IF(Coureurs!J105="","",Coureurs!J105)</f>
        <v/>
      </c>
      <c r="H105" s="25"/>
      <c r="I105" s="41"/>
      <c r="J105" s="8" t="str">
        <f>IF(I105="PM","",IF(H105=0," ",I105-HLOOKUP('Course 5'!H105,'tab5'!$C$3:$N$4,2)))</f>
        <v xml:space="preserve"> </v>
      </c>
      <c r="K105" s="23" t="str">
        <f>IF(I105="PM","",IF(H105=0," ",J105/'Règles et points'!$F$23))</f>
        <v xml:space="preserve"> </v>
      </c>
      <c r="L105" s="3" t="str">
        <f>IF(H105=0,"",VLOOKUP(H105,'Règles et points'!$C$5:$AG$19,(HLOOKUP('Course 5'!C105,'Règles et points'!$C$5:$AG$5,1)+1)))</f>
        <v/>
      </c>
      <c r="M105" s="23">
        <f t="shared" si="1"/>
        <v>0</v>
      </c>
      <c r="N105" s="80"/>
      <c r="O105" s="51"/>
      <c r="P105" s="52"/>
    </row>
    <row r="106" spans="2:16" ht="12.75">
      <c r="B106" s="14">
        <v>102</v>
      </c>
      <c r="C106" s="28" t="e">
        <f>IF(Coureurs!C106="","",Coureurs!C106)</f>
        <v>#N/A</v>
      </c>
      <c r="D106" s="131" t="str">
        <f>IF(Coureurs!D106="","",Coureurs!D106)</f>
        <v>70</v>
      </c>
      <c r="E106" s="87" t="str">
        <f>IF(Coureurs!F106="","",Coureurs!F106)</f>
        <v/>
      </c>
      <c r="F106" s="87" t="str">
        <f>IF(Coureurs!G106="","",Coureurs!G106)</f>
        <v/>
      </c>
      <c r="G106" s="50" t="str">
        <f>IF(Coureurs!J106="","",Coureurs!J106)</f>
        <v/>
      </c>
      <c r="H106" s="25"/>
      <c r="I106" s="41"/>
      <c r="J106" s="8" t="str">
        <f>IF(I106="PM","",IF(H106=0," ",I106-HLOOKUP('Course 5'!H106,'tab5'!$C$3:$N$4,2)))</f>
        <v xml:space="preserve"> </v>
      </c>
      <c r="K106" s="23" t="str">
        <f>IF(I106="PM","",IF(H106=0," ",J106/'Règles et points'!$F$23))</f>
        <v xml:space="preserve"> </v>
      </c>
      <c r="L106" s="3" t="str">
        <f>IF(H106=0,"",VLOOKUP(H106,'Règles et points'!$C$5:$AG$19,(HLOOKUP('Course 5'!C106,'Règles et points'!$C$5:$AG$5,1)+1)))</f>
        <v/>
      </c>
      <c r="M106" s="23">
        <f t="shared" si="1"/>
        <v>0</v>
      </c>
      <c r="N106" s="80"/>
      <c r="O106" s="51"/>
      <c r="P106" s="52"/>
    </row>
    <row r="107" spans="2:16" ht="12.75">
      <c r="B107" s="14">
        <v>103</v>
      </c>
      <c r="C107" s="28" t="e">
        <f>IF(Coureurs!C107="","",Coureurs!C107)</f>
        <v>#N/A</v>
      </c>
      <c r="D107" s="131" t="str">
        <f>IF(Coureurs!D107="","",Coureurs!D107)</f>
        <v>70</v>
      </c>
      <c r="E107" s="87" t="str">
        <f>IF(Coureurs!F107="","",Coureurs!F107)</f>
        <v/>
      </c>
      <c r="F107" s="87" t="str">
        <f>IF(Coureurs!G107="","",Coureurs!G107)</f>
        <v/>
      </c>
      <c r="G107" s="50" t="str">
        <f>IF(Coureurs!J107="","",Coureurs!J107)</f>
        <v/>
      </c>
      <c r="H107" s="25"/>
      <c r="I107" s="41"/>
      <c r="J107" s="8" t="str">
        <f>IF(I107="PM","",IF(H107=0," ",I107-HLOOKUP('Course 5'!H107,'tab5'!$C$3:$N$4,2)))</f>
        <v xml:space="preserve"> </v>
      </c>
      <c r="K107" s="23" t="str">
        <f>IF(I107="PM","",IF(H107=0," ",J107/'Règles et points'!$F$23))</f>
        <v xml:space="preserve"> </v>
      </c>
      <c r="L107" s="3" t="str">
        <f>IF(H107=0,"",VLOOKUP(H107,'Règles et points'!$C$5:$AG$19,(HLOOKUP('Course 5'!C107,'Règles et points'!$C$5:$AG$5,1)+1)))</f>
        <v/>
      </c>
      <c r="M107" s="23">
        <f t="shared" si="1"/>
        <v>0</v>
      </c>
      <c r="N107" s="80"/>
      <c r="O107" s="51"/>
      <c r="P107" s="52"/>
    </row>
    <row r="108" spans="2:16" ht="12.75">
      <c r="B108" s="14">
        <v>104</v>
      </c>
      <c r="C108" s="28" t="e">
        <f>IF(Coureurs!C108="","",Coureurs!C108)</f>
        <v>#N/A</v>
      </c>
      <c r="D108" s="131" t="str">
        <f>IF(Coureurs!D108="","",Coureurs!D108)</f>
        <v>70</v>
      </c>
      <c r="E108" s="87" t="str">
        <f>IF(Coureurs!F108="","",Coureurs!F108)</f>
        <v/>
      </c>
      <c r="F108" s="87" t="str">
        <f>IF(Coureurs!G108="","",Coureurs!G108)</f>
        <v/>
      </c>
      <c r="G108" s="50" t="str">
        <f>IF(Coureurs!J108="","",Coureurs!J108)</f>
        <v/>
      </c>
      <c r="H108" s="25"/>
      <c r="I108" s="41"/>
      <c r="J108" s="8" t="str">
        <f>IF(I108="PM","",IF(H108=0," ",I108-HLOOKUP('Course 5'!H108,'tab5'!$C$3:$N$4,2)))</f>
        <v xml:space="preserve"> </v>
      </c>
      <c r="K108" s="23" t="str">
        <f>IF(I108="PM","",IF(H108=0," ",J108/'Règles et points'!$F$23))</f>
        <v xml:space="preserve"> </v>
      </c>
      <c r="L108" s="3" t="str">
        <f>IF(H108=0,"",VLOOKUP(H108,'Règles et points'!$C$5:$AG$19,(HLOOKUP('Course 5'!C108,'Règles et points'!$C$5:$AG$5,1)+1)))</f>
        <v/>
      </c>
      <c r="M108" s="23">
        <f t="shared" si="1"/>
        <v>0</v>
      </c>
      <c r="N108" s="80"/>
      <c r="O108" s="51"/>
      <c r="P108" s="52"/>
    </row>
    <row r="109" spans="2:16" ht="12.75">
      <c r="B109" s="14">
        <v>105</v>
      </c>
      <c r="C109" s="28" t="e">
        <f>IF(Coureurs!C109="","",Coureurs!C109)</f>
        <v>#N/A</v>
      </c>
      <c r="D109" s="131" t="str">
        <f>IF(Coureurs!D109="","",Coureurs!D109)</f>
        <v>70</v>
      </c>
      <c r="E109" s="87" t="str">
        <f>IF(Coureurs!F109="","",Coureurs!F109)</f>
        <v/>
      </c>
      <c r="F109" s="87" t="str">
        <f>IF(Coureurs!G109="","",Coureurs!G109)</f>
        <v/>
      </c>
      <c r="G109" s="50" t="str">
        <f>IF(Coureurs!J109="","",Coureurs!J109)</f>
        <v/>
      </c>
      <c r="H109" s="25"/>
      <c r="I109" s="41"/>
      <c r="J109" s="8" t="str">
        <f>IF(I109="PM","",IF(H109=0," ",I109-HLOOKUP('Course 5'!H109,'tab5'!$C$3:$N$4,2)))</f>
        <v xml:space="preserve"> </v>
      </c>
      <c r="K109" s="23" t="str">
        <f>IF(I109="PM","",IF(H109=0," ",J109/'Règles et points'!$F$23))</f>
        <v xml:space="preserve"> </v>
      </c>
      <c r="L109" s="3" t="str">
        <f>IF(H109=0,"",VLOOKUP(H109,'Règles et points'!$C$5:$AG$19,(HLOOKUP('Course 5'!C109,'Règles et points'!$C$5:$AG$5,1)+1)))</f>
        <v/>
      </c>
      <c r="M109" s="23">
        <f t="shared" si="1"/>
        <v>0</v>
      </c>
      <c r="N109" s="80"/>
      <c r="O109" s="51"/>
      <c r="P109" s="52"/>
    </row>
    <row r="110" spans="2:16" ht="12.75">
      <c r="B110" s="14">
        <v>106</v>
      </c>
      <c r="C110" s="28" t="e">
        <f>IF(Coureurs!C110="","",Coureurs!C110)</f>
        <v>#N/A</v>
      </c>
      <c r="D110" s="131" t="str">
        <f>IF(Coureurs!D110="","",Coureurs!D110)</f>
        <v>70</v>
      </c>
      <c r="E110" s="87" t="str">
        <f>IF(Coureurs!F110="","",Coureurs!F110)</f>
        <v/>
      </c>
      <c r="F110" s="87" t="str">
        <f>IF(Coureurs!G110="","",Coureurs!G110)</f>
        <v/>
      </c>
      <c r="G110" s="50" t="str">
        <f>IF(Coureurs!J110="","",Coureurs!J110)</f>
        <v/>
      </c>
      <c r="H110" s="25"/>
      <c r="I110" s="41"/>
      <c r="J110" s="8" t="str">
        <f>IF(I110="PM","",IF(H110=0," ",I110-HLOOKUP('Course 5'!H110,'tab5'!$C$3:$N$4,2)))</f>
        <v xml:space="preserve"> </v>
      </c>
      <c r="K110" s="23" t="str">
        <f>IF(I110="PM","",IF(H110=0," ",J110/'Règles et points'!$F$23))</f>
        <v xml:space="preserve"> </v>
      </c>
      <c r="L110" s="3" t="str">
        <f>IF(H110=0,"",VLOOKUP(H110,'Règles et points'!$C$5:$AG$19,(HLOOKUP('Course 5'!C110,'Règles et points'!$C$5:$AG$5,1)+1)))</f>
        <v/>
      </c>
      <c r="M110" s="23">
        <f t="shared" si="1"/>
        <v>0</v>
      </c>
      <c r="N110" s="80"/>
      <c r="O110" s="51"/>
      <c r="P110" s="52"/>
    </row>
    <row r="111" spans="2:16" ht="12.75">
      <c r="B111" s="14">
        <v>107</v>
      </c>
      <c r="C111" s="28" t="e">
        <f>IF(Coureurs!C111="","",Coureurs!C111)</f>
        <v>#N/A</v>
      </c>
      <c r="D111" s="131" t="str">
        <f>IF(Coureurs!D111="","",Coureurs!D111)</f>
        <v>70</v>
      </c>
      <c r="E111" s="87" t="str">
        <f>IF(Coureurs!F111="","",Coureurs!F111)</f>
        <v/>
      </c>
      <c r="F111" s="87" t="str">
        <f>IF(Coureurs!G111="","",Coureurs!G111)</f>
        <v/>
      </c>
      <c r="G111" s="50" t="str">
        <f>IF(Coureurs!J111="","",Coureurs!J111)</f>
        <v/>
      </c>
      <c r="H111" s="25"/>
      <c r="I111" s="41"/>
      <c r="J111" s="8" t="str">
        <f>IF(I111="PM","",IF(H111=0," ",I111-HLOOKUP('Course 5'!H111,'tab5'!$C$3:$N$4,2)))</f>
        <v xml:space="preserve"> </v>
      </c>
      <c r="K111" s="23" t="str">
        <f>IF(I111="PM","",IF(H111=0," ",J111/'Règles et points'!$F$23))</f>
        <v xml:space="preserve"> </v>
      </c>
      <c r="L111" s="3" t="str">
        <f>IF(H111=0,"",VLOOKUP(H111,'Règles et points'!$C$5:$AG$19,(HLOOKUP('Course 5'!C111,'Règles et points'!$C$5:$AG$5,1)+1)))</f>
        <v/>
      </c>
      <c r="M111" s="23">
        <f t="shared" si="1"/>
        <v>0</v>
      </c>
      <c r="N111" s="80"/>
      <c r="O111" s="51"/>
      <c r="P111" s="52"/>
    </row>
    <row r="112" spans="2:16" ht="12.75">
      <c r="B112" s="14">
        <v>108</v>
      </c>
      <c r="C112" s="28" t="e">
        <f>IF(Coureurs!C112="","",Coureurs!C112)</f>
        <v>#N/A</v>
      </c>
      <c r="D112" s="131" t="str">
        <f>IF(Coureurs!D112="","",Coureurs!D112)</f>
        <v>70</v>
      </c>
      <c r="E112" s="87" t="str">
        <f>IF(Coureurs!F112="","",Coureurs!F112)</f>
        <v/>
      </c>
      <c r="F112" s="87" t="str">
        <f>IF(Coureurs!G112="","",Coureurs!G112)</f>
        <v/>
      </c>
      <c r="G112" s="50" t="str">
        <f>IF(Coureurs!J112="","",Coureurs!J112)</f>
        <v/>
      </c>
      <c r="H112" s="25"/>
      <c r="I112" s="41"/>
      <c r="J112" s="8" t="str">
        <f>IF(I112="PM","",IF(H112=0," ",I112-HLOOKUP('Course 5'!H112,'tab5'!$C$3:$N$4,2)))</f>
        <v xml:space="preserve"> </v>
      </c>
      <c r="K112" s="23" t="str">
        <f>IF(I112="PM","",IF(H112=0," ",J112/'Règles et points'!$F$23))</f>
        <v xml:space="preserve"> </v>
      </c>
      <c r="L112" s="3" t="str">
        <f>IF(H112=0,"",VLOOKUP(H112,'Règles et points'!$C$5:$AG$19,(HLOOKUP('Course 5'!C112,'Règles et points'!$C$5:$AG$5,1)+1)))</f>
        <v/>
      </c>
      <c r="M112" s="23">
        <f t="shared" si="1"/>
        <v>0</v>
      </c>
      <c r="N112" s="80"/>
      <c r="O112" s="51"/>
      <c r="P112" s="52"/>
    </row>
    <row r="113" spans="2:16" ht="12.75">
      <c r="B113" s="14">
        <v>109</v>
      </c>
      <c r="C113" s="28" t="e">
        <f>IF(Coureurs!C113="","",Coureurs!C113)</f>
        <v>#N/A</v>
      </c>
      <c r="D113" s="131" t="str">
        <f>IF(Coureurs!D113="","",Coureurs!D113)</f>
        <v>70</v>
      </c>
      <c r="E113" s="87" t="str">
        <f>IF(Coureurs!F113="","",Coureurs!F113)</f>
        <v/>
      </c>
      <c r="F113" s="87" t="str">
        <f>IF(Coureurs!G113="","",Coureurs!G113)</f>
        <v/>
      </c>
      <c r="G113" s="50" t="str">
        <f>IF(Coureurs!J113="","",Coureurs!J113)</f>
        <v/>
      </c>
      <c r="H113" s="25"/>
      <c r="I113" s="41"/>
      <c r="J113" s="8" t="str">
        <f>IF(I113="PM","",IF(H113=0," ",I113-HLOOKUP('Course 5'!H113,'tab5'!$C$3:$N$4,2)))</f>
        <v xml:space="preserve"> </v>
      </c>
      <c r="K113" s="23" t="str">
        <f>IF(I113="PM","",IF(H113=0," ",J113/'Règles et points'!$F$23))</f>
        <v xml:space="preserve"> </v>
      </c>
      <c r="L113" s="3" t="str">
        <f>IF(H113=0,"",VLOOKUP(H113,'Règles et points'!$C$5:$AG$19,(HLOOKUP('Course 5'!C113,'Règles et points'!$C$5:$AG$5,1)+1)))</f>
        <v/>
      </c>
      <c r="M113" s="23">
        <f t="shared" si="1"/>
        <v>0</v>
      </c>
      <c r="N113" s="80"/>
      <c r="O113" s="51"/>
      <c r="P113" s="52"/>
    </row>
    <row r="114" spans="2:16" ht="12.75">
      <c r="B114" s="14">
        <v>110</v>
      </c>
      <c r="C114" s="28" t="e">
        <f>IF(Coureurs!C114="","",Coureurs!C114)</f>
        <v>#N/A</v>
      </c>
      <c r="D114" s="131" t="str">
        <f>IF(Coureurs!D114="","",Coureurs!D114)</f>
        <v>70</v>
      </c>
      <c r="E114" s="87" t="str">
        <f>IF(Coureurs!F114="","",Coureurs!F114)</f>
        <v/>
      </c>
      <c r="F114" s="87" t="str">
        <f>IF(Coureurs!G114="","",Coureurs!G114)</f>
        <v/>
      </c>
      <c r="G114" s="50" t="str">
        <f>IF(Coureurs!J114="","",Coureurs!J114)</f>
        <v/>
      </c>
      <c r="H114" s="25"/>
      <c r="I114" s="41"/>
      <c r="J114" s="8" t="str">
        <f>IF(I114="PM","",IF(H114=0," ",I114-HLOOKUP('Course 5'!H114,'tab5'!$C$3:$N$4,2)))</f>
        <v xml:space="preserve"> </v>
      </c>
      <c r="K114" s="23" t="str">
        <f>IF(I114="PM","",IF(H114=0," ",J114/'Règles et points'!$F$23))</f>
        <v xml:space="preserve"> </v>
      </c>
      <c r="L114" s="3" t="str">
        <f>IF(H114=0,"",VLOOKUP(H114,'Règles et points'!$C$5:$AG$19,(HLOOKUP('Course 5'!C114,'Règles et points'!$C$5:$AG$5,1)+1)))</f>
        <v/>
      </c>
      <c r="M114" s="23">
        <f t="shared" si="1"/>
        <v>0</v>
      </c>
      <c r="N114" s="80"/>
      <c r="O114" s="51"/>
      <c r="P114" s="52"/>
    </row>
    <row r="115" spans="2:16" ht="12.75">
      <c r="B115" s="14">
        <v>111</v>
      </c>
      <c r="C115" s="28" t="e">
        <f>IF(Coureurs!C115="","",Coureurs!C115)</f>
        <v>#N/A</v>
      </c>
      <c r="D115" s="131" t="str">
        <f>IF(Coureurs!D115="","",Coureurs!D115)</f>
        <v>70</v>
      </c>
      <c r="E115" s="87" t="str">
        <f>IF(Coureurs!F115="","",Coureurs!F115)</f>
        <v/>
      </c>
      <c r="F115" s="87" t="str">
        <f>IF(Coureurs!G115="","",Coureurs!G115)</f>
        <v/>
      </c>
      <c r="G115" s="50" t="str">
        <f>IF(Coureurs!J115="","",Coureurs!J115)</f>
        <v/>
      </c>
      <c r="H115" s="25"/>
      <c r="I115" s="41"/>
      <c r="J115" s="8" t="str">
        <f>IF(I115="PM","",IF(H115=0," ",I115-HLOOKUP('Course 5'!H115,'tab5'!$C$3:$N$4,2)))</f>
        <v xml:space="preserve"> </v>
      </c>
      <c r="K115" s="23" t="str">
        <f>IF(I115="PM","",IF(H115=0," ",J115/'Règles et points'!$F$23))</f>
        <v xml:space="preserve"> </v>
      </c>
      <c r="L115" s="3" t="str">
        <f>IF(H115=0,"",VLOOKUP(H115,'Règles et points'!$C$5:$AG$19,(HLOOKUP('Course 5'!C115,'Règles et points'!$C$5:$AG$5,1)+1)))</f>
        <v/>
      </c>
      <c r="M115" s="23">
        <f t="shared" si="1"/>
        <v>0</v>
      </c>
      <c r="N115" s="80"/>
      <c r="O115" s="51"/>
      <c r="P115" s="52"/>
    </row>
    <row r="116" spans="2:16" ht="12.75">
      <c r="B116" s="14">
        <v>112</v>
      </c>
      <c r="C116" s="28" t="e">
        <f>IF(Coureurs!C116="","",Coureurs!C116)</f>
        <v>#N/A</v>
      </c>
      <c r="D116" s="131" t="str">
        <f>IF(Coureurs!D116="","",Coureurs!D116)</f>
        <v>70</v>
      </c>
      <c r="E116" s="87" t="str">
        <f>IF(Coureurs!F116="","",Coureurs!F116)</f>
        <v/>
      </c>
      <c r="F116" s="87" t="str">
        <f>IF(Coureurs!G116="","",Coureurs!G116)</f>
        <v/>
      </c>
      <c r="G116" s="50" t="str">
        <f>IF(Coureurs!J116="","",Coureurs!J116)</f>
        <v/>
      </c>
      <c r="H116" s="25"/>
      <c r="I116" s="41"/>
      <c r="J116" s="8" t="str">
        <f>IF(I116="PM","",IF(H116=0," ",I116-HLOOKUP('Course 5'!H116,'tab5'!$C$3:$N$4,2)))</f>
        <v xml:space="preserve"> </v>
      </c>
      <c r="K116" s="23" t="str">
        <f>IF(I116="PM","",IF(H116=0," ",J116/'Règles et points'!$F$23))</f>
        <v xml:space="preserve"> </v>
      </c>
      <c r="L116" s="3" t="str">
        <f>IF(H116=0,"",VLOOKUP(H116,'Règles et points'!$C$5:$AG$19,(HLOOKUP('Course 5'!C116,'Règles et points'!$C$5:$AG$5,1)+1)))</f>
        <v/>
      </c>
      <c r="M116" s="23">
        <f t="shared" si="1"/>
        <v>0</v>
      </c>
      <c r="N116" s="80"/>
      <c r="O116" s="51"/>
      <c r="P116" s="52"/>
    </row>
    <row r="117" spans="2:16" ht="12.75">
      <c r="B117" s="14">
        <v>113</v>
      </c>
      <c r="C117" s="28" t="e">
        <f>IF(Coureurs!C117="","",Coureurs!C117)</f>
        <v>#N/A</v>
      </c>
      <c r="D117" s="131" t="str">
        <f>IF(Coureurs!D117="","",Coureurs!D117)</f>
        <v>70</v>
      </c>
      <c r="E117" s="87" t="str">
        <f>IF(Coureurs!F117="","",Coureurs!F117)</f>
        <v/>
      </c>
      <c r="F117" s="87" t="str">
        <f>IF(Coureurs!G117="","",Coureurs!G117)</f>
        <v/>
      </c>
      <c r="G117" s="50" t="str">
        <f>IF(Coureurs!J117="","",Coureurs!J117)</f>
        <v/>
      </c>
      <c r="H117" s="25"/>
      <c r="I117" s="41"/>
      <c r="J117" s="8" t="str">
        <f>IF(I117="PM","",IF(H117=0," ",I117-HLOOKUP('Course 5'!H117,'tab5'!$C$3:$N$4,2)))</f>
        <v xml:space="preserve"> </v>
      </c>
      <c r="K117" s="23" t="str">
        <f>IF(I117="PM","",IF(H117=0," ",J117/'Règles et points'!$F$23))</f>
        <v xml:space="preserve"> </v>
      </c>
      <c r="L117" s="3" t="str">
        <f>IF(H117=0,"",VLOOKUP(H117,'Règles et points'!$C$5:$AG$19,(HLOOKUP('Course 5'!C117,'Règles et points'!$C$5:$AG$5,1)+1)))</f>
        <v/>
      </c>
      <c r="M117" s="23">
        <f t="shared" si="1"/>
        <v>0</v>
      </c>
      <c r="N117" s="80"/>
      <c r="O117" s="51"/>
      <c r="P117" s="52"/>
    </row>
    <row r="118" spans="2:16" ht="12.75">
      <c r="B118" s="14">
        <v>114</v>
      </c>
      <c r="C118" s="28" t="e">
        <f>IF(Coureurs!C118="","",Coureurs!C118)</f>
        <v>#N/A</v>
      </c>
      <c r="D118" s="131" t="str">
        <f>IF(Coureurs!D118="","",Coureurs!D118)</f>
        <v>70</v>
      </c>
      <c r="E118" s="87" t="str">
        <f>IF(Coureurs!F118="","",Coureurs!F118)</f>
        <v/>
      </c>
      <c r="F118" s="87" t="str">
        <f>IF(Coureurs!G118="","",Coureurs!G118)</f>
        <v/>
      </c>
      <c r="G118" s="50" t="str">
        <f>IF(Coureurs!J118="","",Coureurs!J118)</f>
        <v/>
      </c>
      <c r="H118" s="25"/>
      <c r="I118" s="41"/>
      <c r="J118" s="8" t="str">
        <f>IF(I118="PM","",IF(H118=0," ",I118-HLOOKUP('Course 5'!H118,'tab5'!$C$3:$N$4,2)))</f>
        <v xml:space="preserve"> </v>
      </c>
      <c r="K118" s="23" t="str">
        <f>IF(I118="PM","",IF(H118=0," ",J118/'Règles et points'!$F$23))</f>
        <v xml:space="preserve"> </v>
      </c>
      <c r="L118" s="3" t="str">
        <f>IF(H118=0,"",VLOOKUP(H118,'Règles et points'!$C$5:$AG$19,(HLOOKUP('Course 5'!C118,'Règles et points'!$C$5:$AG$5,1)+1)))</f>
        <v/>
      </c>
      <c r="M118" s="23">
        <f t="shared" si="1"/>
        <v>0</v>
      </c>
      <c r="N118" s="80"/>
      <c r="O118" s="51"/>
      <c r="P118" s="52"/>
    </row>
    <row r="119" spans="2:16" ht="12.75">
      <c r="B119" s="14">
        <v>115</v>
      </c>
      <c r="C119" s="28" t="e">
        <f>IF(Coureurs!C119="","",Coureurs!C119)</f>
        <v>#N/A</v>
      </c>
      <c r="D119" s="131" t="str">
        <f>IF(Coureurs!D119="","",Coureurs!D119)</f>
        <v>70</v>
      </c>
      <c r="E119" s="87" t="str">
        <f>IF(Coureurs!F119="","",Coureurs!F119)</f>
        <v/>
      </c>
      <c r="F119" s="87" t="str">
        <f>IF(Coureurs!G119="","",Coureurs!G119)</f>
        <v/>
      </c>
      <c r="G119" s="50" t="str">
        <f>IF(Coureurs!J119="","",Coureurs!J119)</f>
        <v/>
      </c>
      <c r="H119" s="25"/>
      <c r="I119" s="41"/>
      <c r="J119" s="8" t="str">
        <f>IF(I119="PM","",IF(H119=0," ",I119-HLOOKUP('Course 5'!H119,'tab5'!$C$3:$N$4,2)))</f>
        <v xml:space="preserve"> </v>
      </c>
      <c r="K119" s="23" t="str">
        <f>IF(I119="PM","",IF(H119=0," ",J119/'Règles et points'!$F$23))</f>
        <v xml:space="preserve"> </v>
      </c>
      <c r="L119" s="3" t="str">
        <f>IF(H119=0,"",VLOOKUP(H119,'Règles et points'!$C$5:$AG$19,(HLOOKUP('Course 5'!C119,'Règles et points'!$C$5:$AG$5,1)+1)))</f>
        <v/>
      </c>
      <c r="M119" s="23">
        <f t="shared" si="1"/>
        <v>0</v>
      </c>
      <c r="N119" s="80"/>
      <c r="O119" s="51"/>
      <c r="P119" s="52"/>
    </row>
    <row r="120" spans="2:16" ht="12.75">
      <c r="B120" s="14">
        <v>116</v>
      </c>
      <c r="C120" s="28" t="e">
        <f>IF(Coureurs!C120="","",Coureurs!C120)</f>
        <v>#N/A</v>
      </c>
      <c r="D120" s="131" t="str">
        <f>IF(Coureurs!D120="","",Coureurs!D120)</f>
        <v>70</v>
      </c>
      <c r="E120" s="87" t="str">
        <f>IF(Coureurs!F120="","",Coureurs!F120)</f>
        <v/>
      </c>
      <c r="F120" s="87" t="str">
        <f>IF(Coureurs!G120="","",Coureurs!G120)</f>
        <v/>
      </c>
      <c r="G120" s="50" t="str">
        <f>IF(Coureurs!J120="","",Coureurs!J120)</f>
        <v/>
      </c>
      <c r="H120" s="25"/>
      <c r="I120" s="41"/>
      <c r="J120" s="8" t="str">
        <f>IF(I120="PM","",IF(H120=0," ",I120-HLOOKUP('Course 5'!H120,'tab5'!$C$3:$N$4,2)))</f>
        <v xml:space="preserve"> </v>
      </c>
      <c r="K120" s="23" t="str">
        <f>IF(I120="PM","",IF(H120=0," ",J120/'Règles et points'!$F$23))</f>
        <v xml:space="preserve"> </v>
      </c>
      <c r="L120" s="3" t="str">
        <f>IF(H120=0,"",VLOOKUP(H120,'Règles et points'!$C$5:$AG$19,(HLOOKUP('Course 5'!C120,'Règles et points'!$C$5:$AG$5,1)+1)))</f>
        <v/>
      </c>
      <c r="M120" s="23">
        <f t="shared" si="1"/>
        <v>0</v>
      </c>
      <c r="N120" s="80"/>
      <c r="O120" s="51"/>
      <c r="P120" s="52"/>
    </row>
    <row r="121" spans="2:16" ht="12.75">
      <c r="B121" s="14">
        <v>117</v>
      </c>
      <c r="C121" s="28" t="e">
        <f>IF(Coureurs!C121="","",Coureurs!C121)</f>
        <v>#N/A</v>
      </c>
      <c r="D121" s="131" t="str">
        <f>IF(Coureurs!D121="","",Coureurs!D121)</f>
        <v>70</v>
      </c>
      <c r="E121" s="87" t="str">
        <f>IF(Coureurs!F121="","",Coureurs!F121)</f>
        <v/>
      </c>
      <c r="F121" s="87" t="str">
        <f>IF(Coureurs!G121="","",Coureurs!G121)</f>
        <v/>
      </c>
      <c r="G121" s="50" t="str">
        <f>IF(Coureurs!J121="","",Coureurs!J121)</f>
        <v/>
      </c>
      <c r="H121" s="25"/>
      <c r="I121" s="41"/>
      <c r="J121" s="8" t="str">
        <f>IF(I121="PM","",IF(H121=0," ",I121-HLOOKUP('Course 5'!H121,'tab5'!$C$3:$N$4,2)))</f>
        <v xml:space="preserve"> </v>
      </c>
      <c r="K121" s="23" t="str">
        <f>IF(I121="PM","",IF(H121=0," ",J121/'Règles et points'!$F$23))</f>
        <v xml:space="preserve"> </v>
      </c>
      <c r="L121" s="3" t="str">
        <f>IF(H121=0,"",VLOOKUP(H121,'Règles et points'!$C$5:$AG$19,(HLOOKUP('Course 5'!C121,'Règles et points'!$C$5:$AG$5,1)+1)))</f>
        <v/>
      </c>
      <c r="M121" s="23">
        <f t="shared" si="1"/>
        <v>0</v>
      </c>
      <c r="N121" s="80"/>
      <c r="O121" s="51"/>
      <c r="P121" s="52"/>
    </row>
    <row r="122" spans="2:16" ht="12.75">
      <c r="B122" s="14">
        <v>118</v>
      </c>
      <c r="C122" s="28" t="str">
        <f>IF(Coureurs!C122="","",Coureurs!C122)</f>
        <v/>
      </c>
      <c r="D122" s="131" t="str">
        <f>IF(Coureurs!D122="","",Coureurs!D122)</f>
        <v>70</v>
      </c>
      <c r="E122" s="87" t="str">
        <f>IF(Coureurs!F122="","",Coureurs!F122)</f>
        <v/>
      </c>
      <c r="F122" s="87" t="str">
        <f>IF(Coureurs!G122="","",Coureurs!G122)</f>
        <v/>
      </c>
      <c r="G122" s="50" t="str">
        <f>IF(Coureurs!J122="","",Coureurs!J122)</f>
        <v/>
      </c>
      <c r="H122" s="25"/>
      <c r="I122" s="41"/>
      <c r="J122" s="8" t="str">
        <f>IF(I122="PM","",IF(H122=0," ",I122-HLOOKUP('Course 5'!H122,'tab5'!$C$3:$N$4,2)))</f>
        <v xml:space="preserve"> </v>
      </c>
      <c r="K122" s="23" t="str">
        <f>IF(I122="PM","",IF(H122=0," ",J122/'Règles et points'!$F$23))</f>
        <v xml:space="preserve"> </v>
      </c>
      <c r="L122" s="3" t="str">
        <f>IF(H122=0,"",VLOOKUP(H122,'Règles et points'!$C$5:$AG$19,(HLOOKUP('Course 5'!C122,'Règles et points'!$C$5:$AG$5,1)+1)))</f>
        <v/>
      </c>
      <c r="M122" s="23">
        <f t="shared" si="1"/>
        <v>0</v>
      </c>
      <c r="N122" s="80"/>
      <c r="O122" s="51"/>
      <c r="P122" s="52"/>
    </row>
    <row r="123" spans="2:16" ht="12.75">
      <c r="B123" s="14">
        <v>119</v>
      </c>
      <c r="C123" s="28" t="str">
        <f>IF(Coureurs!C123="","",Coureurs!C123)</f>
        <v/>
      </c>
      <c r="D123" s="131" t="str">
        <f>IF(Coureurs!D123="","",Coureurs!D123)</f>
        <v>70</v>
      </c>
      <c r="E123" s="87" t="str">
        <f>IF(Coureurs!F123="","",Coureurs!F123)</f>
        <v/>
      </c>
      <c r="F123" s="87" t="str">
        <f>IF(Coureurs!G123="","",Coureurs!G123)</f>
        <v/>
      </c>
      <c r="G123" s="50" t="str">
        <f>IF(Coureurs!J123="","",Coureurs!J123)</f>
        <v/>
      </c>
      <c r="H123" s="25"/>
      <c r="I123" s="41"/>
      <c r="J123" s="8" t="str">
        <f>IF(I123="PM","",IF(H123=0," ",I123-HLOOKUP('Course 5'!H123,'tab5'!$C$3:$N$4,2)))</f>
        <v xml:space="preserve"> </v>
      </c>
      <c r="K123" s="23" t="str">
        <f>IF(I123="PM","",IF(H123=0," ",J123/'Règles et points'!$F$23))</f>
        <v xml:space="preserve"> </v>
      </c>
      <c r="L123" s="3" t="str">
        <f>IF(H123=0,"",VLOOKUP(H123,'Règles et points'!$C$5:$AG$19,(HLOOKUP('Course 5'!C123,'Règles et points'!$C$5:$AG$5,1)+1)))</f>
        <v/>
      </c>
      <c r="M123" s="23">
        <f t="shared" si="1"/>
        <v>0</v>
      </c>
      <c r="N123" s="80"/>
      <c r="O123" s="51"/>
      <c r="P123" s="52"/>
    </row>
    <row r="124" spans="2:16" ht="12.75">
      <c r="B124" s="14">
        <v>120</v>
      </c>
      <c r="C124" s="28" t="str">
        <f>IF(Coureurs!C124="","",Coureurs!C124)</f>
        <v/>
      </c>
      <c r="D124" s="131" t="str">
        <f>IF(Coureurs!D124="","",Coureurs!D124)</f>
        <v>70</v>
      </c>
      <c r="E124" s="87" t="str">
        <f>IF(Coureurs!F124="","",Coureurs!F124)</f>
        <v/>
      </c>
      <c r="F124" s="87" t="str">
        <f>IF(Coureurs!G124="","",Coureurs!G124)</f>
        <v/>
      </c>
      <c r="G124" s="50" t="str">
        <f>IF(Coureurs!J124="","",Coureurs!J124)</f>
        <v/>
      </c>
      <c r="H124" s="25"/>
      <c r="I124" s="41"/>
      <c r="J124" s="8" t="str">
        <f>IF(I124="PM","",IF(H124=0," ",I124-HLOOKUP('Course 5'!H124,'tab5'!$C$3:$N$4,2)))</f>
        <v xml:space="preserve"> </v>
      </c>
      <c r="K124" s="23" t="str">
        <f>IF(I124="PM","",IF(H124=0," ",J124/'Règles et points'!$F$23))</f>
        <v xml:space="preserve"> </v>
      </c>
      <c r="L124" s="3" t="str">
        <f>IF(H124=0,"",VLOOKUP(H124,'Règles et points'!$C$5:$AG$19,(HLOOKUP('Course 5'!C124,'Règles et points'!$C$5:$AG$5,1)+1)))</f>
        <v/>
      </c>
      <c r="M124" s="23">
        <f t="shared" si="1"/>
        <v>0</v>
      </c>
      <c r="N124" s="80"/>
      <c r="O124" s="51"/>
      <c r="P124" s="52"/>
    </row>
    <row r="125" spans="2:16" ht="12.75">
      <c r="B125" s="14">
        <v>121</v>
      </c>
      <c r="C125" s="28" t="str">
        <f>IF(Coureurs!C125="","",Coureurs!C125)</f>
        <v/>
      </c>
      <c r="D125" s="131" t="str">
        <f>IF(Coureurs!D125="","",Coureurs!D125)</f>
        <v>70</v>
      </c>
      <c r="E125" s="87" t="str">
        <f>IF(Coureurs!F125="","",Coureurs!F125)</f>
        <v/>
      </c>
      <c r="F125" s="87" t="str">
        <f>IF(Coureurs!G125="","",Coureurs!G125)</f>
        <v/>
      </c>
      <c r="G125" s="50" t="str">
        <f>IF(Coureurs!J125="","",Coureurs!J125)</f>
        <v/>
      </c>
      <c r="H125" s="25"/>
      <c r="I125" s="41"/>
      <c r="J125" s="8" t="str">
        <f>IF(I125="PM","",IF(H125=0," ",I125-HLOOKUP('Course 5'!H125,'tab5'!$C$3:$N$4,2)))</f>
        <v xml:space="preserve"> </v>
      </c>
      <c r="K125" s="23" t="str">
        <f>IF(I125="PM","",IF(H125=0," ",J125/'Règles et points'!$F$23))</f>
        <v xml:space="preserve"> </v>
      </c>
      <c r="L125" s="3" t="str">
        <f>IF(H125=0,"",VLOOKUP(H125,'Règles et points'!$C$5:$AG$19,(HLOOKUP('Course 5'!C125,'Règles et points'!$C$5:$AG$5,1)+1)))</f>
        <v/>
      </c>
      <c r="M125" s="23">
        <f t="shared" si="1"/>
        <v>0</v>
      </c>
      <c r="N125" s="80"/>
      <c r="O125" s="51"/>
      <c r="P125" s="52"/>
    </row>
    <row r="126" spans="2:16" ht="12.75">
      <c r="B126" s="14">
        <v>122</v>
      </c>
      <c r="C126" s="28" t="str">
        <f>IF(Coureurs!C126="","",Coureurs!C126)</f>
        <v/>
      </c>
      <c r="D126" s="131" t="str">
        <f>IF(Coureurs!D126="","",Coureurs!D126)</f>
        <v>70</v>
      </c>
      <c r="E126" s="87" t="str">
        <f>IF(Coureurs!F126="","",Coureurs!F126)</f>
        <v/>
      </c>
      <c r="F126" s="87" t="str">
        <f>IF(Coureurs!G126="","",Coureurs!G126)</f>
        <v/>
      </c>
      <c r="G126" s="50" t="str">
        <f>IF(Coureurs!J126="","",Coureurs!J126)</f>
        <v/>
      </c>
      <c r="H126" s="25"/>
      <c r="I126" s="41"/>
      <c r="J126" s="8" t="str">
        <f>IF(I126="PM","",IF(H126=0," ",I126-HLOOKUP('Course 5'!H126,'tab5'!$C$3:$N$4,2)))</f>
        <v xml:space="preserve"> </v>
      </c>
      <c r="K126" s="23" t="str">
        <f>IF(I126="PM","",IF(H126=0," ",J126/'Règles et points'!$F$23))</f>
        <v xml:space="preserve"> </v>
      </c>
      <c r="L126" s="3" t="str">
        <f>IF(H126=0,"",VLOOKUP(H126,'Règles et points'!$C$5:$AG$19,(HLOOKUP('Course 5'!C126,'Règles et points'!$C$5:$AG$5,1)+1)))</f>
        <v/>
      </c>
      <c r="M126" s="23">
        <f t="shared" si="1"/>
        <v>0</v>
      </c>
      <c r="N126" s="80"/>
      <c r="O126" s="51"/>
      <c r="P126" s="52"/>
    </row>
    <row r="127" spans="2:16" ht="12.75">
      <c r="B127" s="14">
        <v>123</v>
      </c>
      <c r="C127" s="28" t="str">
        <f>IF(Coureurs!C127="","",Coureurs!C127)</f>
        <v/>
      </c>
      <c r="D127" s="131" t="str">
        <f>IF(Coureurs!D127="","",Coureurs!D127)</f>
        <v>70</v>
      </c>
      <c r="E127" s="87" t="str">
        <f>IF(Coureurs!F127="","",Coureurs!F127)</f>
        <v/>
      </c>
      <c r="F127" s="87" t="str">
        <f>IF(Coureurs!G127="","",Coureurs!G127)</f>
        <v/>
      </c>
      <c r="G127" s="50" t="str">
        <f>IF(Coureurs!J127="","",Coureurs!J127)</f>
        <v/>
      </c>
      <c r="H127" s="25"/>
      <c r="I127" s="41"/>
      <c r="J127" s="8" t="str">
        <f>IF(I127="PM","",IF(H127=0," ",I127-HLOOKUP('Course 5'!H127,'tab5'!$C$3:$N$4,2)))</f>
        <v xml:space="preserve"> </v>
      </c>
      <c r="K127" s="23" t="str">
        <f>IF(I127="PM","",IF(H127=0," ",J127/'Règles et points'!$F$23))</f>
        <v xml:space="preserve"> </v>
      </c>
      <c r="L127" s="3" t="str">
        <f>IF(H127=0,"",VLOOKUP(H127,'Règles et points'!$C$5:$AG$19,(HLOOKUP('Course 5'!C127,'Règles et points'!$C$5:$AG$5,1)+1)))</f>
        <v/>
      </c>
      <c r="M127" s="23">
        <f t="shared" si="1"/>
        <v>0</v>
      </c>
      <c r="N127" s="80"/>
      <c r="O127" s="51"/>
      <c r="P127" s="52"/>
    </row>
    <row r="128" spans="2:16" ht="12.75">
      <c r="B128" s="14">
        <v>124</v>
      </c>
      <c r="C128" s="28" t="str">
        <f>IF(Coureurs!C128="","",Coureurs!C128)</f>
        <v/>
      </c>
      <c r="D128" s="131" t="str">
        <f>IF(Coureurs!D128="","",Coureurs!D128)</f>
        <v>70</v>
      </c>
      <c r="E128" s="87" t="str">
        <f>IF(Coureurs!F128="","",Coureurs!F128)</f>
        <v/>
      </c>
      <c r="F128" s="87" t="str">
        <f>IF(Coureurs!G128="","",Coureurs!G128)</f>
        <v/>
      </c>
      <c r="G128" s="50" t="str">
        <f>IF(Coureurs!J128="","",Coureurs!J128)</f>
        <v/>
      </c>
      <c r="H128" s="25"/>
      <c r="I128" s="41"/>
      <c r="J128" s="8" t="str">
        <f>IF(I128="PM","",IF(H128=0," ",I128-HLOOKUP('Course 5'!H128,'tab5'!$C$3:$N$4,2)))</f>
        <v xml:space="preserve"> </v>
      </c>
      <c r="K128" s="23" t="str">
        <f>IF(I128="PM","",IF(H128=0," ",J128/'Règles et points'!$F$23))</f>
        <v xml:space="preserve"> </v>
      </c>
      <c r="L128" s="3" t="str">
        <f>IF(H128=0,"",VLOOKUP(H128,'Règles et points'!$C$5:$AG$19,(HLOOKUP('Course 5'!C128,'Règles et points'!$C$5:$AG$5,1)+1)))</f>
        <v/>
      </c>
      <c r="M128" s="23">
        <f t="shared" si="1"/>
        <v>0</v>
      </c>
      <c r="N128" s="80"/>
      <c r="O128" s="51"/>
      <c r="P128" s="52"/>
    </row>
    <row r="129" spans="2:16" ht="12.75">
      <c r="B129" s="14">
        <v>125</v>
      </c>
      <c r="C129" s="28" t="str">
        <f>IF(Coureurs!C129="","",Coureurs!C129)</f>
        <v/>
      </c>
      <c r="D129" s="131" t="str">
        <f>IF(Coureurs!D129="","",Coureurs!D129)</f>
        <v>70</v>
      </c>
      <c r="E129" s="87" t="str">
        <f>IF(Coureurs!F129="","",Coureurs!F129)</f>
        <v/>
      </c>
      <c r="F129" s="87" t="str">
        <f>IF(Coureurs!G129="","",Coureurs!G129)</f>
        <v/>
      </c>
      <c r="G129" s="50" t="str">
        <f>IF(Coureurs!J129="","",Coureurs!J129)</f>
        <v/>
      </c>
      <c r="H129" s="25"/>
      <c r="I129" s="41"/>
      <c r="J129" s="8" t="str">
        <f>IF(I129="PM","",IF(H129=0," ",I129-HLOOKUP('Course 5'!H129,'tab5'!$C$3:$N$4,2)))</f>
        <v xml:space="preserve"> </v>
      </c>
      <c r="K129" s="23" t="str">
        <f>IF(I129="PM","",IF(H129=0," ",J129/'Règles et points'!$F$23))</f>
        <v xml:space="preserve"> </v>
      </c>
      <c r="L129" s="3" t="str">
        <f>IF(H129=0,"",VLOOKUP(H129,'Règles et points'!$C$5:$AG$19,(HLOOKUP('Course 5'!C129,'Règles et points'!$C$5:$AG$5,1)+1)))</f>
        <v/>
      </c>
      <c r="M129" s="23">
        <f t="shared" si="1"/>
        <v>0</v>
      </c>
      <c r="N129" s="80"/>
      <c r="O129" s="51"/>
      <c r="P129" s="52"/>
    </row>
    <row r="130" spans="2:16" ht="12.75">
      <c r="B130" s="14">
        <v>126</v>
      </c>
      <c r="C130" s="28" t="str">
        <f>IF(Coureurs!C130="","",Coureurs!C130)</f>
        <v/>
      </c>
      <c r="D130" s="131" t="str">
        <f>IF(Coureurs!D130="","",Coureurs!D130)</f>
        <v>70</v>
      </c>
      <c r="E130" s="87" t="str">
        <f>IF(Coureurs!F130="","",Coureurs!F130)</f>
        <v/>
      </c>
      <c r="F130" s="87" t="str">
        <f>IF(Coureurs!G130="","",Coureurs!G130)</f>
        <v/>
      </c>
      <c r="G130" s="50" t="str">
        <f>IF(Coureurs!J130="","",Coureurs!J130)</f>
        <v/>
      </c>
      <c r="H130" s="25"/>
      <c r="I130" s="41"/>
      <c r="J130" s="8" t="str">
        <f>IF(I130="PM","",IF(H130=0," ",I130-HLOOKUP('Course 5'!H130,'tab5'!$C$3:$N$4,2)))</f>
        <v xml:space="preserve"> </v>
      </c>
      <c r="K130" s="23" t="str">
        <f>IF(I130="PM","",IF(H130=0," ",J130/'Règles et points'!$F$23))</f>
        <v xml:space="preserve"> </v>
      </c>
      <c r="L130" s="3" t="str">
        <f>IF(H130=0,"",VLOOKUP(H130,'Règles et points'!$C$5:$AG$19,(HLOOKUP('Course 5'!C130,'Règles et points'!$C$5:$AG$5,1)+1)))</f>
        <v/>
      </c>
      <c r="M130" s="23">
        <f t="shared" si="1"/>
        <v>0</v>
      </c>
      <c r="N130" s="80"/>
      <c r="O130" s="51"/>
      <c r="P130" s="52"/>
    </row>
    <row r="131" spans="2:16" ht="12.75">
      <c r="B131" s="14">
        <v>127</v>
      </c>
      <c r="C131" s="28" t="str">
        <f>IF(Coureurs!C131="","",Coureurs!C131)</f>
        <v/>
      </c>
      <c r="D131" s="131" t="str">
        <f>IF(Coureurs!D131="","",Coureurs!D131)</f>
        <v>70</v>
      </c>
      <c r="E131" s="87" t="str">
        <f>IF(Coureurs!F131="","",Coureurs!F131)</f>
        <v/>
      </c>
      <c r="F131" s="87" t="str">
        <f>IF(Coureurs!G131="","",Coureurs!G131)</f>
        <v/>
      </c>
      <c r="G131" s="50" t="str">
        <f>IF(Coureurs!J131="","",Coureurs!J131)</f>
        <v/>
      </c>
      <c r="H131" s="25"/>
      <c r="I131" s="41"/>
      <c r="J131" s="8" t="str">
        <f>IF(I131="PM","",IF(H131=0," ",I131-HLOOKUP('Course 5'!H131,'tab5'!$C$3:$N$4,2)))</f>
        <v xml:space="preserve"> </v>
      </c>
      <c r="K131" s="23" t="str">
        <f>IF(I131="PM","",IF(H131=0," ",J131/'Règles et points'!$F$23))</f>
        <v xml:space="preserve"> </v>
      </c>
      <c r="L131" s="3" t="str">
        <f>IF(H131=0,"",VLOOKUP(H131,'Règles et points'!$C$5:$AG$19,(HLOOKUP('Course 5'!C131,'Règles et points'!$C$5:$AG$5,1)+1)))</f>
        <v/>
      </c>
      <c r="M131" s="23">
        <f t="shared" si="1"/>
        <v>0</v>
      </c>
      <c r="N131" s="80"/>
      <c r="O131" s="51"/>
      <c r="P131" s="52"/>
    </row>
    <row r="132" spans="2:16" ht="12.75">
      <c r="B132" s="14">
        <v>128</v>
      </c>
      <c r="C132" s="28" t="str">
        <f>IF(Coureurs!C132="","",Coureurs!C132)</f>
        <v/>
      </c>
      <c r="D132" s="131" t="str">
        <f>IF(Coureurs!D132="","",Coureurs!D132)</f>
        <v>70</v>
      </c>
      <c r="E132" s="87" t="str">
        <f>IF(Coureurs!F132="","",Coureurs!F132)</f>
        <v/>
      </c>
      <c r="F132" s="87" t="str">
        <f>IF(Coureurs!G132="","",Coureurs!G132)</f>
        <v/>
      </c>
      <c r="G132" s="50" t="str">
        <f>IF(Coureurs!J132="","",Coureurs!J132)</f>
        <v/>
      </c>
      <c r="H132" s="25"/>
      <c r="I132" s="41"/>
      <c r="J132" s="8" t="str">
        <f>IF(I132="PM","",IF(H132=0," ",I132-HLOOKUP('Course 5'!H132,'tab5'!$C$3:$N$4,2)))</f>
        <v xml:space="preserve"> </v>
      </c>
      <c r="K132" s="23" t="str">
        <f>IF(I132="PM","",IF(H132=0," ",J132/'Règles et points'!$F$23))</f>
        <v xml:space="preserve"> </v>
      </c>
      <c r="L132" s="3" t="str">
        <f>IF(H132=0,"",VLOOKUP(H132,'Règles et points'!$C$5:$AG$19,(HLOOKUP('Course 5'!C132,'Règles et points'!$C$5:$AG$5,1)+1)))</f>
        <v/>
      </c>
      <c r="M132" s="23">
        <f t="shared" ref="M132:M195" si="2">IF(I132="PM",0,IF(H132=0,0,L132-K132))+N132</f>
        <v>0</v>
      </c>
      <c r="N132" s="80"/>
      <c r="O132" s="51"/>
      <c r="P132" s="52"/>
    </row>
    <row r="133" spans="2:16" ht="12.75">
      <c r="B133" s="14">
        <v>129</v>
      </c>
      <c r="C133" s="28" t="str">
        <f>IF(Coureurs!C133="","",Coureurs!C133)</f>
        <v/>
      </c>
      <c r="D133" s="131" t="str">
        <f>IF(Coureurs!D133="","",Coureurs!D133)</f>
        <v>70</v>
      </c>
      <c r="E133" s="87" t="str">
        <f>IF(Coureurs!F133="","",Coureurs!F133)</f>
        <v/>
      </c>
      <c r="F133" s="87" t="str">
        <f>IF(Coureurs!G133="","",Coureurs!G133)</f>
        <v/>
      </c>
      <c r="G133" s="50" t="str">
        <f>IF(Coureurs!J133="","",Coureurs!J133)</f>
        <v/>
      </c>
      <c r="H133" s="25"/>
      <c r="I133" s="41"/>
      <c r="J133" s="8" t="str">
        <f>IF(I133="PM","",IF(H133=0," ",I133-HLOOKUP('Course 5'!H133,'tab5'!$C$3:$N$4,2)))</f>
        <v xml:space="preserve"> </v>
      </c>
      <c r="K133" s="23" t="str">
        <f>IF(I133="PM","",IF(H133=0," ",J133/'Règles et points'!$F$23))</f>
        <v xml:space="preserve"> </v>
      </c>
      <c r="L133" s="3" t="str">
        <f>IF(H133=0,"",VLOOKUP(H133,'Règles et points'!$C$5:$AG$19,(HLOOKUP('Course 5'!C133,'Règles et points'!$C$5:$AG$5,1)+1)))</f>
        <v/>
      </c>
      <c r="M133" s="23">
        <f t="shared" si="2"/>
        <v>0</v>
      </c>
      <c r="N133" s="80"/>
      <c r="O133" s="51"/>
      <c r="P133" s="52"/>
    </row>
    <row r="134" spans="2:16" ht="12.75">
      <c r="B134" s="14">
        <v>130</v>
      </c>
      <c r="C134" s="28" t="str">
        <f>IF(Coureurs!C134="","",Coureurs!C134)</f>
        <v/>
      </c>
      <c r="D134" s="131" t="str">
        <f>IF(Coureurs!D134="","",Coureurs!D134)</f>
        <v>70</v>
      </c>
      <c r="E134" s="87" t="str">
        <f>IF(Coureurs!F134="","",Coureurs!F134)</f>
        <v/>
      </c>
      <c r="F134" s="87" t="str">
        <f>IF(Coureurs!G134="","",Coureurs!G134)</f>
        <v/>
      </c>
      <c r="G134" s="50" t="str">
        <f>IF(Coureurs!J134="","",Coureurs!J134)</f>
        <v/>
      </c>
      <c r="H134" s="25"/>
      <c r="I134" s="41"/>
      <c r="J134" s="8" t="str">
        <f>IF(I134="PM","",IF(H134=0," ",I134-HLOOKUP('Course 5'!H134,'tab5'!$C$3:$N$4,2)))</f>
        <v xml:space="preserve"> </v>
      </c>
      <c r="K134" s="23" t="str">
        <f>IF(I134="PM","",IF(H134=0," ",J134/'Règles et points'!$F$23))</f>
        <v xml:space="preserve"> </v>
      </c>
      <c r="L134" s="3" t="str">
        <f>IF(H134=0,"",VLOOKUP(H134,'Règles et points'!$C$5:$AG$19,(HLOOKUP('Course 5'!C134,'Règles et points'!$C$5:$AG$5,1)+1)))</f>
        <v/>
      </c>
      <c r="M134" s="23">
        <f t="shared" si="2"/>
        <v>0</v>
      </c>
      <c r="N134" s="80"/>
      <c r="O134" s="51"/>
      <c r="P134" s="52"/>
    </row>
    <row r="135" spans="2:16" ht="12.75">
      <c r="B135" s="14">
        <v>131</v>
      </c>
      <c r="C135" s="28" t="str">
        <f>IF(Coureurs!C135="","",Coureurs!C135)</f>
        <v/>
      </c>
      <c r="D135" s="131" t="str">
        <f>IF(Coureurs!D135="","",Coureurs!D135)</f>
        <v>70</v>
      </c>
      <c r="E135" s="87" t="str">
        <f>IF(Coureurs!F135="","",Coureurs!F135)</f>
        <v/>
      </c>
      <c r="F135" s="87" t="str">
        <f>IF(Coureurs!G135="","",Coureurs!G135)</f>
        <v/>
      </c>
      <c r="G135" s="50" t="str">
        <f>IF(Coureurs!J135="","",Coureurs!J135)</f>
        <v/>
      </c>
      <c r="H135" s="25"/>
      <c r="I135" s="41"/>
      <c r="J135" s="8" t="str">
        <f>IF(I135="PM","",IF(H135=0," ",I135-HLOOKUP('Course 5'!H135,'tab5'!$C$3:$N$4,2)))</f>
        <v xml:space="preserve"> </v>
      </c>
      <c r="K135" s="23" t="str">
        <f>IF(I135="PM","",IF(H135=0," ",J135/'Règles et points'!$F$23))</f>
        <v xml:space="preserve"> </v>
      </c>
      <c r="L135" s="3" t="str">
        <f>IF(H135=0,"",VLOOKUP(H135,'Règles et points'!$C$5:$AG$19,(HLOOKUP('Course 5'!C135,'Règles et points'!$C$5:$AG$5,1)+1)))</f>
        <v/>
      </c>
      <c r="M135" s="23">
        <f t="shared" si="2"/>
        <v>0</v>
      </c>
      <c r="N135" s="80"/>
      <c r="O135" s="51"/>
      <c r="P135" s="52"/>
    </row>
    <row r="136" spans="2:16" ht="12.75">
      <c r="B136" s="14">
        <v>132</v>
      </c>
      <c r="C136" s="28" t="str">
        <f>IF(Coureurs!C136="","",Coureurs!C136)</f>
        <v/>
      </c>
      <c r="D136" s="131" t="str">
        <f>IF(Coureurs!D136="","",Coureurs!D136)</f>
        <v>70</v>
      </c>
      <c r="E136" s="87" t="str">
        <f>IF(Coureurs!F136="","",Coureurs!F136)</f>
        <v/>
      </c>
      <c r="F136" s="87" t="str">
        <f>IF(Coureurs!G136="","",Coureurs!G136)</f>
        <v/>
      </c>
      <c r="G136" s="50" t="str">
        <f>IF(Coureurs!J136="","",Coureurs!J136)</f>
        <v/>
      </c>
      <c r="H136" s="25"/>
      <c r="I136" s="41"/>
      <c r="J136" s="8" t="str">
        <f>IF(I136="PM","",IF(H136=0," ",I136-HLOOKUP('Course 5'!H136,'tab5'!$C$3:$N$4,2)))</f>
        <v xml:space="preserve"> </v>
      </c>
      <c r="K136" s="23" t="str">
        <f>IF(I136="PM","",IF(H136=0," ",J136/'Règles et points'!$F$23))</f>
        <v xml:space="preserve"> </v>
      </c>
      <c r="L136" s="3" t="str">
        <f>IF(H136=0,"",VLOOKUP(H136,'Règles et points'!$C$5:$AG$19,(HLOOKUP('Course 5'!C136,'Règles et points'!$C$5:$AG$5,1)+1)))</f>
        <v/>
      </c>
      <c r="M136" s="23">
        <f t="shared" si="2"/>
        <v>0</v>
      </c>
      <c r="N136" s="80"/>
      <c r="O136" s="51"/>
      <c r="P136" s="52"/>
    </row>
    <row r="137" spans="2:16" ht="12.75">
      <c r="B137" s="14">
        <v>133</v>
      </c>
      <c r="C137" s="28" t="str">
        <f>IF(Coureurs!C137="","",Coureurs!C137)</f>
        <v/>
      </c>
      <c r="D137" s="131" t="str">
        <f>IF(Coureurs!D137="","",Coureurs!D137)</f>
        <v>70</v>
      </c>
      <c r="E137" s="87" t="str">
        <f>IF(Coureurs!F137="","",Coureurs!F137)</f>
        <v/>
      </c>
      <c r="F137" s="87" t="str">
        <f>IF(Coureurs!G137="","",Coureurs!G137)</f>
        <v/>
      </c>
      <c r="G137" s="50" t="str">
        <f>IF(Coureurs!J137="","",Coureurs!J137)</f>
        <v/>
      </c>
      <c r="H137" s="25"/>
      <c r="I137" s="41"/>
      <c r="J137" s="8" t="str">
        <f>IF(I137="PM","",IF(H137=0," ",I137-HLOOKUP('Course 5'!H137,'tab5'!$C$3:$N$4,2)))</f>
        <v xml:space="preserve"> </v>
      </c>
      <c r="K137" s="23" t="str">
        <f>IF(I137="PM","",IF(H137=0," ",J137/'Règles et points'!$F$23))</f>
        <v xml:space="preserve"> </v>
      </c>
      <c r="L137" s="3" t="str">
        <f>IF(H137=0,"",VLOOKUP(H137,'Règles et points'!$C$5:$AG$19,(HLOOKUP('Course 5'!C137,'Règles et points'!$C$5:$AG$5,1)+1)))</f>
        <v/>
      </c>
      <c r="M137" s="23">
        <f t="shared" si="2"/>
        <v>0</v>
      </c>
      <c r="N137" s="80"/>
      <c r="O137" s="51"/>
      <c r="P137" s="52"/>
    </row>
    <row r="138" spans="2:16" ht="12.75">
      <c r="B138" s="14">
        <v>134</v>
      </c>
      <c r="C138" s="28" t="str">
        <f>IF(Coureurs!C138="","",Coureurs!C138)</f>
        <v/>
      </c>
      <c r="D138" s="131" t="str">
        <f>IF(Coureurs!D138="","",Coureurs!D138)</f>
        <v>70</v>
      </c>
      <c r="E138" s="87" t="str">
        <f>IF(Coureurs!F138="","",Coureurs!F138)</f>
        <v/>
      </c>
      <c r="F138" s="87" t="str">
        <f>IF(Coureurs!G138="","",Coureurs!G138)</f>
        <v/>
      </c>
      <c r="G138" s="50" t="str">
        <f>IF(Coureurs!J138="","",Coureurs!J138)</f>
        <v/>
      </c>
      <c r="H138" s="25"/>
      <c r="I138" s="41"/>
      <c r="J138" s="8" t="str">
        <f>IF(I138="PM","",IF(H138=0," ",I138-HLOOKUP('Course 5'!H138,'tab5'!$C$3:$N$4,2)))</f>
        <v xml:space="preserve"> </v>
      </c>
      <c r="K138" s="23" t="str">
        <f>IF(I138="PM","",IF(H138=0," ",J138/'Règles et points'!$F$23))</f>
        <v xml:space="preserve"> </v>
      </c>
      <c r="L138" s="3" t="str">
        <f>IF(H138=0,"",VLOOKUP(H138,'Règles et points'!$C$5:$AG$19,(HLOOKUP('Course 5'!C138,'Règles et points'!$C$5:$AG$5,1)+1)))</f>
        <v/>
      </c>
      <c r="M138" s="23">
        <f t="shared" si="2"/>
        <v>0</v>
      </c>
      <c r="N138" s="80"/>
      <c r="O138" s="51"/>
      <c r="P138" s="52"/>
    </row>
    <row r="139" spans="2:16" ht="12.75">
      <c r="B139" s="14">
        <v>135</v>
      </c>
      <c r="C139" s="28" t="str">
        <f>IF(Coureurs!C139="","",Coureurs!C139)</f>
        <v/>
      </c>
      <c r="D139" s="131" t="str">
        <f>IF(Coureurs!D139="","",Coureurs!D139)</f>
        <v>70</v>
      </c>
      <c r="E139" s="87" t="str">
        <f>IF(Coureurs!F139="","",Coureurs!F139)</f>
        <v/>
      </c>
      <c r="F139" s="87" t="str">
        <f>IF(Coureurs!G139="","",Coureurs!G139)</f>
        <v/>
      </c>
      <c r="G139" s="50" t="str">
        <f>IF(Coureurs!J139="","",Coureurs!J139)</f>
        <v/>
      </c>
      <c r="H139" s="25"/>
      <c r="I139" s="41"/>
      <c r="J139" s="8" t="str">
        <f>IF(I139="PM","",IF(H139=0," ",I139-HLOOKUP('Course 5'!H139,'tab5'!$C$3:$N$4,2)))</f>
        <v xml:space="preserve"> </v>
      </c>
      <c r="K139" s="23" t="str">
        <f>IF(I139="PM","",IF(H139=0," ",J139/'Règles et points'!$F$23))</f>
        <v xml:space="preserve"> </v>
      </c>
      <c r="L139" s="3" t="str">
        <f>IF(H139=0,"",VLOOKUP(H139,'Règles et points'!$C$5:$AG$19,(HLOOKUP('Course 5'!C139,'Règles et points'!$C$5:$AG$5,1)+1)))</f>
        <v/>
      </c>
      <c r="M139" s="23">
        <f t="shared" si="2"/>
        <v>0</v>
      </c>
      <c r="N139" s="80"/>
      <c r="O139" s="51"/>
      <c r="P139" s="52"/>
    </row>
    <row r="140" spans="2:16" ht="12.75">
      <c r="B140" s="14">
        <v>136</v>
      </c>
      <c r="C140" s="28" t="str">
        <f>IF(Coureurs!C140="","",Coureurs!C140)</f>
        <v/>
      </c>
      <c r="D140" s="131" t="str">
        <f>IF(Coureurs!D140="","",Coureurs!D140)</f>
        <v>70</v>
      </c>
      <c r="E140" s="87" t="str">
        <f>IF(Coureurs!F140="","",Coureurs!F140)</f>
        <v/>
      </c>
      <c r="F140" s="87" t="str">
        <f>IF(Coureurs!G140="","",Coureurs!G140)</f>
        <v/>
      </c>
      <c r="G140" s="50" t="str">
        <f>IF(Coureurs!J140="","",Coureurs!J140)</f>
        <v/>
      </c>
      <c r="H140" s="25"/>
      <c r="I140" s="41"/>
      <c r="J140" s="8" t="str">
        <f>IF(I140="PM","",IF(H140=0," ",I140-HLOOKUP('Course 5'!H140,'tab5'!$C$3:$N$4,2)))</f>
        <v xml:space="preserve"> </v>
      </c>
      <c r="K140" s="23" t="str">
        <f>IF(I140="PM","",IF(H140=0," ",J140/'Règles et points'!$F$23))</f>
        <v xml:space="preserve"> </v>
      </c>
      <c r="L140" s="3" t="str">
        <f>IF(H140=0,"",VLOOKUP(H140,'Règles et points'!$C$5:$AG$19,(HLOOKUP('Course 5'!C140,'Règles et points'!$C$5:$AG$5,1)+1)))</f>
        <v/>
      </c>
      <c r="M140" s="23">
        <f t="shared" si="2"/>
        <v>0</v>
      </c>
      <c r="N140" s="80"/>
      <c r="O140" s="51"/>
      <c r="P140" s="52"/>
    </row>
    <row r="141" spans="2:16" ht="12.75">
      <c r="B141" s="14">
        <v>137</v>
      </c>
      <c r="C141" s="28" t="str">
        <f>IF(Coureurs!C141="","",Coureurs!C141)</f>
        <v/>
      </c>
      <c r="D141" s="131" t="str">
        <f>IF(Coureurs!D141="","",Coureurs!D141)</f>
        <v>70</v>
      </c>
      <c r="E141" s="87" t="str">
        <f>IF(Coureurs!F141="","",Coureurs!F141)</f>
        <v/>
      </c>
      <c r="F141" s="87" t="str">
        <f>IF(Coureurs!G141="","",Coureurs!G141)</f>
        <v/>
      </c>
      <c r="G141" s="50" t="str">
        <f>IF(Coureurs!J141="","",Coureurs!J141)</f>
        <v/>
      </c>
      <c r="H141" s="25"/>
      <c r="I141" s="41"/>
      <c r="J141" s="8" t="str">
        <f>IF(I141="PM","",IF(H141=0," ",I141-HLOOKUP('Course 5'!H141,'tab5'!$C$3:$N$4,2)))</f>
        <v xml:space="preserve"> </v>
      </c>
      <c r="K141" s="23" t="str">
        <f>IF(I141="PM","",IF(H141=0," ",J141/'Règles et points'!$F$23))</f>
        <v xml:space="preserve"> </v>
      </c>
      <c r="L141" s="3" t="str">
        <f>IF(H141=0,"",VLOOKUP(H141,'Règles et points'!$C$5:$AG$19,(HLOOKUP('Course 5'!C141,'Règles et points'!$C$5:$AG$5,1)+1)))</f>
        <v/>
      </c>
      <c r="M141" s="23">
        <f t="shared" si="2"/>
        <v>0</v>
      </c>
      <c r="N141" s="80"/>
      <c r="O141" s="51"/>
      <c r="P141" s="52"/>
    </row>
    <row r="142" spans="2:16" ht="12.75">
      <c r="B142" s="14">
        <v>138</v>
      </c>
      <c r="C142" s="28" t="str">
        <f>IF(Coureurs!C142="","",Coureurs!C142)</f>
        <v/>
      </c>
      <c r="D142" s="131" t="str">
        <f>IF(Coureurs!D142="","",Coureurs!D142)</f>
        <v>70</v>
      </c>
      <c r="E142" s="87" t="str">
        <f>IF(Coureurs!F142="","",Coureurs!F142)</f>
        <v/>
      </c>
      <c r="F142" s="87" t="str">
        <f>IF(Coureurs!G142="","",Coureurs!G142)</f>
        <v/>
      </c>
      <c r="G142" s="50" t="str">
        <f>IF(Coureurs!J142="","",Coureurs!J142)</f>
        <v/>
      </c>
      <c r="H142" s="25"/>
      <c r="I142" s="41"/>
      <c r="J142" s="8" t="str">
        <f>IF(I142="PM","",IF(H142=0," ",I142-HLOOKUP('Course 5'!H142,'tab5'!$C$3:$N$4,2)))</f>
        <v xml:space="preserve"> </v>
      </c>
      <c r="K142" s="23" t="str">
        <f>IF(I142="PM","",IF(H142=0," ",J142/'Règles et points'!$F$23))</f>
        <v xml:space="preserve"> </v>
      </c>
      <c r="L142" s="3" t="str">
        <f>IF(H142=0,"",VLOOKUP(H142,'Règles et points'!$C$5:$AG$19,(HLOOKUP('Course 5'!C142,'Règles et points'!$C$5:$AG$5,1)+1)))</f>
        <v/>
      </c>
      <c r="M142" s="23">
        <f t="shared" si="2"/>
        <v>0</v>
      </c>
      <c r="N142" s="80"/>
      <c r="O142" s="51"/>
      <c r="P142" s="52"/>
    </row>
    <row r="143" spans="2:16" ht="12.75">
      <c r="B143" s="14">
        <v>139</v>
      </c>
      <c r="C143" s="28" t="str">
        <f>IF(Coureurs!C143="","",Coureurs!C143)</f>
        <v/>
      </c>
      <c r="D143" s="131" t="str">
        <f>IF(Coureurs!D143="","",Coureurs!D143)</f>
        <v>70</v>
      </c>
      <c r="E143" s="87" t="str">
        <f>IF(Coureurs!F143="","",Coureurs!F143)</f>
        <v/>
      </c>
      <c r="F143" s="87" t="str">
        <f>IF(Coureurs!G143="","",Coureurs!G143)</f>
        <v/>
      </c>
      <c r="G143" s="50" t="str">
        <f>IF(Coureurs!J143="","",Coureurs!J143)</f>
        <v/>
      </c>
      <c r="H143" s="25"/>
      <c r="I143" s="41"/>
      <c r="J143" s="8" t="str">
        <f>IF(I143="PM","",IF(H143=0," ",I143-HLOOKUP('Course 5'!H143,'tab5'!$C$3:$N$4,2)))</f>
        <v xml:space="preserve"> </v>
      </c>
      <c r="K143" s="23" t="str">
        <f>IF(I143="PM","",IF(H143=0," ",J143/'Règles et points'!$F$23))</f>
        <v xml:space="preserve"> </v>
      </c>
      <c r="L143" s="3" t="str">
        <f>IF(H143=0,"",VLOOKUP(H143,'Règles et points'!$C$5:$AG$19,(HLOOKUP('Course 5'!C143,'Règles et points'!$C$5:$AG$5,1)+1)))</f>
        <v/>
      </c>
      <c r="M143" s="23">
        <f t="shared" si="2"/>
        <v>0</v>
      </c>
      <c r="N143" s="80"/>
      <c r="O143" s="51"/>
      <c r="P143" s="52"/>
    </row>
    <row r="144" spans="2:16" ht="12.75">
      <c r="B144" s="14">
        <v>140</v>
      </c>
      <c r="C144" s="28" t="str">
        <f>IF(Coureurs!C144="","",Coureurs!C144)</f>
        <v/>
      </c>
      <c r="D144" s="131" t="str">
        <f>IF(Coureurs!D144="","",Coureurs!D144)</f>
        <v>70</v>
      </c>
      <c r="E144" s="87" t="str">
        <f>IF(Coureurs!F144="","",Coureurs!F144)</f>
        <v/>
      </c>
      <c r="F144" s="87" t="str">
        <f>IF(Coureurs!G144="","",Coureurs!G144)</f>
        <v/>
      </c>
      <c r="G144" s="50" t="str">
        <f>IF(Coureurs!J144="","",Coureurs!J144)</f>
        <v/>
      </c>
      <c r="H144" s="25"/>
      <c r="I144" s="41"/>
      <c r="J144" s="8" t="str">
        <f>IF(I144="PM","",IF(H144=0," ",I144-HLOOKUP('Course 5'!H144,'tab5'!$C$3:$N$4,2)))</f>
        <v xml:space="preserve"> </v>
      </c>
      <c r="K144" s="23" t="str">
        <f>IF(I144="PM","",IF(H144=0," ",J144/'Règles et points'!$F$23))</f>
        <v xml:space="preserve"> </v>
      </c>
      <c r="L144" s="3" t="str">
        <f>IF(H144=0,"",VLOOKUP(H144,'Règles et points'!$C$5:$AG$19,(HLOOKUP('Course 5'!C144,'Règles et points'!$C$5:$AG$5,1)+1)))</f>
        <v/>
      </c>
      <c r="M144" s="23">
        <f t="shared" si="2"/>
        <v>0</v>
      </c>
      <c r="N144" s="80"/>
      <c r="O144" s="51"/>
      <c r="P144" s="52"/>
    </row>
    <row r="145" spans="2:16" ht="12.75">
      <c r="B145" s="14">
        <v>141</v>
      </c>
      <c r="C145" s="28" t="str">
        <f>IF(Coureurs!C145="","",Coureurs!C145)</f>
        <v/>
      </c>
      <c r="D145" s="131" t="str">
        <f>IF(Coureurs!D145="","",Coureurs!D145)</f>
        <v>70</v>
      </c>
      <c r="E145" s="87" t="str">
        <f>IF(Coureurs!F145="","",Coureurs!F145)</f>
        <v/>
      </c>
      <c r="F145" s="87" t="str">
        <f>IF(Coureurs!G145="","",Coureurs!G145)</f>
        <v/>
      </c>
      <c r="G145" s="50" t="str">
        <f>IF(Coureurs!J145="","",Coureurs!J145)</f>
        <v/>
      </c>
      <c r="H145" s="25"/>
      <c r="I145" s="41"/>
      <c r="J145" s="8" t="str">
        <f>IF(I145="PM","",IF(H145=0," ",I145-HLOOKUP('Course 5'!H145,'tab5'!$C$3:$N$4,2)))</f>
        <v xml:space="preserve"> </v>
      </c>
      <c r="K145" s="23" t="str">
        <f>IF(I145="PM","",IF(H145=0," ",J145/'Règles et points'!$F$23))</f>
        <v xml:space="preserve"> </v>
      </c>
      <c r="L145" s="3" t="str">
        <f>IF(H145=0,"",VLOOKUP(H145,'Règles et points'!$C$5:$AG$19,(HLOOKUP('Course 5'!C145,'Règles et points'!$C$5:$AG$5,1)+1)))</f>
        <v/>
      </c>
      <c r="M145" s="23">
        <f t="shared" si="2"/>
        <v>0</v>
      </c>
      <c r="N145" s="80"/>
      <c r="O145" s="51"/>
      <c r="P145" s="52"/>
    </row>
    <row r="146" spans="2:16" ht="12.75">
      <c r="B146" s="14">
        <v>142</v>
      </c>
      <c r="C146" s="28" t="str">
        <f>IF(Coureurs!C146="","",Coureurs!C146)</f>
        <v/>
      </c>
      <c r="D146" s="131" t="str">
        <f>IF(Coureurs!D146="","",Coureurs!D146)</f>
        <v>70</v>
      </c>
      <c r="E146" s="87" t="str">
        <f>IF(Coureurs!F146="","",Coureurs!F146)</f>
        <v/>
      </c>
      <c r="F146" s="87" t="str">
        <f>IF(Coureurs!G146="","",Coureurs!G146)</f>
        <v/>
      </c>
      <c r="G146" s="50" t="str">
        <f>IF(Coureurs!J146="","",Coureurs!J146)</f>
        <v/>
      </c>
      <c r="H146" s="25"/>
      <c r="I146" s="41"/>
      <c r="J146" s="8" t="str">
        <f>IF(I146="PM","",IF(H146=0," ",I146-HLOOKUP('Course 5'!H146,'tab5'!$C$3:$N$4,2)))</f>
        <v xml:space="preserve"> </v>
      </c>
      <c r="K146" s="23" t="str">
        <f>IF(I146="PM","",IF(H146=0," ",J146/'Règles et points'!$F$23))</f>
        <v xml:space="preserve"> </v>
      </c>
      <c r="L146" s="3" t="str">
        <f>IF(H146=0,"",VLOOKUP(H146,'Règles et points'!$C$5:$AG$19,(HLOOKUP('Course 5'!C146,'Règles et points'!$C$5:$AG$5,1)+1)))</f>
        <v/>
      </c>
      <c r="M146" s="23">
        <f t="shared" si="2"/>
        <v>0</v>
      </c>
      <c r="N146" s="80"/>
      <c r="O146" s="51"/>
      <c r="P146" s="52"/>
    </row>
    <row r="147" spans="2:16" ht="12.75">
      <c r="B147" s="14">
        <v>143</v>
      </c>
      <c r="C147" s="28" t="str">
        <f>IF(Coureurs!C147="","",Coureurs!C147)</f>
        <v/>
      </c>
      <c r="D147" s="131" t="str">
        <f>IF(Coureurs!D147="","",Coureurs!D147)</f>
        <v>70</v>
      </c>
      <c r="E147" s="87" t="str">
        <f>IF(Coureurs!F147="","",Coureurs!F147)</f>
        <v/>
      </c>
      <c r="F147" s="87" t="str">
        <f>IF(Coureurs!G147="","",Coureurs!G147)</f>
        <v/>
      </c>
      <c r="G147" s="50" t="str">
        <f>IF(Coureurs!J147="","",Coureurs!J147)</f>
        <v/>
      </c>
      <c r="H147" s="25"/>
      <c r="I147" s="41"/>
      <c r="J147" s="8" t="str">
        <f>IF(I147="PM","",IF(H147=0," ",I147-HLOOKUP('Course 5'!H147,'tab5'!$C$3:$N$4,2)))</f>
        <v xml:space="preserve"> </v>
      </c>
      <c r="K147" s="23" t="str">
        <f>IF(I147="PM","",IF(H147=0," ",J147/'Règles et points'!$F$23))</f>
        <v xml:space="preserve"> </v>
      </c>
      <c r="L147" s="3" t="str">
        <f>IF(H147=0,"",VLOOKUP(H147,'Règles et points'!$C$5:$AG$19,(HLOOKUP('Course 5'!C147,'Règles et points'!$C$5:$AG$5,1)+1)))</f>
        <v/>
      </c>
      <c r="M147" s="23">
        <f t="shared" si="2"/>
        <v>0</v>
      </c>
      <c r="N147" s="80"/>
      <c r="O147" s="51"/>
      <c r="P147" s="52"/>
    </row>
    <row r="148" spans="2:16" ht="12.75">
      <c r="B148" s="14">
        <v>144</v>
      </c>
      <c r="C148" s="28" t="str">
        <f>IF(Coureurs!C148="","",Coureurs!C148)</f>
        <v/>
      </c>
      <c r="D148" s="131" t="str">
        <f>IF(Coureurs!D148="","",Coureurs!D148)</f>
        <v>70</v>
      </c>
      <c r="E148" s="87" t="str">
        <f>IF(Coureurs!F148="","",Coureurs!F148)</f>
        <v/>
      </c>
      <c r="F148" s="87" t="str">
        <f>IF(Coureurs!G148="","",Coureurs!G148)</f>
        <v/>
      </c>
      <c r="G148" s="50" t="str">
        <f>IF(Coureurs!J148="","",Coureurs!J148)</f>
        <v/>
      </c>
      <c r="H148" s="25"/>
      <c r="I148" s="41"/>
      <c r="J148" s="8" t="str">
        <f>IF(I148="PM","",IF(H148=0," ",I148-HLOOKUP('Course 5'!H148,'tab5'!$C$3:$N$4,2)))</f>
        <v xml:space="preserve"> </v>
      </c>
      <c r="K148" s="23" t="str">
        <f>IF(I148="PM","",IF(H148=0," ",J148/'Règles et points'!$F$23))</f>
        <v xml:space="preserve"> </v>
      </c>
      <c r="L148" s="3" t="str">
        <f>IF(H148=0,"",VLOOKUP(H148,'Règles et points'!$C$5:$AG$19,(HLOOKUP('Course 5'!C148,'Règles et points'!$C$5:$AG$5,1)+1)))</f>
        <v/>
      </c>
      <c r="M148" s="23">
        <f t="shared" si="2"/>
        <v>0</v>
      </c>
      <c r="N148" s="80"/>
      <c r="O148" s="51"/>
      <c r="P148" s="52"/>
    </row>
    <row r="149" spans="2:16" ht="12.75">
      <c r="B149" s="14">
        <v>145</v>
      </c>
      <c r="C149" s="28" t="str">
        <f>IF(Coureurs!C149="","",Coureurs!C149)</f>
        <v/>
      </c>
      <c r="D149" s="131" t="str">
        <f>IF(Coureurs!D149="","",Coureurs!D149)</f>
        <v>70</v>
      </c>
      <c r="E149" s="87" t="str">
        <f>IF(Coureurs!F149="","",Coureurs!F149)</f>
        <v/>
      </c>
      <c r="F149" s="87" t="str">
        <f>IF(Coureurs!G149="","",Coureurs!G149)</f>
        <v/>
      </c>
      <c r="G149" s="50" t="str">
        <f>IF(Coureurs!J149="","",Coureurs!J149)</f>
        <v/>
      </c>
      <c r="H149" s="25"/>
      <c r="I149" s="41"/>
      <c r="J149" s="8" t="str">
        <f>IF(I149="PM","",IF(H149=0," ",I149-HLOOKUP('Course 5'!H149,'tab5'!$C$3:$N$4,2)))</f>
        <v xml:space="preserve"> </v>
      </c>
      <c r="K149" s="23" t="str">
        <f>IF(I149="PM","",IF(H149=0," ",J149/'Règles et points'!$F$23))</f>
        <v xml:space="preserve"> </v>
      </c>
      <c r="L149" s="3" t="str">
        <f>IF(H149=0,"",VLOOKUP(H149,'Règles et points'!$C$5:$AG$19,(HLOOKUP('Course 5'!C149,'Règles et points'!$C$5:$AG$5,1)+1)))</f>
        <v/>
      </c>
      <c r="M149" s="23">
        <f t="shared" si="2"/>
        <v>0</v>
      </c>
      <c r="N149" s="80"/>
      <c r="O149" s="51"/>
      <c r="P149" s="52"/>
    </row>
    <row r="150" spans="2:16" ht="12.75">
      <c r="B150" s="14">
        <v>146</v>
      </c>
      <c r="C150" s="28" t="str">
        <f>IF(Coureurs!C150="","",Coureurs!C150)</f>
        <v/>
      </c>
      <c r="D150" s="131" t="str">
        <f>IF(Coureurs!D150="","",Coureurs!D150)</f>
        <v>70</v>
      </c>
      <c r="E150" s="87" t="str">
        <f>IF(Coureurs!F150="","",Coureurs!F150)</f>
        <v/>
      </c>
      <c r="F150" s="87" t="str">
        <f>IF(Coureurs!G150="","",Coureurs!G150)</f>
        <v/>
      </c>
      <c r="G150" s="50" t="str">
        <f>IF(Coureurs!J150="","",Coureurs!J150)</f>
        <v/>
      </c>
      <c r="H150" s="25"/>
      <c r="I150" s="41"/>
      <c r="J150" s="8" t="str">
        <f>IF(I150="PM","",IF(H150=0," ",I150-HLOOKUP('Course 5'!H150,'tab5'!$C$3:$N$4,2)))</f>
        <v xml:space="preserve"> </v>
      </c>
      <c r="K150" s="23" t="str">
        <f>IF(I150="PM","",IF(H150=0," ",J150/'Règles et points'!$F$23))</f>
        <v xml:space="preserve"> </v>
      </c>
      <c r="L150" s="3" t="str">
        <f>IF(H150=0,"",VLOOKUP(H150,'Règles et points'!$C$5:$AG$19,(HLOOKUP('Course 5'!C150,'Règles et points'!$C$5:$AG$5,1)+1)))</f>
        <v/>
      </c>
      <c r="M150" s="23">
        <f t="shared" si="2"/>
        <v>0</v>
      </c>
      <c r="N150" s="80"/>
      <c r="O150" s="51"/>
      <c r="P150" s="52"/>
    </row>
    <row r="151" spans="2:16" ht="12.75">
      <c r="B151" s="14">
        <v>147</v>
      </c>
      <c r="C151" s="28" t="str">
        <f>IF(Coureurs!C151="","",Coureurs!C151)</f>
        <v/>
      </c>
      <c r="D151" s="131" t="str">
        <f>IF(Coureurs!D151="","",Coureurs!D151)</f>
        <v>70</v>
      </c>
      <c r="E151" s="87" t="str">
        <f>IF(Coureurs!F151="","",Coureurs!F151)</f>
        <v/>
      </c>
      <c r="F151" s="87" t="str">
        <f>IF(Coureurs!G151="","",Coureurs!G151)</f>
        <v/>
      </c>
      <c r="G151" s="50" t="str">
        <f>IF(Coureurs!J151="","",Coureurs!J151)</f>
        <v/>
      </c>
      <c r="H151" s="25"/>
      <c r="I151" s="41"/>
      <c r="J151" s="8" t="str">
        <f>IF(I151="PM","",IF(H151=0," ",I151-HLOOKUP('Course 5'!H151,'tab5'!$C$3:$N$4,2)))</f>
        <v xml:space="preserve"> </v>
      </c>
      <c r="K151" s="23" t="str">
        <f>IF(I151="PM","",IF(H151=0," ",J151/'Règles et points'!$F$23))</f>
        <v xml:space="preserve"> </v>
      </c>
      <c r="L151" s="3" t="str">
        <f>IF(H151=0,"",VLOOKUP(H151,'Règles et points'!$C$5:$AG$19,(HLOOKUP('Course 5'!C151,'Règles et points'!$C$5:$AG$5,1)+1)))</f>
        <v/>
      </c>
      <c r="M151" s="23">
        <f t="shared" si="2"/>
        <v>0</v>
      </c>
      <c r="N151" s="80"/>
      <c r="O151" s="51"/>
      <c r="P151" s="52"/>
    </row>
    <row r="152" spans="2:16" ht="12.75">
      <c r="B152" s="14">
        <v>148</v>
      </c>
      <c r="C152" s="28" t="str">
        <f>IF(Coureurs!C152="","",Coureurs!C152)</f>
        <v/>
      </c>
      <c r="D152" s="131" t="str">
        <f>IF(Coureurs!D152="","",Coureurs!D152)</f>
        <v>70</v>
      </c>
      <c r="E152" s="87" t="str">
        <f>IF(Coureurs!F152="","",Coureurs!F152)</f>
        <v/>
      </c>
      <c r="F152" s="87" t="str">
        <f>IF(Coureurs!G152="","",Coureurs!G152)</f>
        <v/>
      </c>
      <c r="G152" s="50" t="str">
        <f>IF(Coureurs!J152="","",Coureurs!J152)</f>
        <v/>
      </c>
      <c r="H152" s="25"/>
      <c r="I152" s="41"/>
      <c r="J152" s="8" t="str">
        <f>IF(I152="PM","",IF(H152=0," ",I152-HLOOKUP('Course 5'!H152,'tab5'!$C$3:$N$4,2)))</f>
        <v xml:space="preserve"> </v>
      </c>
      <c r="K152" s="23" t="str">
        <f>IF(I152="PM","",IF(H152=0," ",J152/'Règles et points'!$F$23))</f>
        <v xml:space="preserve"> </v>
      </c>
      <c r="L152" s="3" t="str">
        <f>IF(H152=0,"",VLOOKUP(H152,'Règles et points'!$C$5:$AG$19,(HLOOKUP('Course 5'!C152,'Règles et points'!$C$5:$AG$5,1)+1)))</f>
        <v/>
      </c>
      <c r="M152" s="23">
        <f t="shared" si="2"/>
        <v>0</v>
      </c>
      <c r="N152" s="80"/>
      <c r="O152" s="51"/>
      <c r="P152" s="52"/>
    </row>
    <row r="153" spans="2:16" ht="12.75">
      <c r="B153" s="14">
        <v>149</v>
      </c>
      <c r="C153" s="28" t="str">
        <f>IF(Coureurs!C153="","",Coureurs!C153)</f>
        <v/>
      </c>
      <c r="D153" s="131" t="str">
        <f>IF(Coureurs!D153="","",Coureurs!D153)</f>
        <v>70</v>
      </c>
      <c r="E153" s="87" t="str">
        <f>IF(Coureurs!F153="","",Coureurs!F153)</f>
        <v/>
      </c>
      <c r="F153" s="87" t="str">
        <f>IF(Coureurs!G153="","",Coureurs!G153)</f>
        <v/>
      </c>
      <c r="G153" s="50" t="str">
        <f>IF(Coureurs!J153="","",Coureurs!J153)</f>
        <v/>
      </c>
      <c r="H153" s="25"/>
      <c r="I153" s="41"/>
      <c r="J153" s="8" t="str">
        <f>IF(I153="PM","",IF(H153=0," ",I153-HLOOKUP('Course 5'!H153,'tab5'!$C$3:$N$4,2)))</f>
        <v xml:space="preserve"> </v>
      </c>
      <c r="K153" s="23" t="str">
        <f>IF(I153="PM","",IF(H153=0," ",J153/'Règles et points'!$F$23))</f>
        <v xml:space="preserve"> </v>
      </c>
      <c r="L153" s="3" t="str">
        <f>IF(H153=0,"",VLOOKUP(H153,'Règles et points'!$C$5:$AG$19,(HLOOKUP('Course 5'!C153,'Règles et points'!$C$5:$AG$5,1)+1)))</f>
        <v/>
      </c>
      <c r="M153" s="23">
        <f t="shared" si="2"/>
        <v>0</v>
      </c>
      <c r="N153" s="80"/>
      <c r="O153" s="51"/>
      <c r="P153" s="52"/>
    </row>
    <row r="154" spans="2:16" ht="12.75">
      <c r="B154" s="14">
        <v>150</v>
      </c>
      <c r="C154" s="28" t="str">
        <f>IF(Coureurs!C154="","",Coureurs!C154)</f>
        <v/>
      </c>
      <c r="D154" s="131" t="str">
        <f>IF(Coureurs!D154="","",Coureurs!D154)</f>
        <v>70</v>
      </c>
      <c r="E154" s="87" t="str">
        <f>IF(Coureurs!F154="","",Coureurs!F154)</f>
        <v/>
      </c>
      <c r="F154" s="87" t="str">
        <f>IF(Coureurs!G154="","",Coureurs!G154)</f>
        <v/>
      </c>
      <c r="G154" s="50" t="str">
        <f>IF(Coureurs!J154="","",Coureurs!J154)</f>
        <v/>
      </c>
      <c r="H154" s="25"/>
      <c r="I154" s="41"/>
      <c r="J154" s="8" t="str">
        <f>IF(I154="PM","",IF(H154=0," ",I154-HLOOKUP('Course 5'!H154,'tab5'!$C$3:$N$4,2)))</f>
        <v xml:space="preserve"> </v>
      </c>
      <c r="K154" s="23" t="str">
        <f>IF(I154="PM","",IF(H154=0," ",J154/'Règles et points'!$F$23))</f>
        <v xml:space="preserve"> </v>
      </c>
      <c r="L154" s="3" t="str">
        <f>IF(H154=0,"",VLOOKUP(H154,'Règles et points'!$C$5:$AG$19,(HLOOKUP('Course 5'!C154,'Règles et points'!$C$5:$AG$5,1)+1)))</f>
        <v/>
      </c>
      <c r="M154" s="23">
        <f t="shared" si="2"/>
        <v>0</v>
      </c>
      <c r="N154" s="80"/>
      <c r="O154" s="51"/>
      <c r="P154" s="52"/>
    </row>
    <row r="155" spans="2:16" ht="12.75">
      <c r="B155" s="14">
        <v>151</v>
      </c>
      <c r="C155" s="28" t="str">
        <f>IF(Coureurs!C155="","",Coureurs!C155)</f>
        <v/>
      </c>
      <c r="D155" s="131" t="str">
        <f>IF(Coureurs!D155="","",Coureurs!D155)</f>
        <v>70</v>
      </c>
      <c r="E155" s="87" t="str">
        <f>IF(Coureurs!F155="","",Coureurs!F155)</f>
        <v/>
      </c>
      <c r="F155" s="87" t="str">
        <f>IF(Coureurs!G155="","",Coureurs!G155)</f>
        <v/>
      </c>
      <c r="G155" s="50" t="str">
        <f>IF(Coureurs!J155="","",Coureurs!J155)</f>
        <v/>
      </c>
      <c r="H155" s="25"/>
      <c r="I155" s="41"/>
      <c r="J155" s="8" t="str">
        <f>IF(I155="PM","",IF(H155=0," ",I155-HLOOKUP('Course 5'!H155,'tab5'!$C$3:$N$4,2)))</f>
        <v xml:space="preserve"> </v>
      </c>
      <c r="K155" s="23" t="str">
        <f>IF(I155="PM","",IF(H155=0," ",J155/'Règles et points'!$F$23))</f>
        <v xml:space="preserve"> </v>
      </c>
      <c r="L155" s="3" t="str">
        <f>IF(H155=0,"",VLOOKUP(H155,'Règles et points'!$C$5:$AG$19,(HLOOKUP('Course 5'!C155,'Règles et points'!$C$5:$AG$5,1)+1)))</f>
        <v/>
      </c>
      <c r="M155" s="23">
        <f t="shared" si="2"/>
        <v>0</v>
      </c>
      <c r="N155" s="80"/>
      <c r="O155" s="51"/>
      <c r="P155" s="52"/>
    </row>
    <row r="156" spans="2:16" ht="12.75">
      <c r="B156" s="14">
        <v>152</v>
      </c>
      <c r="C156" s="28" t="str">
        <f>IF(Coureurs!C156="","",Coureurs!C156)</f>
        <v/>
      </c>
      <c r="D156" s="131" t="str">
        <f>IF(Coureurs!D156="","",Coureurs!D156)</f>
        <v>70</v>
      </c>
      <c r="E156" s="87" t="str">
        <f>IF(Coureurs!F156="","",Coureurs!F156)</f>
        <v/>
      </c>
      <c r="F156" s="87" t="str">
        <f>IF(Coureurs!G156="","",Coureurs!G156)</f>
        <v/>
      </c>
      <c r="G156" s="50" t="str">
        <f>IF(Coureurs!J156="","",Coureurs!J156)</f>
        <v/>
      </c>
      <c r="H156" s="25"/>
      <c r="I156" s="41"/>
      <c r="J156" s="8" t="str">
        <f>IF(I156="PM","",IF(H156=0," ",I156-HLOOKUP('Course 5'!H156,'tab5'!$C$3:$N$4,2)))</f>
        <v xml:space="preserve"> </v>
      </c>
      <c r="K156" s="23" t="str">
        <f>IF(I156="PM","",IF(H156=0," ",J156/'Règles et points'!$F$23))</f>
        <v xml:space="preserve"> </v>
      </c>
      <c r="L156" s="3" t="str">
        <f>IF(H156=0,"",VLOOKUP(H156,'Règles et points'!$C$5:$AG$19,(HLOOKUP('Course 5'!C156,'Règles et points'!$C$5:$AG$5,1)+1)))</f>
        <v/>
      </c>
      <c r="M156" s="23">
        <f t="shared" si="2"/>
        <v>0</v>
      </c>
      <c r="N156" s="80"/>
      <c r="O156" s="51"/>
      <c r="P156" s="52"/>
    </row>
    <row r="157" spans="2:16" ht="12.75">
      <c r="B157" s="14">
        <v>153</v>
      </c>
      <c r="C157" s="28" t="str">
        <f>IF(Coureurs!C157="","",Coureurs!C157)</f>
        <v/>
      </c>
      <c r="D157" s="131" t="str">
        <f>IF(Coureurs!D157="","",Coureurs!D157)</f>
        <v>70</v>
      </c>
      <c r="E157" s="87" t="str">
        <f>IF(Coureurs!F157="","",Coureurs!F157)</f>
        <v/>
      </c>
      <c r="F157" s="87" t="str">
        <f>IF(Coureurs!G157="","",Coureurs!G157)</f>
        <v/>
      </c>
      <c r="G157" s="50" t="str">
        <f>IF(Coureurs!J157="","",Coureurs!J157)</f>
        <v/>
      </c>
      <c r="H157" s="25"/>
      <c r="I157" s="41"/>
      <c r="J157" s="8" t="str">
        <f>IF(I157="PM","",IF(H157=0," ",I157-HLOOKUP('Course 5'!H157,'tab5'!$C$3:$N$4,2)))</f>
        <v xml:space="preserve"> </v>
      </c>
      <c r="K157" s="23" t="str">
        <f>IF(I157="PM","",IF(H157=0," ",J157/'Règles et points'!$F$23))</f>
        <v xml:space="preserve"> </v>
      </c>
      <c r="L157" s="3" t="str">
        <f>IF(H157=0,"",VLOOKUP(H157,'Règles et points'!$C$5:$AG$19,(HLOOKUP('Course 5'!C157,'Règles et points'!$C$5:$AG$5,1)+1)))</f>
        <v/>
      </c>
      <c r="M157" s="23">
        <f t="shared" si="2"/>
        <v>0</v>
      </c>
      <c r="N157" s="80"/>
      <c r="O157" s="51"/>
      <c r="P157" s="52"/>
    </row>
    <row r="158" spans="2:16" ht="12.75">
      <c r="B158" s="14">
        <v>154</v>
      </c>
      <c r="C158" s="28" t="str">
        <f>IF(Coureurs!C158="","",Coureurs!C158)</f>
        <v/>
      </c>
      <c r="D158" s="131" t="str">
        <f>IF(Coureurs!D158="","",Coureurs!D158)</f>
        <v>70</v>
      </c>
      <c r="E158" s="87" t="str">
        <f>IF(Coureurs!F158="","",Coureurs!F158)</f>
        <v/>
      </c>
      <c r="F158" s="87" t="str">
        <f>IF(Coureurs!G158="","",Coureurs!G158)</f>
        <v/>
      </c>
      <c r="G158" s="50" t="str">
        <f>IF(Coureurs!J158="","",Coureurs!J158)</f>
        <v/>
      </c>
      <c r="H158" s="25"/>
      <c r="I158" s="41"/>
      <c r="J158" s="8" t="str">
        <f>IF(I158="PM","",IF(H158=0," ",I158-HLOOKUP('Course 5'!H158,'tab5'!$C$3:$N$4,2)))</f>
        <v xml:space="preserve"> </v>
      </c>
      <c r="K158" s="23" t="str">
        <f>IF(I158="PM","",IF(H158=0," ",J158/'Règles et points'!$F$23))</f>
        <v xml:space="preserve"> </v>
      </c>
      <c r="L158" s="3" t="str">
        <f>IF(H158=0,"",VLOOKUP(H158,'Règles et points'!$C$5:$AG$19,(HLOOKUP('Course 5'!C158,'Règles et points'!$C$5:$AG$5,1)+1)))</f>
        <v/>
      </c>
      <c r="M158" s="23">
        <f t="shared" si="2"/>
        <v>0</v>
      </c>
      <c r="N158" s="80"/>
      <c r="O158" s="51"/>
      <c r="P158" s="52"/>
    </row>
    <row r="159" spans="2:16" ht="12.75">
      <c r="B159" s="14">
        <v>155</v>
      </c>
      <c r="C159" s="28" t="str">
        <f>IF(Coureurs!C159="","",Coureurs!C159)</f>
        <v/>
      </c>
      <c r="D159" s="131" t="str">
        <f>IF(Coureurs!D159="","",Coureurs!D159)</f>
        <v>70</v>
      </c>
      <c r="E159" s="87" t="str">
        <f>IF(Coureurs!F159="","",Coureurs!F159)</f>
        <v/>
      </c>
      <c r="F159" s="87" t="str">
        <f>IF(Coureurs!G159="","",Coureurs!G159)</f>
        <v/>
      </c>
      <c r="G159" s="50" t="str">
        <f>IF(Coureurs!J159="","",Coureurs!J159)</f>
        <v/>
      </c>
      <c r="H159" s="25"/>
      <c r="I159" s="41"/>
      <c r="J159" s="8" t="str">
        <f>IF(I159="PM","",IF(H159=0," ",I159-HLOOKUP('Course 5'!H159,'tab5'!$C$3:$N$4,2)))</f>
        <v xml:space="preserve"> </v>
      </c>
      <c r="K159" s="23" t="str">
        <f>IF(I159="PM","",IF(H159=0," ",J159/'Règles et points'!$F$23))</f>
        <v xml:space="preserve"> </v>
      </c>
      <c r="L159" s="3" t="str">
        <f>IF(H159=0,"",VLOOKUP(H159,'Règles et points'!$C$5:$AG$19,(HLOOKUP('Course 5'!C159,'Règles et points'!$C$5:$AG$5,1)+1)))</f>
        <v/>
      </c>
      <c r="M159" s="23">
        <f t="shared" si="2"/>
        <v>0</v>
      </c>
      <c r="N159" s="80"/>
      <c r="O159" s="51"/>
      <c r="P159" s="52"/>
    </row>
    <row r="160" spans="2:16" ht="12.75">
      <c r="B160" s="14">
        <v>156</v>
      </c>
      <c r="C160" s="28" t="str">
        <f>IF(Coureurs!C160="","",Coureurs!C160)</f>
        <v/>
      </c>
      <c r="D160" s="131" t="str">
        <f>IF(Coureurs!D160="","",Coureurs!D160)</f>
        <v>70</v>
      </c>
      <c r="E160" s="87" t="str">
        <f>IF(Coureurs!F160="","",Coureurs!F160)</f>
        <v/>
      </c>
      <c r="F160" s="87" t="str">
        <f>IF(Coureurs!G160="","",Coureurs!G160)</f>
        <v/>
      </c>
      <c r="G160" s="50" t="str">
        <f>IF(Coureurs!J160="","",Coureurs!J160)</f>
        <v/>
      </c>
      <c r="H160" s="25"/>
      <c r="I160" s="41"/>
      <c r="J160" s="8" t="str">
        <f>IF(I160="PM","",IF(H160=0," ",I160-HLOOKUP('Course 5'!H160,'tab5'!$C$3:$N$4,2)))</f>
        <v xml:space="preserve"> </v>
      </c>
      <c r="K160" s="23" t="str">
        <f>IF(I160="PM","",IF(H160=0," ",J160/'Règles et points'!$F$23))</f>
        <v xml:space="preserve"> </v>
      </c>
      <c r="L160" s="3" t="str">
        <f>IF(H160=0,"",VLOOKUP(H160,'Règles et points'!$C$5:$AG$19,(HLOOKUP('Course 5'!C160,'Règles et points'!$C$5:$AG$5,1)+1)))</f>
        <v/>
      </c>
      <c r="M160" s="23">
        <f t="shared" si="2"/>
        <v>0</v>
      </c>
      <c r="N160" s="80"/>
      <c r="O160" s="51"/>
      <c r="P160" s="52"/>
    </row>
    <row r="161" spans="2:16" ht="12.75">
      <c r="B161" s="14">
        <v>157</v>
      </c>
      <c r="C161" s="28" t="str">
        <f>IF(Coureurs!C161="","",Coureurs!C161)</f>
        <v/>
      </c>
      <c r="D161" s="131" t="str">
        <f>IF(Coureurs!D161="","",Coureurs!D161)</f>
        <v>70</v>
      </c>
      <c r="E161" s="87" t="str">
        <f>IF(Coureurs!F161="","",Coureurs!F161)</f>
        <v/>
      </c>
      <c r="F161" s="87" t="str">
        <f>IF(Coureurs!G161="","",Coureurs!G161)</f>
        <v/>
      </c>
      <c r="G161" s="50" t="str">
        <f>IF(Coureurs!J161="","",Coureurs!J161)</f>
        <v/>
      </c>
      <c r="H161" s="25"/>
      <c r="I161" s="41"/>
      <c r="J161" s="8" t="str">
        <f>IF(I161="PM","",IF(H161=0," ",I161-HLOOKUP('Course 5'!H161,'tab5'!$C$3:$N$4,2)))</f>
        <v xml:space="preserve"> </v>
      </c>
      <c r="K161" s="23" t="str">
        <f>IF(I161="PM","",IF(H161=0," ",J161/'Règles et points'!$F$23))</f>
        <v xml:space="preserve"> </v>
      </c>
      <c r="L161" s="3" t="str">
        <f>IF(H161=0,"",VLOOKUP(H161,'Règles et points'!$C$5:$AG$19,(HLOOKUP('Course 5'!C161,'Règles et points'!$C$5:$AG$5,1)+1)))</f>
        <v/>
      </c>
      <c r="M161" s="23">
        <f t="shared" si="2"/>
        <v>0</v>
      </c>
      <c r="N161" s="80"/>
      <c r="O161" s="51"/>
      <c r="P161" s="52"/>
    </row>
    <row r="162" spans="2:16" ht="12.75">
      <c r="B162" s="14">
        <v>158</v>
      </c>
      <c r="C162" s="28" t="str">
        <f>IF(Coureurs!C162="","",Coureurs!C162)</f>
        <v/>
      </c>
      <c r="D162" s="131" t="str">
        <f>IF(Coureurs!D162="","",Coureurs!D162)</f>
        <v>70</v>
      </c>
      <c r="E162" s="87" t="str">
        <f>IF(Coureurs!F162="","",Coureurs!F162)</f>
        <v/>
      </c>
      <c r="F162" s="87" t="str">
        <f>IF(Coureurs!G162="","",Coureurs!G162)</f>
        <v/>
      </c>
      <c r="G162" s="50" t="str">
        <f>IF(Coureurs!J162="","",Coureurs!J162)</f>
        <v/>
      </c>
      <c r="H162" s="25"/>
      <c r="I162" s="41"/>
      <c r="J162" s="8" t="str">
        <f>IF(I162="PM","",IF(H162=0," ",I162-HLOOKUP('Course 5'!H162,'tab5'!$C$3:$N$4,2)))</f>
        <v xml:space="preserve"> </v>
      </c>
      <c r="K162" s="23" t="str">
        <f>IF(I162="PM","",IF(H162=0," ",J162/'Règles et points'!$F$23))</f>
        <v xml:space="preserve"> </v>
      </c>
      <c r="L162" s="3" t="str">
        <f>IF(H162=0,"",VLOOKUP(H162,'Règles et points'!$C$5:$AG$19,(HLOOKUP('Course 5'!C162,'Règles et points'!$C$5:$AG$5,1)+1)))</f>
        <v/>
      </c>
      <c r="M162" s="23">
        <f t="shared" si="2"/>
        <v>0</v>
      </c>
      <c r="N162" s="80"/>
      <c r="O162" s="51"/>
      <c r="P162" s="52"/>
    </row>
    <row r="163" spans="2:16" ht="12.75">
      <c r="B163" s="14">
        <v>159</v>
      </c>
      <c r="C163" s="28" t="str">
        <f>IF(Coureurs!C163="","",Coureurs!C163)</f>
        <v/>
      </c>
      <c r="D163" s="131" t="str">
        <f>IF(Coureurs!D163="","",Coureurs!D163)</f>
        <v>70</v>
      </c>
      <c r="E163" s="87" t="str">
        <f>IF(Coureurs!F163="","",Coureurs!F163)</f>
        <v/>
      </c>
      <c r="F163" s="87" t="str">
        <f>IF(Coureurs!G163="","",Coureurs!G163)</f>
        <v/>
      </c>
      <c r="G163" s="50" t="str">
        <f>IF(Coureurs!J163="","",Coureurs!J163)</f>
        <v/>
      </c>
      <c r="H163" s="25"/>
      <c r="I163" s="41"/>
      <c r="J163" s="8" t="str">
        <f>IF(I163="PM","",IF(H163=0," ",I163-HLOOKUP('Course 5'!H163,'tab5'!$C$3:$N$4,2)))</f>
        <v xml:space="preserve"> </v>
      </c>
      <c r="K163" s="23" t="str">
        <f>IF(I163="PM","",IF(H163=0," ",J163/'Règles et points'!$F$23))</f>
        <v xml:space="preserve"> </v>
      </c>
      <c r="L163" s="3" t="str">
        <f>IF(H163=0,"",VLOOKUP(H163,'Règles et points'!$C$5:$AG$19,(HLOOKUP('Course 5'!C163,'Règles et points'!$C$5:$AG$5,1)+1)))</f>
        <v/>
      </c>
      <c r="M163" s="23">
        <f t="shared" si="2"/>
        <v>0</v>
      </c>
      <c r="N163" s="80"/>
      <c r="O163" s="51"/>
      <c r="P163" s="52"/>
    </row>
    <row r="164" spans="2:16" ht="12.75">
      <c r="B164" s="14">
        <v>160</v>
      </c>
      <c r="C164" s="28" t="str">
        <f>IF(Coureurs!C164="","",Coureurs!C164)</f>
        <v/>
      </c>
      <c r="D164" s="131" t="str">
        <f>IF(Coureurs!D164="","",Coureurs!D164)</f>
        <v>70</v>
      </c>
      <c r="E164" s="87" t="str">
        <f>IF(Coureurs!F164="","",Coureurs!F164)</f>
        <v/>
      </c>
      <c r="F164" s="87" t="str">
        <f>IF(Coureurs!G164="","",Coureurs!G164)</f>
        <v/>
      </c>
      <c r="G164" s="50" t="str">
        <f>IF(Coureurs!J164="","",Coureurs!J164)</f>
        <v/>
      </c>
      <c r="H164" s="25"/>
      <c r="I164" s="41"/>
      <c r="J164" s="8" t="str">
        <f>IF(I164="PM","",IF(H164=0," ",I164-HLOOKUP('Course 5'!H164,'tab5'!$C$3:$N$4,2)))</f>
        <v xml:space="preserve"> </v>
      </c>
      <c r="K164" s="23" t="str">
        <f>IF(I164="PM","",IF(H164=0," ",J164/'Règles et points'!$F$23))</f>
        <v xml:space="preserve"> </v>
      </c>
      <c r="L164" s="3" t="str">
        <f>IF(H164=0,"",VLOOKUP(H164,'Règles et points'!$C$5:$AG$19,(HLOOKUP('Course 5'!C164,'Règles et points'!$C$5:$AG$5,1)+1)))</f>
        <v/>
      </c>
      <c r="M164" s="23">
        <f t="shared" si="2"/>
        <v>0</v>
      </c>
      <c r="N164" s="80"/>
      <c r="O164" s="51"/>
      <c r="P164" s="52"/>
    </row>
    <row r="165" spans="2:16" ht="12.75">
      <c r="B165" s="14">
        <v>161</v>
      </c>
      <c r="C165" s="28" t="str">
        <f>IF(Coureurs!C165="","",Coureurs!C165)</f>
        <v/>
      </c>
      <c r="D165" s="131" t="str">
        <f>IF(Coureurs!D165="","",Coureurs!D165)</f>
        <v>70</v>
      </c>
      <c r="E165" s="87" t="str">
        <f>IF(Coureurs!F165="","",Coureurs!F165)</f>
        <v/>
      </c>
      <c r="F165" s="87" t="str">
        <f>IF(Coureurs!G165="","",Coureurs!G165)</f>
        <v/>
      </c>
      <c r="G165" s="50" t="str">
        <f>IF(Coureurs!J165="","",Coureurs!J165)</f>
        <v/>
      </c>
      <c r="H165" s="25"/>
      <c r="I165" s="41"/>
      <c r="J165" s="8" t="str">
        <f>IF(I165="PM","",IF(H165=0," ",I165-HLOOKUP('Course 5'!H165,'tab5'!$C$3:$N$4,2)))</f>
        <v xml:space="preserve"> </v>
      </c>
      <c r="K165" s="23" t="str">
        <f>IF(I165="PM","",IF(H165=0," ",J165/'Règles et points'!$F$23))</f>
        <v xml:space="preserve"> </v>
      </c>
      <c r="L165" s="3" t="str">
        <f>IF(H165=0,"",VLOOKUP(H165,'Règles et points'!$C$5:$AG$19,(HLOOKUP('Course 5'!C165,'Règles et points'!$C$5:$AG$5,1)+1)))</f>
        <v/>
      </c>
      <c r="M165" s="23">
        <f t="shared" si="2"/>
        <v>0</v>
      </c>
      <c r="N165" s="80"/>
      <c r="O165" s="51"/>
      <c r="P165" s="52"/>
    </row>
    <row r="166" spans="2:16" ht="12.75">
      <c r="B166" s="14">
        <v>162</v>
      </c>
      <c r="C166" s="28" t="str">
        <f>IF(Coureurs!C166="","",Coureurs!C166)</f>
        <v/>
      </c>
      <c r="D166" s="131" t="str">
        <f>IF(Coureurs!D166="","",Coureurs!D166)</f>
        <v>70</v>
      </c>
      <c r="E166" s="87" t="str">
        <f>IF(Coureurs!F166="","",Coureurs!F166)</f>
        <v/>
      </c>
      <c r="F166" s="87" t="str">
        <f>IF(Coureurs!G166="","",Coureurs!G166)</f>
        <v/>
      </c>
      <c r="G166" s="50" t="str">
        <f>IF(Coureurs!J166="","",Coureurs!J166)</f>
        <v/>
      </c>
      <c r="H166" s="25"/>
      <c r="I166" s="41"/>
      <c r="J166" s="8" t="str">
        <f>IF(I166="PM","",IF(H166=0," ",I166-HLOOKUP('Course 5'!H166,'tab5'!$C$3:$N$4,2)))</f>
        <v xml:space="preserve"> </v>
      </c>
      <c r="K166" s="23" t="str">
        <f>IF(I166="PM","",IF(H166=0," ",J166/'Règles et points'!$F$23))</f>
        <v xml:space="preserve"> </v>
      </c>
      <c r="L166" s="3" t="str">
        <f>IF(H166=0,"",VLOOKUP(H166,'Règles et points'!$C$5:$AG$19,(HLOOKUP('Course 5'!C166,'Règles et points'!$C$5:$AG$5,1)+1)))</f>
        <v/>
      </c>
      <c r="M166" s="23">
        <f t="shared" si="2"/>
        <v>0</v>
      </c>
      <c r="N166" s="80"/>
      <c r="O166" s="51"/>
      <c r="P166" s="52"/>
    </row>
    <row r="167" spans="2:16" ht="12.75">
      <c r="B167" s="14">
        <v>163</v>
      </c>
      <c r="C167" s="28" t="str">
        <f>IF(Coureurs!C167="","",Coureurs!C167)</f>
        <v/>
      </c>
      <c r="D167" s="131" t="str">
        <f>IF(Coureurs!D167="","",Coureurs!D167)</f>
        <v>70</v>
      </c>
      <c r="E167" s="87" t="str">
        <f>IF(Coureurs!F167="","",Coureurs!F167)</f>
        <v/>
      </c>
      <c r="F167" s="87" t="str">
        <f>IF(Coureurs!G167="","",Coureurs!G167)</f>
        <v/>
      </c>
      <c r="G167" s="50" t="str">
        <f>IF(Coureurs!J167="","",Coureurs!J167)</f>
        <v/>
      </c>
      <c r="H167" s="25"/>
      <c r="I167" s="41"/>
      <c r="J167" s="8" t="str">
        <f>IF(I167="PM","",IF(H167=0," ",I167-HLOOKUP('Course 5'!H167,'tab5'!$C$3:$N$4,2)))</f>
        <v xml:space="preserve"> </v>
      </c>
      <c r="K167" s="23" t="str">
        <f>IF(I167="PM","",IF(H167=0," ",J167/'Règles et points'!$F$23))</f>
        <v xml:space="preserve"> </v>
      </c>
      <c r="L167" s="3" t="str">
        <f>IF(H167=0,"",VLOOKUP(H167,'Règles et points'!$C$5:$AG$19,(HLOOKUP('Course 5'!C167,'Règles et points'!$C$5:$AG$5,1)+1)))</f>
        <v/>
      </c>
      <c r="M167" s="23">
        <f t="shared" si="2"/>
        <v>0</v>
      </c>
      <c r="N167" s="80"/>
      <c r="O167" s="51"/>
      <c r="P167" s="52"/>
    </row>
    <row r="168" spans="2:16" ht="12.75">
      <c r="B168" s="14">
        <v>164</v>
      </c>
      <c r="C168" s="28" t="str">
        <f>IF(Coureurs!C168="","",Coureurs!C168)</f>
        <v/>
      </c>
      <c r="D168" s="131" t="str">
        <f>IF(Coureurs!D168="","",Coureurs!D168)</f>
        <v>70</v>
      </c>
      <c r="E168" s="87" t="str">
        <f>IF(Coureurs!F168="","",Coureurs!F168)</f>
        <v/>
      </c>
      <c r="F168" s="87" t="str">
        <f>IF(Coureurs!G168="","",Coureurs!G168)</f>
        <v/>
      </c>
      <c r="G168" s="50" t="str">
        <f>IF(Coureurs!J168="","",Coureurs!J168)</f>
        <v/>
      </c>
      <c r="H168" s="25"/>
      <c r="I168" s="41"/>
      <c r="J168" s="8" t="str">
        <f>IF(I168="PM","",IF(H168=0," ",I168-HLOOKUP('Course 5'!H168,'tab5'!$C$3:$N$4,2)))</f>
        <v xml:space="preserve"> </v>
      </c>
      <c r="K168" s="23" t="str">
        <f>IF(I168="PM","",IF(H168=0," ",J168/'Règles et points'!$F$23))</f>
        <v xml:space="preserve"> </v>
      </c>
      <c r="L168" s="3" t="str">
        <f>IF(H168=0,"",VLOOKUP(H168,'Règles et points'!$C$5:$AG$19,(HLOOKUP('Course 5'!C168,'Règles et points'!$C$5:$AG$5,1)+1)))</f>
        <v/>
      </c>
      <c r="M168" s="23">
        <f t="shared" si="2"/>
        <v>0</v>
      </c>
      <c r="N168" s="80"/>
      <c r="O168" s="51"/>
      <c r="P168" s="52"/>
    </row>
    <row r="169" spans="2:16" ht="12.75">
      <c r="B169" s="14">
        <v>165</v>
      </c>
      <c r="C169" s="28" t="str">
        <f>IF(Coureurs!C169="","",Coureurs!C169)</f>
        <v/>
      </c>
      <c r="D169" s="131" t="str">
        <f>IF(Coureurs!D169="","",Coureurs!D169)</f>
        <v>70</v>
      </c>
      <c r="E169" s="87" t="str">
        <f>IF(Coureurs!F169="","",Coureurs!F169)</f>
        <v/>
      </c>
      <c r="F169" s="87" t="str">
        <f>IF(Coureurs!G169="","",Coureurs!G169)</f>
        <v/>
      </c>
      <c r="G169" s="50" t="str">
        <f>IF(Coureurs!J169="","",Coureurs!J169)</f>
        <v/>
      </c>
      <c r="H169" s="25"/>
      <c r="I169" s="41"/>
      <c r="J169" s="8" t="str">
        <f>IF(I169="PM","",IF(H169=0," ",I169-HLOOKUP('Course 5'!H169,'tab5'!$C$3:$N$4,2)))</f>
        <v xml:space="preserve"> </v>
      </c>
      <c r="K169" s="23" t="str">
        <f>IF(I169="PM","",IF(H169=0," ",J169/'Règles et points'!$F$23))</f>
        <v xml:space="preserve"> </v>
      </c>
      <c r="L169" s="3" t="str">
        <f>IF(H169=0,"",VLOOKUP(H169,'Règles et points'!$C$5:$AG$19,(HLOOKUP('Course 5'!C169,'Règles et points'!$C$5:$AG$5,1)+1)))</f>
        <v/>
      </c>
      <c r="M169" s="23">
        <f t="shared" si="2"/>
        <v>0</v>
      </c>
      <c r="N169" s="80"/>
      <c r="O169" s="51"/>
      <c r="P169" s="52"/>
    </row>
    <row r="170" spans="2:16" ht="12.75">
      <c r="B170" s="14">
        <v>166</v>
      </c>
      <c r="C170" s="28" t="str">
        <f>IF(Coureurs!C170="","",Coureurs!C170)</f>
        <v/>
      </c>
      <c r="D170" s="131" t="str">
        <f>IF(Coureurs!D170="","",Coureurs!D170)</f>
        <v>70</v>
      </c>
      <c r="E170" s="87" t="str">
        <f>IF(Coureurs!F170="","",Coureurs!F170)</f>
        <v/>
      </c>
      <c r="F170" s="87" t="str">
        <f>IF(Coureurs!G170="","",Coureurs!G170)</f>
        <v/>
      </c>
      <c r="G170" s="50" t="str">
        <f>IF(Coureurs!J170="","",Coureurs!J170)</f>
        <v/>
      </c>
      <c r="H170" s="25"/>
      <c r="I170" s="41"/>
      <c r="J170" s="8" t="str">
        <f>IF(I170="PM","",IF(H170=0," ",I170-HLOOKUP('Course 5'!H170,'tab5'!$C$3:$N$4,2)))</f>
        <v xml:space="preserve"> </v>
      </c>
      <c r="K170" s="23" t="str">
        <f>IF(I170="PM","",IF(H170=0," ",J170/'Règles et points'!$F$23))</f>
        <v xml:space="preserve"> </v>
      </c>
      <c r="L170" s="3" t="str">
        <f>IF(H170=0,"",VLOOKUP(H170,'Règles et points'!$C$5:$AG$19,(HLOOKUP('Course 5'!C170,'Règles et points'!$C$5:$AG$5,1)+1)))</f>
        <v/>
      </c>
      <c r="M170" s="23">
        <f t="shared" si="2"/>
        <v>0</v>
      </c>
      <c r="N170" s="80"/>
      <c r="O170" s="51"/>
      <c r="P170" s="52"/>
    </row>
    <row r="171" spans="2:16" ht="12.75">
      <c r="B171" s="14">
        <v>167</v>
      </c>
      <c r="C171" s="28" t="str">
        <f>IF(Coureurs!C171="","",Coureurs!C171)</f>
        <v/>
      </c>
      <c r="D171" s="131" t="str">
        <f>IF(Coureurs!D171="","",Coureurs!D171)</f>
        <v>70</v>
      </c>
      <c r="E171" s="87" t="str">
        <f>IF(Coureurs!F171="","",Coureurs!F171)</f>
        <v/>
      </c>
      <c r="F171" s="87" t="str">
        <f>IF(Coureurs!G171="","",Coureurs!G171)</f>
        <v/>
      </c>
      <c r="G171" s="50" t="str">
        <f>IF(Coureurs!J171="","",Coureurs!J171)</f>
        <v/>
      </c>
      <c r="H171" s="25"/>
      <c r="I171" s="41"/>
      <c r="J171" s="8" t="str">
        <f>IF(I171="PM","",IF(H171=0," ",I171-HLOOKUP('Course 5'!H171,'tab5'!$C$3:$N$4,2)))</f>
        <v xml:space="preserve"> </v>
      </c>
      <c r="K171" s="23" t="str">
        <f>IF(I171="PM","",IF(H171=0," ",J171/'Règles et points'!$F$23))</f>
        <v xml:space="preserve"> </v>
      </c>
      <c r="L171" s="3" t="str">
        <f>IF(H171=0,"",VLOOKUP(H171,'Règles et points'!$C$5:$AG$19,(HLOOKUP('Course 5'!C171,'Règles et points'!$C$5:$AG$5,1)+1)))</f>
        <v/>
      </c>
      <c r="M171" s="23">
        <f t="shared" si="2"/>
        <v>0</v>
      </c>
      <c r="N171" s="80"/>
      <c r="O171" s="51"/>
      <c r="P171" s="52"/>
    </row>
    <row r="172" spans="2:16" ht="12.75">
      <c r="B172" s="14">
        <v>168</v>
      </c>
      <c r="C172" s="28" t="str">
        <f>IF(Coureurs!C172="","",Coureurs!C172)</f>
        <v/>
      </c>
      <c r="D172" s="131" t="str">
        <f>IF(Coureurs!D172="","",Coureurs!D172)</f>
        <v>70</v>
      </c>
      <c r="E172" s="87" t="str">
        <f>IF(Coureurs!F172="","",Coureurs!F172)</f>
        <v/>
      </c>
      <c r="F172" s="87" t="str">
        <f>IF(Coureurs!G172="","",Coureurs!G172)</f>
        <v/>
      </c>
      <c r="G172" s="50" t="str">
        <f>IF(Coureurs!J172="","",Coureurs!J172)</f>
        <v/>
      </c>
      <c r="H172" s="25"/>
      <c r="I172" s="41"/>
      <c r="J172" s="8" t="str">
        <f>IF(I172="PM","",IF(H172=0," ",I172-HLOOKUP('Course 5'!H172,'tab5'!$C$3:$N$4,2)))</f>
        <v xml:space="preserve"> </v>
      </c>
      <c r="K172" s="23" t="str">
        <f>IF(I172="PM","",IF(H172=0," ",J172/'Règles et points'!$F$23))</f>
        <v xml:space="preserve"> </v>
      </c>
      <c r="L172" s="3" t="str">
        <f>IF(H172=0,"",VLOOKUP(H172,'Règles et points'!$C$5:$AG$19,(HLOOKUP('Course 5'!C172,'Règles et points'!$C$5:$AG$5,1)+1)))</f>
        <v/>
      </c>
      <c r="M172" s="23">
        <f t="shared" si="2"/>
        <v>0</v>
      </c>
      <c r="N172" s="80"/>
      <c r="O172" s="51"/>
      <c r="P172" s="52"/>
    </row>
    <row r="173" spans="2:16" ht="12.75">
      <c r="B173" s="14">
        <v>169</v>
      </c>
      <c r="C173" s="28" t="str">
        <f>IF(Coureurs!C173="","",Coureurs!C173)</f>
        <v/>
      </c>
      <c r="D173" s="131" t="str">
        <f>IF(Coureurs!D173="","",Coureurs!D173)</f>
        <v>70</v>
      </c>
      <c r="E173" s="87" t="str">
        <f>IF(Coureurs!F173="","",Coureurs!F173)</f>
        <v/>
      </c>
      <c r="F173" s="87" t="str">
        <f>IF(Coureurs!G173="","",Coureurs!G173)</f>
        <v/>
      </c>
      <c r="G173" s="50" t="str">
        <f>IF(Coureurs!J173="","",Coureurs!J173)</f>
        <v/>
      </c>
      <c r="H173" s="25"/>
      <c r="I173" s="41"/>
      <c r="J173" s="8" t="str">
        <f>IF(I173="PM","",IF(H173=0," ",I173-HLOOKUP('Course 5'!H173,'tab5'!$C$3:$N$4,2)))</f>
        <v xml:space="preserve"> </v>
      </c>
      <c r="K173" s="23" t="str">
        <f>IF(I173="PM","",IF(H173=0," ",J173/'Règles et points'!$F$23))</f>
        <v xml:space="preserve"> </v>
      </c>
      <c r="L173" s="3" t="str">
        <f>IF(H173=0,"",VLOOKUP(H173,'Règles et points'!$C$5:$AG$19,(HLOOKUP('Course 5'!C173,'Règles et points'!$C$5:$AG$5,1)+1)))</f>
        <v/>
      </c>
      <c r="M173" s="23">
        <f t="shared" si="2"/>
        <v>0</v>
      </c>
      <c r="N173" s="80"/>
      <c r="O173" s="51"/>
      <c r="P173" s="52"/>
    </row>
    <row r="174" spans="2:16" ht="12.75">
      <c r="B174" s="14">
        <v>170</v>
      </c>
      <c r="C174" s="28" t="str">
        <f>IF(Coureurs!C174="","",Coureurs!C174)</f>
        <v/>
      </c>
      <c r="D174" s="131" t="str">
        <f>IF(Coureurs!D174="","",Coureurs!D174)</f>
        <v>70</v>
      </c>
      <c r="E174" s="87" t="str">
        <f>IF(Coureurs!F174="","",Coureurs!F174)</f>
        <v/>
      </c>
      <c r="F174" s="87" t="str">
        <f>IF(Coureurs!G174="","",Coureurs!G174)</f>
        <v/>
      </c>
      <c r="G174" s="50" t="str">
        <f>IF(Coureurs!J174="","",Coureurs!J174)</f>
        <v/>
      </c>
      <c r="H174" s="25"/>
      <c r="I174" s="41"/>
      <c r="J174" s="8" t="str">
        <f>IF(I174="PM","",IF(H174=0," ",I174-HLOOKUP('Course 5'!H174,'tab5'!$C$3:$N$4,2)))</f>
        <v xml:space="preserve"> </v>
      </c>
      <c r="K174" s="23" t="str">
        <f>IF(I174="PM","",IF(H174=0," ",J174/'Règles et points'!$F$23))</f>
        <v xml:space="preserve"> </v>
      </c>
      <c r="L174" s="3" t="str">
        <f>IF(H174=0,"",VLOOKUP(H174,'Règles et points'!$C$5:$AG$19,(HLOOKUP('Course 5'!C174,'Règles et points'!$C$5:$AG$5,1)+1)))</f>
        <v/>
      </c>
      <c r="M174" s="23">
        <f t="shared" si="2"/>
        <v>0</v>
      </c>
      <c r="N174" s="80"/>
      <c r="O174" s="51"/>
      <c r="P174" s="52"/>
    </row>
    <row r="175" spans="2:16" ht="12.75">
      <c r="B175" s="14">
        <v>171</v>
      </c>
      <c r="C175" s="28" t="str">
        <f>IF(Coureurs!C175="","",Coureurs!C175)</f>
        <v/>
      </c>
      <c r="D175" s="131" t="str">
        <f>IF(Coureurs!D175="","",Coureurs!D175)</f>
        <v>70</v>
      </c>
      <c r="E175" s="87" t="str">
        <f>IF(Coureurs!F175="","",Coureurs!F175)</f>
        <v/>
      </c>
      <c r="F175" s="87" t="str">
        <f>IF(Coureurs!G175="","",Coureurs!G175)</f>
        <v/>
      </c>
      <c r="G175" s="50" t="str">
        <f>IF(Coureurs!J175="","",Coureurs!J175)</f>
        <v/>
      </c>
      <c r="H175" s="25"/>
      <c r="I175" s="41"/>
      <c r="J175" s="8" t="str">
        <f>IF(I175="PM","",IF(H175=0," ",I175-HLOOKUP('Course 5'!H175,'tab5'!$C$3:$N$4,2)))</f>
        <v xml:space="preserve"> </v>
      </c>
      <c r="K175" s="23" t="str">
        <f>IF(I175="PM","",IF(H175=0," ",J175/'Règles et points'!$F$23))</f>
        <v xml:space="preserve"> </v>
      </c>
      <c r="L175" s="3" t="str">
        <f>IF(H175=0,"",VLOOKUP(H175,'Règles et points'!$C$5:$AG$19,(HLOOKUP('Course 5'!C175,'Règles et points'!$C$5:$AG$5,1)+1)))</f>
        <v/>
      </c>
      <c r="M175" s="23">
        <f t="shared" si="2"/>
        <v>0</v>
      </c>
      <c r="N175" s="80"/>
      <c r="O175" s="51"/>
      <c r="P175" s="52"/>
    </row>
    <row r="176" spans="2:16" ht="12.75">
      <c r="B176" s="14">
        <v>172</v>
      </c>
      <c r="C176" s="28" t="str">
        <f>IF(Coureurs!C176="","",Coureurs!C176)</f>
        <v/>
      </c>
      <c r="D176" s="131" t="str">
        <f>IF(Coureurs!D176="","",Coureurs!D176)</f>
        <v>70</v>
      </c>
      <c r="E176" s="87" t="str">
        <f>IF(Coureurs!F176="","",Coureurs!F176)</f>
        <v/>
      </c>
      <c r="F176" s="87" t="str">
        <f>IF(Coureurs!G176="","",Coureurs!G176)</f>
        <v/>
      </c>
      <c r="G176" s="50" t="str">
        <f>IF(Coureurs!J176="","",Coureurs!J176)</f>
        <v/>
      </c>
      <c r="H176" s="25"/>
      <c r="I176" s="41"/>
      <c r="J176" s="8" t="str">
        <f>IF(I176="PM","",IF(H176=0," ",I176-HLOOKUP('Course 5'!H176,'tab5'!$C$3:$N$4,2)))</f>
        <v xml:space="preserve"> </v>
      </c>
      <c r="K176" s="23" t="str">
        <f>IF(I176="PM","",IF(H176=0," ",J176/'Règles et points'!$F$23))</f>
        <v xml:space="preserve"> </v>
      </c>
      <c r="L176" s="3" t="str">
        <f>IF(H176=0,"",VLOOKUP(H176,'Règles et points'!$C$5:$AG$19,(HLOOKUP('Course 5'!C176,'Règles et points'!$C$5:$AG$5,1)+1)))</f>
        <v/>
      </c>
      <c r="M176" s="23">
        <f t="shared" si="2"/>
        <v>0</v>
      </c>
      <c r="N176" s="80"/>
      <c r="O176" s="51"/>
      <c r="P176" s="52"/>
    </row>
    <row r="177" spans="2:16" ht="12.75">
      <c r="B177" s="14">
        <v>173</v>
      </c>
      <c r="C177" s="28" t="str">
        <f>IF(Coureurs!C177="","",Coureurs!C177)</f>
        <v/>
      </c>
      <c r="D177" s="131" t="str">
        <f>IF(Coureurs!D177="","",Coureurs!D177)</f>
        <v>70</v>
      </c>
      <c r="E177" s="87" t="str">
        <f>IF(Coureurs!F177="","",Coureurs!F177)</f>
        <v/>
      </c>
      <c r="F177" s="87" t="str">
        <f>IF(Coureurs!G177="","",Coureurs!G177)</f>
        <v/>
      </c>
      <c r="G177" s="50" t="str">
        <f>IF(Coureurs!J177="","",Coureurs!J177)</f>
        <v/>
      </c>
      <c r="H177" s="25"/>
      <c r="I177" s="41"/>
      <c r="J177" s="8" t="str">
        <f>IF(I177="PM","",IF(H177=0," ",I177-HLOOKUP('Course 5'!H177,'tab5'!$C$3:$N$4,2)))</f>
        <v xml:space="preserve"> </v>
      </c>
      <c r="K177" s="23" t="str">
        <f>IF(I177="PM","",IF(H177=0," ",J177/'Règles et points'!$F$23))</f>
        <v xml:space="preserve"> </v>
      </c>
      <c r="L177" s="3" t="str">
        <f>IF(H177=0,"",VLOOKUP(H177,'Règles et points'!$C$5:$AG$19,(HLOOKUP('Course 5'!C177,'Règles et points'!$C$5:$AG$5,1)+1)))</f>
        <v/>
      </c>
      <c r="M177" s="23">
        <f t="shared" si="2"/>
        <v>0</v>
      </c>
      <c r="N177" s="80"/>
      <c r="O177" s="51"/>
      <c r="P177" s="52"/>
    </row>
    <row r="178" spans="2:16" ht="12.75">
      <c r="B178" s="14">
        <v>174</v>
      </c>
      <c r="C178" s="28" t="str">
        <f>IF(Coureurs!C178="","",Coureurs!C178)</f>
        <v/>
      </c>
      <c r="D178" s="131" t="str">
        <f>IF(Coureurs!D178="","",Coureurs!D178)</f>
        <v>70</v>
      </c>
      <c r="E178" s="87" t="str">
        <f>IF(Coureurs!F178="","",Coureurs!F178)</f>
        <v/>
      </c>
      <c r="F178" s="87" t="str">
        <f>IF(Coureurs!G178="","",Coureurs!G178)</f>
        <v/>
      </c>
      <c r="G178" s="50" t="str">
        <f>IF(Coureurs!J178="","",Coureurs!J178)</f>
        <v/>
      </c>
      <c r="H178" s="25"/>
      <c r="I178" s="41"/>
      <c r="J178" s="8" t="str">
        <f>IF(I178="PM","",IF(H178=0," ",I178-HLOOKUP('Course 5'!H178,'tab5'!$C$3:$N$4,2)))</f>
        <v xml:space="preserve"> </v>
      </c>
      <c r="K178" s="23" t="str">
        <f>IF(I178="PM","",IF(H178=0," ",J178/'Règles et points'!$F$23))</f>
        <v xml:space="preserve"> </v>
      </c>
      <c r="L178" s="3" t="str">
        <f>IF(H178=0,"",VLOOKUP(H178,'Règles et points'!$C$5:$AG$19,(HLOOKUP('Course 5'!C178,'Règles et points'!$C$5:$AG$5,1)+1)))</f>
        <v/>
      </c>
      <c r="M178" s="23">
        <f t="shared" si="2"/>
        <v>0</v>
      </c>
      <c r="N178" s="80"/>
      <c r="O178" s="51"/>
      <c r="P178" s="52"/>
    </row>
    <row r="179" spans="2:16" ht="12.75">
      <c r="B179" s="14">
        <v>175</v>
      </c>
      <c r="C179" s="28" t="str">
        <f>IF(Coureurs!C179="","",Coureurs!C179)</f>
        <v/>
      </c>
      <c r="D179" s="131" t="str">
        <f>IF(Coureurs!D179="","",Coureurs!D179)</f>
        <v>70</v>
      </c>
      <c r="E179" s="87" t="str">
        <f>IF(Coureurs!F179="","",Coureurs!F179)</f>
        <v/>
      </c>
      <c r="F179" s="87" t="str">
        <f>IF(Coureurs!G179="","",Coureurs!G179)</f>
        <v/>
      </c>
      <c r="G179" s="50" t="str">
        <f>IF(Coureurs!J179="","",Coureurs!J179)</f>
        <v/>
      </c>
      <c r="H179" s="25"/>
      <c r="I179" s="41"/>
      <c r="J179" s="8" t="str">
        <f>IF(I179="PM","",IF(H179=0," ",I179-HLOOKUP('Course 5'!H179,'tab5'!$C$3:$N$4,2)))</f>
        <v xml:space="preserve"> </v>
      </c>
      <c r="K179" s="23" t="str">
        <f>IF(I179="PM","",IF(H179=0," ",J179/'Règles et points'!$F$23))</f>
        <v xml:space="preserve"> </v>
      </c>
      <c r="L179" s="3" t="str">
        <f>IF(H179=0,"",VLOOKUP(H179,'Règles et points'!$C$5:$AG$19,(HLOOKUP('Course 5'!C179,'Règles et points'!$C$5:$AG$5,1)+1)))</f>
        <v/>
      </c>
      <c r="M179" s="23">
        <f t="shared" si="2"/>
        <v>0</v>
      </c>
      <c r="N179" s="80"/>
      <c r="O179" s="51"/>
      <c r="P179" s="52"/>
    </row>
    <row r="180" spans="2:16" ht="12.75">
      <c r="B180" s="14">
        <v>176</v>
      </c>
      <c r="C180" s="28" t="str">
        <f>IF(Coureurs!C180="","",Coureurs!C180)</f>
        <v/>
      </c>
      <c r="D180" s="131" t="str">
        <f>IF(Coureurs!D180="","",Coureurs!D180)</f>
        <v>70</v>
      </c>
      <c r="E180" s="87" t="str">
        <f>IF(Coureurs!F180="","",Coureurs!F180)</f>
        <v/>
      </c>
      <c r="F180" s="87" t="str">
        <f>IF(Coureurs!G180="","",Coureurs!G180)</f>
        <v/>
      </c>
      <c r="G180" s="50" t="str">
        <f>IF(Coureurs!J180="","",Coureurs!J180)</f>
        <v/>
      </c>
      <c r="H180" s="25"/>
      <c r="I180" s="41"/>
      <c r="J180" s="8" t="str">
        <f>IF(I180="PM","",IF(H180=0," ",I180-HLOOKUP('Course 5'!H180,'tab5'!$C$3:$N$4,2)))</f>
        <v xml:space="preserve"> </v>
      </c>
      <c r="K180" s="23" t="str">
        <f>IF(I180="PM","",IF(H180=0," ",J180/'Règles et points'!$F$23))</f>
        <v xml:space="preserve"> </v>
      </c>
      <c r="L180" s="3" t="str">
        <f>IF(H180=0,"",VLOOKUP(H180,'Règles et points'!$C$5:$AG$19,(HLOOKUP('Course 5'!C180,'Règles et points'!$C$5:$AG$5,1)+1)))</f>
        <v/>
      </c>
      <c r="M180" s="23">
        <f t="shared" si="2"/>
        <v>0</v>
      </c>
      <c r="N180" s="80"/>
      <c r="O180" s="51"/>
      <c r="P180" s="52"/>
    </row>
    <row r="181" spans="2:16" ht="12.75">
      <c r="B181" s="14">
        <v>177</v>
      </c>
      <c r="C181" s="28" t="str">
        <f>IF(Coureurs!C181="","",Coureurs!C181)</f>
        <v/>
      </c>
      <c r="D181" s="131" t="str">
        <f>IF(Coureurs!D181="","",Coureurs!D181)</f>
        <v>70</v>
      </c>
      <c r="E181" s="87" t="str">
        <f>IF(Coureurs!F181="","",Coureurs!F181)</f>
        <v/>
      </c>
      <c r="F181" s="87" t="str">
        <f>IF(Coureurs!G181="","",Coureurs!G181)</f>
        <v/>
      </c>
      <c r="G181" s="50" t="str">
        <f>IF(Coureurs!J181="","",Coureurs!J181)</f>
        <v/>
      </c>
      <c r="H181" s="25"/>
      <c r="I181" s="41"/>
      <c r="J181" s="8" t="str">
        <f>IF(I181="PM","",IF(H181=0," ",I181-HLOOKUP('Course 5'!H181,'tab5'!$C$3:$N$4,2)))</f>
        <v xml:space="preserve"> </v>
      </c>
      <c r="K181" s="23" t="str">
        <f>IF(I181="PM","",IF(H181=0," ",J181/'Règles et points'!$F$23))</f>
        <v xml:space="preserve"> </v>
      </c>
      <c r="L181" s="3" t="str">
        <f>IF(H181=0,"",VLOOKUP(H181,'Règles et points'!$C$5:$AG$19,(HLOOKUP('Course 5'!C181,'Règles et points'!$C$5:$AG$5,1)+1)))</f>
        <v/>
      </c>
      <c r="M181" s="23">
        <f t="shared" si="2"/>
        <v>0</v>
      </c>
      <c r="N181" s="80"/>
      <c r="O181" s="51"/>
      <c r="P181" s="52"/>
    </row>
    <row r="182" spans="2:16" ht="12.75">
      <c r="B182" s="14">
        <v>178</v>
      </c>
      <c r="C182" s="28" t="str">
        <f>IF(Coureurs!C182="","",Coureurs!C182)</f>
        <v/>
      </c>
      <c r="D182" s="131" t="str">
        <f>IF(Coureurs!D182="","",Coureurs!D182)</f>
        <v>70</v>
      </c>
      <c r="E182" s="87" t="str">
        <f>IF(Coureurs!F182="","",Coureurs!F182)</f>
        <v/>
      </c>
      <c r="F182" s="87" t="str">
        <f>IF(Coureurs!G182="","",Coureurs!G182)</f>
        <v/>
      </c>
      <c r="G182" s="50" t="str">
        <f>IF(Coureurs!J182="","",Coureurs!J182)</f>
        <v/>
      </c>
      <c r="H182" s="25"/>
      <c r="I182" s="41"/>
      <c r="J182" s="8" t="str">
        <f>IF(I182="PM","",IF(H182=0," ",I182-HLOOKUP('Course 5'!H182,'tab5'!$C$3:$N$4,2)))</f>
        <v xml:space="preserve"> </v>
      </c>
      <c r="K182" s="23" t="str">
        <f>IF(I182="PM","",IF(H182=0," ",J182/'Règles et points'!$F$23))</f>
        <v xml:space="preserve"> </v>
      </c>
      <c r="L182" s="3" t="str">
        <f>IF(H182=0,"",VLOOKUP(H182,'Règles et points'!$C$5:$AG$19,(HLOOKUP('Course 5'!C182,'Règles et points'!$C$5:$AG$5,1)+1)))</f>
        <v/>
      </c>
      <c r="M182" s="23">
        <f t="shared" si="2"/>
        <v>0</v>
      </c>
      <c r="N182" s="80"/>
      <c r="O182" s="51"/>
      <c r="P182" s="52"/>
    </row>
    <row r="183" spans="2:16" ht="12.75">
      <c r="B183" s="14">
        <v>179</v>
      </c>
      <c r="C183" s="28" t="str">
        <f>IF(Coureurs!C183="","",Coureurs!C183)</f>
        <v/>
      </c>
      <c r="D183" s="131" t="str">
        <f>IF(Coureurs!D183="","",Coureurs!D183)</f>
        <v>70</v>
      </c>
      <c r="E183" s="87" t="str">
        <f>IF(Coureurs!F183="","",Coureurs!F183)</f>
        <v/>
      </c>
      <c r="F183" s="87" t="str">
        <f>IF(Coureurs!G183="","",Coureurs!G183)</f>
        <v/>
      </c>
      <c r="G183" s="50" t="str">
        <f>IF(Coureurs!J183="","",Coureurs!J183)</f>
        <v/>
      </c>
      <c r="H183" s="25"/>
      <c r="I183" s="41"/>
      <c r="J183" s="8" t="str">
        <f>IF(I183="PM","",IF(H183=0," ",I183-HLOOKUP('Course 5'!H183,'tab5'!$C$3:$N$4,2)))</f>
        <v xml:space="preserve"> </v>
      </c>
      <c r="K183" s="23" t="str">
        <f>IF(I183="PM","",IF(H183=0," ",J183/'Règles et points'!$F$23))</f>
        <v xml:space="preserve"> </v>
      </c>
      <c r="L183" s="3" t="str">
        <f>IF(H183=0,"",VLOOKUP(H183,'Règles et points'!$C$5:$AG$19,(HLOOKUP('Course 5'!C183,'Règles et points'!$C$5:$AG$5,1)+1)))</f>
        <v/>
      </c>
      <c r="M183" s="23">
        <f t="shared" si="2"/>
        <v>0</v>
      </c>
      <c r="N183" s="80"/>
      <c r="O183" s="51"/>
      <c r="P183" s="52"/>
    </row>
    <row r="184" spans="2:16" ht="12.75">
      <c r="B184" s="14">
        <v>180</v>
      </c>
      <c r="C184" s="28" t="str">
        <f>IF(Coureurs!C184="","",Coureurs!C184)</f>
        <v/>
      </c>
      <c r="D184" s="131" t="str">
        <f>IF(Coureurs!D184="","",Coureurs!D184)</f>
        <v>70</v>
      </c>
      <c r="E184" s="87" t="str">
        <f>IF(Coureurs!F184="","",Coureurs!F184)</f>
        <v/>
      </c>
      <c r="F184" s="87" t="str">
        <f>IF(Coureurs!G184="","",Coureurs!G184)</f>
        <v/>
      </c>
      <c r="G184" s="50" t="str">
        <f>IF(Coureurs!J184="","",Coureurs!J184)</f>
        <v/>
      </c>
      <c r="H184" s="25"/>
      <c r="I184" s="41"/>
      <c r="J184" s="8" t="str">
        <f>IF(I184="PM","",IF(H184=0," ",I184-HLOOKUP('Course 5'!H184,'tab5'!$C$3:$N$4,2)))</f>
        <v xml:space="preserve"> </v>
      </c>
      <c r="K184" s="23" t="str">
        <f>IF(I184="PM","",IF(H184=0," ",J184/'Règles et points'!$F$23))</f>
        <v xml:space="preserve"> </v>
      </c>
      <c r="L184" s="3" t="str">
        <f>IF(H184=0,"",VLOOKUP(H184,'Règles et points'!$C$5:$AG$19,(HLOOKUP('Course 5'!C184,'Règles et points'!$C$5:$AG$5,1)+1)))</f>
        <v/>
      </c>
      <c r="M184" s="23">
        <f t="shared" si="2"/>
        <v>0</v>
      </c>
      <c r="N184" s="80"/>
      <c r="O184" s="51"/>
      <c r="P184" s="52"/>
    </row>
    <row r="185" spans="2:16" ht="12.75">
      <c r="B185" s="14">
        <v>181</v>
      </c>
      <c r="C185" s="28" t="str">
        <f>IF(Coureurs!C185="","",Coureurs!C185)</f>
        <v/>
      </c>
      <c r="D185" s="131" t="str">
        <f>IF(Coureurs!D185="","",Coureurs!D185)</f>
        <v>70</v>
      </c>
      <c r="E185" s="87" t="str">
        <f>IF(Coureurs!F185="","",Coureurs!F185)</f>
        <v/>
      </c>
      <c r="F185" s="87" t="str">
        <f>IF(Coureurs!G185="","",Coureurs!G185)</f>
        <v/>
      </c>
      <c r="G185" s="50" t="str">
        <f>IF(Coureurs!J185="","",Coureurs!J185)</f>
        <v/>
      </c>
      <c r="H185" s="25"/>
      <c r="I185" s="41"/>
      <c r="J185" s="8" t="str">
        <f>IF(I185="PM","",IF(H185=0," ",I185-HLOOKUP('Course 5'!H185,'tab5'!$C$3:$N$4,2)))</f>
        <v xml:space="preserve"> </v>
      </c>
      <c r="K185" s="23" t="str">
        <f>IF(I185="PM","",IF(H185=0," ",J185/'Règles et points'!$F$23))</f>
        <v xml:space="preserve"> </v>
      </c>
      <c r="L185" s="3" t="str">
        <f>IF(H185=0,"",VLOOKUP(H185,'Règles et points'!$C$5:$AG$19,(HLOOKUP('Course 5'!C185,'Règles et points'!$C$5:$AG$5,1)+1)))</f>
        <v/>
      </c>
      <c r="M185" s="23">
        <f t="shared" si="2"/>
        <v>0</v>
      </c>
      <c r="N185" s="80"/>
      <c r="O185" s="51"/>
      <c r="P185" s="52"/>
    </row>
    <row r="186" spans="2:16" ht="12.75">
      <c r="B186" s="14">
        <v>182</v>
      </c>
      <c r="C186" s="28" t="str">
        <f>IF(Coureurs!C186="","",Coureurs!C186)</f>
        <v/>
      </c>
      <c r="D186" s="131" t="str">
        <f>IF(Coureurs!D186="","",Coureurs!D186)</f>
        <v>70</v>
      </c>
      <c r="E186" s="87" t="str">
        <f>IF(Coureurs!F186="","",Coureurs!F186)</f>
        <v/>
      </c>
      <c r="F186" s="87" t="str">
        <f>IF(Coureurs!G186="","",Coureurs!G186)</f>
        <v/>
      </c>
      <c r="G186" s="50" t="str">
        <f>IF(Coureurs!J186="","",Coureurs!J186)</f>
        <v/>
      </c>
      <c r="H186" s="25"/>
      <c r="I186" s="41"/>
      <c r="J186" s="8" t="str">
        <f>IF(I186="PM","",IF(H186=0," ",I186-HLOOKUP('Course 5'!H186,'tab5'!$C$3:$N$4,2)))</f>
        <v xml:space="preserve"> </v>
      </c>
      <c r="K186" s="23" t="str">
        <f>IF(I186="PM","",IF(H186=0," ",J186/'Règles et points'!$F$23))</f>
        <v xml:space="preserve"> </v>
      </c>
      <c r="L186" s="3" t="str">
        <f>IF(H186=0,"",VLOOKUP(H186,'Règles et points'!$C$5:$AG$19,(HLOOKUP('Course 5'!C186,'Règles et points'!$C$5:$AG$5,1)+1)))</f>
        <v/>
      </c>
      <c r="M186" s="23">
        <f t="shared" si="2"/>
        <v>0</v>
      </c>
      <c r="N186" s="80"/>
      <c r="O186" s="51"/>
      <c r="P186" s="52"/>
    </row>
    <row r="187" spans="2:16" ht="12.75">
      <c r="B187" s="14">
        <v>183</v>
      </c>
      <c r="C187" s="28" t="str">
        <f>IF(Coureurs!C187="","",Coureurs!C187)</f>
        <v/>
      </c>
      <c r="D187" s="131" t="str">
        <f>IF(Coureurs!D187="","",Coureurs!D187)</f>
        <v>70</v>
      </c>
      <c r="E187" s="87" t="str">
        <f>IF(Coureurs!F187="","",Coureurs!F187)</f>
        <v/>
      </c>
      <c r="F187" s="87" t="str">
        <f>IF(Coureurs!G187="","",Coureurs!G187)</f>
        <v/>
      </c>
      <c r="G187" s="50" t="str">
        <f>IF(Coureurs!J187="","",Coureurs!J187)</f>
        <v/>
      </c>
      <c r="H187" s="25"/>
      <c r="I187" s="41"/>
      <c r="J187" s="8" t="str">
        <f>IF(I187="PM","",IF(H187=0," ",I187-HLOOKUP('Course 5'!H187,'tab5'!$C$3:$N$4,2)))</f>
        <v xml:space="preserve"> </v>
      </c>
      <c r="K187" s="23" t="str">
        <f>IF(I187="PM","",IF(H187=0," ",J187/'Règles et points'!$F$23))</f>
        <v xml:space="preserve"> </v>
      </c>
      <c r="L187" s="3" t="str">
        <f>IF(H187=0,"",VLOOKUP(H187,'Règles et points'!$C$5:$AG$19,(HLOOKUP('Course 5'!C187,'Règles et points'!$C$5:$AG$5,1)+1)))</f>
        <v/>
      </c>
      <c r="M187" s="23">
        <f t="shared" si="2"/>
        <v>0</v>
      </c>
      <c r="N187" s="80"/>
      <c r="O187" s="51"/>
      <c r="P187" s="52"/>
    </row>
    <row r="188" spans="2:16" ht="12.75">
      <c r="B188" s="14">
        <v>184</v>
      </c>
      <c r="C188" s="28" t="str">
        <f>IF(Coureurs!C188="","",Coureurs!C188)</f>
        <v/>
      </c>
      <c r="D188" s="131" t="str">
        <f>IF(Coureurs!D188="","",Coureurs!D188)</f>
        <v>70</v>
      </c>
      <c r="E188" s="87" t="str">
        <f>IF(Coureurs!F188="","",Coureurs!F188)</f>
        <v/>
      </c>
      <c r="F188" s="87" t="str">
        <f>IF(Coureurs!G188="","",Coureurs!G188)</f>
        <v/>
      </c>
      <c r="G188" s="50" t="str">
        <f>IF(Coureurs!J188="","",Coureurs!J188)</f>
        <v/>
      </c>
      <c r="H188" s="25"/>
      <c r="I188" s="41"/>
      <c r="J188" s="8" t="str">
        <f>IF(I188="PM","",IF(H188=0," ",I188-HLOOKUP('Course 5'!H188,'tab5'!$C$3:$N$4,2)))</f>
        <v xml:space="preserve"> </v>
      </c>
      <c r="K188" s="23" t="str">
        <f>IF(I188="PM","",IF(H188=0," ",J188/'Règles et points'!$F$23))</f>
        <v xml:space="preserve"> </v>
      </c>
      <c r="L188" s="3" t="str">
        <f>IF(H188=0,"",VLOOKUP(H188,'Règles et points'!$C$5:$AG$19,(HLOOKUP('Course 5'!C188,'Règles et points'!$C$5:$AG$5,1)+1)))</f>
        <v/>
      </c>
      <c r="M188" s="23">
        <f t="shared" si="2"/>
        <v>0</v>
      </c>
      <c r="N188" s="80"/>
      <c r="O188" s="51"/>
      <c r="P188" s="52"/>
    </row>
    <row r="189" spans="2:16" ht="12.75">
      <c r="B189" s="14">
        <v>185</v>
      </c>
      <c r="C189" s="28" t="str">
        <f>IF(Coureurs!C189="","",Coureurs!C189)</f>
        <v/>
      </c>
      <c r="D189" s="131" t="str">
        <f>IF(Coureurs!D189="","",Coureurs!D189)</f>
        <v>70</v>
      </c>
      <c r="E189" s="87" t="str">
        <f>IF(Coureurs!F189="","",Coureurs!F189)</f>
        <v/>
      </c>
      <c r="F189" s="87" t="str">
        <f>IF(Coureurs!G189="","",Coureurs!G189)</f>
        <v/>
      </c>
      <c r="G189" s="50" t="str">
        <f>IF(Coureurs!J189="","",Coureurs!J189)</f>
        <v/>
      </c>
      <c r="H189" s="25"/>
      <c r="I189" s="41"/>
      <c r="J189" s="8" t="str">
        <f>IF(I189="PM","",IF(H189=0," ",I189-HLOOKUP('Course 5'!H189,'tab5'!$C$3:$N$4,2)))</f>
        <v xml:space="preserve"> </v>
      </c>
      <c r="K189" s="23" t="str">
        <f>IF(I189="PM","",IF(H189=0," ",J189/'Règles et points'!$F$23))</f>
        <v xml:space="preserve"> </v>
      </c>
      <c r="L189" s="3" t="str">
        <f>IF(H189=0,"",VLOOKUP(H189,'Règles et points'!$C$5:$AG$19,(HLOOKUP('Course 5'!C189,'Règles et points'!$C$5:$AG$5,1)+1)))</f>
        <v/>
      </c>
      <c r="M189" s="23">
        <f t="shared" si="2"/>
        <v>0</v>
      </c>
      <c r="N189" s="80"/>
      <c r="O189" s="51"/>
      <c r="P189" s="52"/>
    </row>
    <row r="190" spans="2:16" ht="12.75">
      <c r="B190" s="14">
        <v>186</v>
      </c>
      <c r="C190" s="28" t="str">
        <f>IF(Coureurs!C190="","",Coureurs!C190)</f>
        <v/>
      </c>
      <c r="D190" s="131" t="str">
        <f>IF(Coureurs!D190="","",Coureurs!D190)</f>
        <v>70</v>
      </c>
      <c r="E190" s="87" t="str">
        <f>IF(Coureurs!F190="","",Coureurs!F190)</f>
        <v/>
      </c>
      <c r="F190" s="87" t="str">
        <f>IF(Coureurs!G190="","",Coureurs!G190)</f>
        <v/>
      </c>
      <c r="G190" s="50" t="str">
        <f>IF(Coureurs!J190="","",Coureurs!J190)</f>
        <v/>
      </c>
      <c r="H190" s="25"/>
      <c r="I190" s="41"/>
      <c r="J190" s="8" t="str">
        <f>IF(I190="PM","",IF(H190=0," ",I190-HLOOKUP('Course 5'!H190,'tab5'!$C$3:$N$4,2)))</f>
        <v xml:space="preserve"> </v>
      </c>
      <c r="K190" s="23" t="str">
        <f>IF(I190="PM","",IF(H190=0," ",J190/'Règles et points'!$F$23))</f>
        <v xml:space="preserve"> </v>
      </c>
      <c r="L190" s="3" t="str">
        <f>IF(H190=0,"",VLOOKUP(H190,'Règles et points'!$C$5:$AG$19,(HLOOKUP('Course 5'!C190,'Règles et points'!$C$5:$AG$5,1)+1)))</f>
        <v/>
      </c>
      <c r="M190" s="23">
        <f t="shared" si="2"/>
        <v>0</v>
      </c>
      <c r="N190" s="80"/>
      <c r="O190" s="51"/>
      <c r="P190" s="52"/>
    </row>
    <row r="191" spans="2:16" ht="12.75">
      <c r="B191" s="14">
        <v>187</v>
      </c>
      <c r="C191" s="28" t="str">
        <f>IF(Coureurs!C191="","",Coureurs!C191)</f>
        <v/>
      </c>
      <c r="D191" s="131" t="str">
        <f>IF(Coureurs!D191="","",Coureurs!D191)</f>
        <v>70</v>
      </c>
      <c r="E191" s="87" t="str">
        <f>IF(Coureurs!F191="","",Coureurs!F191)</f>
        <v/>
      </c>
      <c r="F191" s="87" t="str">
        <f>IF(Coureurs!G191="","",Coureurs!G191)</f>
        <v/>
      </c>
      <c r="G191" s="50" t="str">
        <f>IF(Coureurs!J191="","",Coureurs!J191)</f>
        <v/>
      </c>
      <c r="H191" s="25"/>
      <c r="I191" s="41"/>
      <c r="J191" s="8" t="str">
        <f>IF(I191="PM","",IF(H191=0," ",I191-HLOOKUP('Course 5'!H191,'tab5'!$C$3:$N$4,2)))</f>
        <v xml:space="preserve"> </v>
      </c>
      <c r="K191" s="23" t="str">
        <f>IF(I191="PM","",IF(H191=0," ",J191/'Règles et points'!$F$23))</f>
        <v xml:space="preserve"> </v>
      </c>
      <c r="L191" s="3" t="str">
        <f>IF(H191=0,"",VLOOKUP(H191,'Règles et points'!$C$5:$AG$19,(HLOOKUP('Course 5'!C191,'Règles et points'!$C$5:$AG$5,1)+1)))</f>
        <v/>
      </c>
      <c r="M191" s="23">
        <f t="shared" si="2"/>
        <v>0</v>
      </c>
      <c r="N191" s="80"/>
      <c r="O191" s="51"/>
      <c r="P191" s="52"/>
    </row>
    <row r="192" spans="2:16" ht="12.75">
      <c r="B192" s="14">
        <v>188</v>
      </c>
      <c r="C192" s="28" t="str">
        <f>IF(Coureurs!C192="","",Coureurs!C192)</f>
        <v/>
      </c>
      <c r="D192" s="131" t="str">
        <f>IF(Coureurs!D192="","",Coureurs!D192)</f>
        <v>70</v>
      </c>
      <c r="E192" s="87" t="str">
        <f>IF(Coureurs!F192="","",Coureurs!F192)</f>
        <v/>
      </c>
      <c r="F192" s="87" t="str">
        <f>IF(Coureurs!G192="","",Coureurs!G192)</f>
        <v/>
      </c>
      <c r="G192" s="50" t="str">
        <f>IF(Coureurs!J192="","",Coureurs!J192)</f>
        <v/>
      </c>
      <c r="H192" s="25"/>
      <c r="I192" s="41"/>
      <c r="J192" s="8" t="str">
        <f>IF(I192="PM","",IF(H192=0," ",I192-HLOOKUP('Course 5'!H192,'tab5'!$C$3:$N$4,2)))</f>
        <v xml:space="preserve"> </v>
      </c>
      <c r="K192" s="23" t="str">
        <f>IF(I192="PM","",IF(H192=0," ",J192/'Règles et points'!$F$23))</f>
        <v xml:space="preserve"> </v>
      </c>
      <c r="L192" s="3" t="str">
        <f>IF(H192=0,"",VLOOKUP(H192,'Règles et points'!$C$5:$AG$19,(HLOOKUP('Course 5'!C192,'Règles et points'!$C$5:$AG$5,1)+1)))</f>
        <v/>
      </c>
      <c r="M192" s="23">
        <f t="shared" si="2"/>
        <v>0</v>
      </c>
      <c r="N192" s="80"/>
      <c r="O192" s="51"/>
      <c r="P192" s="52"/>
    </row>
    <row r="193" spans="2:16" ht="12.75">
      <c r="B193" s="14">
        <v>189</v>
      </c>
      <c r="C193" s="28" t="str">
        <f>IF(Coureurs!C193="","",Coureurs!C193)</f>
        <v/>
      </c>
      <c r="D193" s="131" t="str">
        <f>IF(Coureurs!D193="","",Coureurs!D193)</f>
        <v>70</v>
      </c>
      <c r="E193" s="87" t="str">
        <f>IF(Coureurs!F193="","",Coureurs!F193)</f>
        <v/>
      </c>
      <c r="F193" s="87" t="str">
        <f>IF(Coureurs!G193="","",Coureurs!G193)</f>
        <v/>
      </c>
      <c r="G193" s="50" t="str">
        <f>IF(Coureurs!J193="","",Coureurs!J193)</f>
        <v/>
      </c>
      <c r="H193" s="25"/>
      <c r="I193" s="41"/>
      <c r="J193" s="8" t="str">
        <f>IF(I193="PM","",IF(H193=0," ",I193-HLOOKUP('Course 5'!H193,'tab5'!$C$3:$N$4,2)))</f>
        <v xml:space="preserve"> </v>
      </c>
      <c r="K193" s="23" t="str">
        <f>IF(I193="PM","",IF(H193=0," ",J193/'Règles et points'!$F$23))</f>
        <v xml:space="preserve"> </v>
      </c>
      <c r="L193" s="3" t="str">
        <f>IF(H193=0,"",VLOOKUP(H193,'Règles et points'!$C$5:$AG$19,(HLOOKUP('Course 5'!C193,'Règles et points'!$C$5:$AG$5,1)+1)))</f>
        <v/>
      </c>
      <c r="M193" s="23">
        <f t="shared" si="2"/>
        <v>0</v>
      </c>
      <c r="N193" s="80"/>
      <c r="O193" s="51"/>
      <c r="P193" s="52"/>
    </row>
    <row r="194" spans="2:16" ht="12.75">
      <c r="B194" s="14">
        <v>190</v>
      </c>
      <c r="C194" s="28" t="str">
        <f>IF(Coureurs!C194="","",Coureurs!C194)</f>
        <v/>
      </c>
      <c r="D194" s="131" t="str">
        <f>IF(Coureurs!D194="","",Coureurs!D194)</f>
        <v>70</v>
      </c>
      <c r="E194" s="87" t="str">
        <f>IF(Coureurs!F194="","",Coureurs!F194)</f>
        <v/>
      </c>
      <c r="F194" s="87" t="str">
        <f>IF(Coureurs!G194="","",Coureurs!G194)</f>
        <v/>
      </c>
      <c r="G194" s="50" t="str">
        <f>IF(Coureurs!J194="","",Coureurs!J194)</f>
        <v/>
      </c>
      <c r="H194" s="25"/>
      <c r="I194" s="41"/>
      <c r="J194" s="8" t="str">
        <f>IF(I194="PM","",IF(H194=0," ",I194-HLOOKUP('Course 5'!H194,'tab5'!$C$3:$N$4,2)))</f>
        <v xml:space="preserve"> </v>
      </c>
      <c r="K194" s="23" t="str">
        <f>IF(I194="PM","",IF(H194=0," ",J194/'Règles et points'!$F$23))</f>
        <v xml:space="preserve"> </v>
      </c>
      <c r="L194" s="3" t="str">
        <f>IF(H194=0,"",VLOOKUP(H194,'Règles et points'!$C$5:$AG$19,(HLOOKUP('Course 5'!C194,'Règles et points'!$C$5:$AG$5,1)+1)))</f>
        <v/>
      </c>
      <c r="M194" s="23">
        <f t="shared" si="2"/>
        <v>0</v>
      </c>
      <c r="N194" s="80"/>
      <c r="O194" s="51"/>
      <c r="P194" s="52"/>
    </row>
    <row r="195" spans="2:16" ht="12.75">
      <c r="B195" s="14">
        <v>191</v>
      </c>
      <c r="C195" s="28" t="str">
        <f>IF(Coureurs!C195="","",Coureurs!C195)</f>
        <v/>
      </c>
      <c r="D195" s="131" t="str">
        <f>IF(Coureurs!D195="","",Coureurs!D195)</f>
        <v>70</v>
      </c>
      <c r="E195" s="87" t="str">
        <f>IF(Coureurs!F195="","",Coureurs!F195)</f>
        <v/>
      </c>
      <c r="F195" s="87" t="str">
        <f>IF(Coureurs!G195="","",Coureurs!G195)</f>
        <v/>
      </c>
      <c r="G195" s="50" t="str">
        <f>IF(Coureurs!J195="","",Coureurs!J195)</f>
        <v/>
      </c>
      <c r="H195" s="25"/>
      <c r="I195" s="41"/>
      <c r="J195" s="8" t="str">
        <f>IF(I195="PM","",IF(H195=0," ",I195-HLOOKUP('Course 5'!H195,'tab5'!$C$3:$N$4,2)))</f>
        <v xml:space="preserve"> </v>
      </c>
      <c r="K195" s="23" t="str">
        <f>IF(I195="PM","",IF(H195=0," ",J195/'Règles et points'!$F$23))</f>
        <v xml:space="preserve"> </v>
      </c>
      <c r="L195" s="3" t="str">
        <f>IF(H195=0,"",VLOOKUP(H195,'Règles et points'!$C$5:$AG$19,(HLOOKUP('Course 5'!C195,'Règles et points'!$C$5:$AG$5,1)+1)))</f>
        <v/>
      </c>
      <c r="M195" s="23">
        <f t="shared" si="2"/>
        <v>0</v>
      </c>
      <c r="N195" s="80"/>
      <c r="O195" s="51"/>
      <c r="P195" s="52"/>
    </row>
    <row r="196" spans="2:16" ht="12.75">
      <c r="B196" s="14">
        <v>192</v>
      </c>
      <c r="C196" s="28" t="str">
        <f>IF(Coureurs!C196="","",Coureurs!C196)</f>
        <v/>
      </c>
      <c r="D196" s="131" t="str">
        <f>IF(Coureurs!D196="","",Coureurs!D196)</f>
        <v>70</v>
      </c>
      <c r="E196" s="87" t="str">
        <f>IF(Coureurs!F196="","",Coureurs!F196)</f>
        <v/>
      </c>
      <c r="F196" s="87" t="str">
        <f>IF(Coureurs!G196="","",Coureurs!G196)</f>
        <v/>
      </c>
      <c r="G196" s="50" t="str">
        <f>IF(Coureurs!J196="","",Coureurs!J196)</f>
        <v/>
      </c>
      <c r="H196" s="25"/>
      <c r="I196" s="41"/>
      <c r="J196" s="8" t="str">
        <f>IF(I196="PM","",IF(H196=0," ",I196-HLOOKUP('Course 5'!H196,'tab5'!$C$3:$N$4,2)))</f>
        <v xml:space="preserve"> </v>
      </c>
      <c r="K196" s="23" t="str">
        <f>IF(I196="PM","",IF(H196=0," ",J196/'Règles et points'!$F$23))</f>
        <v xml:space="preserve"> </v>
      </c>
      <c r="L196" s="3" t="str">
        <f>IF(H196=0,"",VLOOKUP(H196,'Règles et points'!$C$5:$AG$19,(HLOOKUP('Course 5'!C196,'Règles et points'!$C$5:$AG$5,1)+1)))</f>
        <v/>
      </c>
      <c r="M196" s="23">
        <f t="shared" ref="M196:M259" si="3">IF(I196="PM",0,IF(H196=0,0,L196-K196))+N196</f>
        <v>0</v>
      </c>
      <c r="N196" s="80"/>
      <c r="O196" s="51"/>
      <c r="P196" s="52"/>
    </row>
    <row r="197" spans="2:16" ht="12.75">
      <c r="B197" s="14">
        <v>193</v>
      </c>
      <c r="C197" s="28" t="str">
        <f>IF(Coureurs!C197="","",Coureurs!C197)</f>
        <v/>
      </c>
      <c r="D197" s="131" t="str">
        <f>IF(Coureurs!D197="","",Coureurs!D197)</f>
        <v>70</v>
      </c>
      <c r="E197" s="87" t="str">
        <f>IF(Coureurs!F197="","",Coureurs!F197)</f>
        <v/>
      </c>
      <c r="F197" s="87" t="str">
        <f>IF(Coureurs!G197="","",Coureurs!G197)</f>
        <v/>
      </c>
      <c r="G197" s="50" t="str">
        <f>IF(Coureurs!J197="","",Coureurs!J197)</f>
        <v/>
      </c>
      <c r="H197" s="25"/>
      <c r="I197" s="41"/>
      <c r="J197" s="8" t="str">
        <f>IF(I197="PM","",IF(H197=0," ",I197-HLOOKUP('Course 5'!H197,'tab5'!$C$3:$N$4,2)))</f>
        <v xml:space="preserve"> </v>
      </c>
      <c r="K197" s="23" t="str">
        <f>IF(I197="PM","",IF(H197=0," ",J197/'Règles et points'!$F$23))</f>
        <v xml:space="preserve"> </v>
      </c>
      <c r="L197" s="3" t="str">
        <f>IF(H197=0,"",VLOOKUP(H197,'Règles et points'!$C$5:$AG$19,(HLOOKUP('Course 5'!C197,'Règles et points'!$C$5:$AG$5,1)+1)))</f>
        <v/>
      </c>
      <c r="M197" s="23">
        <f t="shared" si="3"/>
        <v>0</v>
      </c>
      <c r="N197" s="80"/>
      <c r="O197" s="51"/>
      <c r="P197" s="52"/>
    </row>
    <row r="198" spans="2:16" ht="12.75">
      <c r="B198" s="14">
        <v>194</v>
      </c>
      <c r="C198" s="28" t="str">
        <f>IF(Coureurs!C198="","",Coureurs!C198)</f>
        <v/>
      </c>
      <c r="D198" s="131" t="str">
        <f>IF(Coureurs!D198="","",Coureurs!D198)</f>
        <v>70</v>
      </c>
      <c r="E198" s="87" t="str">
        <f>IF(Coureurs!F198="","",Coureurs!F198)</f>
        <v/>
      </c>
      <c r="F198" s="87" t="str">
        <f>IF(Coureurs!G198="","",Coureurs!G198)</f>
        <v/>
      </c>
      <c r="G198" s="50" t="str">
        <f>IF(Coureurs!J198="","",Coureurs!J198)</f>
        <v/>
      </c>
      <c r="H198" s="25"/>
      <c r="I198" s="41"/>
      <c r="J198" s="8" t="str">
        <f>IF(I198="PM","",IF(H198=0," ",I198-HLOOKUP('Course 5'!H198,'tab5'!$C$3:$N$4,2)))</f>
        <v xml:space="preserve"> </v>
      </c>
      <c r="K198" s="23" t="str">
        <f>IF(I198="PM","",IF(H198=0," ",J198/'Règles et points'!$F$23))</f>
        <v xml:space="preserve"> </v>
      </c>
      <c r="L198" s="3" t="str">
        <f>IF(H198=0,"",VLOOKUP(H198,'Règles et points'!$C$5:$AG$19,(HLOOKUP('Course 5'!C198,'Règles et points'!$C$5:$AG$5,1)+1)))</f>
        <v/>
      </c>
      <c r="M198" s="23">
        <f t="shared" si="3"/>
        <v>0</v>
      </c>
      <c r="N198" s="80"/>
      <c r="O198" s="51"/>
      <c r="P198" s="52"/>
    </row>
    <row r="199" spans="2:16" ht="12.75">
      <c r="B199" s="14">
        <v>195</v>
      </c>
      <c r="C199" s="28" t="str">
        <f>IF(Coureurs!C199="","",Coureurs!C199)</f>
        <v/>
      </c>
      <c r="D199" s="131" t="str">
        <f>IF(Coureurs!D199="","",Coureurs!D199)</f>
        <v>70</v>
      </c>
      <c r="E199" s="87" t="str">
        <f>IF(Coureurs!F199="","",Coureurs!F199)</f>
        <v/>
      </c>
      <c r="F199" s="87" t="str">
        <f>IF(Coureurs!G199="","",Coureurs!G199)</f>
        <v/>
      </c>
      <c r="G199" s="50" t="str">
        <f>IF(Coureurs!J199="","",Coureurs!J199)</f>
        <v/>
      </c>
      <c r="H199" s="25"/>
      <c r="I199" s="41"/>
      <c r="J199" s="8" t="str">
        <f>IF(I199="PM","",IF(H199=0," ",I199-HLOOKUP('Course 5'!H199,'tab5'!$C$3:$N$4,2)))</f>
        <v xml:space="preserve"> </v>
      </c>
      <c r="K199" s="23" t="str">
        <f>IF(I199="PM","",IF(H199=0," ",J199/'Règles et points'!$F$23))</f>
        <v xml:space="preserve"> </v>
      </c>
      <c r="L199" s="3" t="str">
        <f>IF(H199=0,"",VLOOKUP(H199,'Règles et points'!$C$5:$AG$19,(HLOOKUP('Course 5'!C199,'Règles et points'!$C$5:$AG$5,1)+1)))</f>
        <v/>
      </c>
      <c r="M199" s="23">
        <f t="shared" si="3"/>
        <v>0</v>
      </c>
      <c r="N199" s="80"/>
      <c r="O199" s="51"/>
      <c r="P199" s="52"/>
    </row>
    <row r="200" spans="2:16" ht="12.75">
      <c r="B200" s="14">
        <v>196</v>
      </c>
      <c r="C200" s="28" t="str">
        <f>IF(Coureurs!C200="","",Coureurs!C200)</f>
        <v/>
      </c>
      <c r="D200" s="131" t="str">
        <f>IF(Coureurs!D200="","",Coureurs!D200)</f>
        <v>70</v>
      </c>
      <c r="E200" s="87" t="str">
        <f>IF(Coureurs!F200="","",Coureurs!F200)</f>
        <v/>
      </c>
      <c r="F200" s="87" t="str">
        <f>IF(Coureurs!G200="","",Coureurs!G200)</f>
        <v/>
      </c>
      <c r="G200" s="50" t="str">
        <f>IF(Coureurs!J200="","",Coureurs!J200)</f>
        <v/>
      </c>
      <c r="H200" s="25"/>
      <c r="I200" s="41"/>
      <c r="J200" s="8" t="str">
        <f>IF(I200="PM","",IF(H200=0," ",I200-HLOOKUP('Course 5'!H200,'tab5'!$C$3:$N$4,2)))</f>
        <v xml:space="preserve"> </v>
      </c>
      <c r="K200" s="23" t="str">
        <f>IF(I200="PM","",IF(H200=0," ",J200/'Règles et points'!$F$23))</f>
        <v xml:space="preserve"> </v>
      </c>
      <c r="L200" s="3" t="str">
        <f>IF(H200=0,"",VLOOKUP(H200,'Règles et points'!$C$5:$AG$19,(HLOOKUP('Course 5'!C200,'Règles et points'!$C$5:$AG$5,1)+1)))</f>
        <v/>
      </c>
      <c r="M200" s="23">
        <f t="shared" si="3"/>
        <v>0</v>
      </c>
      <c r="N200" s="80"/>
      <c r="O200" s="51"/>
      <c r="P200" s="52"/>
    </row>
    <row r="201" spans="2:16" ht="12.75">
      <c r="B201" s="14">
        <v>197</v>
      </c>
      <c r="C201" s="28" t="str">
        <f>IF(Coureurs!C201="","",Coureurs!C201)</f>
        <v/>
      </c>
      <c r="D201" s="131" t="str">
        <f>IF(Coureurs!D201="","",Coureurs!D201)</f>
        <v>70</v>
      </c>
      <c r="E201" s="87" t="str">
        <f>IF(Coureurs!F201="","",Coureurs!F201)</f>
        <v/>
      </c>
      <c r="F201" s="87" t="str">
        <f>IF(Coureurs!G201="","",Coureurs!G201)</f>
        <v/>
      </c>
      <c r="G201" s="50" t="str">
        <f>IF(Coureurs!J201="","",Coureurs!J201)</f>
        <v/>
      </c>
      <c r="H201" s="25"/>
      <c r="I201" s="41"/>
      <c r="J201" s="8" t="str">
        <f>IF(I201="PM","",IF(H201=0," ",I201-HLOOKUP('Course 5'!H201,'tab5'!$C$3:$N$4,2)))</f>
        <v xml:space="preserve"> </v>
      </c>
      <c r="K201" s="23" t="str">
        <f>IF(I201="PM","",IF(H201=0," ",J201/'Règles et points'!$F$23))</f>
        <v xml:space="preserve"> </v>
      </c>
      <c r="L201" s="3" t="str">
        <f>IF(H201=0,"",VLOOKUP(H201,'Règles et points'!$C$5:$AG$19,(HLOOKUP('Course 5'!C201,'Règles et points'!$C$5:$AG$5,1)+1)))</f>
        <v/>
      </c>
      <c r="M201" s="23">
        <f t="shared" si="3"/>
        <v>0</v>
      </c>
      <c r="N201" s="80"/>
      <c r="O201" s="51"/>
      <c r="P201" s="52"/>
    </row>
    <row r="202" spans="2:16" ht="12.75">
      <c r="B202" s="14">
        <v>198</v>
      </c>
      <c r="C202" s="28" t="str">
        <f>IF(Coureurs!C202="","",Coureurs!C202)</f>
        <v/>
      </c>
      <c r="D202" s="131" t="str">
        <f>IF(Coureurs!D202="","",Coureurs!D202)</f>
        <v>70</v>
      </c>
      <c r="E202" s="87" t="str">
        <f>IF(Coureurs!F202="","",Coureurs!F202)</f>
        <v/>
      </c>
      <c r="F202" s="87" t="str">
        <f>IF(Coureurs!G202="","",Coureurs!G202)</f>
        <v/>
      </c>
      <c r="G202" s="50" t="str">
        <f>IF(Coureurs!J202="","",Coureurs!J202)</f>
        <v/>
      </c>
      <c r="H202" s="25"/>
      <c r="I202" s="41"/>
      <c r="J202" s="8" t="str">
        <f>IF(I202="PM","",IF(H202=0," ",I202-HLOOKUP('Course 5'!H202,'tab5'!$C$3:$N$4,2)))</f>
        <v xml:space="preserve"> </v>
      </c>
      <c r="K202" s="23" t="str">
        <f>IF(I202="PM","",IF(H202=0," ",J202/'Règles et points'!$F$23))</f>
        <v xml:space="preserve"> </v>
      </c>
      <c r="L202" s="3" t="str">
        <f>IF(H202=0,"",VLOOKUP(H202,'Règles et points'!$C$5:$AG$19,(HLOOKUP('Course 5'!C202,'Règles et points'!$C$5:$AG$5,1)+1)))</f>
        <v/>
      </c>
      <c r="M202" s="23">
        <f t="shared" si="3"/>
        <v>0</v>
      </c>
      <c r="N202" s="80"/>
      <c r="O202" s="51"/>
      <c r="P202" s="52"/>
    </row>
    <row r="203" spans="2:16" ht="12.75">
      <c r="B203" s="14">
        <v>199</v>
      </c>
      <c r="C203" s="28" t="str">
        <f>IF(Coureurs!C203="","",Coureurs!C203)</f>
        <v/>
      </c>
      <c r="D203" s="131" t="str">
        <f>IF(Coureurs!D203="","",Coureurs!D203)</f>
        <v>70</v>
      </c>
      <c r="E203" s="87" t="str">
        <f>IF(Coureurs!F203="","",Coureurs!F203)</f>
        <v/>
      </c>
      <c r="F203" s="87" t="str">
        <f>IF(Coureurs!G203="","",Coureurs!G203)</f>
        <v/>
      </c>
      <c r="G203" s="50" t="str">
        <f>IF(Coureurs!J203="","",Coureurs!J203)</f>
        <v/>
      </c>
      <c r="H203" s="25"/>
      <c r="I203" s="41"/>
      <c r="J203" s="8" t="str">
        <f>IF(I203="PM","",IF(H203=0," ",I203-HLOOKUP('Course 5'!H203,'tab5'!$C$3:$N$4,2)))</f>
        <v xml:space="preserve"> </v>
      </c>
      <c r="K203" s="23" t="str">
        <f>IF(I203="PM","",IF(H203=0," ",J203/'Règles et points'!$F$23))</f>
        <v xml:space="preserve"> </v>
      </c>
      <c r="L203" s="3" t="str">
        <f>IF(H203=0,"",VLOOKUP(H203,'Règles et points'!$C$5:$AG$19,(HLOOKUP('Course 5'!C203,'Règles et points'!$C$5:$AG$5,1)+1)))</f>
        <v/>
      </c>
      <c r="M203" s="23">
        <f t="shared" si="3"/>
        <v>0</v>
      </c>
      <c r="N203" s="80"/>
      <c r="O203" s="51"/>
      <c r="P203" s="52"/>
    </row>
    <row r="204" spans="2:16" ht="12.75">
      <c r="B204" s="14">
        <v>200</v>
      </c>
      <c r="C204" s="28" t="str">
        <f>IF(Coureurs!C204="","",Coureurs!C204)</f>
        <v/>
      </c>
      <c r="D204" s="131" t="str">
        <f>IF(Coureurs!D204="","",Coureurs!D204)</f>
        <v>70</v>
      </c>
      <c r="E204" s="87" t="str">
        <f>IF(Coureurs!F204="","",Coureurs!F204)</f>
        <v/>
      </c>
      <c r="F204" s="87" t="str">
        <f>IF(Coureurs!G204="","",Coureurs!G204)</f>
        <v/>
      </c>
      <c r="G204" s="50" t="str">
        <f>IF(Coureurs!J204="","",Coureurs!J204)</f>
        <v/>
      </c>
      <c r="H204" s="25"/>
      <c r="I204" s="41"/>
      <c r="J204" s="8" t="str">
        <f>IF(I204="PM","",IF(H204=0," ",I204-HLOOKUP('Course 5'!H204,'tab5'!$C$3:$N$4,2)))</f>
        <v xml:space="preserve"> </v>
      </c>
      <c r="K204" s="23" t="str">
        <f>IF(I204="PM","",IF(H204=0," ",J204/'Règles et points'!$F$23))</f>
        <v xml:space="preserve"> </v>
      </c>
      <c r="L204" s="3" t="str">
        <f>IF(H204=0,"",VLOOKUP(H204,'Règles et points'!$C$5:$AG$19,(HLOOKUP('Course 5'!C204,'Règles et points'!$C$5:$AG$5,1)+1)))</f>
        <v/>
      </c>
      <c r="M204" s="23">
        <f t="shared" si="3"/>
        <v>0</v>
      </c>
      <c r="N204" s="80"/>
      <c r="O204" s="51"/>
      <c r="P204" s="52"/>
    </row>
    <row r="205" spans="2:16" ht="12.75">
      <c r="B205" s="14">
        <v>201</v>
      </c>
      <c r="C205" s="28" t="str">
        <f>IF(Coureurs!C205="","",Coureurs!C205)</f>
        <v/>
      </c>
      <c r="D205" s="131" t="str">
        <f>IF(Coureurs!D205="","",Coureurs!D205)</f>
        <v>70</v>
      </c>
      <c r="E205" s="87" t="str">
        <f>IF(Coureurs!F205="","",Coureurs!F205)</f>
        <v/>
      </c>
      <c r="F205" s="87" t="str">
        <f>IF(Coureurs!G205="","",Coureurs!G205)</f>
        <v/>
      </c>
      <c r="G205" s="50" t="str">
        <f>IF(Coureurs!J205="","",Coureurs!J205)</f>
        <v/>
      </c>
      <c r="H205" s="25"/>
      <c r="I205" s="41"/>
      <c r="J205" s="8" t="str">
        <f>IF(I205="PM","",IF(H205=0," ",I205-HLOOKUP('Course 5'!H205,'tab5'!$C$3:$N$4,2)))</f>
        <v xml:space="preserve"> </v>
      </c>
      <c r="K205" s="23" t="str">
        <f>IF(I205="PM","",IF(H205=0," ",J205/'Règles et points'!$F$23))</f>
        <v xml:space="preserve"> </v>
      </c>
      <c r="L205" s="3" t="str">
        <f>IF(H205=0,"",VLOOKUP(H205,'Règles et points'!$C$5:$AG$19,(HLOOKUP('Course 5'!C205,'Règles et points'!$C$5:$AG$5,1)+1)))</f>
        <v/>
      </c>
      <c r="M205" s="23">
        <f t="shared" si="3"/>
        <v>0</v>
      </c>
      <c r="N205" s="80"/>
      <c r="O205" s="51"/>
      <c r="P205" s="52"/>
    </row>
    <row r="206" spans="2:16" ht="12.75">
      <c r="B206" s="14">
        <v>202</v>
      </c>
      <c r="C206" s="28" t="str">
        <f>IF(Coureurs!C206="","",Coureurs!C206)</f>
        <v/>
      </c>
      <c r="D206" s="131" t="str">
        <f>IF(Coureurs!D206="","",Coureurs!D206)</f>
        <v>70</v>
      </c>
      <c r="E206" s="87" t="str">
        <f>IF(Coureurs!F206="","",Coureurs!F206)</f>
        <v/>
      </c>
      <c r="F206" s="87" t="str">
        <f>IF(Coureurs!G206="","",Coureurs!G206)</f>
        <v/>
      </c>
      <c r="G206" s="50" t="str">
        <f>IF(Coureurs!J206="","",Coureurs!J206)</f>
        <v/>
      </c>
      <c r="H206" s="25"/>
      <c r="I206" s="41"/>
      <c r="J206" s="8" t="str">
        <f>IF(I206="PM","",IF(H206=0," ",I206-HLOOKUP('Course 5'!H206,'tab5'!$C$3:$N$4,2)))</f>
        <v xml:space="preserve"> </v>
      </c>
      <c r="K206" s="23" t="str">
        <f>IF(I206="PM","",IF(H206=0," ",J206/'Règles et points'!$F$23))</f>
        <v xml:space="preserve"> </v>
      </c>
      <c r="L206" s="3" t="str">
        <f>IF(H206=0,"",VLOOKUP(H206,'Règles et points'!$C$5:$AG$19,(HLOOKUP('Course 5'!C206,'Règles et points'!$C$5:$AG$5,1)+1)))</f>
        <v/>
      </c>
      <c r="M206" s="23">
        <f t="shared" si="3"/>
        <v>0</v>
      </c>
      <c r="N206" s="80"/>
      <c r="O206" s="51"/>
      <c r="P206" s="52"/>
    </row>
    <row r="207" spans="2:16" ht="12.75">
      <c r="B207" s="14">
        <v>203</v>
      </c>
      <c r="C207" s="28" t="str">
        <f>IF(Coureurs!C207="","",Coureurs!C207)</f>
        <v/>
      </c>
      <c r="D207" s="131" t="str">
        <f>IF(Coureurs!D207="","",Coureurs!D207)</f>
        <v>70</v>
      </c>
      <c r="E207" s="87" t="str">
        <f>IF(Coureurs!F207="","",Coureurs!F207)</f>
        <v/>
      </c>
      <c r="F207" s="87" t="str">
        <f>IF(Coureurs!G207="","",Coureurs!G207)</f>
        <v/>
      </c>
      <c r="G207" s="50" t="str">
        <f>IF(Coureurs!J207="","",Coureurs!J207)</f>
        <v/>
      </c>
      <c r="H207" s="25"/>
      <c r="I207" s="41"/>
      <c r="J207" s="8" t="str">
        <f>IF(I207="PM","",IF(H207=0," ",I207-HLOOKUP('Course 5'!H207,'tab5'!$C$3:$N$4,2)))</f>
        <v xml:space="preserve"> </v>
      </c>
      <c r="K207" s="23" t="str">
        <f>IF(I207="PM","",IF(H207=0," ",J207/'Règles et points'!$F$23))</f>
        <v xml:space="preserve"> </v>
      </c>
      <c r="L207" s="3" t="str">
        <f>IF(H207=0,"",VLOOKUP(H207,'Règles et points'!$C$5:$AG$19,(HLOOKUP('Course 5'!C207,'Règles et points'!$C$5:$AG$5,1)+1)))</f>
        <v/>
      </c>
      <c r="M207" s="23">
        <f t="shared" si="3"/>
        <v>0</v>
      </c>
      <c r="N207" s="80"/>
      <c r="O207" s="51"/>
      <c r="P207" s="52"/>
    </row>
    <row r="208" spans="2:16" ht="12.75">
      <c r="B208" s="14">
        <v>204</v>
      </c>
      <c r="C208" s="28" t="str">
        <f>IF(Coureurs!C208="","",Coureurs!C208)</f>
        <v/>
      </c>
      <c r="D208" s="131" t="str">
        <f>IF(Coureurs!D208="","",Coureurs!D208)</f>
        <v>70</v>
      </c>
      <c r="E208" s="87" t="str">
        <f>IF(Coureurs!F208="","",Coureurs!F208)</f>
        <v/>
      </c>
      <c r="F208" s="87" t="str">
        <f>IF(Coureurs!G208="","",Coureurs!G208)</f>
        <v/>
      </c>
      <c r="G208" s="50" t="str">
        <f>IF(Coureurs!J208="","",Coureurs!J208)</f>
        <v/>
      </c>
      <c r="H208" s="25"/>
      <c r="I208" s="41"/>
      <c r="J208" s="8" t="str">
        <f>IF(I208="PM","",IF(H208=0," ",I208-HLOOKUP('Course 5'!H208,'tab5'!$C$3:$N$4,2)))</f>
        <v xml:space="preserve"> </v>
      </c>
      <c r="K208" s="23" t="str">
        <f>IF(I208="PM","",IF(H208=0," ",J208/'Règles et points'!$F$23))</f>
        <v xml:space="preserve"> </v>
      </c>
      <c r="L208" s="3" t="str">
        <f>IF(H208=0,"",VLOOKUP(H208,'Règles et points'!$C$5:$AG$19,(HLOOKUP('Course 5'!C208,'Règles et points'!$C$5:$AG$5,1)+1)))</f>
        <v/>
      </c>
      <c r="M208" s="23">
        <f t="shared" si="3"/>
        <v>0</v>
      </c>
      <c r="N208" s="80"/>
      <c r="O208" s="51"/>
      <c r="P208" s="52"/>
    </row>
    <row r="209" spans="2:16" ht="12.75">
      <c r="B209" s="14">
        <v>205</v>
      </c>
      <c r="C209" s="28" t="str">
        <f>IF(Coureurs!C209="","",Coureurs!C209)</f>
        <v/>
      </c>
      <c r="D209" s="131" t="str">
        <f>IF(Coureurs!D209="","",Coureurs!D209)</f>
        <v>70</v>
      </c>
      <c r="E209" s="87" t="str">
        <f>IF(Coureurs!F209="","",Coureurs!F209)</f>
        <v/>
      </c>
      <c r="F209" s="87" t="str">
        <f>IF(Coureurs!G209="","",Coureurs!G209)</f>
        <v/>
      </c>
      <c r="G209" s="50" t="str">
        <f>IF(Coureurs!J209="","",Coureurs!J209)</f>
        <v/>
      </c>
      <c r="H209" s="25"/>
      <c r="I209" s="41"/>
      <c r="J209" s="8" t="str">
        <f>IF(I209="PM","",IF(H209=0," ",I209-HLOOKUP('Course 5'!H209,'tab5'!$C$3:$N$4,2)))</f>
        <v xml:space="preserve"> </v>
      </c>
      <c r="K209" s="23" t="str">
        <f>IF(I209="PM","",IF(H209=0," ",J209/'Règles et points'!$F$23))</f>
        <v xml:space="preserve"> </v>
      </c>
      <c r="L209" s="3" t="str">
        <f>IF(H209=0,"",VLOOKUP(H209,'Règles et points'!$C$5:$AG$19,(HLOOKUP('Course 5'!C209,'Règles et points'!$C$5:$AG$5,1)+1)))</f>
        <v/>
      </c>
      <c r="M209" s="23">
        <f t="shared" si="3"/>
        <v>0</v>
      </c>
      <c r="N209" s="80"/>
      <c r="O209" s="51"/>
      <c r="P209" s="52"/>
    </row>
    <row r="210" spans="2:16" ht="12.75">
      <c r="B210" s="14">
        <v>206</v>
      </c>
      <c r="C210" s="28" t="str">
        <f>IF(Coureurs!C210="","",Coureurs!C210)</f>
        <v/>
      </c>
      <c r="D210" s="131" t="str">
        <f>IF(Coureurs!D210="","",Coureurs!D210)</f>
        <v>70</v>
      </c>
      <c r="E210" s="87" t="str">
        <f>IF(Coureurs!F210="","",Coureurs!F210)</f>
        <v/>
      </c>
      <c r="F210" s="87" t="str">
        <f>IF(Coureurs!G210="","",Coureurs!G210)</f>
        <v/>
      </c>
      <c r="G210" s="50" t="str">
        <f>IF(Coureurs!J210="","",Coureurs!J210)</f>
        <v/>
      </c>
      <c r="H210" s="25"/>
      <c r="I210" s="41"/>
      <c r="J210" s="8" t="str">
        <f>IF(I210="PM","",IF(H210=0," ",I210-HLOOKUP('Course 5'!H210,'tab5'!$C$3:$N$4,2)))</f>
        <v xml:space="preserve"> </v>
      </c>
      <c r="K210" s="23" t="str">
        <f>IF(I210="PM","",IF(H210=0," ",J210/'Règles et points'!$F$23))</f>
        <v xml:space="preserve"> </v>
      </c>
      <c r="L210" s="3" t="str">
        <f>IF(H210=0,"",VLOOKUP(H210,'Règles et points'!$C$5:$AG$19,(HLOOKUP('Course 5'!C210,'Règles et points'!$C$5:$AG$5,1)+1)))</f>
        <v/>
      </c>
      <c r="M210" s="23">
        <f t="shared" si="3"/>
        <v>0</v>
      </c>
      <c r="N210" s="80"/>
      <c r="O210" s="51"/>
      <c r="P210" s="52"/>
    </row>
    <row r="211" spans="2:16" ht="12.75">
      <c r="B211" s="14">
        <v>207</v>
      </c>
      <c r="C211" s="28" t="str">
        <f>IF(Coureurs!C211="","",Coureurs!C211)</f>
        <v/>
      </c>
      <c r="D211" s="131" t="str">
        <f>IF(Coureurs!D211="","",Coureurs!D211)</f>
        <v>70</v>
      </c>
      <c r="E211" s="87" t="str">
        <f>IF(Coureurs!F211="","",Coureurs!F211)</f>
        <v/>
      </c>
      <c r="F211" s="87" t="str">
        <f>IF(Coureurs!G211="","",Coureurs!G211)</f>
        <v/>
      </c>
      <c r="G211" s="50" t="str">
        <f>IF(Coureurs!J211="","",Coureurs!J211)</f>
        <v/>
      </c>
      <c r="H211" s="25"/>
      <c r="I211" s="41"/>
      <c r="J211" s="8" t="str">
        <f>IF(I211="PM","",IF(H211=0," ",I211-HLOOKUP('Course 5'!H211,'tab5'!$C$3:$N$4,2)))</f>
        <v xml:space="preserve"> </v>
      </c>
      <c r="K211" s="23" t="str">
        <f>IF(I211="PM","",IF(H211=0," ",J211/'Règles et points'!$F$23))</f>
        <v xml:space="preserve"> </v>
      </c>
      <c r="L211" s="3" t="str">
        <f>IF(H211=0,"",VLOOKUP(H211,'Règles et points'!$C$5:$AG$19,(HLOOKUP('Course 5'!C211,'Règles et points'!$C$5:$AG$5,1)+1)))</f>
        <v/>
      </c>
      <c r="M211" s="23">
        <f t="shared" si="3"/>
        <v>0</v>
      </c>
      <c r="N211" s="80"/>
      <c r="O211" s="51"/>
      <c r="P211" s="52"/>
    </row>
    <row r="212" spans="2:16" ht="12.75">
      <c r="B212" s="14">
        <v>208</v>
      </c>
      <c r="C212" s="28" t="str">
        <f>IF(Coureurs!C212="","",Coureurs!C212)</f>
        <v/>
      </c>
      <c r="D212" s="131" t="str">
        <f>IF(Coureurs!D212="","",Coureurs!D212)</f>
        <v>70</v>
      </c>
      <c r="E212" s="87" t="str">
        <f>IF(Coureurs!F212="","",Coureurs!F212)</f>
        <v/>
      </c>
      <c r="F212" s="87" t="str">
        <f>IF(Coureurs!G212="","",Coureurs!G212)</f>
        <v/>
      </c>
      <c r="G212" s="50" t="str">
        <f>IF(Coureurs!J212="","",Coureurs!J212)</f>
        <v/>
      </c>
      <c r="H212" s="25"/>
      <c r="I212" s="41"/>
      <c r="J212" s="8" t="str">
        <f>IF(I212="PM","",IF(H212=0," ",I212-HLOOKUP('Course 5'!H212,'tab5'!$C$3:$N$4,2)))</f>
        <v xml:space="preserve"> </v>
      </c>
      <c r="K212" s="23" t="str">
        <f>IF(I212="PM","",IF(H212=0," ",J212/'Règles et points'!$F$23))</f>
        <v xml:space="preserve"> </v>
      </c>
      <c r="L212" s="3" t="str">
        <f>IF(H212=0,"",VLOOKUP(H212,'Règles et points'!$C$5:$AG$19,(HLOOKUP('Course 5'!C212,'Règles et points'!$C$5:$AG$5,1)+1)))</f>
        <v/>
      </c>
      <c r="M212" s="23">
        <f t="shared" si="3"/>
        <v>0</v>
      </c>
      <c r="N212" s="80"/>
      <c r="O212" s="51"/>
      <c r="P212" s="52"/>
    </row>
    <row r="213" spans="2:16" ht="12.75">
      <c r="B213" s="14">
        <v>209</v>
      </c>
      <c r="C213" s="28" t="str">
        <f>IF(Coureurs!C213="","",Coureurs!C213)</f>
        <v/>
      </c>
      <c r="D213" s="131" t="str">
        <f>IF(Coureurs!D213="","",Coureurs!D213)</f>
        <v>70</v>
      </c>
      <c r="E213" s="87" t="str">
        <f>IF(Coureurs!F213="","",Coureurs!F213)</f>
        <v/>
      </c>
      <c r="F213" s="87" t="str">
        <f>IF(Coureurs!G213="","",Coureurs!G213)</f>
        <v/>
      </c>
      <c r="G213" s="50" t="str">
        <f>IF(Coureurs!J213="","",Coureurs!J213)</f>
        <v/>
      </c>
      <c r="H213" s="25"/>
      <c r="I213" s="41"/>
      <c r="J213" s="8" t="str">
        <f>IF(I213="PM","",IF(H213=0," ",I213-HLOOKUP('Course 5'!H213,'tab5'!$C$3:$N$4,2)))</f>
        <v xml:space="preserve"> </v>
      </c>
      <c r="K213" s="23" t="str">
        <f>IF(I213="PM","",IF(H213=0," ",J213/'Règles et points'!$F$23))</f>
        <v xml:space="preserve"> </v>
      </c>
      <c r="L213" s="3" t="str">
        <f>IF(H213=0,"",VLOOKUP(H213,'Règles et points'!$C$5:$AG$19,(HLOOKUP('Course 5'!C213,'Règles et points'!$C$5:$AG$5,1)+1)))</f>
        <v/>
      </c>
      <c r="M213" s="23">
        <f t="shared" si="3"/>
        <v>0</v>
      </c>
      <c r="N213" s="80"/>
      <c r="O213" s="51"/>
      <c r="P213" s="52"/>
    </row>
    <row r="214" spans="2:16" ht="12.75">
      <c r="B214" s="14">
        <v>210</v>
      </c>
      <c r="C214" s="28" t="str">
        <f>IF(Coureurs!C214="","",Coureurs!C214)</f>
        <v/>
      </c>
      <c r="D214" s="131" t="str">
        <f>IF(Coureurs!D214="","",Coureurs!D214)</f>
        <v>70</v>
      </c>
      <c r="E214" s="87" t="str">
        <f>IF(Coureurs!F214="","",Coureurs!F214)</f>
        <v/>
      </c>
      <c r="F214" s="87" t="str">
        <f>IF(Coureurs!G214="","",Coureurs!G214)</f>
        <v/>
      </c>
      <c r="G214" s="50" t="str">
        <f>IF(Coureurs!J214="","",Coureurs!J214)</f>
        <v/>
      </c>
      <c r="H214" s="25"/>
      <c r="I214" s="41"/>
      <c r="J214" s="8" t="str">
        <f>IF(I214="PM","",IF(H214=0," ",I214-HLOOKUP('Course 5'!H214,'tab5'!$C$3:$N$4,2)))</f>
        <v xml:space="preserve"> </v>
      </c>
      <c r="K214" s="23" t="str">
        <f>IF(I214="PM","",IF(H214=0," ",J214/'Règles et points'!$F$23))</f>
        <v xml:space="preserve"> </v>
      </c>
      <c r="L214" s="3" t="str">
        <f>IF(H214=0,"",VLOOKUP(H214,'Règles et points'!$C$5:$AG$19,(HLOOKUP('Course 5'!C214,'Règles et points'!$C$5:$AG$5,1)+1)))</f>
        <v/>
      </c>
      <c r="M214" s="23">
        <f t="shared" si="3"/>
        <v>0</v>
      </c>
      <c r="N214" s="80"/>
      <c r="O214" s="51"/>
      <c r="P214" s="52"/>
    </row>
    <row r="215" spans="2:16" ht="12.75">
      <c r="B215" s="14">
        <v>211</v>
      </c>
      <c r="C215" s="28" t="str">
        <f>IF(Coureurs!C215="","",Coureurs!C215)</f>
        <v/>
      </c>
      <c r="D215" s="131" t="str">
        <f>IF(Coureurs!D215="","",Coureurs!D215)</f>
        <v>70</v>
      </c>
      <c r="E215" s="87" t="str">
        <f>IF(Coureurs!F215="","",Coureurs!F215)</f>
        <v/>
      </c>
      <c r="F215" s="87" t="str">
        <f>IF(Coureurs!G215="","",Coureurs!G215)</f>
        <v/>
      </c>
      <c r="G215" s="50" t="str">
        <f>IF(Coureurs!J215="","",Coureurs!J215)</f>
        <v/>
      </c>
      <c r="H215" s="25"/>
      <c r="I215" s="41"/>
      <c r="J215" s="8" t="str">
        <f>IF(I215="PM","",IF(H215=0," ",I215-HLOOKUP('Course 5'!H215,'tab5'!$C$3:$N$4,2)))</f>
        <v xml:space="preserve"> </v>
      </c>
      <c r="K215" s="23" t="str">
        <f>IF(I215="PM","",IF(H215=0," ",J215/'Règles et points'!$F$23))</f>
        <v xml:space="preserve"> </v>
      </c>
      <c r="L215" s="3" t="str">
        <f>IF(H215=0,"",VLOOKUP(H215,'Règles et points'!$C$5:$AG$19,(HLOOKUP('Course 5'!C215,'Règles et points'!$C$5:$AG$5,1)+1)))</f>
        <v/>
      </c>
      <c r="M215" s="23">
        <f t="shared" si="3"/>
        <v>0</v>
      </c>
      <c r="N215" s="80"/>
      <c r="O215" s="51"/>
      <c r="P215" s="52"/>
    </row>
    <row r="216" spans="2:16" ht="12.75">
      <c r="B216" s="14">
        <v>212</v>
      </c>
      <c r="C216" s="28" t="str">
        <f>IF(Coureurs!C216="","",Coureurs!C216)</f>
        <v/>
      </c>
      <c r="D216" s="131" t="str">
        <f>IF(Coureurs!D216="","",Coureurs!D216)</f>
        <v>70</v>
      </c>
      <c r="E216" s="87" t="str">
        <f>IF(Coureurs!F216="","",Coureurs!F216)</f>
        <v/>
      </c>
      <c r="F216" s="87" t="str">
        <f>IF(Coureurs!G216="","",Coureurs!G216)</f>
        <v/>
      </c>
      <c r="G216" s="50" t="str">
        <f>IF(Coureurs!J216="","",Coureurs!J216)</f>
        <v/>
      </c>
      <c r="H216" s="25"/>
      <c r="I216" s="41"/>
      <c r="J216" s="8" t="str">
        <f>IF(I216="PM","",IF(H216=0," ",I216-HLOOKUP('Course 5'!H216,'tab5'!$C$3:$N$4,2)))</f>
        <v xml:space="preserve"> </v>
      </c>
      <c r="K216" s="23" t="str">
        <f>IF(I216="PM","",IF(H216=0," ",J216/'Règles et points'!$F$23))</f>
        <v xml:space="preserve"> </v>
      </c>
      <c r="L216" s="3" t="str">
        <f>IF(H216=0,"",VLOOKUP(H216,'Règles et points'!$C$5:$AG$19,(HLOOKUP('Course 5'!C216,'Règles et points'!$C$5:$AG$5,1)+1)))</f>
        <v/>
      </c>
      <c r="M216" s="23">
        <f t="shared" si="3"/>
        <v>0</v>
      </c>
      <c r="N216" s="80"/>
      <c r="O216" s="51"/>
      <c r="P216" s="52"/>
    </row>
    <row r="217" spans="2:16" ht="12.75">
      <c r="B217" s="14">
        <v>213</v>
      </c>
      <c r="C217" s="28" t="str">
        <f>IF(Coureurs!C217="","",Coureurs!C217)</f>
        <v/>
      </c>
      <c r="D217" s="131" t="str">
        <f>IF(Coureurs!D217="","",Coureurs!D217)</f>
        <v>70</v>
      </c>
      <c r="E217" s="87" t="str">
        <f>IF(Coureurs!F217="","",Coureurs!F217)</f>
        <v/>
      </c>
      <c r="F217" s="87" t="str">
        <f>IF(Coureurs!G217="","",Coureurs!G217)</f>
        <v/>
      </c>
      <c r="G217" s="50" t="str">
        <f>IF(Coureurs!J217="","",Coureurs!J217)</f>
        <v/>
      </c>
      <c r="H217" s="25"/>
      <c r="I217" s="41"/>
      <c r="J217" s="8" t="str">
        <f>IF(I217="PM","",IF(H217=0," ",I217-HLOOKUP('Course 5'!H217,'tab5'!$C$3:$N$4,2)))</f>
        <v xml:space="preserve"> </v>
      </c>
      <c r="K217" s="23" t="str">
        <f>IF(I217="PM","",IF(H217=0," ",J217/'Règles et points'!$F$23))</f>
        <v xml:space="preserve"> </v>
      </c>
      <c r="L217" s="3" t="str">
        <f>IF(H217=0,"",VLOOKUP(H217,'Règles et points'!$C$5:$AG$19,(HLOOKUP('Course 5'!C217,'Règles et points'!$C$5:$AG$5,1)+1)))</f>
        <v/>
      </c>
      <c r="M217" s="23">
        <f t="shared" si="3"/>
        <v>0</v>
      </c>
      <c r="N217" s="80"/>
      <c r="O217" s="51"/>
      <c r="P217" s="52"/>
    </row>
    <row r="218" spans="2:16" ht="12.75">
      <c r="B218" s="14">
        <v>214</v>
      </c>
      <c r="C218" s="28" t="str">
        <f>IF(Coureurs!C218="","",Coureurs!C218)</f>
        <v/>
      </c>
      <c r="D218" s="131" t="str">
        <f>IF(Coureurs!D218="","",Coureurs!D218)</f>
        <v>70</v>
      </c>
      <c r="E218" s="87" t="str">
        <f>IF(Coureurs!F218="","",Coureurs!F218)</f>
        <v/>
      </c>
      <c r="F218" s="87" t="str">
        <f>IF(Coureurs!G218="","",Coureurs!G218)</f>
        <v/>
      </c>
      <c r="G218" s="50" t="str">
        <f>IF(Coureurs!J218="","",Coureurs!J218)</f>
        <v/>
      </c>
      <c r="H218" s="25"/>
      <c r="I218" s="41"/>
      <c r="J218" s="8" t="str">
        <f>IF(I218="PM","",IF(H218=0," ",I218-HLOOKUP('Course 5'!H218,'tab5'!$C$3:$N$4,2)))</f>
        <v xml:space="preserve"> </v>
      </c>
      <c r="K218" s="23" t="str">
        <f>IF(I218="PM","",IF(H218=0," ",J218/'Règles et points'!$F$23))</f>
        <v xml:space="preserve"> </v>
      </c>
      <c r="L218" s="3" t="str">
        <f>IF(H218=0,"",VLOOKUP(H218,'Règles et points'!$C$5:$AG$19,(HLOOKUP('Course 5'!C218,'Règles et points'!$C$5:$AG$5,1)+1)))</f>
        <v/>
      </c>
      <c r="M218" s="23">
        <f t="shared" si="3"/>
        <v>0</v>
      </c>
      <c r="N218" s="80"/>
      <c r="O218" s="51"/>
      <c r="P218" s="52"/>
    </row>
    <row r="219" spans="2:16" ht="12.75">
      <c r="B219" s="14">
        <v>215</v>
      </c>
      <c r="C219" s="28" t="str">
        <f>IF(Coureurs!C219="","",Coureurs!C219)</f>
        <v/>
      </c>
      <c r="D219" s="131" t="str">
        <f>IF(Coureurs!D219="","",Coureurs!D219)</f>
        <v>70</v>
      </c>
      <c r="E219" s="87" t="str">
        <f>IF(Coureurs!F219="","",Coureurs!F219)</f>
        <v/>
      </c>
      <c r="F219" s="87" t="str">
        <f>IF(Coureurs!G219="","",Coureurs!G219)</f>
        <v/>
      </c>
      <c r="G219" s="50" t="str">
        <f>IF(Coureurs!J219="","",Coureurs!J219)</f>
        <v/>
      </c>
      <c r="H219" s="25"/>
      <c r="I219" s="41"/>
      <c r="J219" s="8" t="str">
        <f>IF(I219="PM","",IF(H219=0," ",I219-HLOOKUP('Course 5'!H219,'tab5'!$C$3:$N$4,2)))</f>
        <v xml:space="preserve"> </v>
      </c>
      <c r="K219" s="23" t="str">
        <f>IF(I219="PM","",IF(H219=0," ",J219/'Règles et points'!$F$23))</f>
        <v xml:space="preserve"> </v>
      </c>
      <c r="L219" s="3" t="str">
        <f>IF(H219=0,"",VLOOKUP(H219,'Règles et points'!$C$5:$AG$19,(HLOOKUP('Course 5'!C219,'Règles et points'!$C$5:$AG$5,1)+1)))</f>
        <v/>
      </c>
      <c r="M219" s="23">
        <f t="shared" si="3"/>
        <v>0</v>
      </c>
      <c r="N219" s="80"/>
      <c r="O219" s="51"/>
      <c r="P219" s="52"/>
    </row>
    <row r="220" spans="2:16" ht="12.75">
      <c r="B220" s="14">
        <v>216</v>
      </c>
      <c r="C220" s="28" t="str">
        <f>IF(Coureurs!C220="","",Coureurs!C220)</f>
        <v/>
      </c>
      <c r="D220" s="131" t="str">
        <f>IF(Coureurs!D220="","",Coureurs!D220)</f>
        <v>70</v>
      </c>
      <c r="E220" s="87" t="str">
        <f>IF(Coureurs!F220="","",Coureurs!F220)</f>
        <v/>
      </c>
      <c r="F220" s="87" t="str">
        <f>IF(Coureurs!G220="","",Coureurs!G220)</f>
        <v/>
      </c>
      <c r="G220" s="50" t="str">
        <f>IF(Coureurs!J220="","",Coureurs!J220)</f>
        <v/>
      </c>
      <c r="H220" s="25"/>
      <c r="I220" s="41"/>
      <c r="J220" s="8" t="str">
        <f>IF(I220="PM","",IF(H220=0," ",I220-HLOOKUP('Course 5'!H220,'tab5'!$C$3:$N$4,2)))</f>
        <v xml:space="preserve"> </v>
      </c>
      <c r="K220" s="23" t="str">
        <f>IF(I220="PM","",IF(H220=0," ",J220/'Règles et points'!$F$23))</f>
        <v xml:space="preserve"> </v>
      </c>
      <c r="L220" s="3" t="str">
        <f>IF(H220=0,"",VLOOKUP(H220,'Règles et points'!$C$5:$AG$19,(HLOOKUP('Course 5'!C220,'Règles et points'!$C$5:$AG$5,1)+1)))</f>
        <v/>
      </c>
      <c r="M220" s="23">
        <f t="shared" si="3"/>
        <v>0</v>
      </c>
      <c r="N220" s="80"/>
      <c r="O220" s="51"/>
      <c r="P220" s="52"/>
    </row>
    <row r="221" spans="2:16" ht="12.75">
      <c r="B221" s="14">
        <v>217</v>
      </c>
      <c r="C221" s="28" t="str">
        <f>IF(Coureurs!C221="","",Coureurs!C221)</f>
        <v/>
      </c>
      <c r="D221" s="131" t="str">
        <f>IF(Coureurs!D221="","",Coureurs!D221)</f>
        <v>70</v>
      </c>
      <c r="E221" s="87" t="str">
        <f>IF(Coureurs!F221="","",Coureurs!F221)</f>
        <v/>
      </c>
      <c r="F221" s="87" t="str">
        <f>IF(Coureurs!G221="","",Coureurs!G221)</f>
        <v/>
      </c>
      <c r="G221" s="50" t="str">
        <f>IF(Coureurs!J221="","",Coureurs!J221)</f>
        <v/>
      </c>
      <c r="H221" s="25"/>
      <c r="I221" s="41"/>
      <c r="J221" s="8" t="str">
        <f>IF(I221="PM","",IF(H221=0," ",I221-HLOOKUP('Course 5'!H221,'tab5'!$C$3:$N$4,2)))</f>
        <v xml:space="preserve"> </v>
      </c>
      <c r="K221" s="23" t="str">
        <f>IF(I221="PM","",IF(H221=0," ",J221/'Règles et points'!$F$23))</f>
        <v xml:space="preserve"> </v>
      </c>
      <c r="L221" s="3" t="str">
        <f>IF(H221=0,"",VLOOKUP(H221,'Règles et points'!$C$5:$AG$19,(HLOOKUP('Course 5'!C221,'Règles et points'!$C$5:$AG$5,1)+1)))</f>
        <v/>
      </c>
      <c r="M221" s="23">
        <f t="shared" si="3"/>
        <v>0</v>
      </c>
      <c r="N221" s="80"/>
      <c r="O221" s="51"/>
      <c r="P221" s="52"/>
    </row>
    <row r="222" spans="2:16" ht="12.75">
      <c r="B222" s="14">
        <v>218</v>
      </c>
      <c r="C222" s="28" t="str">
        <f>IF(Coureurs!C222="","",Coureurs!C222)</f>
        <v/>
      </c>
      <c r="D222" s="131" t="str">
        <f>IF(Coureurs!D222="","",Coureurs!D222)</f>
        <v>70</v>
      </c>
      <c r="E222" s="87" t="str">
        <f>IF(Coureurs!F222="","",Coureurs!F222)</f>
        <v/>
      </c>
      <c r="F222" s="87" t="str">
        <f>IF(Coureurs!G222="","",Coureurs!G222)</f>
        <v/>
      </c>
      <c r="G222" s="50" t="str">
        <f>IF(Coureurs!J222="","",Coureurs!J222)</f>
        <v/>
      </c>
      <c r="H222" s="25"/>
      <c r="I222" s="41"/>
      <c r="J222" s="8" t="str">
        <f>IF(I222="PM","",IF(H222=0," ",I222-HLOOKUP('Course 5'!H222,'tab5'!$C$3:$N$4,2)))</f>
        <v xml:space="preserve"> </v>
      </c>
      <c r="K222" s="23" t="str">
        <f>IF(I222="PM","",IF(H222=0," ",J222/'Règles et points'!$F$23))</f>
        <v xml:space="preserve"> </v>
      </c>
      <c r="L222" s="3" t="str">
        <f>IF(H222=0,"",VLOOKUP(H222,'Règles et points'!$C$5:$AG$19,(HLOOKUP('Course 5'!C222,'Règles et points'!$C$5:$AG$5,1)+1)))</f>
        <v/>
      </c>
      <c r="M222" s="23">
        <f t="shared" si="3"/>
        <v>0</v>
      </c>
      <c r="N222" s="80"/>
      <c r="O222" s="51"/>
      <c r="P222" s="52"/>
    </row>
    <row r="223" spans="2:16" ht="12.75">
      <c r="B223" s="14">
        <v>219</v>
      </c>
      <c r="C223" s="28" t="str">
        <f>IF(Coureurs!C223="","",Coureurs!C223)</f>
        <v/>
      </c>
      <c r="D223" s="131" t="str">
        <f>IF(Coureurs!D223="","",Coureurs!D223)</f>
        <v>70</v>
      </c>
      <c r="E223" s="87" t="str">
        <f>IF(Coureurs!F223="","",Coureurs!F223)</f>
        <v/>
      </c>
      <c r="F223" s="87" t="str">
        <f>IF(Coureurs!G223="","",Coureurs!G223)</f>
        <v/>
      </c>
      <c r="G223" s="50" t="str">
        <f>IF(Coureurs!J223="","",Coureurs!J223)</f>
        <v/>
      </c>
      <c r="H223" s="25"/>
      <c r="I223" s="41"/>
      <c r="J223" s="8" t="str">
        <f>IF(I223="PM","",IF(H223=0," ",I223-HLOOKUP('Course 5'!H223,'tab5'!$C$3:$N$4,2)))</f>
        <v xml:space="preserve"> </v>
      </c>
      <c r="K223" s="23" t="str">
        <f>IF(I223="PM","",IF(H223=0," ",J223/'Règles et points'!$F$23))</f>
        <v xml:space="preserve"> </v>
      </c>
      <c r="L223" s="3" t="str">
        <f>IF(H223=0,"",VLOOKUP(H223,'Règles et points'!$C$5:$AG$19,(HLOOKUP('Course 5'!C223,'Règles et points'!$C$5:$AG$5,1)+1)))</f>
        <v/>
      </c>
      <c r="M223" s="23">
        <f t="shared" si="3"/>
        <v>0</v>
      </c>
      <c r="N223" s="80"/>
      <c r="O223" s="51"/>
      <c r="P223" s="52"/>
    </row>
    <row r="224" spans="2:16" ht="12.75">
      <c r="B224" s="14">
        <v>220</v>
      </c>
      <c r="C224" s="28" t="str">
        <f>IF(Coureurs!C224="","",Coureurs!C224)</f>
        <v/>
      </c>
      <c r="D224" s="131" t="str">
        <f>IF(Coureurs!D224="","",Coureurs!D224)</f>
        <v>70</v>
      </c>
      <c r="E224" s="87" t="str">
        <f>IF(Coureurs!F224="","",Coureurs!F224)</f>
        <v/>
      </c>
      <c r="F224" s="87" t="str">
        <f>IF(Coureurs!G224="","",Coureurs!G224)</f>
        <v/>
      </c>
      <c r="G224" s="50" t="str">
        <f>IF(Coureurs!J224="","",Coureurs!J224)</f>
        <v/>
      </c>
      <c r="H224" s="25"/>
      <c r="I224" s="41"/>
      <c r="J224" s="8" t="str">
        <f>IF(I224="PM","",IF(H224=0," ",I224-HLOOKUP('Course 5'!H224,'tab5'!$C$3:$N$4,2)))</f>
        <v xml:space="preserve"> </v>
      </c>
      <c r="K224" s="23" t="str">
        <f>IF(I224="PM","",IF(H224=0," ",J224/'Règles et points'!$F$23))</f>
        <v xml:space="preserve"> </v>
      </c>
      <c r="L224" s="3" t="str">
        <f>IF(H224=0,"",VLOOKUP(H224,'Règles et points'!$C$5:$AG$19,(HLOOKUP('Course 5'!C224,'Règles et points'!$C$5:$AG$5,1)+1)))</f>
        <v/>
      </c>
      <c r="M224" s="23">
        <f t="shared" si="3"/>
        <v>0</v>
      </c>
      <c r="N224" s="80"/>
      <c r="O224" s="51"/>
      <c r="P224" s="52"/>
    </row>
    <row r="225" spans="2:16" ht="12.75">
      <c r="B225" s="14">
        <v>221</v>
      </c>
      <c r="C225" s="28" t="str">
        <f>IF(Coureurs!C225="","",Coureurs!C225)</f>
        <v/>
      </c>
      <c r="D225" s="131" t="str">
        <f>IF(Coureurs!D225="","",Coureurs!D225)</f>
        <v>70</v>
      </c>
      <c r="E225" s="87" t="str">
        <f>IF(Coureurs!F225="","",Coureurs!F225)</f>
        <v/>
      </c>
      <c r="F225" s="87" t="str">
        <f>IF(Coureurs!G225="","",Coureurs!G225)</f>
        <v/>
      </c>
      <c r="G225" s="50" t="str">
        <f>IF(Coureurs!J225="","",Coureurs!J225)</f>
        <v/>
      </c>
      <c r="H225" s="25"/>
      <c r="I225" s="41"/>
      <c r="J225" s="8" t="str">
        <f>IF(I225="PM","",IF(H225=0," ",I225-HLOOKUP('Course 5'!H225,'tab5'!$C$3:$N$4,2)))</f>
        <v xml:space="preserve"> </v>
      </c>
      <c r="K225" s="23" t="str">
        <f>IF(I225="PM","",IF(H225=0," ",J225/'Règles et points'!$F$23))</f>
        <v xml:space="preserve"> </v>
      </c>
      <c r="L225" s="3" t="str">
        <f>IF(H225=0,"",VLOOKUP(H225,'Règles et points'!$C$5:$AG$19,(HLOOKUP('Course 5'!C225,'Règles et points'!$C$5:$AG$5,1)+1)))</f>
        <v/>
      </c>
      <c r="M225" s="23">
        <f t="shared" si="3"/>
        <v>0</v>
      </c>
      <c r="N225" s="80"/>
      <c r="O225" s="51"/>
      <c r="P225" s="52"/>
    </row>
    <row r="226" spans="2:16" ht="12.75">
      <c r="B226" s="14">
        <v>222</v>
      </c>
      <c r="C226" s="28" t="str">
        <f>IF(Coureurs!C226="","",Coureurs!C226)</f>
        <v/>
      </c>
      <c r="D226" s="131" t="str">
        <f>IF(Coureurs!D226="","",Coureurs!D226)</f>
        <v>70</v>
      </c>
      <c r="E226" s="87" t="str">
        <f>IF(Coureurs!F226="","",Coureurs!F226)</f>
        <v/>
      </c>
      <c r="F226" s="87" t="str">
        <f>IF(Coureurs!G226="","",Coureurs!G226)</f>
        <v/>
      </c>
      <c r="G226" s="50" t="str">
        <f>IF(Coureurs!J226="","",Coureurs!J226)</f>
        <v/>
      </c>
      <c r="H226" s="25"/>
      <c r="I226" s="41"/>
      <c r="J226" s="8" t="str">
        <f>IF(I226="PM","",IF(H226=0," ",I226-HLOOKUP('Course 5'!H226,'tab5'!$C$3:$N$4,2)))</f>
        <v xml:space="preserve"> </v>
      </c>
      <c r="K226" s="23" t="str">
        <f>IF(I226="PM","",IF(H226=0," ",J226/'Règles et points'!$F$23))</f>
        <v xml:space="preserve"> </v>
      </c>
      <c r="L226" s="3" t="str">
        <f>IF(H226=0,"",VLOOKUP(H226,'Règles et points'!$C$5:$AG$19,(HLOOKUP('Course 5'!C226,'Règles et points'!$C$5:$AG$5,1)+1)))</f>
        <v/>
      </c>
      <c r="M226" s="23">
        <f t="shared" si="3"/>
        <v>0</v>
      </c>
      <c r="N226" s="80"/>
      <c r="O226" s="51"/>
      <c r="P226" s="52"/>
    </row>
    <row r="227" spans="2:16" ht="12.75">
      <c r="B227" s="14">
        <v>223</v>
      </c>
      <c r="C227" s="28" t="str">
        <f>IF(Coureurs!C227="","",Coureurs!C227)</f>
        <v/>
      </c>
      <c r="D227" s="131" t="str">
        <f>IF(Coureurs!D227="","",Coureurs!D227)</f>
        <v>70</v>
      </c>
      <c r="E227" s="87" t="str">
        <f>IF(Coureurs!F227="","",Coureurs!F227)</f>
        <v/>
      </c>
      <c r="F227" s="87" t="str">
        <f>IF(Coureurs!G227="","",Coureurs!G227)</f>
        <v/>
      </c>
      <c r="G227" s="50" t="str">
        <f>IF(Coureurs!J227="","",Coureurs!J227)</f>
        <v/>
      </c>
      <c r="H227" s="25"/>
      <c r="I227" s="41"/>
      <c r="J227" s="8" t="str">
        <f>IF(I227="PM","",IF(H227=0," ",I227-HLOOKUP('Course 5'!H227,'tab5'!$C$3:$N$4,2)))</f>
        <v xml:space="preserve"> </v>
      </c>
      <c r="K227" s="23" t="str">
        <f>IF(I227="PM","",IF(H227=0," ",J227/'Règles et points'!$F$23))</f>
        <v xml:space="preserve"> </v>
      </c>
      <c r="L227" s="3" t="str">
        <f>IF(H227=0,"",VLOOKUP(H227,'Règles et points'!$C$5:$AG$19,(HLOOKUP('Course 5'!C227,'Règles et points'!$C$5:$AG$5,1)+1)))</f>
        <v/>
      </c>
      <c r="M227" s="23">
        <f t="shared" si="3"/>
        <v>0</v>
      </c>
      <c r="N227" s="80"/>
      <c r="O227" s="51"/>
      <c r="P227" s="52"/>
    </row>
    <row r="228" spans="2:16" ht="12.75">
      <c r="B228" s="14">
        <v>224</v>
      </c>
      <c r="C228" s="28" t="str">
        <f>IF(Coureurs!C228="","",Coureurs!C228)</f>
        <v/>
      </c>
      <c r="D228" s="131" t="str">
        <f>IF(Coureurs!D228="","",Coureurs!D228)</f>
        <v>70</v>
      </c>
      <c r="E228" s="87" t="str">
        <f>IF(Coureurs!F228="","",Coureurs!F228)</f>
        <v/>
      </c>
      <c r="F228" s="87" t="str">
        <f>IF(Coureurs!G228="","",Coureurs!G228)</f>
        <v/>
      </c>
      <c r="G228" s="50" t="str">
        <f>IF(Coureurs!J228="","",Coureurs!J228)</f>
        <v/>
      </c>
      <c r="H228" s="25"/>
      <c r="I228" s="41"/>
      <c r="J228" s="8" t="str">
        <f>IF(I228="PM","",IF(H228=0," ",I228-HLOOKUP('Course 5'!H228,'tab5'!$C$3:$N$4,2)))</f>
        <v xml:space="preserve"> </v>
      </c>
      <c r="K228" s="23" t="str">
        <f>IF(I228="PM","",IF(H228=0," ",J228/'Règles et points'!$F$23))</f>
        <v xml:space="preserve"> </v>
      </c>
      <c r="L228" s="3" t="str">
        <f>IF(H228=0,"",VLOOKUP(H228,'Règles et points'!$C$5:$AG$19,(HLOOKUP('Course 5'!C228,'Règles et points'!$C$5:$AG$5,1)+1)))</f>
        <v/>
      </c>
      <c r="M228" s="23">
        <f t="shared" si="3"/>
        <v>0</v>
      </c>
      <c r="N228" s="80"/>
      <c r="O228" s="51"/>
      <c r="P228" s="52"/>
    </row>
    <row r="229" spans="2:16" ht="12.75">
      <c r="B229" s="14">
        <v>225</v>
      </c>
      <c r="C229" s="28" t="str">
        <f>IF(Coureurs!C229="","",Coureurs!C229)</f>
        <v/>
      </c>
      <c r="D229" s="131" t="str">
        <f>IF(Coureurs!D229="","",Coureurs!D229)</f>
        <v>70</v>
      </c>
      <c r="E229" s="87" t="str">
        <f>IF(Coureurs!F229="","",Coureurs!F229)</f>
        <v/>
      </c>
      <c r="F229" s="87" t="str">
        <f>IF(Coureurs!G229="","",Coureurs!G229)</f>
        <v/>
      </c>
      <c r="G229" s="50" t="str">
        <f>IF(Coureurs!J229="","",Coureurs!J229)</f>
        <v/>
      </c>
      <c r="H229" s="25"/>
      <c r="I229" s="41"/>
      <c r="J229" s="8" t="str">
        <f>IF(I229="PM","",IF(H229=0," ",I229-HLOOKUP('Course 5'!H229,'tab5'!$C$3:$N$4,2)))</f>
        <v xml:space="preserve"> </v>
      </c>
      <c r="K229" s="23" t="str">
        <f>IF(I229="PM","",IF(H229=0," ",J229/'Règles et points'!$F$23))</f>
        <v xml:space="preserve"> </v>
      </c>
      <c r="L229" s="3" t="str">
        <f>IF(H229=0,"",VLOOKUP(H229,'Règles et points'!$C$5:$AG$19,(HLOOKUP('Course 5'!C229,'Règles et points'!$C$5:$AG$5,1)+1)))</f>
        <v/>
      </c>
      <c r="M229" s="23">
        <f t="shared" si="3"/>
        <v>0</v>
      </c>
      <c r="N229" s="80"/>
      <c r="O229" s="51"/>
      <c r="P229" s="52"/>
    </row>
    <row r="230" spans="2:16" ht="12.75">
      <c r="B230" s="14">
        <v>226</v>
      </c>
      <c r="C230" s="28" t="str">
        <f>IF(Coureurs!C230="","",Coureurs!C230)</f>
        <v/>
      </c>
      <c r="D230" s="131" t="str">
        <f>IF(Coureurs!D230="","",Coureurs!D230)</f>
        <v>70</v>
      </c>
      <c r="E230" s="87" t="str">
        <f>IF(Coureurs!F230="","",Coureurs!F230)</f>
        <v/>
      </c>
      <c r="F230" s="87" t="str">
        <f>IF(Coureurs!G230="","",Coureurs!G230)</f>
        <v/>
      </c>
      <c r="G230" s="50" t="str">
        <f>IF(Coureurs!J230="","",Coureurs!J230)</f>
        <v/>
      </c>
      <c r="H230" s="25"/>
      <c r="I230" s="41"/>
      <c r="J230" s="8" t="str">
        <f>IF(I230="PM","",IF(H230=0," ",I230-HLOOKUP('Course 5'!H230,'tab5'!$C$3:$N$4,2)))</f>
        <v xml:space="preserve"> </v>
      </c>
      <c r="K230" s="23" t="str">
        <f>IF(I230="PM","",IF(H230=0," ",J230/'Règles et points'!$F$23))</f>
        <v xml:space="preserve"> </v>
      </c>
      <c r="L230" s="3" t="str">
        <f>IF(H230=0,"",VLOOKUP(H230,'Règles et points'!$C$5:$AG$19,(HLOOKUP('Course 5'!C230,'Règles et points'!$C$5:$AG$5,1)+1)))</f>
        <v/>
      </c>
      <c r="M230" s="23">
        <f t="shared" si="3"/>
        <v>0</v>
      </c>
      <c r="N230" s="80"/>
      <c r="O230" s="51"/>
      <c r="P230" s="52"/>
    </row>
    <row r="231" spans="2:16" ht="12.75">
      <c r="B231" s="14">
        <v>227</v>
      </c>
      <c r="C231" s="28" t="str">
        <f>IF(Coureurs!C231="","",Coureurs!C231)</f>
        <v/>
      </c>
      <c r="D231" s="131" t="str">
        <f>IF(Coureurs!D231="","",Coureurs!D231)</f>
        <v>70</v>
      </c>
      <c r="E231" s="87" t="str">
        <f>IF(Coureurs!F231="","",Coureurs!F231)</f>
        <v/>
      </c>
      <c r="F231" s="87" t="str">
        <f>IF(Coureurs!G231="","",Coureurs!G231)</f>
        <v/>
      </c>
      <c r="G231" s="50" t="str">
        <f>IF(Coureurs!J231="","",Coureurs!J231)</f>
        <v/>
      </c>
      <c r="H231" s="25"/>
      <c r="I231" s="41"/>
      <c r="J231" s="8" t="str">
        <f>IF(I231="PM","",IF(H231=0," ",I231-HLOOKUP('Course 5'!H231,'tab5'!$C$3:$N$4,2)))</f>
        <v xml:space="preserve"> </v>
      </c>
      <c r="K231" s="23" t="str">
        <f>IF(I231="PM","",IF(H231=0," ",J231/'Règles et points'!$F$23))</f>
        <v xml:space="preserve"> </v>
      </c>
      <c r="L231" s="3" t="str">
        <f>IF(H231=0,"",VLOOKUP(H231,'Règles et points'!$C$5:$AG$19,(HLOOKUP('Course 5'!C231,'Règles et points'!$C$5:$AG$5,1)+1)))</f>
        <v/>
      </c>
      <c r="M231" s="23">
        <f t="shared" si="3"/>
        <v>0</v>
      </c>
      <c r="N231" s="80"/>
      <c r="O231" s="51"/>
      <c r="P231" s="52"/>
    </row>
    <row r="232" spans="2:16" ht="12.75">
      <c r="B232" s="14">
        <v>228</v>
      </c>
      <c r="C232" s="28" t="str">
        <f>IF(Coureurs!C232="","",Coureurs!C232)</f>
        <v/>
      </c>
      <c r="D232" s="131" t="str">
        <f>IF(Coureurs!D232="","",Coureurs!D232)</f>
        <v>70</v>
      </c>
      <c r="E232" s="87" t="str">
        <f>IF(Coureurs!F232="","",Coureurs!F232)</f>
        <v/>
      </c>
      <c r="F232" s="87" t="str">
        <f>IF(Coureurs!G232="","",Coureurs!G232)</f>
        <v/>
      </c>
      <c r="G232" s="50" t="str">
        <f>IF(Coureurs!J232="","",Coureurs!J232)</f>
        <v/>
      </c>
      <c r="H232" s="25"/>
      <c r="I232" s="41"/>
      <c r="J232" s="8" t="str">
        <f>IF(I232="PM","",IF(H232=0," ",I232-HLOOKUP('Course 5'!H232,'tab5'!$C$3:$N$4,2)))</f>
        <v xml:space="preserve"> </v>
      </c>
      <c r="K232" s="23" t="str">
        <f>IF(I232="PM","",IF(H232=0," ",J232/'Règles et points'!$F$23))</f>
        <v xml:space="preserve"> </v>
      </c>
      <c r="L232" s="3" t="str">
        <f>IF(H232=0,"",VLOOKUP(H232,'Règles et points'!$C$5:$AG$19,(HLOOKUP('Course 5'!C232,'Règles et points'!$C$5:$AG$5,1)+1)))</f>
        <v/>
      </c>
      <c r="M232" s="23">
        <f t="shared" si="3"/>
        <v>0</v>
      </c>
      <c r="N232" s="80"/>
      <c r="O232" s="51"/>
      <c r="P232" s="52"/>
    </row>
    <row r="233" spans="2:16" ht="12.75">
      <c r="B233" s="14">
        <v>229</v>
      </c>
      <c r="C233" s="28" t="str">
        <f>IF(Coureurs!C233="","",Coureurs!C233)</f>
        <v/>
      </c>
      <c r="D233" s="131" t="str">
        <f>IF(Coureurs!D233="","",Coureurs!D233)</f>
        <v>70</v>
      </c>
      <c r="E233" s="87" t="str">
        <f>IF(Coureurs!F233="","",Coureurs!F233)</f>
        <v/>
      </c>
      <c r="F233" s="87" t="str">
        <f>IF(Coureurs!G233="","",Coureurs!G233)</f>
        <v/>
      </c>
      <c r="G233" s="50" t="str">
        <f>IF(Coureurs!J233="","",Coureurs!J233)</f>
        <v/>
      </c>
      <c r="H233" s="25"/>
      <c r="I233" s="41"/>
      <c r="J233" s="8" t="str">
        <f>IF(I233="PM","",IF(H233=0," ",I233-HLOOKUP('Course 5'!H233,'tab5'!$C$3:$N$4,2)))</f>
        <v xml:space="preserve"> </v>
      </c>
      <c r="K233" s="23" t="str">
        <f>IF(I233="PM","",IF(H233=0," ",J233/'Règles et points'!$F$23))</f>
        <v xml:space="preserve"> </v>
      </c>
      <c r="L233" s="3" t="str">
        <f>IF(H233=0,"",VLOOKUP(H233,'Règles et points'!$C$5:$AG$19,(HLOOKUP('Course 5'!C233,'Règles et points'!$C$5:$AG$5,1)+1)))</f>
        <v/>
      </c>
      <c r="M233" s="23">
        <f t="shared" si="3"/>
        <v>0</v>
      </c>
      <c r="N233" s="80"/>
      <c r="O233" s="51"/>
      <c r="P233" s="52"/>
    </row>
    <row r="234" spans="2:16" ht="12.75">
      <c r="B234" s="14">
        <v>230</v>
      </c>
      <c r="C234" s="28" t="str">
        <f>IF(Coureurs!C234="","",Coureurs!C234)</f>
        <v/>
      </c>
      <c r="D234" s="131" t="str">
        <f>IF(Coureurs!D234="","",Coureurs!D234)</f>
        <v>70</v>
      </c>
      <c r="E234" s="87" t="str">
        <f>IF(Coureurs!F234="","",Coureurs!F234)</f>
        <v/>
      </c>
      <c r="F234" s="87" t="str">
        <f>IF(Coureurs!G234="","",Coureurs!G234)</f>
        <v/>
      </c>
      <c r="G234" s="50" t="str">
        <f>IF(Coureurs!J234="","",Coureurs!J234)</f>
        <v/>
      </c>
      <c r="H234" s="25"/>
      <c r="I234" s="41"/>
      <c r="J234" s="8" t="str">
        <f>IF(I234="PM","",IF(H234=0," ",I234-HLOOKUP('Course 5'!H234,'tab5'!$C$3:$N$4,2)))</f>
        <v xml:space="preserve"> </v>
      </c>
      <c r="K234" s="23" t="str">
        <f>IF(I234="PM","",IF(H234=0," ",J234/'Règles et points'!$F$23))</f>
        <v xml:space="preserve"> </v>
      </c>
      <c r="L234" s="3" t="str">
        <f>IF(H234=0,"",VLOOKUP(H234,'Règles et points'!$C$5:$AG$19,(HLOOKUP('Course 5'!C234,'Règles et points'!$C$5:$AG$5,1)+1)))</f>
        <v/>
      </c>
      <c r="M234" s="23">
        <f t="shared" si="3"/>
        <v>0</v>
      </c>
      <c r="N234" s="80"/>
      <c r="O234" s="51"/>
      <c r="P234" s="52"/>
    </row>
    <row r="235" spans="2:16" ht="12.75">
      <c r="B235" s="14">
        <v>231</v>
      </c>
      <c r="C235" s="28" t="str">
        <f>IF(Coureurs!C235="","",Coureurs!C235)</f>
        <v/>
      </c>
      <c r="D235" s="131" t="str">
        <f>IF(Coureurs!D235="","",Coureurs!D235)</f>
        <v>70</v>
      </c>
      <c r="E235" s="87" t="str">
        <f>IF(Coureurs!F235="","",Coureurs!F235)</f>
        <v/>
      </c>
      <c r="F235" s="87" t="str">
        <f>IF(Coureurs!G235="","",Coureurs!G235)</f>
        <v/>
      </c>
      <c r="G235" s="50" t="str">
        <f>IF(Coureurs!J235="","",Coureurs!J235)</f>
        <v/>
      </c>
      <c r="H235" s="25"/>
      <c r="I235" s="41"/>
      <c r="J235" s="8" t="str">
        <f>IF(I235="PM","",IF(H235=0," ",I235-HLOOKUP('Course 5'!H235,'tab5'!$C$3:$N$4,2)))</f>
        <v xml:space="preserve"> </v>
      </c>
      <c r="K235" s="23" t="str">
        <f>IF(I235="PM","",IF(H235=0," ",J235/'Règles et points'!$F$23))</f>
        <v xml:space="preserve"> </v>
      </c>
      <c r="L235" s="3" t="str">
        <f>IF(H235=0,"",VLOOKUP(H235,'Règles et points'!$C$5:$AG$19,(HLOOKUP('Course 5'!C235,'Règles et points'!$C$5:$AG$5,1)+1)))</f>
        <v/>
      </c>
      <c r="M235" s="23">
        <f t="shared" si="3"/>
        <v>0</v>
      </c>
      <c r="N235" s="80"/>
      <c r="O235" s="51"/>
      <c r="P235" s="52"/>
    </row>
    <row r="236" spans="2:16" ht="12.75">
      <c r="B236" s="14">
        <v>232</v>
      </c>
      <c r="C236" s="28" t="str">
        <f>IF(Coureurs!C236="","",Coureurs!C236)</f>
        <v/>
      </c>
      <c r="D236" s="131" t="str">
        <f>IF(Coureurs!D236="","",Coureurs!D236)</f>
        <v>70</v>
      </c>
      <c r="E236" s="87" t="str">
        <f>IF(Coureurs!F236="","",Coureurs!F236)</f>
        <v/>
      </c>
      <c r="F236" s="87" t="str">
        <f>IF(Coureurs!G236="","",Coureurs!G236)</f>
        <v/>
      </c>
      <c r="G236" s="50" t="str">
        <f>IF(Coureurs!J236="","",Coureurs!J236)</f>
        <v/>
      </c>
      <c r="H236" s="25"/>
      <c r="I236" s="41"/>
      <c r="J236" s="8" t="str">
        <f>IF(I236="PM","",IF(H236=0," ",I236-HLOOKUP('Course 5'!H236,'tab5'!$C$3:$N$4,2)))</f>
        <v xml:space="preserve"> </v>
      </c>
      <c r="K236" s="23" t="str">
        <f>IF(I236="PM","",IF(H236=0," ",J236/'Règles et points'!$F$23))</f>
        <v xml:space="preserve"> </v>
      </c>
      <c r="L236" s="3" t="str">
        <f>IF(H236=0,"",VLOOKUP(H236,'Règles et points'!$C$5:$AG$19,(HLOOKUP('Course 5'!C236,'Règles et points'!$C$5:$AG$5,1)+1)))</f>
        <v/>
      </c>
      <c r="M236" s="23">
        <f t="shared" si="3"/>
        <v>0</v>
      </c>
      <c r="N236" s="80"/>
      <c r="O236" s="51"/>
      <c r="P236" s="52"/>
    </row>
    <row r="237" spans="2:16" ht="12.75">
      <c r="B237" s="14">
        <v>233</v>
      </c>
      <c r="C237" s="28" t="str">
        <f>IF(Coureurs!C237="","",Coureurs!C237)</f>
        <v/>
      </c>
      <c r="D237" s="131" t="str">
        <f>IF(Coureurs!D237="","",Coureurs!D237)</f>
        <v>70</v>
      </c>
      <c r="E237" s="87" t="str">
        <f>IF(Coureurs!F237="","",Coureurs!F237)</f>
        <v/>
      </c>
      <c r="F237" s="87" t="str">
        <f>IF(Coureurs!G237="","",Coureurs!G237)</f>
        <v/>
      </c>
      <c r="G237" s="50" t="str">
        <f>IF(Coureurs!J237="","",Coureurs!J237)</f>
        <v/>
      </c>
      <c r="H237" s="25"/>
      <c r="I237" s="41"/>
      <c r="J237" s="8" t="str">
        <f>IF(I237="PM","",IF(H237=0," ",I237-HLOOKUP('Course 5'!H237,'tab5'!$C$3:$N$4,2)))</f>
        <v xml:space="preserve"> </v>
      </c>
      <c r="K237" s="23" t="str">
        <f>IF(I237="PM","",IF(H237=0," ",J237/'Règles et points'!$F$23))</f>
        <v xml:space="preserve"> </v>
      </c>
      <c r="L237" s="3" t="str">
        <f>IF(H237=0,"",VLOOKUP(H237,'Règles et points'!$C$5:$AG$19,(HLOOKUP('Course 5'!C237,'Règles et points'!$C$5:$AG$5,1)+1)))</f>
        <v/>
      </c>
      <c r="M237" s="23">
        <f t="shared" si="3"/>
        <v>0</v>
      </c>
      <c r="N237" s="80"/>
      <c r="O237" s="51"/>
      <c r="P237" s="52"/>
    </row>
    <row r="238" spans="2:16" ht="12.75">
      <c r="B238" s="14">
        <v>234</v>
      </c>
      <c r="C238" s="28" t="str">
        <f>IF(Coureurs!C238="","",Coureurs!C238)</f>
        <v/>
      </c>
      <c r="D238" s="131" t="str">
        <f>IF(Coureurs!D238="","",Coureurs!D238)</f>
        <v>70</v>
      </c>
      <c r="E238" s="87" t="str">
        <f>IF(Coureurs!F238="","",Coureurs!F238)</f>
        <v/>
      </c>
      <c r="F238" s="87" t="str">
        <f>IF(Coureurs!G238="","",Coureurs!G238)</f>
        <v/>
      </c>
      <c r="G238" s="50" t="str">
        <f>IF(Coureurs!J238="","",Coureurs!J238)</f>
        <v/>
      </c>
      <c r="H238" s="25"/>
      <c r="I238" s="41"/>
      <c r="J238" s="8" t="str">
        <f>IF(I238="PM","",IF(H238=0," ",I238-HLOOKUP('Course 5'!H238,'tab5'!$C$3:$N$4,2)))</f>
        <v xml:space="preserve"> </v>
      </c>
      <c r="K238" s="23" t="str">
        <f>IF(I238="PM","",IF(H238=0," ",J238/'Règles et points'!$F$23))</f>
        <v xml:space="preserve"> </v>
      </c>
      <c r="L238" s="3" t="str">
        <f>IF(H238=0,"",VLOOKUP(H238,'Règles et points'!$C$5:$AG$19,(HLOOKUP('Course 5'!C238,'Règles et points'!$C$5:$AG$5,1)+1)))</f>
        <v/>
      </c>
      <c r="M238" s="23">
        <f t="shared" si="3"/>
        <v>0</v>
      </c>
      <c r="N238" s="80"/>
      <c r="O238" s="51"/>
      <c r="P238" s="52"/>
    </row>
    <row r="239" spans="2:16" ht="12.75">
      <c r="B239" s="14">
        <v>235</v>
      </c>
      <c r="C239" s="28" t="str">
        <f>IF(Coureurs!C239="","",Coureurs!C239)</f>
        <v/>
      </c>
      <c r="D239" s="131" t="str">
        <f>IF(Coureurs!D239="","",Coureurs!D239)</f>
        <v>70</v>
      </c>
      <c r="E239" s="87" t="str">
        <f>IF(Coureurs!F239="","",Coureurs!F239)</f>
        <v/>
      </c>
      <c r="F239" s="87" t="str">
        <f>IF(Coureurs!G239="","",Coureurs!G239)</f>
        <v/>
      </c>
      <c r="G239" s="50" t="str">
        <f>IF(Coureurs!J239="","",Coureurs!J239)</f>
        <v/>
      </c>
      <c r="H239" s="25"/>
      <c r="I239" s="41"/>
      <c r="J239" s="8" t="str">
        <f>IF(I239="PM","",IF(H239=0," ",I239-HLOOKUP('Course 5'!H239,'tab5'!$C$3:$N$4,2)))</f>
        <v xml:space="preserve"> </v>
      </c>
      <c r="K239" s="23" t="str">
        <f>IF(I239="PM","",IF(H239=0," ",J239/'Règles et points'!$F$23))</f>
        <v xml:space="preserve"> </v>
      </c>
      <c r="L239" s="3" t="str">
        <f>IF(H239=0,"",VLOOKUP(H239,'Règles et points'!$C$5:$AG$19,(HLOOKUP('Course 5'!C239,'Règles et points'!$C$5:$AG$5,1)+1)))</f>
        <v/>
      </c>
      <c r="M239" s="23">
        <f t="shared" si="3"/>
        <v>0</v>
      </c>
      <c r="N239" s="80"/>
      <c r="O239" s="51"/>
      <c r="P239" s="52"/>
    </row>
    <row r="240" spans="2:16" ht="12.75">
      <c r="B240" s="14">
        <v>236</v>
      </c>
      <c r="C240" s="28" t="str">
        <f>IF(Coureurs!C240="","",Coureurs!C240)</f>
        <v/>
      </c>
      <c r="D240" s="131" t="str">
        <f>IF(Coureurs!D240="","",Coureurs!D240)</f>
        <v>70</v>
      </c>
      <c r="E240" s="87" t="str">
        <f>IF(Coureurs!F240="","",Coureurs!F240)</f>
        <v/>
      </c>
      <c r="F240" s="87" t="str">
        <f>IF(Coureurs!G240="","",Coureurs!G240)</f>
        <v/>
      </c>
      <c r="G240" s="50" t="str">
        <f>IF(Coureurs!J240="","",Coureurs!J240)</f>
        <v/>
      </c>
      <c r="H240" s="25"/>
      <c r="I240" s="41"/>
      <c r="J240" s="8" t="str">
        <f>IF(I240="PM","",IF(H240=0," ",I240-HLOOKUP('Course 5'!H240,'tab5'!$C$3:$N$4,2)))</f>
        <v xml:space="preserve"> </v>
      </c>
      <c r="K240" s="23" t="str">
        <f>IF(I240="PM","",IF(H240=0," ",J240/'Règles et points'!$F$23))</f>
        <v xml:space="preserve"> </v>
      </c>
      <c r="L240" s="3" t="str">
        <f>IF(H240=0,"",VLOOKUP(H240,'Règles et points'!$C$5:$AG$19,(HLOOKUP('Course 5'!C240,'Règles et points'!$C$5:$AG$5,1)+1)))</f>
        <v/>
      </c>
      <c r="M240" s="23">
        <f t="shared" si="3"/>
        <v>0</v>
      </c>
      <c r="N240" s="80"/>
      <c r="O240" s="51"/>
      <c r="P240" s="52"/>
    </row>
    <row r="241" spans="2:16" ht="12.75">
      <c r="B241" s="14">
        <v>237</v>
      </c>
      <c r="C241" s="28" t="str">
        <f>IF(Coureurs!C241="","",Coureurs!C241)</f>
        <v/>
      </c>
      <c r="D241" s="131" t="str">
        <f>IF(Coureurs!D241="","",Coureurs!D241)</f>
        <v>70</v>
      </c>
      <c r="E241" s="87" t="str">
        <f>IF(Coureurs!F241="","",Coureurs!F241)</f>
        <v/>
      </c>
      <c r="F241" s="87" t="str">
        <f>IF(Coureurs!G241="","",Coureurs!G241)</f>
        <v/>
      </c>
      <c r="G241" s="50" t="str">
        <f>IF(Coureurs!J241="","",Coureurs!J241)</f>
        <v/>
      </c>
      <c r="H241" s="25"/>
      <c r="I241" s="41"/>
      <c r="J241" s="8" t="str">
        <f>IF(I241="PM","",IF(H241=0," ",I241-HLOOKUP('Course 5'!H241,'tab5'!$C$3:$N$4,2)))</f>
        <v xml:space="preserve"> </v>
      </c>
      <c r="K241" s="23" t="str">
        <f>IF(I241="PM","",IF(H241=0," ",J241/'Règles et points'!$F$23))</f>
        <v xml:space="preserve"> </v>
      </c>
      <c r="L241" s="3" t="str">
        <f>IF(H241=0,"",VLOOKUP(H241,'Règles et points'!$C$5:$AG$19,(HLOOKUP('Course 5'!C241,'Règles et points'!$C$5:$AG$5,1)+1)))</f>
        <v/>
      </c>
      <c r="M241" s="23">
        <f t="shared" si="3"/>
        <v>0</v>
      </c>
      <c r="N241" s="80"/>
      <c r="O241" s="51"/>
      <c r="P241" s="52"/>
    </row>
    <row r="242" spans="2:16" ht="12.75">
      <c r="B242" s="14">
        <v>238</v>
      </c>
      <c r="C242" s="28" t="str">
        <f>IF(Coureurs!C242="","",Coureurs!C242)</f>
        <v/>
      </c>
      <c r="D242" s="131" t="str">
        <f>IF(Coureurs!D242="","",Coureurs!D242)</f>
        <v>70</v>
      </c>
      <c r="E242" s="87" t="str">
        <f>IF(Coureurs!F242="","",Coureurs!F242)</f>
        <v/>
      </c>
      <c r="F242" s="87" t="str">
        <f>IF(Coureurs!G242="","",Coureurs!G242)</f>
        <v/>
      </c>
      <c r="G242" s="50" t="str">
        <f>IF(Coureurs!J242="","",Coureurs!J242)</f>
        <v/>
      </c>
      <c r="H242" s="25"/>
      <c r="I242" s="41"/>
      <c r="J242" s="8" t="str">
        <f>IF(I242="PM","",IF(H242=0," ",I242-HLOOKUP('Course 5'!H242,'tab5'!$C$3:$N$4,2)))</f>
        <v xml:space="preserve"> </v>
      </c>
      <c r="K242" s="23" t="str">
        <f>IF(I242="PM","",IF(H242=0," ",J242/'Règles et points'!$F$23))</f>
        <v xml:space="preserve"> </v>
      </c>
      <c r="L242" s="3" t="str">
        <f>IF(H242=0,"",VLOOKUP(H242,'Règles et points'!$C$5:$AG$19,(HLOOKUP('Course 5'!C242,'Règles et points'!$C$5:$AG$5,1)+1)))</f>
        <v/>
      </c>
      <c r="M242" s="23">
        <f t="shared" si="3"/>
        <v>0</v>
      </c>
      <c r="N242" s="80"/>
      <c r="O242" s="51"/>
      <c r="P242" s="52"/>
    </row>
    <row r="243" spans="2:16" ht="12.75">
      <c r="B243" s="14">
        <v>239</v>
      </c>
      <c r="C243" s="28" t="str">
        <f>IF(Coureurs!C243="","",Coureurs!C243)</f>
        <v/>
      </c>
      <c r="D243" s="131" t="str">
        <f>IF(Coureurs!D243="","",Coureurs!D243)</f>
        <v>70</v>
      </c>
      <c r="E243" s="87" t="str">
        <f>IF(Coureurs!F243="","",Coureurs!F243)</f>
        <v/>
      </c>
      <c r="F243" s="87" t="str">
        <f>IF(Coureurs!G243="","",Coureurs!G243)</f>
        <v/>
      </c>
      <c r="G243" s="50" t="str">
        <f>IF(Coureurs!J243="","",Coureurs!J243)</f>
        <v/>
      </c>
      <c r="H243" s="25"/>
      <c r="I243" s="41"/>
      <c r="J243" s="8" t="str">
        <f>IF(I243="PM","",IF(H243=0," ",I243-HLOOKUP('Course 5'!H243,'tab5'!$C$3:$N$4,2)))</f>
        <v xml:space="preserve"> </v>
      </c>
      <c r="K243" s="23" t="str">
        <f>IF(I243="PM","",IF(H243=0," ",J243/'Règles et points'!$F$23))</f>
        <v xml:space="preserve"> </v>
      </c>
      <c r="L243" s="3" t="str">
        <f>IF(H243=0,"",VLOOKUP(H243,'Règles et points'!$C$5:$AG$19,(HLOOKUP('Course 5'!C243,'Règles et points'!$C$5:$AG$5,1)+1)))</f>
        <v/>
      </c>
      <c r="M243" s="23">
        <f t="shared" si="3"/>
        <v>0</v>
      </c>
      <c r="N243" s="80"/>
      <c r="O243" s="51"/>
      <c r="P243" s="52"/>
    </row>
    <row r="244" spans="2:16" ht="12.75">
      <c r="B244" s="14">
        <v>240</v>
      </c>
      <c r="C244" s="28" t="str">
        <f>IF(Coureurs!C244="","",Coureurs!C244)</f>
        <v/>
      </c>
      <c r="D244" s="131" t="str">
        <f>IF(Coureurs!D244="","",Coureurs!D244)</f>
        <v>70</v>
      </c>
      <c r="E244" s="87" t="str">
        <f>IF(Coureurs!F244="","",Coureurs!F244)</f>
        <v/>
      </c>
      <c r="F244" s="87" t="str">
        <f>IF(Coureurs!G244="","",Coureurs!G244)</f>
        <v/>
      </c>
      <c r="G244" s="50" t="str">
        <f>IF(Coureurs!J244="","",Coureurs!J244)</f>
        <v/>
      </c>
      <c r="H244" s="25"/>
      <c r="I244" s="41"/>
      <c r="J244" s="8" t="str">
        <f>IF(I244="PM","",IF(H244=0," ",I244-HLOOKUP('Course 5'!H244,'tab5'!$C$3:$N$4,2)))</f>
        <v xml:space="preserve"> </v>
      </c>
      <c r="K244" s="23" t="str">
        <f>IF(I244="PM","",IF(H244=0," ",J244/'Règles et points'!$F$23))</f>
        <v xml:space="preserve"> </v>
      </c>
      <c r="L244" s="3" t="str">
        <f>IF(H244=0,"",VLOOKUP(H244,'Règles et points'!$C$5:$AG$19,(HLOOKUP('Course 5'!C244,'Règles et points'!$C$5:$AG$5,1)+1)))</f>
        <v/>
      </c>
      <c r="M244" s="23">
        <f t="shared" si="3"/>
        <v>0</v>
      </c>
      <c r="N244" s="80"/>
      <c r="O244" s="51"/>
      <c r="P244" s="52"/>
    </row>
    <row r="245" spans="2:16" ht="12.75">
      <c r="B245" s="14">
        <v>241</v>
      </c>
      <c r="C245" s="28" t="str">
        <f>IF(Coureurs!C245="","",Coureurs!C245)</f>
        <v/>
      </c>
      <c r="D245" s="131" t="str">
        <f>IF(Coureurs!D245="","",Coureurs!D245)</f>
        <v>70</v>
      </c>
      <c r="E245" s="87" t="str">
        <f>IF(Coureurs!F245="","",Coureurs!F245)</f>
        <v/>
      </c>
      <c r="F245" s="87" t="str">
        <f>IF(Coureurs!G245="","",Coureurs!G245)</f>
        <v/>
      </c>
      <c r="G245" s="50" t="str">
        <f>IF(Coureurs!J245="","",Coureurs!J245)</f>
        <v/>
      </c>
      <c r="H245" s="25"/>
      <c r="I245" s="41"/>
      <c r="J245" s="8" t="str">
        <f>IF(I245="PM","",IF(H245=0," ",I245-HLOOKUP('Course 5'!H245,'tab5'!$C$3:$N$4,2)))</f>
        <v xml:space="preserve"> </v>
      </c>
      <c r="K245" s="23" t="str">
        <f>IF(I245="PM","",IF(H245=0," ",J245/'Règles et points'!$F$23))</f>
        <v xml:space="preserve"> </v>
      </c>
      <c r="L245" s="3" t="str">
        <f>IF(H245=0,"",VLOOKUP(H245,'Règles et points'!$C$5:$AG$19,(HLOOKUP('Course 5'!C245,'Règles et points'!$C$5:$AG$5,1)+1)))</f>
        <v/>
      </c>
      <c r="M245" s="23">
        <f t="shared" si="3"/>
        <v>0</v>
      </c>
      <c r="N245" s="80"/>
      <c r="O245" s="51"/>
      <c r="P245" s="52"/>
    </row>
    <row r="246" spans="2:16" ht="12.75">
      <c r="B246" s="14">
        <v>242</v>
      </c>
      <c r="C246" s="28" t="str">
        <f>IF(Coureurs!C246="","",Coureurs!C246)</f>
        <v/>
      </c>
      <c r="D246" s="131" t="str">
        <f>IF(Coureurs!D246="","",Coureurs!D246)</f>
        <v>70</v>
      </c>
      <c r="E246" s="87" t="str">
        <f>IF(Coureurs!F246="","",Coureurs!F246)</f>
        <v/>
      </c>
      <c r="F246" s="87" t="str">
        <f>IF(Coureurs!G246="","",Coureurs!G246)</f>
        <v/>
      </c>
      <c r="G246" s="50" t="str">
        <f>IF(Coureurs!J246="","",Coureurs!J246)</f>
        <v/>
      </c>
      <c r="H246" s="25"/>
      <c r="I246" s="41"/>
      <c r="J246" s="8" t="str">
        <f>IF(I246="PM","",IF(H246=0," ",I246-HLOOKUP('Course 5'!H246,'tab5'!$C$3:$N$4,2)))</f>
        <v xml:space="preserve"> </v>
      </c>
      <c r="K246" s="23" t="str">
        <f>IF(I246="PM","",IF(H246=0," ",J246/'Règles et points'!$F$23))</f>
        <v xml:space="preserve"> </v>
      </c>
      <c r="L246" s="3" t="str">
        <f>IF(H246=0,"",VLOOKUP(H246,'Règles et points'!$C$5:$AG$19,(HLOOKUP('Course 5'!C246,'Règles et points'!$C$5:$AG$5,1)+1)))</f>
        <v/>
      </c>
      <c r="M246" s="23">
        <f t="shared" si="3"/>
        <v>0</v>
      </c>
      <c r="N246" s="80"/>
      <c r="O246" s="51"/>
      <c r="P246" s="52"/>
    </row>
    <row r="247" spans="2:16" ht="12.75">
      <c r="B247" s="14">
        <v>243</v>
      </c>
      <c r="C247" s="28" t="str">
        <f>IF(Coureurs!C247="","",Coureurs!C247)</f>
        <v/>
      </c>
      <c r="D247" s="131" t="str">
        <f>IF(Coureurs!D247="","",Coureurs!D247)</f>
        <v>70</v>
      </c>
      <c r="E247" s="87" t="str">
        <f>IF(Coureurs!F247="","",Coureurs!F247)</f>
        <v/>
      </c>
      <c r="F247" s="87" t="str">
        <f>IF(Coureurs!G247="","",Coureurs!G247)</f>
        <v/>
      </c>
      <c r="G247" s="50" t="str">
        <f>IF(Coureurs!J247="","",Coureurs!J247)</f>
        <v/>
      </c>
      <c r="H247" s="25"/>
      <c r="I247" s="41"/>
      <c r="J247" s="8" t="str">
        <f>IF(I247="PM","",IF(H247=0," ",I247-HLOOKUP('Course 5'!H247,'tab5'!$C$3:$N$4,2)))</f>
        <v xml:space="preserve"> </v>
      </c>
      <c r="K247" s="23" t="str">
        <f>IF(I247="PM","",IF(H247=0," ",J247/'Règles et points'!$F$23))</f>
        <v xml:space="preserve"> </v>
      </c>
      <c r="L247" s="3" t="str">
        <f>IF(H247=0,"",VLOOKUP(H247,'Règles et points'!$C$5:$AG$19,(HLOOKUP('Course 5'!C247,'Règles et points'!$C$5:$AG$5,1)+1)))</f>
        <v/>
      </c>
      <c r="M247" s="23">
        <f t="shared" si="3"/>
        <v>0</v>
      </c>
      <c r="N247" s="80"/>
      <c r="O247" s="51"/>
      <c r="P247" s="52"/>
    </row>
    <row r="248" spans="2:16" ht="12.75">
      <c r="B248" s="14">
        <v>244</v>
      </c>
      <c r="C248" s="28" t="str">
        <f>IF(Coureurs!C248="","",Coureurs!C248)</f>
        <v/>
      </c>
      <c r="D248" s="131" t="str">
        <f>IF(Coureurs!D248="","",Coureurs!D248)</f>
        <v>70</v>
      </c>
      <c r="E248" s="87" t="str">
        <f>IF(Coureurs!F248="","",Coureurs!F248)</f>
        <v/>
      </c>
      <c r="F248" s="87" t="str">
        <f>IF(Coureurs!G248="","",Coureurs!G248)</f>
        <v/>
      </c>
      <c r="G248" s="50" t="str">
        <f>IF(Coureurs!J248="","",Coureurs!J248)</f>
        <v/>
      </c>
      <c r="H248" s="25"/>
      <c r="I248" s="41"/>
      <c r="J248" s="8" t="str">
        <f>IF(I248="PM","",IF(H248=0," ",I248-HLOOKUP('Course 5'!H248,'tab5'!$C$3:$N$4,2)))</f>
        <v xml:space="preserve"> </v>
      </c>
      <c r="K248" s="23" t="str">
        <f>IF(I248="PM","",IF(H248=0," ",J248/'Règles et points'!$F$23))</f>
        <v xml:space="preserve"> </v>
      </c>
      <c r="L248" s="3" t="str">
        <f>IF(H248=0,"",VLOOKUP(H248,'Règles et points'!$C$5:$AG$19,(HLOOKUP('Course 5'!C248,'Règles et points'!$C$5:$AG$5,1)+1)))</f>
        <v/>
      </c>
      <c r="M248" s="23">
        <f t="shared" si="3"/>
        <v>0</v>
      </c>
      <c r="N248" s="80"/>
      <c r="O248" s="51"/>
      <c r="P248" s="52"/>
    </row>
    <row r="249" spans="2:16" ht="12.75">
      <c r="B249" s="14">
        <v>245</v>
      </c>
      <c r="C249" s="28" t="str">
        <f>IF(Coureurs!C249="","",Coureurs!C249)</f>
        <v/>
      </c>
      <c r="D249" s="131" t="str">
        <f>IF(Coureurs!D249="","",Coureurs!D249)</f>
        <v>70</v>
      </c>
      <c r="E249" s="87" t="str">
        <f>IF(Coureurs!F249="","",Coureurs!F249)</f>
        <v/>
      </c>
      <c r="F249" s="87" t="str">
        <f>IF(Coureurs!G249="","",Coureurs!G249)</f>
        <v/>
      </c>
      <c r="G249" s="50" t="str">
        <f>IF(Coureurs!J249="","",Coureurs!J249)</f>
        <v/>
      </c>
      <c r="H249" s="25"/>
      <c r="I249" s="41"/>
      <c r="J249" s="8" t="str">
        <f>IF(I249="PM","",IF(H249=0," ",I249-HLOOKUP('Course 5'!H249,'tab5'!$C$3:$N$4,2)))</f>
        <v xml:space="preserve"> </v>
      </c>
      <c r="K249" s="23" t="str">
        <f>IF(I249="PM","",IF(H249=0," ",J249/'Règles et points'!$F$23))</f>
        <v xml:space="preserve"> </v>
      </c>
      <c r="L249" s="3" t="str">
        <f>IF(H249=0,"",VLOOKUP(H249,'Règles et points'!$C$5:$AG$19,(HLOOKUP('Course 5'!C249,'Règles et points'!$C$5:$AG$5,1)+1)))</f>
        <v/>
      </c>
      <c r="M249" s="23">
        <f t="shared" si="3"/>
        <v>0</v>
      </c>
      <c r="N249" s="80"/>
      <c r="O249" s="51"/>
      <c r="P249" s="52"/>
    </row>
    <row r="250" spans="2:16" ht="12.75">
      <c r="B250" s="14">
        <v>246</v>
      </c>
      <c r="C250" s="28" t="str">
        <f>IF(Coureurs!C250="","",Coureurs!C250)</f>
        <v/>
      </c>
      <c r="D250" s="131" t="str">
        <f>IF(Coureurs!D250="","",Coureurs!D250)</f>
        <v>70</v>
      </c>
      <c r="E250" s="87" t="str">
        <f>IF(Coureurs!F250="","",Coureurs!F250)</f>
        <v/>
      </c>
      <c r="F250" s="87" t="str">
        <f>IF(Coureurs!G250="","",Coureurs!G250)</f>
        <v/>
      </c>
      <c r="G250" s="50" t="str">
        <f>IF(Coureurs!J250="","",Coureurs!J250)</f>
        <v/>
      </c>
      <c r="H250" s="25"/>
      <c r="I250" s="41"/>
      <c r="J250" s="8" t="str">
        <f>IF(I250="PM","",IF(H250=0," ",I250-HLOOKUP('Course 5'!H250,'tab5'!$C$3:$N$4,2)))</f>
        <v xml:space="preserve"> </v>
      </c>
      <c r="K250" s="23" t="str">
        <f>IF(I250="PM","",IF(H250=0," ",J250/'Règles et points'!$F$23))</f>
        <v xml:space="preserve"> </v>
      </c>
      <c r="L250" s="3" t="str">
        <f>IF(H250=0,"",VLOOKUP(H250,'Règles et points'!$C$5:$AG$19,(HLOOKUP('Course 5'!C250,'Règles et points'!$C$5:$AG$5,1)+1)))</f>
        <v/>
      </c>
      <c r="M250" s="23">
        <f t="shared" si="3"/>
        <v>0</v>
      </c>
      <c r="N250" s="80"/>
      <c r="O250" s="51"/>
      <c r="P250" s="52"/>
    </row>
    <row r="251" spans="2:16" ht="12.75">
      <c r="B251" s="14">
        <v>247</v>
      </c>
      <c r="C251" s="28" t="str">
        <f>IF(Coureurs!C251="","",Coureurs!C251)</f>
        <v/>
      </c>
      <c r="D251" s="131" t="str">
        <f>IF(Coureurs!D251="","",Coureurs!D251)</f>
        <v>70</v>
      </c>
      <c r="E251" s="87" t="str">
        <f>IF(Coureurs!F251="","",Coureurs!F251)</f>
        <v/>
      </c>
      <c r="F251" s="87" t="str">
        <f>IF(Coureurs!G251="","",Coureurs!G251)</f>
        <v/>
      </c>
      <c r="G251" s="50" t="str">
        <f>IF(Coureurs!J251="","",Coureurs!J251)</f>
        <v/>
      </c>
      <c r="H251" s="25"/>
      <c r="I251" s="41"/>
      <c r="J251" s="8" t="str">
        <f>IF(I251="PM","",IF(H251=0," ",I251-HLOOKUP('Course 5'!H251,'tab5'!$C$3:$N$4,2)))</f>
        <v xml:space="preserve"> </v>
      </c>
      <c r="K251" s="23" t="str">
        <f>IF(I251="PM","",IF(H251=0," ",J251/'Règles et points'!$F$23))</f>
        <v xml:space="preserve"> </v>
      </c>
      <c r="L251" s="3" t="str">
        <f>IF(H251=0,"",VLOOKUP(H251,'Règles et points'!$C$5:$AG$19,(HLOOKUP('Course 5'!C251,'Règles et points'!$C$5:$AG$5,1)+1)))</f>
        <v/>
      </c>
      <c r="M251" s="23">
        <f t="shared" si="3"/>
        <v>0</v>
      </c>
      <c r="N251" s="80"/>
      <c r="O251" s="51"/>
      <c r="P251" s="52"/>
    </row>
    <row r="252" spans="2:16" ht="12.75">
      <c r="B252" s="14">
        <v>248</v>
      </c>
      <c r="C252" s="28" t="str">
        <f>IF(Coureurs!C252="","",Coureurs!C252)</f>
        <v/>
      </c>
      <c r="D252" s="131" t="str">
        <f>IF(Coureurs!D252="","",Coureurs!D252)</f>
        <v>70</v>
      </c>
      <c r="E252" s="87" t="str">
        <f>IF(Coureurs!F252="","",Coureurs!F252)</f>
        <v/>
      </c>
      <c r="F252" s="87" t="str">
        <f>IF(Coureurs!G252="","",Coureurs!G252)</f>
        <v/>
      </c>
      <c r="G252" s="50" t="str">
        <f>IF(Coureurs!J252="","",Coureurs!J252)</f>
        <v/>
      </c>
      <c r="H252" s="25"/>
      <c r="I252" s="41"/>
      <c r="J252" s="8" t="str">
        <f>IF(I252="PM","",IF(H252=0," ",I252-HLOOKUP('Course 5'!H252,'tab5'!$C$3:$N$4,2)))</f>
        <v xml:space="preserve"> </v>
      </c>
      <c r="K252" s="23" t="str">
        <f>IF(I252="PM","",IF(H252=0," ",J252/'Règles et points'!$F$23))</f>
        <v xml:space="preserve"> </v>
      </c>
      <c r="L252" s="3" t="str">
        <f>IF(H252=0,"",VLOOKUP(H252,'Règles et points'!$C$5:$AG$19,(HLOOKUP('Course 5'!C252,'Règles et points'!$C$5:$AG$5,1)+1)))</f>
        <v/>
      </c>
      <c r="M252" s="23">
        <f t="shared" si="3"/>
        <v>0</v>
      </c>
      <c r="N252" s="80"/>
      <c r="O252" s="51"/>
      <c r="P252" s="52"/>
    </row>
    <row r="253" spans="2:16" ht="12.75">
      <c r="B253" s="14">
        <v>249</v>
      </c>
      <c r="C253" s="28" t="str">
        <f>IF(Coureurs!C253="","",Coureurs!C253)</f>
        <v/>
      </c>
      <c r="D253" s="131" t="str">
        <f>IF(Coureurs!D253="","",Coureurs!D253)</f>
        <v>70</v>
      </c>
      <c r="E253" s="87" t="str">
        <f>IF(Coureurs!F253="","",Coureurs!F253)</f>
        <v/>
      </c>
      <c r="F253" s="87" t="str">
        <f>IF(Coureurs!G253="","",Coureurs!G253)</f>
        <v/>
      </c>
      <c r="G253" s="50" t="str">
        <f>IF(Coureurs!J253="","",Coureurs!J253)</f>
        <v/>
      </c>
      <c r="H253" s="25"/>
      <c r="I253" s="41"/>
      <c r="J253" s="8" t="str">
        <f>IF(I253="PM","",IF(H253=0," ",I253-HLOOKUP('Course 5'!H253,'tab5'!$C$3:$N$4,2)))</f>
        <v xml:space="preserve"> </v>
      </c>
      <c r="K253" s="23" t="str">
        <f>IF(I253="PM","",IF(H253=0," ",J253/'Règles et points'!$F$23))</f>
        <v xml:space="preserve"> </v>
      </c>
      <c r="L253" s="3" t="str">
        <f>IF(H253=0,"",VLOOKUP(H253,'Règles et points'!$C$5:$AG$19,(HLOOKUP('Course 5'!C253,'Règles et points'!$C$5:$AG$5,1)+1)))</f>
        <v/>
      </c>
      <c r="M253" s="23">
        <f t="shared" si="3"/>
        <v>0</v>
      </c>
      <c r="N253" s="80"/>
      <c r="O253" s="51"/>
      <c r="P253" s="52"/>
    </row>
    <row r="254" spans="2:16" ht="12.75">
      <c r="B254" s="14">
        <v>250</v>
      </c>
      <c r="C254" s="28" t="str">
        <f>IF(Coureurs!C254="","",Coureurs!C254)</f>
        <v/>
      </c>
      <c r="D254" s="131" t="str">
        <f>IF(Coureurs!D254="","",Coureurs!D254)</f>
        <v>70</v>
      </c>
      <c r="E254" s="87" t="str">
        <f>IF(Coureurs!F254="","",Coureurs!F254)</f>
        <v/>
      </c>
      <c r="F254" s="87" t="str">
        <f>IF(Coureurs!G254="","",Coureurs!G254)</f>
        <v/>
      </c>
      <c r="G254" s="50" t="str">
        <f>IF(Coureurs!J254="","",Coureurs!J254)</f>
        <v/>
      </c>
      <c r="H254" s="25"/>
      <c r="I254" s="41"/>
      <c r="J254" s="8" t="str">
        <f>IF(I254="PM","",IF(H254=0," ",I254-HLOOKUP('Course 5'!H254,'tab5'!$C$3:$N$4,2)))</f>
        <v xml:space="preserve"> </v>
      </c>
      <c r="K254" s="23" t="str">
        <f>IF(I254="PM","",IF(H254=0," ",J254/'Règles et points'!$F$23))</f>
        <v xml:space="preserve"> </v>
      </c>
      <c r="L254" s="3" t="str">
        <f>IF(H254=0,"",VLOOKUP(H254,'Règles et points'!$C$5:$AG$19,(HLOOKUP('Course 5'!C254,'Règles et points'!$C$5:$AG$5,1)+1)))</f>
        <v/>
      </c>
      <c r="M254" s="23">
        <f t="shared" si="3"/>
        <v>0</v>
      </c>
      <c r="N254" s="80"/>
      <c r="O254" s="51"/>
      <c r="P254" s="52"/>
    </row>
    <row r="255" spans="2:16" ht="12.75">
      <c r="B255" s="14">
        <v>251</v>
      </c>
      <c r="C255" s="28" t="str">
        <f>IF(Coureurs!C255="","",Coureurs!C255)</f>
        <v/>
      </c>
      <c r="D255" s="131" t="str">
        <f>IF(Coureurs!D255="","",Coureurs!D255)</f>
        <v>70</v>
      </c>
      <c r="E255" s="87" t="str">
        <f>IF(Coureurs!F255="","",Coureurs!F255)</f>
        <v/>
      </c>
      <c r="F255" s="87" t="str">
        <f>IF(Coureurs!G255="","",Coureurs!G255)</f>
        <v/>
      </c>
      <c r="G255" s="50" t="str">
        <f>IF(Coureurs!J255="","",Coureurs!J255)</f>
        <v/>
      </c>
      <c r="H255" s="25"/>
      <c r="I255" s="41"/>
      <c r="J255" s="8" t="str">
        <f>IF(I255="PM","",IF(H255=0," ",I255-HLOOKUP('Course 5'!H255,'tab5'!$C$3:$N$4,2)))</f>
        <v xml:space="preserve"> </v>
      </c>
      <c r="K255" s="23" t="str">
        <f>IF(I255="PM","",IF(H255=0," ",J255/'Règles et points'!$F$23))</f>
        <v xml:space="preserve"> </v>
      </c>
      <c r="L255" s="3" t="str">
        <f>IF(H255=0,"",VLOOKUP(H255,'Règles et points'!$C$5:$AG$19,(HLOOKUP('Course 5'!C255,'Règles et points'!$C$5:$AG$5,1)+1)))</f>
        <v/>
      </c>
      <c r="M255" s="23">
        <f t="shared" si="3"/>
        <v>0</v>
      </c>
      <c r="N255" s="80"/>
      <c r="O255" s="51"/>
      <c r="P255" s="52"/>
    </row>
    <row r="256" spans="2:16" ht="12.75">
      <c r="B256" s="14">
        <v>252</v>
      </c>
      <c r="C256" s="28" t="str">
        <f>IF(Coureurs!C256="","",Coureurs!C256)</f>
        <v/>
      </c>
      <c r="D256" s="131" t="str">
        <f>IF(Coureurs!D256="","",Coureurs!D256)</f>
        <v>70</v>
      </c>
      <c r="E256" s="87" t="str">
        <f>IF(Coureurs!F256="","",Coureurs!F256)</f>
        <v/>
      </c>
      <c r="F256" s="87" t="str">
        <f>IF(Coureurs!G256="","",Coureurs!G256)</f>
        <v/>
      </c>
      <c r="G256" s="50" t="str">
        <f>IF(Coureurs!J256="","",Coureurs!J256)</f>
        <v/>
      </c>
      <c r="H256" s="25"/>
      <c r="I256" s="41"/>
      <c r="J256" s="8" t="str">
        <f>IF(I256="PM","",IF(H256=0," ",I256-HLOOKUP('Course 5'!H256,'tab5'!$C$3:$N$4,2)))</f>
        <v xml:space="preserve"> </v>
      </c>
      <c r="K256" s="23" t="str">
        <f>IF(I256="PM","",IF(H256=0," ",J256/'Règles et points'!$F$23))</f>
        <v xml:space="preserve"> </v>
      </c>
      <c r="L256" s="3" t="str">
        <f>IF(H256=0,"",VLOOKUP(H256,'Règles et points'!$C$5:$AG$19,(HLOOKUP('Course 5'!C256,'Règles et points'!$C$5:$AG$5,1)+1)))</f>
        <v/>
      </c>
      <c r="M256" s="23">
        <f t="shared" si="3"/>
        <v>0</v>
      </c>
      <c r="N256" s="80"/>
      <c r="O256" s="51"/>
      <c r="P256" s="52"/>
    </row>
    <row r="257" spans="2:16" ht="12.75">
      <c r="B257" s="14">
        <v>253</v>
      </c>
      <c r="C257" s="28" t="str">
        <f>IF(Coureurs!C257="","",Coureurs!C257)</f>
        <v/>
      </c>
      <c r="D257" s="131" t="str">
        <f>IF(Coureurs!D257="","",Coureurs!D257)</f>
        <v>70</v>
      </c>
      <c r="E257" s="87" t="str">
        <f>IF(Coureurs!F257="","",Coureurs!F257)</f>
        <v/>
      </c>
      <c r="F257" s="87" t="str">
        <f>IF(Coureurs!G257="","",Coureurs!G257)</f>
        <v/>
      </c>
      <c r="G257" s="50" t="str">
        <f>IF(Coureurs!J257="","",Coureurs!J257)</f>
        <v/>
      </c>
      <c r="H257" s="25"/>
      <c r="I257" s="41"/>
      <c r="J257" s="8" t="str">
        <f>IF(I257="PM","",IF(H257=0," ",I257-HLOOKUP('Course 5'!H257,'tab5'!$C$3:$N$4,2)))</f>
        <v xml:space="preserve"> </v>
      </c>
      <c r="K257" s="23" t="str">
        <f>IF(I257="PM","",IF(H257=0," ",J257/'Règles et points'!$F$23))</f>
        <v xml:space="preserve"> </v>
      </c>
      <c r="L257" s="3" t="str">
        <f>IF(H257=0,"",VLOOKUP(H257,'Règles et points'!$C$5:$AG$19,(HLOOKUP('Course 5'!C257,'Règles et points'!$C$5:$AG$5,1)+1)))</f>
        <v/>
      </c>
      <c r="M257" s="23">
        <f t="shared" si="3"/>
        <v>0</v>
      </c>
      <c r="N257" s="80"/>
      <c r="O257" s="51"/>
      <c r="P257" s="52"/>
    </row>
    <row r="258" spans="2:16" ht="12.75">
      <c r="B258" s="14">
        <v>254</v>
      </c>
      <c r="C258" s="28" t="str">
        <f>IF(Coureurs!C258="","",Coureurs!C258)</f>
        <v/>
      </c>
      <c r="D258" s="131" t="str">
        <f>IF(Coureurs!D258="","",Coureurs!D258)</f>
        <v>70</v>
      </c>
      <c r="E258" s="87" t="str">
        <f>IF(Coureurs!F258="","",Coureurs!F258)</f>
        <v/>
      </c>
      <c r="F258" s="87" t="str">
        <f>IF(Coureurs!G258="","",Coureurs!G258)</f>
        <v/>
      </c>
      <c r="G258" s="50" t="str">
        <f>IF(Coureurs!J258="","",Coureurs!J258)</f>
        <v/>
      </c>
      <c r="H258" s="25"/>
      <c r="I258" s="41"/>
      <c r="J258" s="8" t="str">
        <f>IF(I258="PM","",IF(H258=0," ",I258-HLOOKUP('Course 5'!H258,'tab5'!$C$3:$N$4,2)))</f>
        <v xml:space="preserve"> </v>
      </c>
      <c r="K258" s="23" t="str">
        <f>IF(I258="PM","",IF(H258=0," ",J258/'Règles et points'!$F$23))</f>
        <v xml:space="preserve"> </v>
      </c>
      <c r="L258" s="3" t="str">
        <f>IF(H258=0,"",VLOOKUP(H258,'Règles et points'!$C$5:$AG$19,(HLOOKUP('Course 5'!C258,'Règles et points'!$C$5:$AG$5,1)+1)))</f>
        <v/>
      </c>
      <c r="M258" s="23">
        <f t="shared" si="3"/>
        <v>0</v>
      </c>
      <c r="N258" s="80"/>
      <c r="O258" s="51"/>
      <c r="P258" s="52"/>
    </row>
    <row r="259" spans="2:16" ht="12.75">
      <c r="B259" s="14">
        <v>255</v>
      </c>
      <c r="C259" s="28" t="str">
        <f>IF(Coureurs!C259="","",Coureurs!C259)</f>
        <v/>
      </c>
      <c r="D259" s="131" t="str">
        <f>IF(Coureurs!D259="","",Coureurs!D259)</f>
        <v>70</v>
      </c>
      <c r="E259" s="87" t="str">
        <f>IF(Coureurs!F259="","",Coureurs!F259)</f>
        <v/>
      </c>
      <c r="F259" s="87" t="str">
        <f>IF(Coureurs!G259="","",Coureurs!G259)</f>
        <v/>
      </c>
      <c r="G259" s="50" t="str">
        <f>IF(Coureurs!J259="","",Coureurs!J259)</f>
        <v/>
      </c>
      <c r="H259" s="25"/>
      <c r="I259" s="41"/>
      <c r="J259" s="8" t="str">
        <f>IF(I259="PM","",IF(H259=0," ",I259-HLOOKUP('Course 5'!H259,'tab5'!$C$3:$N$4,2)))</f>
        <v xml:space="preserve"> </v>
      </c>
      <c r="K259" s="23" t="str">
        <f>IF(I259="PM","",IF(H259=0," ",J259/'Règles et points'!$F$23))</f>
        <v xml:space="preserve"> </v>
      </c>
      <c r="L259" s="3" t="str">
        <f>IF(H259=0,"",VLOOKUP(H259,'Règles et points'!$C$5:$AG$19,(HLOOKUP('Course 5'!C259,'Règles et points'!$C$5:$AG$5,1)+1)))</f>
        <v/>
      </c>
      <c r="M259" s="23">
        <f t="shared" si="3"/>
        <v>0</v>
      </c>
      <c r="N259" s="80"/>
      <c r="O259" s="51"/>
      <c r="P259" s="52"/>
    </row>
    <row r="260" spans="2:16" ht="12.75">
      <c r="B260" s="14">
        <v>256</v>
      </c>
      <c r="C260" s="28" t="str">
        <f>IF(Coureurs!C260="","",Coureurs!C260)</f>
        <v/>
      </c>
      <c r="D260" s="131" t="str">
        <f>IF(Coureurs!D260="","",Coureurs!D260)</f>
        <v>70</v>
      </c>
      <c r="E260" s="87" t="str">
        <f>IF(Coureurs!F260="","",Coureurs!F260)</f>
        <v/>
      </c>
      <c r="F260" s="87" t="str">
        <f>IF(Coureurs!G260="","",Coureurs!G260)</f>
        <v/>
      </c>
      <c r="G260" s="50" t="str">
        <f>IF(Coureurs!J260="","",Coureurs!J260)</f>
        <v/>
      </c>
      <c r="H260" s="25"/>
      <c r="I260" s="41"/>
      <c r="J260" s="8" t="str">
        <f>IF(I260="PM","",IF(H260=0," ",I260-HLOOKUP('Course 5'!H260,'tab5'!$C$3:$N$4,2)))</f>
        <v xml:space="preserve"> </v>
      </c>
      <c r="K260" s="23" t="str">
        <f>IF(I260="PM","",IF(H260=0," ",J260/'Règles et points'!$F$23))</f>
        <v xml:space="preserve"> </v>
      </c>
      <c r="L260" s="3" t="str">
        <f>IF(H260=0,"",VLOOKUP(H260,'Règles et points'!$C$5:$AG$19,(HLOOKUP('Course 5'!C260,'Règles et points'!$C$5:$AG$5,1)+1)))</f>
        <v/>
      </c>
      <c r="M260" s="23">
        <f t="shared" ref="M260:M302" si="4">IF(I260="PM",0,IF(H260=0,0,L260-K260))+N260</f>
        <v>0</v>
      </c>
      <c r="N260" s="80"/>
      <c r="O260" s="51"/>
      <c r="P260" s="52"/>
    </row>
    <row r="261" spans="2:16" ht="12.75">
      <c r="B261" s="14">
        <v>257</v>
      </c>
      <c r="C261" s="28" t="str">
        <f>IF(Coureurs!C261="","",Coureurs!C261)</f>
        <v/>
      </c>
      <c r="D261" s="131" t="str">
        <f>IF(Coureurs!D261="","",Coureurs!D261)</f>
        <v>70</v>
      </c>
      <c r="E261" s="87" t="str">
        <f>IF(Coureurs!F261="","",Coureurs!F261)</f>
        <v/>
      </c>
      <c r="F261" s="87" t="str">
        <f>IF(Coureurs!G261="","",Coureurs!G261)</f>
        <v/>
      </c>
      <c r="G261" s="50" t="str">
        <f>IF(Coureurs!J261="","",Coureurs!J261)</f>
        <v/>
      </c>
      <c r="H261" s="25"/>
      <c r="I261" s="41"/>
      <c r="J261" s="8" t="str">
        <f>IF(I261="PM","",IF(H261=0," ",I261-HLOOKUP('Course 5'!H261,'tab5'!$C$3:$N$4,2)))</f>
        <v xml:space="preserve"> </v>
      </c>
      <c r="K261" s="23" t="str">
        <f>IF(I261="PM","",IF(H261=0," ",J261/'Règles et points'!$F$23))</f>
        <v xml:space="preserve"> </v>
      </c>
      <c r="L261" s="3" t="str">
        <f>IF(H261=0,"",VLOOKUP(H261,'Règles et points'!$C$5:$AG$19,(HLOOKUP('Course 5'!C261,'Règles et points'!$C$5:$AG$5,1)+1)))</f>
        <v/>
      </c>
      <c r="M261" s="23">
        <f t="shared" si="4"/>
        <v>0</v>
      </c>
      <c r="N261" s="80"/>
      <c r="O261" s="51"/>
      <c r="P261" s="52"/>
    </row>
    <row r="262" spans="2:16" ht="12.75">
      <c r="B262" s="14">
        <v>258</v>
      </c>
      <c r="C262" s="28" t="str">
        <f>IF(Coureurs!C262="","",Coureurs!C262)</f>
        <v/>
      </c>
      <c r="D262" s="131" t="str">
        <f>IF(Coureurs!D262="","",Coureurs!D262)</f>
        <v>70</v>
      </c>
      <c r="E262" s="87" t="str">
        <f>IF(Coureurs!F262="","",Coureurs!F262)</f>
        <v/>
      </c>
      <c r="F262" s="87" t="str">
        <f>IF(Coureurs!G262="","",Coureurs!G262)</f>
        <v/>
      </c>
      <c r="G262" s="50" t="str">
        <f>IF(Coureurs!J262="","",Coureurs!J262)</f>
        <v/>
      </c>
      <c r="H262" s="25"/>
      <c r="I262" s="41"/>
      <c r="J262" s="8" t="str">
        <f>IF(I262="PM","",IF(H262=0," ",I262-HLOOKUP('Course 5'!H262,'tab5'!$C$3:$N$4,2)))</f>
        <v xml:space="preserve"> </v>
      </c>
      <c r="K262" s="23" t="str">
        <f>IF(I262="PM","",IF(H262=0," ",J262/'Règles et points'!$F$23))</f>
        <v xml:space="preserve"> </v>
      </c>
      <c r="L262" s="3" t="str">
        <f>IF(H262=0,"",VLOOKUP(H262,'Règles et points'!$C$5:$AG$19,(HLOOKUP('Course 5'!C262,'Règles et points'!$C$5:$AG$5,1)+1)))</f>
        <v/>
      </c>
      <c r="M262" s="23">
        <f t="shared" si="4"/>
        <v>0</v>
      </c>
      <c r="N262" s="80"/>
      <c r="O262" s="51"/>
      <c r="P262" s="52"/>
    </row>
    <row r="263" spans="2:16" ht="12.75">
      <c r="B263" s="14">
        <v>259</v>
      </c>
      <c r="C263" s="28" t="str">
        <f>IF(Coureurs!C263="","",Coureurs!C263)</f>
        <v/>
      </c>
      <c r="D263" s="131" t="str">
        <f>IF(Coureurs!D263="","",Coureurs!D263)</f>
        <v>70</v>
      </c>
      <c r="E263" s="87" t="str">
        <f>IF(Coureurs!F263="","",Coureurs!F263)</f>
        <v/>
      </c>
      <c r="F263" s="87" t="str">
        <f>IF(Coureurs!G263="","",Coureurs!G263)</f>
        <v/>
      </c>
      <c r="G263" s="50" t="str">
        <f>IF(Coureurs!J263="","",Coureurs!J263)</f>
        <v/>
      </c>
      <c r="H263" s="25"/>
      <c r="I263" s="41"/>
      <c r="J263" s="8" t="str">
        <f>IF(I263="PM","",IF(H263=0," ",I263-HLOOKUP('Course 5'!H263,'tab5'!$C$3:$N$4,2)))</f>
        <v xml:space="preserve"> </v>
      </c>
      <c r="K263" s="23" t="str">
        <f>IF(I263="PM","",IF(H263=0," ",J263/'Règles et points'!$F$23))</f>
        <v xml:space="preserve"> </v>
      </c>
      <c r="L263" s="3" t="str">
        <f>IF(H263=0,"",VLOOKUP(H263,'Règles et points'!$C$5:$AG$19,(HLOOKUP('Course 5'!C263,'Règles et points'!$C$5:$AG$5,1)+1)))</f>
        <v/>
      </c>
      <c r="M263" s="23">
        <f t="shared" si="4"/>
        <v>0</v>
      </c>
      <c r="N263" s="80"/>
      <c r="O263" s="51"/>
      <c r="P263" s="52"/>
    </row>
    <row r="264" spans="2:16" ht="12.75">
      <c r="B264" s="14">
        <v>260</v>
      </c>
      <c r="C264" s="28" t="str">
        <f>IF(Coureurs!C264="","",Coureurs!C264)</f>
        <v/>
      </c>
      <c r="D264" s="131" t="str">
        <f>IF(Coureurs!D264="","",Coureurs!D264)</f>
        <v>70</v>
      </c>
      <c r="E264" s="87" t="str">
        <f>IF(Coureurs!F264="","",Coureurs!F264)</f>
        <v/>
      </c>
      <c r="F264" s="87" t="str">
        <f>IF(Coureurs!G264="","",Coureurs!G264)</f>
        <v/>
      </c>
      <c r="G264" s="50" t="str">
        <f>IF(Coureurs!J264="","",Coureurs!J264)</f>
        <v/>
      </c>
      <c r="H264" s="25"/>
      <c r="I264" s="41"/>
      <c r="J264" s="8" t="str">
        <f>IF(I264="PM","",IF(H264=0," ",I264-HLOOKUP('Course 5'!H264,'tab5'!$C$3:$N$4,2)))</f>
        <v xml:space="preserve"> </v>
      </c>
      <c r="K264" s="23" t="str">
        <f>IF(I264="PM","",IF(H264=0," ",J264/'Règles et points'!$F$23))</f>
        <v xml:space="preserve"> </v>
      </c>
      <c r="L264" s="3" t="str">
        <f>IF(H264=0,"",VLOOKUP(H264,'Règles et points'!$C$5:$AG$19,(HLOOKUP('Course 5'!C264,'Règles et points'!$C$5:$AG$5,1)+1)))</f>
        <v/>
      </c>
      <c r="M264" s="23">
        <f t="shared" si="4"/>
        <v>0</v>
      </c>
      <c r="N264" s="80"/>
      <c r="O264" s="51"/>
      <c r="P264" s="52"/>
    </row>
    <row r="265" spans="2:16" ht="12.75">
      <c r="B265" s="14">
        <v>261</v>
      </c>
      <c r="C265" s="28" t="str">
        <f>IF(Coureurs!C265="","",Coureurs!C265)</f>
        <v/>
      </c>
      <c r="D265" s="131" t="str">
        <f>IF(Coureurs!D265="","",Coureurs!D265)</f>
        <v>70</v>
      </c>
      <c r="E265" s="87" t="str">
        <f>IF(Coureurs!F265="","",Coureurs!F265)</f>
        <v/>
      </c>
      <c r="F265" s="87" t="str">
        <f>IF(Coureurs!G265="","",Coureurs!G265)</f>
        <v/>
      </c>
      <c r="G265" s="50" t="str">
        <f>IF(Coureurs!J265="","",Coureurs!J265)</f>
        <v/>
      </c>
      <c r="H265" s="25"/>
      <c r="I265" s="41"/>
      <c r="J265" s="8" t="str">
        <f>IF(I265="PM","",IF(H265=0," ",I265-HLOOKUP('Course 5'!H265,'tab5'!$C$3:$N$4,2)))</f>
        <v xml:space="preserve"> </v>
      </c>
      <c r="K265" s="23" t="str">
        <f>IF(I265="PM","",IF(H265=0," ",J265/'Règles et points'!$F$23))</f>
        <v xml:space="preserve"> </v>
      </c>
      <c r="L265" s="3" t="str">
        <f>IF(H265=0,"",VLOOKUP(H265,'Règles et points'!$C$5:$AG$19,(HLOOKUP('Course 5'!C265,'Règles et points'!$C$5:$AG$5,1)+1)))</f>
        <v/>
      </c>
      <c r="M265" s="23">
        <f t="shared" si="4"/>
        <v>0</v>
      </c>
      <c r="N265" s="80"/>
      <c r="O265" s="51"/>
      <c r="P265" s="52"/>
    </row>
    <row r="266" spans="2:16" ht="12.75">
      <c r="B266" s="14">
        <v>262</v>
      </c>
      <c r="C266" s="28" t="str">
        <f>IF(Coureurs!C266="","",Coureurs!C266)</f>
        <v/>
      </c>
      <c r="D266" s="131" t="str">
        <f>IF(Coureurs!D266="","",Coureurs!D266)</f>
        <v>70</v>
      </c>
      <c r="E266" s="87" t="str">
        <f>IF(Coureurs!F266="","",Coureurs!F266)</f>
        <v/>
      </c>
      <c r="F266" s="87" t="str">
        <f>IF(Coureurs!G266="","",Coureurs!G266)</f>
        <v/>
      </c>
      <c r="G266" s="50" t="str">
        <f>IF(Coureurs!J266="","",Coureurs!J266)</f>
        <v/>
      </c>
      <c r="H266" s="25"/>
      <c r="I266" s="41"/>
      <c r="J266" s="8" t="str">
        <f>IF(I266="PM","",IF(H266=0," ",I266-HLOOKUP('Course 5'!H266,'tab5'!$C$3:$N$4,2)))</f>
        <v xml:space="preserve"> </v>
      </c>
      <c r="K266" s="23" t="str">
        <f>IF(I266="PM","",IF(H266=0," ",J266/'Règles et points'!$F$23))</f>
        <v xml:space="preserve"> </v>
      </c>
      <c r="L266" s="3" t="str">
        <f>IF(H266=0,"",VLOOKUP(H266,'Règles et points'!$C$5:$AG$19,(HLOOKUP('Course 5'!C266,'Règles et points'!$C$5:$AG$5,1)+1)))</f>
        <v/>
      </c>
      <c r="M266" s="23">
        <f t="shared" si="4"/>
        <v>0</v>
      </c>
      <c r="N266" s="80"/>
      <c r="O266" s="51"/>
      <c r="P266" s="52"/>
    </row>
    <row r="267" spans="2:16" ht="12.75">
      <c r="B267" s="14">
        <v>263</v>
      </c>
      <c r="C267" s="28" t="str">
        <f>IF(Coureurs!C267="","",Coureurs!C267)</f>
        <v/>
      </c>
      <c r="D267" s="131" t="str">
        <f>IF(Coureurs!D267="","",Coureurs!D267)</f>
        <v>70</v>
      </c>
      <c r="E267" s="87" t="str">
        <f>IF(Coureurs!F267="","",Coureurs!F267)</f>
        <v/>
      </c>
      <c r="F267" s="87" t="str">
        <f>IF(Coureurs!G267="","",Coureurs!G267)</f>
        <v/>
      </c>
      <c r="G267" s="50" t="str">
        <f>IF(Coureurs!J267="","",Coureurs!J267)</f>
        <v/>
      </c>
      <c r="H267" s="25"/>
      <c r="I267" s="41"/>
      <c r="J267" s="8" t="str">
        <f>IF(I267="PM","",IF(H267=0," ",I267-HLOOKUP('Course 5'!H267,'tab5'!$C$3:$N$4,2)))</f>
        <v xml:space="preserve"> </v>
      </c>
      <c r="K267" s="23" t="str">
        <f>IF(I267="PM","",IF(H267=0," ",J267/'Règles et points'!$F$23))</f>
        <v xml:space="preserve"> </v>
      </c>
      <c r="L267" s="3" t="str">
        <f>IF(H267=0,"",VLOOKUP(H267,'Règles et points'!$C$5:$AG$19,(HLOOKUP('Course 5'!C267,'Règles et points'!$C$5:$AG$5,1)+1)))</f>
        <v/>
      </c>
      <c r="M267" s="23">
        <f t="shared" si="4"/>
        <v>0</v>
      </c>
      <c r="N267" s="80"/>
      <c r="O267" s="51"/>
      <c r="P267" s="52"/>
    </row>
    <row r="268" spans="2:16" ht="12.75">
      <c r="B268" s="14">
        <v>264</v>
      </c>
      <c r="C268" s="28" t="str">
        <f>IF(Coureurs!C268="","",Coureurs!C268)</f>
        <v/>
      </c>
      <c r="D268" s="131" t="str">
        <f>IF(Coureurs!D268="","",Coureurs!D268)</f>
        <v>70</v>
      </c>
      <c r="E268" s="87" t="str">
        <f>IF(Coureurs!F268="","",Coureurs!F268)</f>
        <v/>
      </c>
      <c r="F268" s="87" t="str">
        <f>IF(Coureurs!G268="","",Coureurs!G268)</f>
        <v/>
      </c>
      <c r="G268" s="50" t="str">
        <f>IF(Coureurs!J268="","",Coureurs!J268)</f>
        <v/>
      </c>
      <c r="H268" s="25"/>
      <c r="I268" s="41"/>
      <c r="J268" s="8" t="str">
        <f>IF(I268="PM","",IF(H268=0," ",I268-HLOOKUP('Course 5'!H268,'tab5'!$C$3:$N$4,2)))</f>
        <v xml:space="preserve"> </v>
      </c>
      <c r="K268" s="23" t="str">
        <f>IF(I268="PM","",IF(H268=0," ",J268/'Règles et points'!$F$23))</f>
        <v xml:space="preserve"> </v>
      </c>
      <c r="L268" s="3" t="str">
        <f>IF(H268=0,"",VLOOKUP(H268,'Règles et points'!$C$5:$AG$19,(HLOOKUP('Course 5'!C268,'Règles et points'!$C$5:$AG$5,1)+1)))</f>
        <v/>
      </c>
      <c r="M268" s="23">
        <f t="shared" si="4"/>
        <v>0</v>
      </c>
      <c r="N268" s="80"/>
      <c r="O268" s="51"/>
      <c r="P268" s="52"/>
    </row>
    <row r="269" spans="2:16" ht="12.75">
      <c r="B269" s="14">
        <v>265</v>
      </c>
      <c r="C269" s="28" t="str">
        <f>IF(Coureurs!C269="","",Coureurs!C269)</f>
        <v/>
      </c>
      <c r="D269" s="131" t="str">
        <f>IF(Coureurs!D269="","",Coureurs!D269)</f>
        <v>70</v>
      </c>
      <c r="E269" s="87" t="str">
        <f>IF(Coureurs!F269="","",Coureurs!F269)</f>
        <v/>
      </c>
      <c r="F269" s="87" t="str">
        <f>IF(Coureurs!G269="","",Coureurs!G269)</f>
        <v/>
      </c>
      <c r="G269" s="50" t="str">
        <f>IF(Coureurs!J269="","",Coureurs!J269)</f>
        <v/>
      </c>
      <c r="H269" s="25"/>
      <c r="I269" s="41"/>
      <c r="J269" s="8" t="str">
        <f>IF(I269="PM","",IF(H269=0," ",I269-HLOOKUP('Course 5'!H269,'tab5'!$C$3:$N$4,2)))</f>
        <v xml:space="preserve"> </v>
      </c>
      <c r="K269" s="23" t="str">
        <f>IF(I269="PM","",IF(H269=0," ",J269/'Règles et points'!$F$23))</f>
        <v xml:space="preserve"> </v>
      </c>
      <c r="L269" s="3" t="str">
        <f>IF(H269=0,"",VLOOKUP(H269,'Règles et points'!$C$5:$AG$19,(HLOOKUP('Course 5'!C269,'Règles et points'!$C$5:$AG$5,1)+1)))</f>
        <v/>
      </c>
      <c r="M269" s="23">
        <f t="shared" si="4"/>
        <v>0</v>
      </c>
      <c r="N269" s="80"/>
      <c r="O269" s="51"/>
      <c r="P269" s="52"/>
    </row>
    <row r="270" spans="2:16" ht="12.75">
      <c r="B270" s="14">
        <v>266</v>
      </c>
      <c r="C270" s="28" t="str">
        <f>IF(Coureurs!C270="","",Coureurs!C270)</f>
        <v/>
      </c>
      <c r="D270" s="131" t="str">
        <f>IF(Coureurs!D270="","",Coureurs!D270)</f>
        <v>70</v>
      </c>
      <c r="E270" s="87" t="str">
        <f>IF(Coureurs!F270="","",Coureurs!F270)</f>
        <v/>
      </c>
      <c r="F270" s="87" t="str">
        <f>IF(Coureurs!G270="","",Coureurs!G270)</f>
        <v/>
      </c>
      <c r="G270" s="50" t="str">
        <f>IF(Coureurs!J270="","",Coureurs!J270)</f>
        <v/>
      </c>
      <c r="H270" s="25"/>
      <c r="I270" s="41"/>
      <c r="J270" s="8" t="str">
        <f>IF(I270="PM","",IF(H270=0," ",I270-HLOOKUP('Course 5'!H270,'tab5'!$C$3:$N$4,2)))</f>
        <v xml:space="preserve"> </v>
      </c>
      <c r="K270" s="23" t="str">
        <f>IF(I270="PM","",IF(H270=0," ",J270/'Règles et points'!$F$23))</f>
        <v xml:space="preserve"> </v>
      </c>
      <c r="L270" s="3" t="str">
        <f>IF(H270=0,"",VLOOKUP(H270,'Règles et points'!$C$5:$AG$19,(HLOOKUP('Course 5'!C270,'Règles et points'!$C$5:$AG$5,1)+1)))</f>
        <v/>
      </c>
      <c r="M270" s="23">
        <f t="shared" si="4"/>
        <v>0</v>
      </c>
      <c r="N270" s="80"/>
      <c r="O270" s="51"/>
      <c r="P270" s="52"/>
    </row>
    <row r="271" spans="2:16" ht="12.75">
      <c r="B271" s="14">
        <v>267</v>
      </c>
      <c r="C271" s="28" t="str">
        <f>IF(Coureurs!C271="","",Coureurs!C271)</f>
        <v/>
      </c>
      <c r="D271" s="131" t="str">
        <f>IF(Coureurs!D271="","",Coureurs!D271)</f>
        <v>70</v>
      </c>
      <c r="E271" s="87" t="str">
        <f>IF(Coureurs!F271="","",Coureurs!F271)</f>
        <v/>
      </c>
      <c r="F271" s="87" t="str">
        <f>IF(Coureurs!G271="","",Coureurs!G271)</f>
        <v/>
      </c>
      <c r="G271" s="50" t="str">
        <f>IF(Coureurs!J271="","",Coureurs!J271)</f>
        <v/>
      </c>
      <c r="H271" s="25"/>
      <c r="I271" s="41"/>
      <c r="J271" s="8" t="str">
        <f>IF(I271="PM","",IF(H271=0," ",I271-HLOOKUP('Course 5'!H271,'tab5'!$C$3:$N$4,2)))</f>
        <v xml:space="preserve"> </v>
      </c>
      <c r="K271" s="23" t="str">
        <f>IF(I271="PM","",IF(H271=0," ",J271/'Règles et points'!$F$23))</f>
        <v xml:space="preserve"> </v>
      </c>
      <c r="L271" s="3" t="str">
        <f>IF(H271=0,"",VLOOKUP(H271,'Règles et points'!$C$5:$AG$19,(HLOOKUP('Course 5'!C271,'Règles et points'!$C$5:$AG$5,1)+1)))</f>
        <v/>
      </c>
      <c r="M271" s="23">
        <f t="shared" si="4"/>
        <v>0</v>
      </c>
      <c r="N271" s="80"/>
      <c r="O271" s="51"/>
      <c r="P271" s="52"/>
    </row>
    <row r="272" spans="2:16" ht="12.75">
      <c r="B272" s="14">
        <v>268</v>
      </c>
      <c r="C272" s="28" t="str">
        <f>IF(Coureurs!C272="","",Coureurs!C272)</f>
        <v/>
      </c>
      <c r="D272" s="131" t="str">
        <f>IF(Coureurs!D272="","",Coureurs!D272)</f>
        <v>70</v>
      </c>
      <c r="E272" s="87" t="str">
        <f>IF(Coureurs!F272="","",Coureurs!F272)</f>
        <v/>
      </c>
      <c r="F272" s="87" t="str">
        <f>IF(Coureurs!G272="","",Coureurs!G272)</f>
        <v/>
      </c>
      <c r="G272" s="50" t="str">
        <f>IF(Coureurs!J272="","",Coureurs!J272)</f>
        <v/>
      </c>
      <c r="H272" s="25"/>
      <c r="I272" s="41"/>
      <c r="J272" s="8" t="str">
        <f>IF(I272="PM","",IF(H272=0," ",I272-HLOOKUP('Course 5'!H272,'tab5'!$C$3:$N$4,2)))</f>
        <v xml:space="preserve"> </v>
      </c>
      <c r="K272" s="23" t="str">
        <f>IF(I272="PM","",IF(H272=0," ",J272/'Règles et points'!$F$23))</f>
        <v xml:space="preserve"> </v>
      </c>
      <c r="L272" s="3" t="str">
        <f>IF(H272=0,"",VLOOKUP(H272,'Règles et points'!$C$5:$AG$19,(HLOOKUP('Course 5'!C272,'Règles et points'!$C$5:$AG$5,1)+1)))</f>
        <v/>
      </c>
      <c r="M272" s="23">
        <f t="shared" si="4"/>
        <v>0</v>
      </c>
      <c r="N272" s="80"/>
      <c r="O272" s="51"/>
      <c r="P272" s="52"/>
    </row>
    <row r="273" spans="2:16" ht="12.75">
      <c r="B273" s="14">
        <v>269</v>
      </c>
      <c r="C273" s="28" t="str">
        <f>IF(Coureurs!C273="","",Coureurs!C273)</f>
        <v/>
      </c>
      <c r="D273" s="131" t="str">
        <f>IF(Coureurs!D273="","",Coureurs!D273)</f>
        <v>70</v>
      </c>
      <c r="E273" s="87" t="str">
        <f>IF(Coureurs!F273="","",Coureurs!F273)</f>
        <v/>
      </c>
      <c r="F273" s="87" t="str">
        <f>IF(Coureurs!G273="","",Coureurs!G273)</f>
        <v/>
      </c>
      <c r="G273" s="50" t="str">
        <f>IF(Coureurs!J273="","",Coureurs!J273)</f>
        <v/>
      </c>
      <c r="H273" s="25"/>
      <c r="I273" s="41"/>
      <c r="J273" s="8" t="str">
        <f>IF(I273="PM","",IF(H273=0," ",I273-HLOOKUP('Course 5'!H273,'tab5'!$C$3:$N$4,2)))</f>
        <v xml:space="preserve"> </v>
      </c>
      <c r="K273" s="23" t="str">
        <f>IF(I273="PM","",IF(H273=0," ",J273/'Règles et points'!$F$23))</f>
        <v xml:space="preserve"> </v>
      </c>
      <c r="L273" s="3" t="str">
        <f>IF(H273=0,"",VLOOKUP(H273,'Règles et points'!$C$5:$AG$19,(HLOOKUP('Course 5'!C273,'Règles et points'!$C$5:$AG$5,1)+1)))</f>
        <v/>
      </c>
      <c r="M273" s="23">
        <f t="shared" si="4"/>
        <v>0</v>
      </c>
      <c r="N273" s="80"/>
      <c r="O273" s="51"/>
      <c r="P273" s="52"/>
    </row>
    <row r="274" spans="2:16" ht="12.75">
      <c r="B274" s="14">
        <v>270</v>
      </c>
      <c r="C274" s="28" t="str">
        <f>IF(Coureurs!C274="","",Coureurs!C274)</f>
        <v/>
      </c>
      <c r="D274" s="131" t="str">
        <f>IF(Coureurs!D274="","",Coureurs!D274)</f>
        <v>70</v>
      </c>
      <c r="E274" s="87" t="str">
        <f>IF(Coureurs!F274="","",Coureurs!F274)</f>
        <v/>
      </c>
      <c r="F274" s="87" t="str">
        <f>IF(Coureurs!G274="","",Coureurs!G274)</f>
        <v/>
      </c>
      <c r="G274" s="50" t="str">
        <f>IF(Coureurs!J274="","",Coureurs!J274)</f>
        <v/>
      </c>
      <c r="H274" s="25"/>
      <c r="I274" s="41"/>
      <c r="J274" s="8" t="str">
        <f>IF(I274="PM","",IF(H274=0," ",I274-HLOOKUP('Course 5'!H274,'tab5'!$C$3:$N$4,2)))</f>
        <v xml:space="preserve"> </v>
      </c>
      <c r="K274" s="23" t="str">
        <f>IF(I274="PM","",IF(H274=0," ",J274/'Règles et points'!$F$23))</f>
        <v xml:space="preserve"> </v>
      </c>
      <c r="L274" s="3" t="str">
        <f>IF(H274=0,"",VLOOKUP(H274,'Règles et points'!$C$5:$AG$19,(HLOOKUP('Course 5'!C274,'Règles et points'!$C$5:$AG$5,1)+1)))</f>
        <v/>
      </c>
      <c r="M274" s="23">
        <f t="shared" si="4"/>
        <v>0</v>
      </c>
      <c r="N274" s="80"/>
      <c r="O274" s="51"/>
      <c r="P274" s="52"/>
    </row>
    <row r="275" spans="2:16" ht="12.75">
      <c r="B275" s="14">
        <v>271</v>
      </c>
      <c r="C275" s="28" t="str">
        <f>IF(Coureurs!C275="","",Coureurs!C275)</f>
        <v/>
      </c>
      <c r="D275" s="131" t="str">
        <f>IF(Coureurs!D275="","",Coureurs!D275)</f>
        <v>70</v>
      </c>
      <c r="E275" s="87" t="str">
        <f>IF(Coureurs!F275="","",Coureurs!F275)</f>
        <v/>
      </c>
      <c r="F275" s="87" t="str">
        <f>IF(Coureurs!G275="","",Coureurs!G275)</f>
        <v/>
      </c>
      <c r="G275" s="50" t="str">
        <f>IF(Coureurs!J275="","",Coureurs!J275)</f>
        <v/>
      </c>
      <c r="H275" s="25"/>
      <c r="I275" s="41"/>
      <c r="J275" s="8" t="str">
        <f>IF(I275="PM","",IF(H275=0," ",I275-HLOOKUP('Course 5'!H275,'tab5'!$C$3:$N$4,2)))</f>
        <v xml:space="preserve"> </v>
      </c>
      <c r="K275" s="23" t="str">
        <f>IF(I275="PM","",IF(H275=0," ",J275/'Règles et points'!$F$23))</f>
        <v xml:space="preserve"> </v>
      </c>
      <c r="L275" s="3" t="str">
        <f>IF(H275=0,"",VLOOKUP(H275,'Règles et points'!$C$5:$AG$19,(HLOOKUP('Course 5'!C275,'Règles et points'!$C$5:$AG$5,1)+1)))</f>
        <v/>
      </c>
      <c r="M275" s="23">
        <f t="shared" si="4"/>
        <v>0</v>
      </c>
      <c r="N275" s="80"/>
      <c r="O275" s="51"/>
      <c r="P275" s="52"/>
    </row>
    <row r="276" spans="2:16" ht="12.75">
      <c r="B276" s="14">
        <v>272</v>
      </c>
      <c r="C276" s="28" t="str">
        <f>IF(Coureurs!C276="","",Coureurs!C276)</f>
        <v/>
      </c>
      <c r="D276" s="131" t="str">
        <f>IF(Coureurs!D276="","",Coureurs!D276)</f>
        <v>70</v>
      </c>
      <c r="E276" s="87" t="str">
        <f>IF(Coureurs!F276="","",Coureurs!F276)</f>
        <v/>
      </c>
      <c r="F276" s="87" t="str">
        <f>IF(Coureurs!G276="","",Coureurs!G276)</f>
        <v/>
      </c>
      <c r="G276" s="50" t="str">
        <f>IF(Coureurs!J276="","",Coureurs!J276)</f>
        <v/>
      </c>
      <c r="H276" s="25"/>
      <c r="I276" s="41"/>
      <c r="J276" s="8" t="str">
        <f>IF(I276="PM","",IF(H276=0," ",I276-HLOOKUP('Course 5'!H276,'tab5'!$C$3:$N$4,2)))</f>
        <v xml:space="preserve"> </v>
      </c>
      <c r="K276" s="23" t="str">
        <f>IF(I276="PM","",IF(H276=0," ",J276/'Règles et points'!$F$23))</f>
        <v xml:space="preserve"> </v>
      </c>
      <c r="L276" s="3" t="str">
        <f>IF(H276=0,"",VLOOKUP(H276,'Règles et points'!$C$5:$AG$19,(HLOOKUP('Course 5'!C276,'Règles et points'!$C$5:$AG$5,1)+1)))</f>
        <v/>
      </c>
      <c r="M276" s="23">
        <f t="shared" si="4"/>
        <v>0</v>
      </c>
      <c r="N276" s="80"/>
      <c r="O276" s="51"/>
      <c r="P276" s="52"/>
    </row>
    <row r="277" spans="2:16" ht="12.75">
      <c r="B277" s="14">
        <v>273</v>
      </c>
      <c r="C277" s="28" t="str">
        <f>IF(Coureurs!C277="","",Coureurs!C277)</f>
        <v/>
      </c>
      <c r="D277" s="131" t="str">
        <f>IF(Coureurs!D277="","",Coureurs!D277)</f>
        <v>70</v>
      </c>
      <c r="E277" s="87" t="str">
        <f>IF(Coureurs!F277="","",Coureurs!F277)</f>
        <v/>
      </c>
      <c r="F277" s="87" t="str">
        <f>IF(Coureurs!G277="","",Coureurs!G277)</f>
        <v/>
      </c>
      <c r="G277" s="50" t="str">
        <f>IF(Coureurs!J277="","",Coureurs!J277)</f>
        <v/>
      </c>
      <c r="H277" s="25"/>
      <c r="I277" s="41"/>
      <c r="J277" s="8" t="str">
        <f>IF(I277="PM","",IF(H277=0," ",I277-HLOOKUP('Course 5'!H277,'tab5'!$C$3:$N$4,2)))</f>
        <v xml:space="preserve"> </v>
      </c>
      <c r="K277" s="23" t="str">
        <f>IF(I277="PM","",IF(H277=0," ",J277/'Règles et points'!$F$23))</f>
        <v xml:space="preserve"> </v>
      </c>
      <c r="L277" s="3" t="str">
        <f>IF(H277=0,"",VLOOKUP(H277,'Règles et points'!$C$5:$AG$19,(HLOOKUP('Course 5'!C277,'Règles et points'!$C$5:$AG$5,1)+1)))</f>
        <v/>
      </c>
      <c r="M277" s="23">
        <f t="shared" si="4"/>
        <v>0</v>
      </c>
      <c r="N277" s="80"/>
      <c r="O277" s="51"/>
      <c r="P277" s="52"/>
    </row>
    <row r="278" spans="2:16" ht="12.75">
      <c r="B278" s="14">
        <v>274</v>
      </c>
      <c r="C278" s="28" t="str">
        <f>IF(Coureurs!C278="","",Coureurs!C278)</f>
        <v/>
      </c>
      <c r="D278" s="131" t="str">
        <f>IF(Coureurs!D278="","",Coureurs!D278)</f>
        <v>70</v>
      </c>
      <c r="E278" s="87" t="str">
        <f>IF(Coureurs!F278="","",Coureurs!F278)</f>
        <v/>
      </c>
      <c r="F278" s="87" t="str">
        <f>IF(Coureurs!G278="","",Coureurs!G278)</f>
        <v/>
      </c>
      <c r="G278" s="50" t="str">
        <f>IF(Coureurs!J278="","",Coureurs!J278)</f>
        <v/>
      </c>
      <c r="H278" s="25"/>
      <c r="I278" s="41"/>
      <c r="J278" s="8" t="str">
        <f>IF(I278="PM","",IF(H278=0," ",I278-HLOOKUP('Course 5'!H278,'tab5'!$C$3:$N$4,2)))</f>
        <v xml:space="preserve"> </v>
      </c>
      <c r="K278" s="23" t="str">
        <f>IF(I278="PM","",IF(H278=0," ",J278/'Règles et points'!$F$23))</f>
        <v xml:space="preserve"> </v>
      </c>
      <c r="L278" s="3" t="str">
        <f>IF(H278=0,"",VLOOKUP(H278,'Règles et points'!$C$5:$AG$19,(HLOOKUP('Course 5'!C278,'Règles et points'!$C$5:$AG$5,1)+1)))</f>
        <v/>
      </c>
      <c r="M278" s="23">
        <f t="shared" si="4"/>
        <v>0</v>
      </c>
      <c r="N278" s="80"/>
      <c r="O278" s="51"/>
      <c r="P278" s="52"/>
    </row>
    <row r="279" spans="2:16" ht="12.75">
      <c r="B279" s="14">
        <v>275</v>
      </c>
      <c r="C279" s="28" t="str">
        <f>IF(Coureurs!C279="","",Coureurs!C279)</f>
        <v/>
      </c>
      <c r="D279" s="131" t="str">
        <f>IF(Coureurs!D279="","",Coureurs!D279)</f>
        <v>70</v>
      </c>
      <c r="E279" s="87" t="str">
        <f>IF(Coureurs!F279="","",Coureurs!F279)</f>
        <v/>
      </c>
      <c r="F279" s="87" t="str">
        <f>IF(Coureurs!G279="","",Coureurs!G279)</f>
        <v/>
      </c>
      <c r="G279" s="50" t="str">
        <f>IF(Coureurs!J279="","",Coureurs!J279)</f>
        <v/>
      </c>
      <c r="H279" s="25"/>
      <c r="I279" s="41"/>
      <c r="J279" s="8" t="str">
        <f>IF(I279="PM","",IF(H279=0," ",I279-HLOOKUP('Course 5'!H279,'tab5'!$C$3:$N$4,2)))</f>
        <v xml:space="preserve"> </v>
      </c>
      <c r="K279" s="23" t="str">
        <f>IF(I279="PM","",IF(H279=0," ",J279/'Règles et points'!$F$23))</f>
        <v xml:space="preserve"> </v>
      </c>
      <c r="L279" s="3" t="str">
        <f>IF(H279=0,"",VLOOKUP(H279,'Règles et points'!$C$5:$AG$19,(HLOOKUP('Course 5'!C279,'Règles et points'!$C$5:$AG$5,1)+1)))</f>
        <v/>
      </c>
      <c r="M279" s="23">
        <f t="shared" si="4"/>
        <v>0</v>
      </c>
      <c r="N279" s="80"/>
      <c r="O279" s="51"/>
      <c r="P279" s="52"/>
    </row>
    <row r="280" spans="2:16" ht="12.75">
      <c r="B280" s="14">
        <v>276</v>
      </c>
      <c r="C280" s="28" t="str">
        <f>IF(Coureurs!C280="","",Coureurs!C280)</f>
        <v/>
      </c>
      <c r="D280" s="131" t="str">
        <f>IF(Coureurs!D280="","",Coureurs!D280)</f>
        <v>70</v>
      </c>
      <c r="E280" s="87" t="str">
        <f>IF(Coureurs!F280="","",Coureurs!F280)</f>
        <v/>
      </c>
      <c r="F280" s="87" t="str">
        <f>IF(Coureurs!G280="","",Coureurs!G280)</f>
        <v/>
      </c>
      <c r="G280" s="50" t="str">
        <f>IF(Coureurs!J280="","",Coureurs!J280)</f>
        <v/>
      </c>
      <c r="H280" s="25"/>
      <c r="I280" s="41"/>
      <c r="J280" s="8" t="str">
        <f>IF(I280="PM","",IF(H280=0," ",I280-HLOOKUP('Course 5'!H280,'tab5'!$C$3:$N$4,2)))</f>
        <v xml:space="preserve"> </v>
      </c>
      <c r="K280" s="23" t="str">
        <f>IF(I280="PM","",IF(H280=0," ",J280/'Règles et points'!$F$23))</f>
        <v xml:space="preserve"> </v>
      </c>
      <c r="L280" s="3" t="str">
        <f>IF(H280=0,"",VLOOKUP(H280,'Règles et points'!$C$5:$AG$19,(HLOOKUP('Course 5'!C280,'Règles et points'!$C$5:$AG$5,1)+1)))</f>
        <v/>
      </c>
      <c r="M280" s="23">
        <f t="shared" si="4"/>
        <v>0</v>
      </c>
      <c r="N280" s="80"/>
      <c r="O280" s="51"/>
      <c r="P280" s="52"/>
    </row>
    <row r="281" spans="2:16" ht="12.75">
      <c r="B281" s="14">
        <v>277</v>
      </c>
      <c r="C281" s="28" t="str">
        <f>IF(Coureurs!C281="","",Coureurs!C281)</f>
        <v/>
      </c>
      <c r="D281" s="131" t="str">
        <f>IF(Coureurs!D281="","",Coureurs!D281)</f>
        <v>70</v>
      </c>
      <c r="E281" s="87" t="str">
        <f>IF(Coureurs!F281="","",Coureurs!F281)</f>
        <v/>
      </c>
      <c r="F281" s="87" t="str">
        <f>IF(Coureurs!G281="","",Coureurs!G281)</f>
        <v/>
      </c>
      <c r="G281" s="50" t="str">
        <f>IF(Coureurs!J281="","",Coureurs!J281)</f>
        <v/>
      </c>
      <c r="H281" s="25"/>
      <c r="I281" s="41"/>
      <c r="J281" s="8" t="str">
        <f>IF(I281="PM","",IF(H281=0," ",I281-HLOOKUP('Course 5'!H281,'tab5'!$C$3:$N$4,2)))</f>
        <v xml:space="preserve"> </v>
      </c>
      <c r="K281" s="23" t="str">
        <f>IF(I281="PM","",IF(H281=0," ",J281/'Règles et points'!$F$23))</f>
        <v xml:space="preserve"> </v>
      </c>
      <c r="L281" s="3" t="str">
        <f>IF(H281=0,"",VLOOKUP(H281,'Règles et points'!$C$5:$AG$19,(HLOOKUP('Course 5'!C281,'Règles et points'!$C$5:$AG$5,1)+1)))</f>
        <v/>
      </c>
      <c r="M281" s="23">
        <f t="shared" si="4"/>
        <v>0</v>
      </c>
      <c r="N281" s="80"/>
      <c r="O281" s="51"/>
      <c r="P281" s="52"/>
    </row>
    <row r="282" spans="2:16" ht="12.75">
      <c r="B282" s="14">
        <v>278</v>
      </c>
      <c r="C282" s="28" t="str">
        <f>IF(Coureurs!C282="","",Coureurs!C282)</f>
        <v/>
      </c>
      <c r="D282" s="131" t="str">
        <f>IF(Coureurs!D282="","",Coureurs!D282)</f>
        <v>70</v>
      </c>
      <c r="E282" s="87" t="str">
        <f>IF(Coureurs!F282="","",Coureurs!F282)</f>
        <v/>
      </c>
      <c r="F282" s="87" t="str">
        <f>IF(Coureurs!G282="","",Coureurs!G282)</f>
        <v/>
      </c>
      <c r="G282" s="50" t="str">
        <f>IF(Coureurs!J282="","",Coureurs!J282)</f>
        <v/>
      </c>
      <c r="H282" s="25"/>
      <c r="I282" s="41"/>
      <c r="J282" s="8" t="str">
        <f>IF(I282="PM","",IF(H282=0," ",I282-HLOOKUP('Course 5'!H282,'tab5'!$C$3:$N$4,2)))</f>
        <v xml:space="preserve"> </v>
      </c>
      <c r="K282" s="23" t="str">
        <f>IF(I282="PM","",IF(H282=0," ",J282/'Règles et points'!$F$23))</f>
        <v xml:space="preserve"> </v>
      </c>
      <c r="L282" s="3" t="str">
        <f>IF(H282=0,"",VLOOKUP(H282,'Règles et points'!$C$5:$AG$19,(HLOOKUP('Course 5'!C282,'Règles et points'!$C$5:$AG$5,1)+1)))</f>
        <v/>
      </c>
      <c r="M282" s="23">
        <f t="shared" si="4"/>
        <v>0</v>
      </c>
      <c r="N282" s="80"/>
      <c r="O282" s="51"/>
      <c r="P282" s="52"/>
    </row>
    <row r="283" spans="2:16" ht="12.75">
      <c r="B283" s="14">
        <v>279</v>
      </c>
      <c r="C283" s="28" t="str">
        <f>IF(Coureurs!C283="","",Coureurs!C283)</f>
        <v/>
      </c>
      <c r="D283" s="131" t="str">
        <f>IF(Coureurs!D283="","",Coureurs!D283)</f>
        <v>70</v>
      </c>
      <c r="E283" s="87" t="str">
        <f>IF(Coureurs!F283="","",Coureurs!F283)</f>
        <v/>
      </c>
      <c r="F283" s="87" t="str">
        <f>IF(Coureurs!G283="","",Coureurs!G283)</f>
        <v/>
      </c>
      <c r="G283" s="50" t="str">
        <f>IF(Coureurs!J283="","",Coureurs!J283)</f>
        <v/>
      </c>
      <c r="H283" s="25"/>
      <c r="I283" s="41"/>
      <c r="J283" s="8" t="str">
        <f>IF(I283="PM","",IF(H283=0," ",I283-HLOOKUP('Course 5'!H283,'tab5'!$C$3:$N$4,2)))</f>
        <v xml:space="preserve"> </v>
      </c>
      <c r="K283" s="23" t="str">
        <f>IF(I283="PM","",IF(H283=0," ",J283/'Règles et points'!$F$23))</f>
        <v xml:space="preserve"> </v>
      </c>
      <c r="L283" s="3" t="str">
        <f>IF(H283=0,"",VLOOKUP(H283,'Règles et points'!$C$5:$AG$19,(HLOOKUP('Course 5'!C283,'Règles et points'!$C$5:$AG$5,1)+1)))</f>
        <v/>
      </c>
      <c r="M283" s="23">
        <f t="shared" si="4"/>
        <v>0</v>
      </c>
      <c r="N283" s="80"/>
      <c r="O283" s="51"/>
      <c r="P283" s="52"/>
    </row>
    <row r="284" spans="2:16" ht="12.75">
      <c r="B284" s="14">
        <v>280</v>
      </c>
      <c r="C284" s="28" t="str">
        <f>IF(Coureurs!C284="","",Coureurs!C284)</f>
        <v/>
      </c>
      <c r="D284" s="131" t="str">
        <f>IF(Coureurs!D284="","",Coureurs!D284)</f>
        <v>70</v>
      </c>
      <c r="E284" s="87" t="str">
        <f>IF(Coureurs!F284="","",Coureurs!F284)</f>
        <v/>
      </c>
      <c r="F284" s="87" t="str">
        <f>IF(Coureurs!G284="","",Coureurs!G284)</f>
        <v/>
      </c>
      <c r="G284" s="50" t="str">
        <f>IF(Coureurs!J284="","",Coureurs!J284)</f>
        <v/>
      </c>
      <c r="H284" s="25"/>
      <c r="I284" s="41"/>
      <c r="J284" s="8" t="str">
        <f>IF(I284="PM","",IF(H284=0," ",I284-HLOOKUP('Course 5'!H284,'tab5'!$C$3:$N$4,2)))</f>
        <v xml:space="preserve"> </v>
      </c>
      <c r="K284" s="23" t="str">
        <f>IF(I284="PM","",IF(H284=0," ",J284/'Règles et points'!$F$23))</f>
        <v xml:space="preserve"> </v>
      </c>
      <c r="L284" s="3" t="str">
        <f>IF(H284=0,"",VLOOKUP(H284,'Règles et points'!$C$5:$AG$19,(HLOOKUP('Course 5'!C284,'Règles et points'!$C$5:$AG$5,1)+1)))</f>
        <v/>
      </c>
      <c r="M284" s="23">
        <f t="shared" si="4"/>
        <v>0</v>
      </c>
      <c r="N284" s="80"/>
      <c r="O284" s="51"/>
      <c r="P284" s="52"/>
    </row>
    <row r="285" spans="2:16" ht="12.75">
      <c r="B285" s="14">
        <v>281</v>
      </c>
      <c r="C285" s="28" t="str">
        <f>IF(Coureurs!C285="","",Coureurs!C285)</f>
        <v/>
      </c>
      <c r="D285" s="131" t="str">
        <f>IF(Coureurs!D285="","",Coureurs!D285)</f>
        <v>70</v>
      </c>
      <c r="E285" s="87" t="str">
        <f>IF(Coureurs!F285="","",Coureurs!F285)</f>
        <v/>
      </c>
      <c r="F285" s="87" t="str">
        <f>IF(Coureurs!G285="","",Coureurs!G285)</f>
        <v/>
      </c>
      <c r="G285" s="50" t="str">
        <f>IF(Coureurs!J285="","",Coureurs!J285)</f>
        <v/>
      </c>
      <c r="H285" s="25"/>
      <c r="I285" s="41"/>
      <c r="J285" s="8" t="str">
        <f>IF(I285="PM","",IF(H285=0," ",I285-HLOOKUP('Course 5'!H285,'tab5'!$C$3:$N$4,2)))</f>
        <v xml:space="preserve"> </v>
      </c>
      <c r="K285" s="23" t="str">
        <f>IF(I285="PM","",IF(H285=0," ",J285/'Règles et points'!$F$23))</f>
        <v xml:space="preserve"> </v>
      </c>
      <c r="L285" s="3" t="str">
        <f>IF(H285=0,"",VLOOKUP(H285,'Règles et points'!$C$5:$AG$19,(HLOOKUP('Course 5'!C285,'Règles et points'!$C$5:$AG$5,1)+1)))</f>
        <v/>
      </c>
      <c r="M285" s="23">
        <f t="shared" si="4"/>
        <v>0</v>
      </c>
      <c r="N285" s="80"/>
      <c r="O285" s="51"/>
      <c r="P285" s="52"/>
    </row>
    <row r="286" spans="2:16" ht="12.75">
      <c r="B286" s="14">
        <v>282</v>
      </c>
      <c r="C286" s="28" t="str">
        <f>IF(Coureurs!C286="","",Coureurs!C286)</f>
        <v/>
      </c>
      <c r="D286" s="131" t="str">
        <f>IF(Coureurs!D286="","",Coureurs!D286)</f>
        <v>70</v>
      </c>
      <c r="E286" s="87" t="str">
        <f>IF(Coureurs!F286="","",Coureurs!F286)</f>
        <v/>
      </c>
      <c r="F286" s="87" t="str">
        <f>IF(Coureurs!G286="","",Coureurs!G286)</f>
        <v/>
      </c>
      <c r="G286" s="50" t="str">
        <f>IF(Coureurs!J286="","",Coureurs!J286)</f>
        <v/>
      </c>
      <c r="H286" s="25"/>
      <c r="I286" s="41"/>
      <c r="J286" s="8" t="str">
        <f>IF(I286="PM","",IF(H286=0," ",I286-HLOOKUP('Course 5'!H286,'tab5'!$C$3:$N$4,2)))</f>
        <v xml:space="preserve"> </v>
      </c>
      <c r="K286" s="23" t="str">
        <f>IF(I286="PM","",IF(H286=0," ",J286/'Règles et points'!$F$23))</f>
        <v xml:space="preserve"> </v>
      </c>
      <c r="L286" s="3" t="str">
        <f>IF(H286=0,"",VLOOKUP(H286,'Règles et points'!$C$5:$AG$19,(HLOOKUP('Course 5'!C286,'Règles et points'!$C$5:$AG$5,1)+1)))</f>
        <v/>
      </c>
      <c r="M286" s="23">
        <f t="shared" si="4"/>
        <v>0</v>
      </c>
      <c r="N286" s="80"/>
      <c r="O286" s="51"/>
      <c r="P286" s="52"/>
    </row>
    <row r="287" spans="2:16" ht="12.75">
      <c r="B287" s="14">
        <v>283</v>
      </c>
      <c r="C287" s="28" t="str">
        <f>IF(Coureurs!C287="","",Coureurs!C287)</f>
        <v/>
      </c>
      <c r="D287" s="131" t="str">
        <f>IF(Coureurs!D287="","",Coureurs!D287)</f>
        <v>70</v>
      </c>
      <c r="E287" s="87" t="str">
        <f>IF(Coureurs!F287="","",Coureurs!F287)</f>
        <v/>
      </c>
      <c r="F287" s="87" t="str">
        <f>IF(Coureurs!G287="","",Coureurs!G287)</f>
        <v/>
      </c>
      <c r="G287" s="50" t="str">
        <f>IF(Coureurs!J287="","",Coureurs!J287)</f>
        <v/>
      </c>
      <c r="H287" s="25"/>
      <c r="I287" s="41"/>
      <c r="J287" s="8" t="str">
        <f>IF(I287="PM","",IF(H287=0," ",I287-HLOOKUP('Course 5'!H287,'tab5'!$C$3:$N$4,2)))</f>
        <v xml:space="preserve"> </v>
      </c>
      <c r="K287" s="23" t="str">
        <f>IF(I287="PM","",IF(H287=0," ",J287/'Règles et points'!$F$23))</f>
        <v xml:space="preserve"> </v>
      </c>
      <c r="L287" s="3" t="str">
        <f>IF(H287=0,"",VLOOKUP(H287,'Règles et points'!$C$5:$AG$19,(HLOOKUP('Course 5'!C287,'Règles et points'!$C$5:$AG$5,1)+1)))</f>
        <v/>
      </c>
      <c r="M287" s="23">
        <f t="shared" si="4"/>
        <v>0</v>
      </c>
      <c r="N287" s="80"/>
      <c r="O287" s="51"/>
      <c r="P287" s="52"/>
    </row>
    <row r="288" spans="2:16" ht="12.75">
      <c r="B288" s="14">
        <v>284</v>
      </c>
      <c r="C288" s="28" t="str">
        <f>IF(Coureurs!C288="","",Coureurs!C288)</f>
        <v/>
      </c>
      <c r="D288" s="131" t="str">
        <f>IF(Coureurs!D288="","",Coureurs!D288)</f>
        <v>70</v>
      </c>
      <c r="E288" s="87" t="str">
        <f>IF(Coureurs!F288="","",Coureurs!F288)</f>
        <v/>
      </c>
      <c r="F288" s="87" t="str">
        <f>IF(Coureurs!G288="","",Coureurs!G288)</f>
        <v/>
      </c>
      <c r="G288" s="50" t="str">
        <f>IF(Coureurs!J288="","",Coureurs!J288)</f>
        <v/>
      </c>
      <c r="H288" s="25"/>
      <c r="I288" s="41"/>
      <c r="J288" s="8" t="str">
        <f>IF(I288="PM","",IF(H288=0," ",I288-HLOOKUP('Course 5'!H288,'tab5'!$C$3:$N$4,2)))</f>
        <v xml:space="preserve"> </v>
      </c>
      <c r="K288" s="23" t="str">
        <f>IF(I288="PM","",IF(H288=0," ",J288/'Règles et points'!$F$23))</f>
        <v xml:space="preserve"> </v>
      </c>
      <c r="L288" s="3" t="str">
        <f>IF(H288=0,"",VLOOKUP(H288,'Règles et points'!$C$5:$AG$19,(HLOOKUP('Course 5'!C288,'Règles et points'!$C$5:$AG$5,1)+1)))</f>
        <v/>
      </c>
      <c r="M288" s="23">
        <f t="shared" si="4"/>
        <v>0</v>
      </c>
      <c r="N288" s="80"/>
      <c r="O288" s="51"/>
      <c r="P288" s="52"/>
    </row>
    <row r="289" spans="2:16" ht="12.75">
      <c r="B289" s="14">
        <v>285</v>
      </c>
      <c r="C289" s="28" t="str">
        <f>IF(Coureurs!C289="","",Coureurs!C289)</f>
        <v/>
      </c>
      <c r="D289" s="131" t="str">
        <f>IF(Coureurs!D289="","",Coureurs!D289)</f>
        <v>70</v>
      </c>
      <c r="E289" s="87" t="str">
        <f>IF(Coureurs!F289="","",Coureurs!F289)</f>
        <v/>
      </c>
      <c r="F289" s="87" t="str">
        <f>IF(Coureurs!G289="","",Coureurs!G289)</f>
        <v/>
      </c>
      <c r="G289" s="50" t="str">
        <f>IF(Coureurs!J289="","",Coureurs!J289)</f>
        <v/>
      </c>
      <c r="H289" s="25"/>
      <c r="I289" s="41"/>
      <c r="J289" s="8" t="str">
        <f>IF(I289="PM","",IF(H289=0," ",I289-HLOOKUP('Course 5'!H289,'tab5'!$C$3:$N$4,2)))</f>
        <v xml:space="preserve"> </v>
      </c>
      <c r="K289" s="23" t="str">
        <f>IF(I289="PM","",IF(H289=0," ",J289/'Règles et points'!$F$23))</f>
        <v xml:space="preserve"> </v>
      </c>
      <c r="L289" s="3" t="str">
        <f>IF(H289=0,"",VLOOKUP(H289,'Règles et points'!$C$5:$AG$19,(HLOOKUP('Course 5'!C289,'Règles et points'!$C$5:$AG$5,1)+1)))</f>
        <v/>
      </c>
      <c r="M289" s="23">
        <f t="shared" si="4"/>
        <v>0</v>
      </c>
      <c r="N289" s="80"/>
      <c r="O289" s="51"/>
      <c r="P289" s="52"/>
    </row>
    <row r="290" spans="2:16" ht="12.75">
      <c r="B290" s="14">
        <v>286</v>
      </c>
      <c r="C290" s="28" t="str">
        <f>IF(Coureurs!C290="","",Coureurs!C290)</f>
        <v/>
      </c>
      <c r="D290" s="131" t="str">
        <f>IF(Coureurs!D290="","",Coureurs!D290)</f>
        <v>70</v>
      </c>
      <c r="E290" s="87" t="str">
        <f>IF(Coureurs!F290="","",Coureurs!F290)</f>
        <v/>
      </c>
      <c r="F290" s="87" t="str">
        <f>IF(Coureurs!G290="","",Coureurs!G290)</f>
        <v/>
      </c>
      <c r="G290" s="50" t="str">
        <f>IF(Coureurs!J290="","",Coureurs!J290)</f>
        <v/>
      </c>
      <c r="H290" s="25"/>
      <c r="I290" s="41"/>
      <c r="J290" s="8" t="str">
        <f>IF(I290="PM","",IF(H290=0," ",I290-HLOOKUP('Course 5'!H290,'tab5'!$C$3:$N$4,2)))</f>
        <v xml:space="preserve"> </v>
      </c>
      <c r="K290" s="23" t="str">
        <f>IF(I290="PM","",IF(H290=0," ",J290/'Règles et points'!$F$23))</f>
        <v xml:space="preserve"> </v>
      </c>
      <c r="L290" s="3" t="str">
        <f>IF(H290=0,"",VLOOKUP(H290,'Règles et points'!$C$5:$AG$19,(HLOOKUP('Course 5'!C290,'Règles et points'!$C$5:$AG$5,1)+1)))</f>
        <v/>
      </c>
      <c r="M290" s="23">
        <f t="shared" si="4"/>
        <v>0</v>
      </c>
      <c r="N290" s="80"/>
      <c r="O290" s="51"/>
      <c r="P290" s="52"/>
    </row>
    <row r="291" spans="2:16" ht="12.75">
      <c r="B291" s="14">
        <v>287</v>
      </c>
      <c r="C291" s="28" t="str">
        <f>IF(Coureurs!C291="","",Coureurs!C291)</f>
        <v/>
      </c>
      <c r="D291" s="131" t="str">
        <f>IF(Coureurs!D291="","",Coureurs!D291)</f>
        <v>70</v>
      </c>
      <c r="E291" s="87" t="str">
        <f>IF(Coureurs!F291="","",Coureurs!F291)</f>
        <v/>
      </c>
      <c r="F291" s="87" t="str">
        <f>IF(Coureurs!G291="","",Coureurs!G291)</f>
        <v/>
      </c>
      <c r="G291" s="50" t="str">
        <f>IF(Coureurs!J291="","",Coureurs!J291)</f>
        <v/>
      </c>
      <c r="H291" s="25"/>
      <c r="I291" s="41"/>
      <c r="J291" s="8" t="str">
        <f>IF(I291="PM","",IF(H291=0," ",I291-HLOOKUP('Course 5'!H291,'tab5'!$C$3:$N$4,2)))</f>
        <v xml:space="preserve"> </v>
      </c>
      <c r="K291" s="23" t="str">
        <f>IF(I291="PM","",IF(H291=0," ",J291/'Règles et points'!$F$23))</f>
        <v xml:space="preserve"> </v>
      </c>
      <c r="L291" s="3" t="str">
        <f>IF(H291=0,"",VLOOKUP(H291,'Règles et points'!$C$5:$AG$19,(HLOOKUP('Course 5'!C291,'Règles et points'!$C$5:$AG$5,1)+1)))</f>
        <v/>
      </c>
      <c r="M291" s="23">
        <f t="shared" si="4"/>
        <v>0</v>
      </c>
      <c r="N291" s="80"/>
      <c r="O291" s="51"/>
      <c r="P291" s="52"/>
    </row>
    <row r="292" spans="2:16" ht="12.75">
      <c r="B292" s="14">
        <v>288</v>
      </c>
      <c r="C292" s="28" t="str">
        <f>IF(Coureurs!C292="","",Coureurs!C292)</f>
        <v/>
      </c>
      <c r="D292" s="131" t="str">
        <f>IF(Coureurs!D292="","",Coureurs!D292)</f>
        <v>70</v>
      </c>
      <c r="E292" s="87" t="str">
        <f>IF(Coureurs!F292="","",Coureurs!F292)</f>
        <v/>
      </c>
      <c r="F292" s="87" t="str">
        <f>IF(Coureurs!G292="","",Coureurs!G292)</f>
        <v/>
      </c>
      <c r="G292" s="50" t="str">
        <f>IF(Coureurs!J292="","",Coureurs!J292)</f>
        <v/>
      </c>
      <c r="H292" s="25"/>
      <c r="I292" s="41"/>
      <c r="J292" s="8" t="str">
        <f>IF(I292="PM","",IF(H292=0," ",I292-HLOOKUP('Course 5'!H292,'tab5'!$C$3:$N$4,2)))</f>
        <v xml:space="preserve"> </v>
      </c>
      <c r="K292" s="23" t="str">
        <f>IF(I292="PM","",IF(H292=0," ",J292/'Règles et points'!$F$23))</f>
        <v xml:space="preserve"> </v>
      </c>
      <c r="L292" s="3" t="str">
        <f>IF(H292=0,"",VLOOKUP(H292,'Règles et points'!$C$5:$AG$19,(HLOOKUP('Course 5'!C292,'Règles et points'!$C$5:$AG$5,1)+1)))</f>
        <v/>
      </c>
      <c r="M292" s="23">
        <f t="shared" si="4"/>
        <v>0</v>
      </c>
      <c r="N292" s="80"/>
      <c r="O292" s="51"/>
      <c r="P292" s="52"/>
    </row>
    <row r="293" spans="2:16" ht="12.75">
      <c r="B293" s="14">
        <v>289</v>
      </c>
      <c r="C293" s="28" t="str">
        <f>IF(Coureurs!C293="","",Coureurs!C293)</f>
        <v/>
      </c>
      <c r="D293" s="131" t="str">
        <f>IF(Coureurs!D293="","",Coureurs!D293)</f>
        <v>70</v>
      </c>
      <c r="E293" s="87" t="str">
        <f>IF(Coureurs!F293="","",Coureurs!F293)</f>
        <v/>
      </c>
      <c r="F293" s="87" t="str">
        <f>IF(Coureurs!G293="","",Coureurs!G293)</f>
        <v/>
      </c>
      <c r="G293" s="50" t="str">
        <f>IF(Coureurs!J293="","",Coureurs!J293)</f>
        <v/>
      </c>
      <c r="H293" s="25"/>
      <c r="I293" s="41"/>
      <c r="J293" s="8" t="str">
        <f>IF(I293="PM","",IF(H293=0," ",I293-HLOOKUP('Course 5'!H293,'tab5'!$C$3:$N$4,2)))</f>
        <v xml:space="preserve"> </v>
      </c>
      <c r="K293" s="23" t="str">
        <f>IF(I293="PM","",IF(H293=0," ",J293/'Règles et points'!$F$23))</f>
        <v xml:space="preserve"> </v>
      </c>
      <c r="L293" s="3" t="str">
        <f>IF(H293=0,"",VLOOKUP(H293,'Règles et points'!$C$5:$AG$19,(HLOOKUP('Course 5'!C293,'Règles et points'!$C$5:$AG$5,1)+1)))</f>
        <v/>
      </c>
      <c r="M293" s="23">
        <f t="shared" si="4"/>
        <v>0</v>
      </c>
      <c r="N293" s="80"/>
      <c r="O293" s="51"/>
      <c r="P293" s="52"/>
    </row>
    <row r="294" spans="2:16" ht="12.75">
      <c r="B294" s="14">
        <v>290</v>
      </c>
      <c r="C294" s="28" t="str">
        <f>IF(Coureurs!C294="","",Coureurs!C294)</f>
        <v/>
      </c>
      <c r="D294" s="131" t="str">
        <f>IF(Coureurs!D294="","",Coureurs!D294)</f>
        <v>70</v>
      </c>
      <c r="E294" s="87" t="str">
        <f>IF(Coureurs!F294="","",Coureurs!F294)</f>
        <v/>
      </c>
      <c r="F294" s="87" t="str">
        <f>IF(Coureurs!G294="","",Coureurs!G294)</f>
        <v/>
      </c>
      <c r="G294" s="50" t="str">
        <f>IF(Coureurs!J294="","",Coureurs!J294)</f>
        <v/>
      </c>
      <c r="H294" s="25"/>
      <c r="I294" s="41"/>
      <c r="J294" s="8" t="str">
        <f>IF(I294="PM","",IF(H294=0," ",I294-HLOOKUP('Course 5'!H294,'tab5'!$C$3:$N$4,2)))</f>
        <v xml:space="preserve"> </v>
      </c>
      <c r="K294" s="23" t="str">
        <f>IF(I294="PM","",IF(H294=0," ",J294/'Règles et points'!$F$23))</f>
        <v xml:space="preserve"> </v>
      </c>
      <c r="L294" s="3" t="str">
        <f>IF(H294=0,"",VLOOKUP(H294,'Règles et points'!$C$5:$AG$19,(HLOOKUP('Course 5'!C294,'Règles et points'!$C$5:$AG$5,1)+1)))</f>
        <v/>
      </c>
      <c r="M294" s="23">
        <f t="shared" si="4"/>
        <v>0</v>
      </c>
      <c r="N294" s="80"/>
      <c r="O294" s="51"/>
      <c r="P294" s="52"/>
    </row>
    <row r="295" spans="2:16" ht="12.75">
      <c r="B295" s="14">
        <v>291</v>
      </c>
      <c r="C295" s="28" t="str">
        <f>IF(Coureurs!C295="","",Coureurs!C295)</f>
        <v/>
      </c>
      <c r="D295" s="131" t="str">
        <f>IF(Coureurs!D295="","",Coureurs!D295)</f>
        <v>70</v>
      </c>
      <c r="E295" s="87" t="str">
        <f>IF(Coureurs!F295="","",Coureurs!F295)</f>
        <v/>
      </c>
      <c r="F295" s="87" t="str">
        <f>IF(Coureurs!G295="","",Coureurs!G295)</f>
        <v/>
      </c>
      <c r="G295" s="50" t="str">
        <f>IF(Coureurs!J295="","",Coureurs!J295)</f>
        <v/>
      </c>
      <c r="H295" s="25"/>
      <c r="I295" s="41"/>
      <c r="J295" s="8" t="str">
        <f>IF(I295="PM","",IF(H295=0," ",I295-HLOOKUP('Course 5'!H295,'tab5'!$C$3:$N$4,2)))</f>
        <v xml:space="preserve"> </v>
      </c>
      <c r="K295" s="23" t="str">
        <f>IF(I295="PM","",IF(H295=0," ",J295/'Règles et points'!$F$23))</f>
        <v xml:space="preserve"> </v>
      </c>
      <c r="L295" s="3" t="str">
        <f>IF(H295=0,"",VLOOKUP(H295,'Règles et points'!$C$5:$AG$19,(HLOOKUP('Course 5'!C295,'Règles et points'!$C$5:$AG$5,1)+1)))</f>
        <v/>
      </c>
      <c r="M295" s="23">
        <f t="shared" si="4"/>
        <v>0</v>
      </c>
      <c r="N295" s="80"/>
      <c r="O295" s="51"/>
      <c r="P295" s="52"/>
    </row>
    <row r="296" spans="2:16" ht="12.75">
      <c r="B296" s="14">
        <v>292</v>
      </c>
      <c r="C296" s="28" t="str">
        <f>IF(Coureurs!C296="","",Coureurs!C296)</f>
        <v/>
      </c>
      <c r="D296" s="131" t="str">
        <f>IF(Coureurs!D296="","",Coureurs!D296)</f>
        <v>70</v>
      </c>
      <c r="E296" s="87" t="str">
        <f>IF(Coureurs!F296="","",Coureurs!F296)</f>
        <v/>
      </c>
      <c r="F296" s="87" t="str">
        <f>IF(Coureurs!G296="","",Coureurs!G296)</f>
        <v/>
      </c>
      <c r="G296" s="50" t="str">
        <f>IF(Coureurs!J296="","",Coureurs!J296)</f>
        <v/>
      </c>
      <c r="H296" s="25"/>
      <c r="I296" s="41"/>
      <c r="J296" s="8" t="str">
        <f>IF(I296="PM","",IF(H296=0," ",I296-HLOOKUP('Course 5'!H296,'tab5'!$C$3:$N$4,2)))</f>
        <v xml:space="preserve"> </v>
      </c>
      <c r="K296" s="23" t="str">
        <f>IF(I296="PM","",IF(H296=0," ",J296/'Règles et points'!$F$23))</f>
        <v xml:space="preserve"> </v>
      </c>
      <c r="L296" s="3" t="str">
        <f>IF(H296=0,"",VLOOKUP(H296,'Règles et points'!$C$5:$AG$19,(HLOOKUP('Course 5'!C296,'Règles et points'!$C$5:$AG$5,1)+1)))</f>
        <v/>
      </c>
      <c r="M296" s="23">
        <f t="shared" si="4"/>
        <v>0</v>
      </c>
      <c r="N296" s="80"/>
      <c r="O296" s="51"/>
      <c r="P296" s="52"/>
    </row>
    <row r="297" spans="2:16" ht="12.75">
      <c r="B297" s="14">
        <v>293</v>
      </c>
      <c r="C297" s="28" t="str">
        <f>IF(Coureurs!C297="","",Coureurs!C297)</f>
        <v/>
      </c>
      <c r="D297" s="131" t="str">
        <f>IF(Coureurs!D297="","",Coureurs!D297)</f>
        <v>70</v>
      </c>
      <c r="E297" s="87" t="str">
        <f>IF(Coureurs!F297="","",Coureurs!F297)</f>
        <v/>
      </c>
      <c r="F297" s="87" t="str">
        <f>IF(Coureurs!G297="","",Coureurs!G297)</f>
        <v/>
      </c>
      <c r="G297" s="50" t="str">
        <f>IF(Coureurs!J297="","",Coureurs!J297)</f>
        <v/>
      </c>
      <c r="H297" s="25"/>
      <c r="I297" s="41"/>
      <c r="J297" s="8" t="str">
        <f>IF(I297="PM","",IF(H297=0," ",I297-HLOOKUP('Course 5'!H297,'tab5'!$C$3:$N$4,2)))</f>
        <v xml:space="preserve"> </v>
      </c>
      <c r="K297" s="23" t="str">
        <f>IF(I297="PM","",IF(H297=0," ",J297/'Règles et points'!$F$23))</f>
        <v xml:space="preserve"> </v>
      </c>
      <c r="L297" s="3" t="str">
        <f>IF(H297=0,"",VLOOKUP(H297,'Règles et points'!$C$5:$AG$19,(HLOOKUP('Course 5'!C297,'Règles et points'!$C$5:$AG$5,1)+1)))</f>
        <v/>
      </c>
      <c r="M297" s="23">
        <f t="shared" si="4"/>
        <v>0</v>
      </c>
      <c r="N297" s="80"/>
      <c r="O297" s="51"/>
      <c r="P297" s="52"/>
    </row>
    <row r="298" spans="2:16" ht="12.75">
      <c r="B298" s="14">
        <v>294</v>
      </c>
      <c r="C298" s="28" t="str">
        <f>IF(Coureurs!C298="","",Coureurs!C298)</f>
        <v/>
      </c>
      <c r="D298" s="131" t="str">
        <f>IF(Coureurs!D298="","",Coureurs!D298)</f>
        <v>70</v>
      </c>
      <c r="E298" s="87" t="str">
        <f>IF(Coureurs!F298="","",Coureurs!F298)</f>
        <v/>
      </c>
      <c r="F298" s="87" t="str">
        <f>IF(Coureurs!G298="","",Coureurs!G298)</f>
        <v/>
      </c>
      <c r="G298" s="50" t="str">
        <f>IF(Coureurs!J298="","",Coureurs!J298)</f>
        <v/>
      </c>
      <c r="H298" s="25"/>
      <c r="I298" s="41"/>
      <c r="J298" s="8" t="str">
        <f>IF(I298="PM","",IF(H298=0," ",I298-HLOOKUP('Course 5'!H298,'tab5'!$C$3:$N$4,2)))</f>
        <v xml:space="preserve"> </v>
      </c>
      <c r="K298" s="23" t="str">
        <f>IF(I298="PM","",IF(H298=0," ",J298/'Règles et points'!$F$23))</f>
        <v xml:space="preserve"> </v>
      </c>
      <c r="L298" s="3" t="str">
        <f>IF(H298=0,"",VLOOKUP(H298,'Règles et points'!$C$5:$AG$19,(HLOOKUP('Course 5'!C298,'Règles et points'!$C$5:$AG$5,1)+1)))</f>
        <v/>
      </c>
      <c r="M298" s="23">
        <f t="shared" si="4"/>
        <v>0</v>
      </c>
      <c r="N298" s="80"/>
      <c r="O298" s="51"/>
      <c r="P298" s="52"/>
    </row>
    <row r="299" spans="2:16" ht="12.75">
      <c r="B299" s="14">
        <v>295</v>
      </c>
      <c r="C299" s="28" t="str">
        <f>IF(Coureurs!C299="","",Coureurs!C299)</f>
        <v/>
      </c>
      <c r="D299" s="131" t="str">
        <f>IF(Coureurs!D299="","",Coureurs!D299)</f>
        <v>70</v>
      </c>
      <c r="E299" s="87" t="str">
        <f>IF(Coureurs!F299="","",Coureurs!F299)</f>
        <v/>
      </c>
      <c r="F299" s="87" t="str">
        <f>IF(Coureurs!G299="","",Coureurs!G299)</f>
        <v/>
      </c>
      <c r="G299" s="50" t="str">
        <f>IF(Coureurs!J299="","",Coureurs!J299)</f>
        <v/>
      </c>
      <c r="H299" s="25"/>
      <c r="I299" s="41"/>
      <c r="J299" s="8" t="str">
        <f>IF(I299="PM","",IF(H299=0," ",I299-HLOOKUP('Course 5'!H299,'tab5'!$C$3:$N$4,2)))</f>
        <v xml:space="preserve"> </v>
      </c>
      <c r="K299" s="23" t="str">
        <f>IF(I299="PM","",IF(H299=0," ",J299/'Règles et points'!$F$23))</f>
        <v xml:space="preserve"> </v>
      </c>
      <c r="L299" s="3" t="str">
        <f>IF(H299=0,"",VLOOKUP(H299,'Règles et points'!$C$5:$AG$19,(HLOOKUP('Course 5'!C299,'Règles et points'!$C$5:$AG$5,1)+1)))</f>
        <v/>
      </c>
      <c r="M299" s="23">
        <f t="shared" si="4"/>
        <v>0</v>
      </c>
      <c r="N299" s="80"/>
      <c r="O299" s="51"/>
      <c r="P299" s="52"/>
    </row>
    <row r="300" spans="2:16" ht="12.75">
      <c r="B300" s="14">
        <v>296</v>
      </c>
      <c r="C300" s="28" t="str">
        <f>IF(Coureurs!C300="","",Coureurs!C300)</f>
        <v/>
      </c>
      <c r="D300" s="131" t="str">
        <f>IF(Coureurs!D300="","",Coureurs!D300)</f>
        <v>70</v>
      </c>
      <c r="E300" s="87" t="str">
        <f>IF(Coureurs!F300="","",Coureurs!F300)</f>
        <v/>
      </c>
      <c r="F300" s="87" t="str">
        <f>IF(Coureurs!G300="","",Coureurs!G300)</f>
        <v/>
      </c>
      <c r="G300" s="50" t="str">
        <f>IF(Coureurs!J300="","",Coureurs!J300)</f>
        <v/>
      </c>
      <c r="H300" s="25"/>
      <c r="I300" s="41"/>
      <c r="J300" s="8" t="str">
        <f>IF(I300="PM","",IF(H300=0," ",I300-HLOOKUP('Course 5'!H300,'tab5'!$C$3:$N$4,2)))</f>
        <v xml:space="preserve"> </v>
      </c>
      <c r="K300" s="23" t="str">
        <f>IF(I300="PM","",IF(H300=0," ",J300/'Règles et points'!$F$23))</f>
        <v xml:space="preserve"> </v>
      </c>
      <c r="L300" s="3" t="str">
        <f>IF(H300=0,"",VLOOKUP(H300,'Règles et points'!$C$5:$AG$19,(HLOOKUP('Course 5'!C300,'Règles et points'!$C$5:$AG$5,1)+1)))</f>
        <v/>
      </c>
      <c r="M300" s="23">
        <f t="shared" si="4"/>
        <v>0</v>
      </c>
      <c r="N300" s="80"/>
      <c r="O300" s="51"/>
      <c r="P300" s="52"/>
    </row>
    <row r="301" spans="2:16" ht="12.75">
      <c r="B301" s="14">
        <v>297</v>
      </c>
      <c r="C301" s="28" t="str">
        <f>IF(Coureurs!C301="","",Coureurs!C301)</f>
        <v/>
      </c>
      <c r="D301" s="131" t="str">
        <f>IF(Coureurs!D301="","",Coureurs!D301)</f>
        <v>70</v>
      </c>
      <c r="E301" s="87" t="str">
        <f>IF(Coureurs!F301="","",Coureurs!F301)</f>
        <v/>
      </c>
      <c r="F301" s="87" t="str">
        <f>IF(Coureurs!G301="","",Coureurs!G301)</f>
        <v/>
      </c>
      <c r="G301" s="50" t="str">
        <f>IF(Coureurs!J301="","",Coureurs!J301)</f>
        <v/>
      </c>
      <c r="H301" s="25"/>
      <c r="I301" s="41"/>
      <c r="J301" s="8" t="str">
        <f>IF(I301="PM","",IF(H301=0," ",I301-HLOOKUP('Course 5'!H301,'tab5'!$C$3:$N$4,2)))</f>
        <v xml:space="preserve"> </v>
      </c>
      <c r="K301" s="23" t="str">
        <f>IF(I301="PM","",IF(H301=0," ",J301/'Règles et points'!$F$23))</f>
        <v xml:space="preserve"> </v>
      </c>
      <c r="L301" s="3" t="str">
        <f>IF(H301=0,"",VLOOKUP(H301,'Règles et points'!$C$5:$AG$19,(HLOOKUP('Course 5'!C301,'Règles et points'!$C$5:$AG$5,1)+1)))</f>
        <v/>
      </c>
      <c r="M301" s="23">
        <f t="shared" si="4"/>
        <v>0</v>
      </c>
      <c r="N301" s="80"/>
      <c r="O301" s="51"/>
      <c r="P301" s="52"/>
    </row>
    <row r="302" spans="2:16" ht="12.75">
      <c r="B302" s="14">
        <v>298</v>
      </c>
      <c r="C302" s="28" t="str">
        <f>IF(Coureurs!C302="","",Coureurs!C302)</f>
        <v/>
      </c>
      <c r="D302" s="131" t="str">
        <f>IF(Coureurs!D302="","",Coureurs!D302)</f>
        <v>70</v>
      </c>
      <c r="E302" s="87" t="str">
        <f>IF(Coureurs!F302="","",Coureurs!F302)</f>
        <v/>
      </c>
      <c r="F302" s="87" t="str">
        <f>IF(Coureurs!G302="","",Coureurs!G302)</f>
        <v/>
      </c>
      <c r="G302" s="50" t="str">
        <f>IF(Coureurs!J302="","",Coureurs!J302)</f>
        <v/>
      </c>
      <c r="H302" s="25"/>
      <c r="I302" s="88"/>
      <c r="J302" s="8" t="str">
        <f>IF(I302="PM","",IF(H302=0," ",I302-HLOOKUP('Course 5'!H302,'tab5'!$C$3:$N$4,2)))</f>
        <v xml:space="preserve"> </v>
      </c>
      <c r="K302" s="23" t="str">
        <f>IF(I302="PM","",IF(H302=0," ",J302/'Règles et points'!$F$23))</f>
        <v xml:space="preserve"> </v>
      </c>
      <c r="L302" s="3" t="str">
        <f>IF(H302=0,"",VLOOKUP(H302,'Règles et points'!$C$5:$AG$19,(HLOOKUP('Course 5'!C302,'Règles et points'!$C$5:$AG$5,1)+1)))</f>
        <v/>
      </c>
      <c r="M302" s="23">
        <f t="shared" si="4"/>
        <v>0</v>
      </c>
      <c r="N302" s="80"/>
      <c r="O302" s="51"/>
      <c r="P302" s="52"/>
    </row>
    <row r="303" spans="2:16" ht="12.75">
      <c r="B303" s="14">
        <v>299</v>
      </c>
      <c r="C303" s="28" t="str">
        <f>IF(Coureurs!C303="","",Coureurs!C303)</f>
        <v/>
      </c>
      <c r="D303" s="131" t="str">
        <f>IF(Coureurs!D303="","",Coureurs!D303)</f>
        <v>70</v>
      </c>
      <c r="E303" s="87" t="str">
        <f>IF(Coureurs!F303="","",Coureurs!F303)</f>
        <v/>
      </c>
      <c r="F303" s="87" t="str">
        <f>IF(Coureurs!G303="","",Coureurs!G303)</f>
        <v/>
      </c>
      <c r="G303" s="50" t="str">
        <f>IF(Coureurs!J303="","",Coureurs!J303)</f>
        <v/>
      </c>
      <c r="H303" s="25"/>
      <c r="I303" s="88"/>
      <c r="J303" s="8" t="str">
        <f>IF(I303="PM","",IF(H303=0," ",I303-HLOOKUP('Course 5'!H303,'tab5'!$C$3:$N$4,2)))</f>
        <v xml:space="preserve"> </v>
      </c>
      <c r="K303" s="23" t="str">
        <f>IF(I303="PM","",IF(H303=0," ",J303/'Règles et points'!$F$23))</f>
        <v xml:space="preserve"> </v>
      </c>
      <c r="L303" s="3" t="str">
        <f>IF(H303=0,"",VLOOKUP(H303,'Règles et points'!$C$5:$AG$19,(HLOOKUP('Course 5'!C303,'Règles et points'!$C$5:$AG$5,1)+1)))</f>
        <v/>
      </c>
      <c r="M303" s="23">
        <f t="shared" ref="M303" si="5">IF(I303="PM",0,IF(H303=0,0,L303-K303))+N303</f>
        <v>0</v>
      </c>
      <c r="N303" s="80"/>
      <c r="O303" s="51"/>
      <c r="P303" s="52"/>
    </row>
    <row r="304" spans="2:16" ht="12.75">
      <c r="B304" s="14">
        <v>300</v>
      </c>
      <c r="C304" s="28" t="str">
        <f>IF(Coureurs!C304="","",Coureurs!C304)</f>
        <v/>
      </c>
      <c r="D304" s="131" t="str">
        <f>IF(Coureurs!D304="","",Coureurs!D304)</f>
        <v>70</v>
      </c>
      <c r="E304" s="87" t="str">
        <f>IF(Coureurs!F304="","",Coureurs!F304)</f>
        <v/>
      </c>
      <c r="F304" s="87" t="str">
        <f>IF(Coureurs!G304="","",Coureurs!G304)</f>
        <v/>
      </c>
      <c r="G304" s="50" t="str">
        <f>IF(Coureurs!J304="","",Coureurs!J304)</f>
        <v/>
      </c>
      <c r="H304" s="25"/>
      <c r="I304" s="88"/>
      <c r="J304" s="8" t="str">
        <f>IF(I304="PM","",IF(H304=0," ",I304-HLOOKUP('Course 5'!H304,'tab5'!$C$3:$N$4,2)))</f>
        <v xml:space="preserve"> </v>
      </c>
      <c r="K304" s="23" t="str">
        <f>IF(I304="PM","",IF(H304=0," ",J304/'Règles et points'!$F$23))</f>
        <v xml:space="preserve"> </v>
      </c>
      <c r="L304" s="3" t="str">
        <f>IF(H304=0,"",VLOOKUP(H304,'Règles et points'!$C$5:$AG$19,(HLOOKUP('Course 5'!C304,'Règles et points'!$C$5:$AG$5,1)+1)))</f>
        <v/>
      </c>
      <c r="M304" s="23">
        <f t="shared" ref="M304" si="6">IF(I304="PM",0,IF(H304=0,0,L304-K304))+N304</f>
        <v>0</v>
      </c>
      <c r="N304" s="80"/>
      <c r="O304" s="51"/>
      <c r="P304" s="52"/>
    </row>
  </sheetData>
  <sheetProtection password="CFA8" sheet="1" objects="1" scenarios="1" selectLockedCells="1"/>
  <mergeCells count="1">
    <mergeCell ref="D1:P1"/>
  </mergeCells>
  <phoneticPr fontId="0" type="noConversion"/>
  <pageMargins left="0.78740157499999996" right="0.78740157499999996" top="0.984251969" bottom="0.984251969" header="0.4921259845" footer="0.4921259845"/>
  <pageSetup paperSize="9" orientation="portrait" horizontalDpi="4294967293" verticalDpi="4294967293"/>
  <headerFooter alignWithMargins="0"/>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sheetPr codeName="Feuil13" enableFormatConditionsCalculation="0"/>
  <dimension ref="B1:P304"/>
  <sheetViews>
    <sheetView topLeftCell="E1" workbookViewId="0">
      <pane ySplit="3" topLeftCell="A42" activePane="bottomLeft" state="frozen"/>
      <selection activeCell="C1" sqref="C1"/>
      <selection pane="bottomLeft" activeCell="H21" sqref="H21"/>
    </sheetView>
  </sheetViews>
  <sheetFormatPr baseColWidth="10" defaultRowHeight="15.75"/>
  <cols>
    <col min="2" max="2" width="9" style="14" hidden="1" customWidth="1"/>
    <col min="3" max="3" width="12.28515625" style="33" hidden="1" customWidth="1"/>
    <col min="4" max="4" width="17.42578125" style="141" customWidth="1"/>
    <col min="5" max="5" width="15.140625" customWidth="1"/>
    <col min="6" max="6" width="11.85546875" customWidth="1"/>
    <col min="7" max="7" width="12.28515625" customWidth="1"/>
    <col min="8" max="8" width="41.28515625" customWidth="1"/>
    <col min="9" max="9" width="4.140625" customWidth="1"/>
  </cols>
  <sheetData>
    <row r="1" spans="2:16" ht="39.950000000000003" customHeight="1" thickBot="1">
      <c r="D1" s="189" t="s">
        <v>73</v>
      </c>
      <c r="E1" s="189"/>
      <c r="F1" s="189"/>
      <c r="G1" s="189"/>
      <c r="H1" s="189"/>
      <c r="I1" s="129"/>
      <c r="J1" s="129"/>
      <c r="K1" s="129"/>
      <c r="L1" s="129"/>
      <c r="M1" s="129"/>
      <c r="N1" s="129"/>
      <c r="O1" s="129"/>
      <c r="P1" s="129"/>
    </row>
    <row r="2" spans="2:16" ht="36.75" customHeight="1" thickBot="1">
      <c r="D2" s="133" t="s">
        <v>74</v>
      </c>
      <c r="E2" s="139" t="s">
        <v>14</v>
      </c>
      <c r="F2" s="134" t="s">
        <v>25</v>
      </c>
      <c r="G2" s="134" t="s">
        <v>73</v>
      </c>
      <c r="H2" s="140" t="s">
        <v>37</v>
      </c>
    </row>
    <row r="3" spans="2:16" ht="47.1" customHeight="1">
      <c r="C3" s="28" t="e">
        <f>IF(Coureurs!#REF!="","",Coureurs!#REF!)</f>
        <v>#REF!</v>
      </c>
      <c r="D3" s="142"/>
      <c r="E3" s="113"/>
      <c r="F3" s="97"/>
      <c r="G3" s="104"/>
      <c r="H3" s="114" t="s">
        <v>75</v>
      </c>
    </row>
    <row r="4" spans="2:16" ht="12.75" hidden="1">
      <c r="B4" s="14">
        <v>1</v>
      </c>
      <c r="C4" s="28" t="str">
        <f>IF(Coureurs!C4="","",Coureurs!C4)</f>
        <v/>
      </c>
      <c r="D4" s="143" t="str">
        <f>IF(Coureurs!D4="","",Coureurs!D4)</f>
        <v/>
      </c>
      <c r="E4" s="87" t="str">
        <f>IF(Coureurs!F4="","",Coureurs!F4)</f>
        <v/>
      </c>
      <c r="F4" s="87" t="str">
        <f>IF(Coureurs!G4="","",Coureurs!G4)</f>
        <v/>
      </c>
      <c r="G4" s="105">
        <f>'Course 1'!M4+'Course 2'!M4+'Course 3'!M4+'Course 4'!M4+'Course 5'!M4</f>
        <v>0</v>
      </c>
      <c r="H4" s="52"/>
    </row>
    <row r="5" spans="2:16" ht="12.75">
      <c r="B5" s="14">
        <v>1</v>
      </c>
      <c r="C5" s="28">
        <f>IF(Coureurs!C5="","",Coureurs!C5)</f>
        <v>24</v>
      </c>
      <c r="D5" s="143" t="str">
        <f>IF(Coureurs!D5="","",Coureurs!D5)</f>
        <v>H40</v>
      </c>
      <c r="E5" s="87" t="str">
        <f>IF(Coureurs!F5="","",Coureurs!F5)</f>
        <v>GARDEUR</v>
      </c>
      <c r="F5" s="87" t="str">
        <f>IF(Coureurs!G5="","",Coureurs!G5)</f>
        <v>Julien</v>
      </c>
      <c r="G5" s="105">
        <f>'Course 1'!M5+'Course 2'!M5+'Course 3'!M5+'Course 4'!M5+'Course 5'!M5</f>
        <v>0</v>
      </c>
      <c r="H5" s="52"/>
    </row>
    <row r="6" spans="2:16" ht="12.75">
      <c r="B6" s="14">
        <v>2</v>
      </c>
      <c r="C6" s="28">
        <f>IF(Coureurs!C6="","",Coureurs!C6)</f>
        <v>26</v>
      </c>
      <c r="D6" s="143" t="str">
        <f>IF(Coureurs!D6="","",Coureurs!D6)</f>
        <v>H50</v>
      </c>
      <c r="E6" s="87" t="str">
        <f>IF(Coureurs!F6="","",Coureurs!F6)</f>
        <v>TOUSSAINT</v>
      </c>
      <c r="F6" s="87" t="str">
        <f>IF(Coureurs!G6="","",Coureurs!G6)</f>
        <v>Stéphane</v>
      </c>
      <c r="G6" s="105">
        <f>'Course 1'!M6+'Course 2'!M6+'Course 3'!M6+'Course 4'!M6+'Course 5'!M6</f>
        <v>0</v>
      </c>
      <c r="H6" s="52"/>
    </row>
    <row r="7" spans="2:16" ht="12.75">
      <c r="B7" s="14">
        <v>3</v>
      </c>
      <c r="C7" s="28">
        <f>IF(Coureurs!C7="","",Coureurs!C7)</f>
        <v>25</v>
      </c>
      <c r="D7" s="143" t="str">
        <f>IF(Coureurs!D7="","",Coureurs!D7)</f>
        <v>H45</v>
      </c>
      <c r="E7" s="87" t="str">
        <f>IF(Coureurs!F7="","",Coureurs!F7)</f>
        <v>VANNIER</v>
      </c>
      <c r="F7" s="87" t="str">
        <f>IF(Coureurs!G7="","",Coureurs!G7)</f>
        <v>Fabrice</v>
      </c>
      <c r="G7" s="105">
        <f>'Course 1'!M7+'Course 2'!M7+'Course 3'!M7+'Course 4'!M7+'Course 5'!M7</f>
        <v>100</v>
      </c>
      <c r="H7" s="52"/>
    </row>
    <row r="8" spans="2:16" ht="12.75">
      <c r="B8" s="14">
        <v>4</v>
      </c>
      <c r="C8" s="28">
        <f>IF(Coureurs!C8="","",Coureurs!C8)</f>
        <v>30</v>
      </c>
      <c r="D8" s="143" t="str">
        <f>IF(Coureurs!D8="","",Coureurs!D8)</f>
        <v>H70</v>
      </c>
      <c r="E8" s="87" t="str">
        <f>IF(Coureurs!F8="","",Coureurs!F8)</f>
        <v>HAMON</v>
      </c>
      <c r="F8" s="87" t="str">
        <f>IF(Coureurs!G8="","",Coureurs!G8)</f>
        <v>Patrick</v>
      </c>
      <c r="G8" s="105">
        <f>'Course 1'!M8+'Course 2'!M8+'Course 3'!M8+'Course 4'!M8+'Course 5'!M8</f>
        <v>91.666666666666671</v>
      </c>
      <c r="H8" s="52"/>
    </row>
    <row r="9" spans="2:16" ht="12.75">
      <c r="B9" s="14">
        <v>5</v>
      </c>
      <c r="C9" s="28">
        <f>IF(Coureurs!C9="","",Coureurs!C9)</f>
        <v>27</v>
      </c>
      <c r="D9" s="143" t="str">
        <f>IF(Coureurs!D9="","",Coureurs!D9)</f>
        <v>H55</v>
      </c>
      <c r="E9" s="87" t="str">
        <f>IF(Coureurs!F9="","",Coureurs!F9)</f>
        <v>GILLARD</v>
      </c>
      <c r="F9" s="87" t="str">
        <f>IF(Coureurs!G9="","",Coureurs!G9)</f>
        <v>Hugues</v>
      </c>
      <c r="G9" s="105">
        <f>'Course 1'!M9+'Course 2'!M9+'Course 3'!M9+'Course 4'!M9+'Course 5'!M9</f>
        <v>0</v>
      </c>
      <c r="H9" s="52"/>
      <c r="K9" s="34"/>
    </row>
    <row r="10" spans="2:16" ht="12.75">
      <c r="B10" s="14">
        <v>6</v>
      </c>
      <c r="C10" s="28">
        <f>IF(Coureurs!C10="","",Coureurs!C10)</f>
        <v>11</v>
      </c>
      <c r="D10" s="143" t="str">
        <f>IF(Coureurs!D10="","",Coureurs!D10)</f>
        <v>D50</v>
      </c>
      <c r="E10" s="87" t="str">
        <f>IF(Coureurs!F10="","",Coureurs!F10)</f>
        <v>OLIVIER</v>
      </c>
      <c r="F10" s="87" t="str">
        <f>IF(Coureurs!G10="","",Coureurs!G10)</f>
        <v>Sandra</v>
      </c>
      <c r="G10" s="105">
        <f>'Course 1'!M10+'Course 2'!M10+'Course 3'!M10+'Course 4'!M10+'Course 5'!M10</f>
        <v>0</v>
      </c>
      <c r="H10" s="52"/>
      <c r="K10" s="34"/>
    </row>
    <row r="11" spans="2:16" ht="12.75">
      <c r="B11" s="14">
        <v>7</v>
      </c>
      <c r="C11" s="28">
        <f>IF(Coureurs!C11="","",Coureurs!C11)</f>
        <v>13</v>
      </c>
      <c r="D11" s="143" t="str">
        <f>IF(Coureurs!D11="","",Coureurs!D11)</f>
        <v>D60</v>
      </c>
      <c r="E11" s="87" t="str">
        <f>IF(Coureurs!F11="","",Coureurs!F11)</f>
        <v>MOLINIER</v>
      </c>
      <c r="F11" s="87" t="str">
        <f>IF(Coureurs!G11="","",Coureurs!G11)</f>
        <v>Frederique</v>
      </c>
      <c r="G11" s="105">
        <f>'Course 1'!M11+'Course 2'!M11+'Course 3'!M11+'Course 4'!M11+'Course 5'!M11</f>
        <v>30</v>
      </c>
      <c r="H11" s="52"/>
    </row>
    <row r="12" spans="2:16" ht="12.75">
      <c r="B12" s="14">
        <v>8</v>
      </c>
      <c r="C12" s="28">
        <f>IF(Coureurs!C12="","",Coureurs!C12)</f>
        <v>7</v>
      </c>
      <c r="D12" s="143" t="str">
        <f>IF(Coureurs!D12="","",Coureurs!D12)</f>
        <v>D21</v>
      </c>
      <c r="E12" s="87" t="str">
        <f>IF(Coureurs!F12="","",Coureurs!F12)</f>
        <v>MOLINIER</v>
      </c>
      <c r="F12" s="87" t="str">
        <f>IF(Coureurs!G12="","",Coureurs!G12)</f>
        <v>Caroline</v>
      </c>
      <c r="G12" s="105">
        <f>'Course 1'!M12+'Course 2'!M12+'Course 3'!M12+'Course 4'!M12+'Course 5'!M12</f>
        <v>47.933333333333302</v>
      </c>
      <c r="H12" s="52"/>
    </row>
    <row r="13" spans="2:16" ht="12.75">
      <c r="B13" s="14">
        <v>9</v>
      </c>
      <c r="C13" s="28">
        <f>IF(Coureurs!C13="","",Coureurs!C13)</f>
        <v>28</v>
      </c>
      <c r="D13" s="143" t="str">
        <f>IF(Coureurs!D13="","",Coureurs!D13)</f>
        <v>H60</v>
      </c>
      <c r="E13" s="87" t="str">
        <f>IF(Coureurs!F13="","",Coureurs!F13)</f>
        <v>RORA</v>
      </c>
      <c r="F13" s="87" t="str">
        <f>IF(Coureurs!G13="","",Coureurs!G13)</f>
        <v>Jose</v>
      </c>
      <c r="G13" s="105">
        <f>'Course 1'!M13+'Course 2'!M13+'Course 3'!M13+'Course 4'!M13+'Course 5'!M13</f>
        <v>100</v>
      </c>
      <c r="H13" s="52"/>
    </row>
    <row r="14" spans="2:16" ht="12.75">
      <c r="B14" s="14">
        <v>10</v>
      </c>
      <c r="C14" s="28">
        <f>IF(Coureurs!C14="","",Coureurs!C14)</f>
        <v>12</v>
      </c>
      <c r="D14" s="143" t="str">
        <f>IF(Coureurs!D14="","",Coureurs!D14)</f>
        <v>D55</v>
      </c>
      <c r="E14" s="87" t="str">
        <f>IF(Coureurs!F14="","",Coureurs!F14)</f>
        <v>RORA</v>
      </c>
      <c r="F14" s="87" t="str">
        <f>IF(Coureurs!G14="","",Coureurs!G14)</f>
        <v>Isabelle</v>
      </c>
      <c r="G14" s="105">
        <f>'Course 1'!M14+'Course 2'!M14+'Course 3'!M14+'Course 4'!M14+'Course 5'!M14</f>
        <v>30</v>
      </c>
      <c r="H14" s="52"/>
    </row>
    <row r="15" spans="2:16" ht="12.75">
      <c r="B15" s="14">
        <v>11</v>
      </c>
      <c r="C15" s="28">
        <f>IF(Coureurs!C15="","",Coureurs!C15)</f>
        <v>29</v>
      </c>
      <c r="D15" s="143" t="str">
        <f>IF(Coureurs!D15="","",Coureurs!D15)</f>
        <v>H65</v>
      </c>
      <c r="E15" s="87" t="str">
        <f>IF(Coureurs!F15="","",Coureurs!F15)</f>
        <v>PERSE</v>
      </c>
      <c r="F15" s="87" t="str">
        <f>IF(Coureurs!G15="","",Coureurs!G15)</f>
        <v>Philippe</v>
      </c>
      <c r="G15" s="105">
        <f>'Course 1'!M15+'Course 2'!M15+'Course 3'!M15+'Course 4'!M15+'Course 5'!M15</f>
        <v>0</v>
      </c>
      <c r="H15" s="52"/>
    </row>
    <row r="16" spans="2:16" ht="12.75">
      <c r="B16" s="14">
        <v>12</v>
      </c>
      <c r="C16" s="28">
        <f>IF(Coureurs!C16="","",Coureurs!C16)</f>
        <v>30</v>
      </c>
      <c r="D16" s="143" t="str">
        <f>IF(Coureurs!D16="","",Coureurs!D16)</f>
        <v>H70</v>
      </c>
      <c r="E16" s="87" t="str">
        <f>IF(Coureurs!F16="","",Coureurs!F16)</f>
        <v>DENIAU</v>
      </c>
      <c r="F16" s="87" t="str">
        <f>IF(Coureurs!G16="","",Coureurs!G16)</f>
        <v>Alain</v>
      </c>
      <c r="G16" s="105">
        <f>'Course 1'!M16+'Course 2'!M16+'Course 3'!M16+'Course 4'!M16+'Course 5'!M16</f>
        <v>0</v>
      </c>
      <c r="H16" s="52"/>
    </row>
    <row r="17" spans="2:8" ht="12.75">
      <c r="B17" s="14">
        <v>13</v>
      </c>
      <c r="C17" s="28">
        <f>IF(Coureurs!C17="","",Coureurs!C17)</f>
        <v>10</v>
      </c>
      <c r="D17" s="143" t="str">
        <f>IF(Coureurs!D17="","",Coureurs!D17)</f>
        <v>D45</v>
      </c>
      <c r="E17" s="87" t="str">
        <f>IF(Coureurs!F17="","",Coureurs!F17)</f>
        <v>LAGRANGE</v>
      </c>
      <c r="F17" s="87" t="str">
        <f>IF(Coureurs!G17="","",Coureurs!G17)</f>
        <v>Florence</v>
      </c>
      <c r="G17" s="105">
        <f>'Course 1'!M17+'Course 2'!M17+'Course 3'!M17+'Course 4'!M17+'Course 5'!M17</f>
        <v>55.54999999999999</v>
      </c>
      <c r="H17" s="52"/>
    </row>
    <row r="18" spans="2:8" ht="12.75">
      <c r="B18" s="14">
        <v>14</v>
      </c>
      <c r="C18" s="28">
        <f>IF(Coureurs!C18="","",Coureurs!C18)</f>
        <v>27</v>
      </c>
      <c r="D18" s="143" t="str">
        <f>IF(Coureurs!D18="","",Coureurs!D18)</f>
        <v>H55</v>
      </c>
      <c r="E18" s="87" t="str">
        <f>IF(Coureurs!F18="","",Coureurs!F18)</f>
        <v>FINAUD-GUYOT</v>
      </c>
      <c r="F18" s="87" t="str">
        <f>IF(Coureurs!G18="","",Coureurs!G18)</f>
        <v>Lionel</v>
      </c>
      <c r="G18" s="105">
        <f>'Course 1'!M18+'Course 2'!M18+'Course 3'!M18+'Course 4'!M18+'Course 5'!M18</f>
        <v>0</v>
      </c>
      <c r="H18" s="52"/>
    </row>
    <row r="19" spans="2:8" ht="12.75">
      <c r="B19" s="14">
        <v>15</v>
      </c>
      <c r="C19" s="28">
        <f>IF(Coureurs!C19="","",Coureurs!C19)</f>
        <v>28</v>
      </c>
      <c r="D19" s="143" t="str">
        <f>IF(Coureurs!D19="","",Coureurs!D19)</f>
        <v>H60</v>
      </c>
      <c r="E19" s="87" t="str">
        <f>IF(Coureurs!F19="","",Coureurs!F19)</f>
        <v>ADOLPHE</v>
      </c>
      <c r="F19" s="87" t="str">
        <f>IF(Coureurs!G19="","",Coureurs!G19)</f>
        <v>Philippe</v>
      </c>
      <c r="G19" s="105">
        <f>'Course 1'!M19+'Course 2'!M19+'Course 3'!M19+'Course 4'!M19+'Course 5'!M19</f>
        <v>49.733333333333327</v>
      </c>
      <c r="H19" s="52"/>
    </row>
    <row r="20" spans="2:8" ht="12.75">
      <c r="B20" s="14">
        <v>16</v>
      </c>
      <c r="C20" s="28">
        <f>IF(Coureurs!C20="","",Coureurs!C20)</f>
        <v>28</v>
      </c>
      <c r="D20" s="143" t="str">
        <f>IF(Coureurs!D20="","",Coureurs!D20)</f>
        <v>H60</v>
      </c>
      <c r="E20" s="87" t="str">
        <f>IF(Coureurs!F20="","",Coureurs!F20)</f>
        <v>LECONTE</v>
      </c>
      <c r="F20" s="87" t="str">
        <f>IF(Coureurs!G20="","",Coureurs!G20)</f>
        <v>Gilbert</v>
      </c>
      <c r="G20" s="105">
        <f>'Course 1'!M20+'Course 2'!M20+'Course 3'!M20+'Course 4'!M20+'Course 5'!M20</f>
        <v>0</v>
      </c>
      <c r="H20" s="52"/>
    </row>
    <row r="21" spans="2:8" ht="12.75">
      <c r="B21" s="14">
        <v>17</v>
      </c>
      <c r="C21" s="28">
        <f>IF(Coureurs!C21="","",Coureurs!C21)</f>
        <v>13</v>
      </c>
      <c r="D21" s="143" t="str">
        <f>IF(Coureurs!D21="","",Coureurs!D21)</f>
        <v>D60</v>
      </c>
      <c r="E21" s="87" t="str">
        <f>IF(Coureurs!F21="","",Coureurs!F21)</f>
        <v>LECONTE</v>
      </c>
      <c r="F21" s="87" t="str">
        <f>IF(Coureurs!G21="","",Coureurs!G21)</f>
        <v>Sylvie</v>
      </c>
      <c r="G21" s="105">
        <f>'Course 1'!M21+'Course 2'!M21+'Course 3'!M21+'Course 4'!M21+'Course 5'!M21</f>
        <v>0</v>
      </c>
      <c r="H21" s="52"/>
    </row>
    <row r="22" spans="2:8" ht="12.75">
      <c r="B22" s="14">
        <v>18</v>
      </c>
      <c r="C22" s="28">
        <f>IF(Coureurs!C22="","",Coureurs!C22)</f>
        <v>8</v>
      </c>
      <c r="D22" s="143" t="str">
        <f>IF(Coureurs!D22="","",Coureurs!D22)</f>
        <v>D35</v>
      </c>
      <c r="E22" s="87" t="str">
        <f>IF(Coureurs!F22="","",Coureurs!F22)</f>
        <v>MEY</v>
      </c>
      <c r="F22" s="87" t="str">
        <f>IF(Coureurs!G22="","",Coureurs!G22)</f>
        <v>Milena</v>
      </c>
      <c r="G22" s="105">
        <f>'Course 1'!M22+'Course 2'!M22+'Course 3'!M22+'Course 4'!M22+'Course 5'!M22</f>
        <v>0</v>
      </c>
      <c r="H22" s="52"/>
    </row>
    <row r="23" spans="2:8" ht="12.75">
      <c r="B23" s="14">
        <v>19</v>
      </c>
      <c r="C23" s="28">
        <f>IF(Coureurs!C23="","",Coureurs!C23)</f>
        <v>22</v>
      </c>
      <c r="D23" s="143" t="str">
        <f>IF(Coureurs!D23="","",Coureurs!D23)</f>
        <v>H21</v>
      </c>
      <c r="E23" s="87" t="str">
        <f>IF(Coureurs!F23="","",Coureurs!F23)</f>
        <v>TOUSSAINT</v>
      </c>
      <c r="F23" s="87" t="str">
        <f>IF(Coureurs!G23="","",Coureurs!G23)</f>
        <v>Tom</v>
      </c>
      <c r="G23" s="105">
        <f>'Course 1'!M23+'Course 2'!M23+'Course 3'!M23+'Course 4'!M23+'Course 5'!M23</f>
        <v>0</v>
      </c>
      <c r="H23" s="52"/>
    </row>
    <row r="24" spans="2:8" ht="12.75">
      <c r="B24" s="14">
        <v>20</v>
      </c>
      <c r="C24" s="28">
        <f>IF(Coureurs!C24="","",Coureurs!C24)</f>
        <v>6</v>
      </c>
      <c r="D24" s="143" t="str">
        <f>IF(Coureurs!D24="","",Coureurs!D24)</f>
        <v>D20</v>
      </c>
      <c r="E24" s="87" t="str">
        <f>IF(Coureurs!F24="","",Coureurs!F24)</f>
        <v>TOUSSAINT</v>
      </c>
      <c r="F24" s="87" t="str">
        <f>IF(Coureurs!G24="","",Coureurs!G24)</f>
        <v>Perrine</v>
      </c>
      <c r="G24" s="105">
        <f>'Course 1'!M24+'Course 2'!M24+'Course 3'!M24+'Course 4'!M24+'Course 5'!M24</f>
        <v>0</v>
      </c>
      <c r="H24" s="52"/>
    </row>
    <row r="25" spans="2:8" ht="12.75">
      <c r="B25" s="14">
        <v>21</v>
      </c>
      <c r="C25" s="28">
        <f>IF(Coureurs!C25="","",Coureurs!C25)</f>
        <v>20</v>
      </c>
      <c r="D25" s="143" t="str">
        <f>IF(Coureurs!D25="","",Coureurs!D25)</f>
        <v>H18</v>
      </c>
      <c r="E25" s="87" t="str">
        <f>IF(Coureurs!F25="","",Coureurs!F25)</f>
        <v>GILLARD</v>
      </c>
      <c r="F25" s="87" t="str">
        <f>IF(Coureurs!G25="","",Coureurs!G25)</f>
        <v>Lucas</v>
      </c>
      <c r="G25" s="105">
        <f>'Course 1'!M25+'Course 2'!M25+'Course 3'!M25+'Course 4'!M25+'Course 5'!M25</f>
        <v>91.45</v>
      </c>
      <c r="H25" s="52"/>
    </row>
    <row r="26" spans="2:8" ht="12.75">
      <c r="B26" s="14">
        <v>22</v>
      </c>
      <c r="C26" s="28">
        <f>IF(Coureurs!C26="","",Coureurs!C26)</f>
        <v>11</v>
      </c>
      <c r="D26" s="143" t="str">
        <f>IF(Coureurs!D26="","",Coureurs!D26)</f>
        <v>D50</v>
      </c>
      <c r="E26" s="87" t="str">
        <f>IF(Coureurs!F26="","",Coureurs!F26)</f>
        <v>LEBLOIS</v>
      </c>
      <c r="F26" s="87" t="str">
        <f>IF(Coureurs!G26="","",Coureurs!G26)</f>
        <v>Delphine</v>
      </c>
      <c r="G26" s="105">
        <f>'Course 1'!M26+'Course 2'!M26+'Course 3'!M26+'Course 4'!M26+'Course 5'!M26</f>
        <v>30.996666666666648</v>
      </c>
      <c r="H26" s="52"/>
    </row>
    <row r="27" spans="2:8" ht="12.75">
      <c r="B27" s="14">
        <v>23</v>
      </c>
      <c r="C27" s="28">
        <f>IF(Coureurs!C27="","",Coureurs!C27)</f>
        <v>22</v>
      </c>
      <c r="D27" s="143" t="str">
        <f>IF(Coureurs!D27="","",Coureurs!D27)</f>
        <v>H21</v>
      </c>
      <c r="E27" s="87" t="str">
        <f>IF(Coureurs!F27="","",Coureurs!F27)</f>
        <v>FONTAINE</v>
      </c>
      <c r="F27" s="87" t="str">
        <f>IF(Coureurs!G27="","",Coureurs!G27)</f>
        <v>Valentin</v>
      </c>
      <c r="G27" s="105">
        <f>'Course 1'!M27+'Course 2'!M27+'Course 3'!M27+'Course 4'!M27+'Course 5'!M27</f>
        <v>46.483333333333327</v>
      </c>
      <c r="H27" s="52"/>
    </row>
    <row r="28" spans="2:8" ht="12.75">
      <c r="B28" s="14">
        <v>24</v>
      </c>
      <c r="C28" s="28">
        <f>IF(Coureurs!C28="","",Coureurs!C28)</f>
        <v>12</v>
      </c>
      <c r="D28" s="143" t="str">
        <f>IF(Coureurs!D28="","",Coureurs!D28)</f>
        <v>D55</v>
      </c>
      <c r="E28" s="87" t="str">
        <f>IF(Coureurs!F28="","",Coureurs!F28)</f>
        <v>FOUCHER</v>
      </c>
      <c r="F28" s="87" t="str">
        <f>IF(Coureurs!G28="","",Coureurs!G28)</f>
        <v>Marie</v>
      </c>
      <c r="G28" s="105">
        <f>'Course 1'!M28+'Course 2'!M28+'Course 3'!M28+'Course 4'!M28+'Course 5'!M28</f>
        <v>59.766666666666666</v>
      </c>
      <c r="H28" s="52"/>
    </row>
    <row r="29" spans="2:8" ht="12.75">
      <c r="B29" s="14">
        <v>25</v>
      </c>
      <c r="C29" s="28">
        <f>IF(Coureurs!C29="","",Coureurs!C29)</f>
        <v>24</v>
      </c>
      <c r="D29" s="143" t="str">
        <f>IF(Coureurs!D29="","",Coureurs!D29)</f>
        <v>H40</v>
      </c>
      <c r="E29" s="87" t="str">
        <f>IF(Coureurs!F29="","",Coureurs!F29)</f>
        <v>GUERIN</v>
      </c>
      <c r="F29" s="87" t="str">
        <f>IF(Coureurs!G29="","",Coureurs!G29)</f>
        <v>Fabien</v>
      </c>
      <c r="G29" s="105">
        <f>'Course 1'!M29+'Course 2'!M29+'Course 3'!M29+'Course 4'!M29+'Course 5'!M29</f>
        <v>0</v>
      </c>
      <c r="H29" s="52"/>
    </row>
    <row r="30" spans="2:8" ht="12.75">
      <c r="B30" s="14">
        <v>26</v>
      </c>
      <c r="C30" s="28">
        <f>IF(Coureurs!C30="","",Coureurs!C30)</f>
        <v>24</v>
      </c>
      <c r="D30" s="143" t="str">
        <f>IF(Coureurs!D30="","",Coureurs!D30)</f>
        <v>H40</v>
      </c>
      <c r="E30" s="87" t="str">
        <f>IF(Coureurs!F30="","",Coureurs!F30)</f>
        <v>BIARD</v>
      </c>
      <c r="F30" s="87" t="str">
        <f>IF(Coureurs!G30="","",Coureurs!G30)</f>
        <v>Michael</v>
      </c>
      <c r="G30" s="105">
        <f>'Course 1'!M30+'Course 2'!M30+'Course 3'!M30+'Course 4'!M30+'Course 5'!M30</f>
        <v>76.016666666666652</v>
      </c>
      <c r="H30" s="52"/>
    </row>
    <row r="31" spans="2:8" ht="12.75">
      <c r="B31" s="14">
        <v>27</v>
      </c>
      <c r="C31" s="28">
        <f>IF(Coureurs!C31="","",Coureurs!C31)</f>
        <v>18</v>
      </c>
      <c r="D31" s="143" t="str">
        <f>IF(Coureurs!D31="","",Coureurs!D31)</f>
        <v>H14</v>
      </c>
      <c r="E31" s="87" t="str">
        <f>IF(Coureurs!F31="","",Coureurs!F31)</f>
        <v>GUERINI</v>
      </c>
      <c r="F31" s="87" t="str">
        <f>IF(Coureurs!G31="","",Coureurs!G31)</f>
        <v>Robin</v>
      </c>
      <c r="G31" s="105">
        <f>'Course 1'!M31+'Course 2'!M31+'Course 3'!M31+'Course 4'!M31+'Course 5'!M31</f>
        <v>86.933333333333337</v>
      </c>
      <c r="H31" s="52"/>
    </row>
    <row r="32" spans="2:8" ht="12.75">
      <c r="B32" s="14">
        <v>28</v>
      </c>
      <c r="C32" s="28">
        <f>IF(Coureurs!C32="","",Coureurs!C32)</f>
        <v>4</v>
      </c>
      <c r="D32" s="143" t="str">
        <f>IF(Coureurs!D32="","",Coureurs!D32)</f>
        <v>D16</v>
      </c>
      <c r="E32" s="87" t="str">
        <f>IF(Coureurs!F32="","",Coureurs!F32)</f>
        <v>GUERINI</v>
      </c>
      <c r="F32" s="87" t="str">
        <f>IF(Coureurs!G32="","",Coureurs!G32)</f>
        <v>Alice</v>
      </c>
      <c r="G32" s="105">
        <f>'Course 1'!M32+'Course 2'!M32+'Course 3'!M32+'Course 4'!M32+'Course 5'!M32</f>
        <v>65.349999999999994</v>
      </c>
      <c r="H32" s="52"/>
    </row>
    <row r="33" spans="2:10" ht="12.75">
      <c r="B33" s="14">
        <v>29</v>
      </c>
      <c r="C33" s="28">
        <f>IF(Coureurs!C33="","",Coureurs!C33)</f>
        <v>9</v>
      </c>
      <c r="D33" s="143" t="str">
        <f>IF(Coureurs!D33="","",Coureurs!D33)</f>
        <v>D40</v>
      </c>
      <c r="E33" s="87" t="str">
        <f>IF(Coureurs!F33="","",Coureurs!F33)</f>
        <v>RINTJEMA</v>
      </c>
      <c r="F33" s="87" t="str">
        <f>IF(Coureurs!G33="","",Coureurs!G33)</f>
        <v>Carole</v>
      </c>
      <c r="G33" s="105">
        <f>'Course 1'!M33+'Course 2'!M33+'Course 3'!M33+'Course 4'!M33+'Course 5'!M33</f>
        <v>59.083333333333329</v>
      </c>
      <c r="H33" s="52"/>
    </row>
    <row r="34" spans="2:10" ht="12.75">
      <c r="B34" s="14">
        <v>30</v>
      </c>
      <c r="C34" s="28">
        <f>IF(Coureurs!C34="","",Coureurs!C34)</f>
        <v>19</v>
      </c>
      <c r="D34" s="143" t="str">
        <f>IF(Coureurs!D34="","",Coureurs!D34)</f>
        <v>H16</v>
      </c>
      <c r="E34" s="87" t="str">
        <f>IF(Coureurs!F34="","",Coureurs!F34)</f>
        <v>GARDETTE-POIRIER</v>
      </c>
      <c r="F34" s="87" t="str">
        <f>IF(Coureurs!G34="","",Coureurs!G34)</f>
        <v>Théodore</v>
      </c>
      <c r="G34" s="105">
        <f>'Course 1'!M34+'Course 2'!M34+'Course 3'!M34+'Course 4'!M34+'Course 5'!M34</f>
        <v>30</v>
      </c>
      <c r="H34" s="52"/>
    </row>
    <row r="35" spans="2:10" ht="12.75">
      <c r="B35" s="14">
        <v>31</v>
      </c>
      <c r="C35" s="28">
        <f>IF(Coureurs!C35="","",Coureurs!C35)</f>
        <v>27</v>
      </c>
      <c r="D35" s="143" t="str">
        <f>IF(Coureurs!D35="","",Coureurs!D35)</f>
        <v>H55</v>
      </c>
      <c r="E35" s="87" t="str">
        <f>IF(Coureurs!F35="","",Coureurs!F35)</f>
        <v>ALBERT</v>
      </c>
      <c r="F35" s="87" t="str">
        <f>IF(Coureurs!G35="","",Coureurs!G35)</f>
        <v>Arnault</v>
      </c>
      <c r="G35" s="105">
        <f>'Course 1'!M35+'Course 2'!M35+'Course 3'!M35+'Course 4'!M35+'Course 5'!M35</f>
        <v>69.166666666666657</v>
      </c>
      <c r="H35" s="52"/>
    </row>
    <row r="36" spans="2:10" ht="12.75">
      <c r="B36" s="14">
        <v>32</v>
      </c>
      <c r="C36" s="28">
        <f>IF(Coureurs!C36="","",Coureurs!C36)</f>
        <v>7</v>
      </c>
      <c r="D36" s="143" t="str">
        <f>IF(Coureurs!D36="","",Coureurs!D36)</f>
        <v>D21</v>
      </c>
      <c r="E36" s="87" t="str">
        <f>IF(Coureurs!F36="","",Coureurs!F36)</f>
        <v>AUDEFROY</v>
      </c>
      <c r="F36" s="87" t="str">
        <f>IF(Coureurs!G36="","",Coureurs!G36)</f>
        <v>Elsa</v>
      </c>
      <c r="G36" s="105">
        <f>'Course 1'!M36+'Course 2'!M36+'Course 3'!M36+'Course 4'!M36+'Course 5'!M36</f>
        <v>0</v>
      </c>
      <c r="H36" s="52"/>
    </row>
    <row r="37" spans="2:10" ht="12.75">
      <c r="B37" s="14">
        <v>33</v>
      </c>
      <c r="C37" s="28">
        <f>IF(Coureurs!C37="","",Coureurs!C37)</f>
        <v>25</v>
      </c>
      <c r="D37" s="143" t="str">
        <f>IF(Coureurs!D37="","",Coureurs!D37)</f>
        <v>H45</v>
      </c>
      <c r="E37" s="87" t="str">
        <f>IF(Coureurs!F37="","",Coureurs!F37)</f>
        <v>COIFFIER</v>
      </c>
      <c r="F37" s="87" t="str">
        <f>IF(Coureurs!G37="","",Coureurs!G37)</f>
        <v>Laurent</v>
      </c>
      <c r="G37" s="105">
        <f>'Course 1'!M37+'Course 2'!M37+'Course 3'!M37+'Course 4'!M37+'Course 5'!M37</f>
        <v>37.366666666666646</v>
      </c>
      <c r="H37" s="52"/>
    </row>
    <row r="38" spans="2:10" ht="12.75">
      <c r="B38" s="14">
        <v>34</v>
      </c>
      <c r="C38" s="28">
        <f>IF(Coureurs!C38="","",Coureurs!C38)</f>
        <v>18</v>
      </c>
      <c r="D38" s="143" t="str">
        <f>IF(Coureurs!D38="","",Coureurs!D38)</f>
        <v>H14</v>
      </c>
      <c r="E38" s="87" t="str">
        <f>IF(Coureurs!F38="","",Coureurs!F38)</f>
        <v>ANDRIEU-PHELEP</v>
      </c>
      <c r="F38" s="87" t="str">
        <f>IF(Coureurs!G38="","",Coureurs!G38)</f>
        <v>Titouan</v>
      </c>
      <c r="G38" s="105">
        <f>'Course 1'!M38+'Course 2'!M38+'Course 3'!M38+'Course 4'!M38+'Course 5'!M38</f>
        <v>67.366666666666674</v>
      </c>
      <c r="H38" s="52"/>
    </row>
    <row r="39" spans="2:10" ht="12.75">
      <c r="B39" s="14">
        <v>35</v>
      </c>
      <c r="C39" s="28">
        <f>IF(Coureurs!C39="","",Coureurs!C39)</f>
        <v>19</v>
      </c>
      <c r="D39" s="143" t="str">
        <f>IF(Coureurs!D39="","",Coureurs!D39)</f>
        <v>H16</v>
      </c>
      <c r="E39" s="87" t="str">
        <f>IF(Coureurs!F39="","",Coureurs!F39)</f>
        <v>TONDU</v>
      </c>
      <c r="F39" s="87" t="str">
        <f>IF(Coureurs!G39="","",Coureurs!G39)</f>
        <v>maxime</v>
      </c>
      <c r="G39" s="105">
        <f>'Course 1'!M39+'Course 2'!M39+'Course 3'!M39+'Course 4'!M39+'Course 5'!M39</f>
        <v>87.483333333333334</v>
      </c>
      <c r="H39" s="52"/>
    </row>
    <row r="40" spans="2:10" ht="12.75">
      <c r="B40" s="14">
        <v>36</v>
      </c>
      <c r="C40" s="28">
        <f>IF(Coureurs!C40="","",Coureurs!C40)</f>
        <v>19</v>
      </c>
      <c r="D40" s="143" t="str">
        <f>IF(Coureurs!D40="","",Coureurs!D40)</f>
        <v>H16</v>
      </c>
      <c r="E40" s="87" t="str">
        <f>IF(Coureurs!F40="","",Coureurs!F40)</f>
        <v>SNELLMAN</v>
      </c>
      <c r="F40" s="87" t="str">
        <f>IF(Coureurs!G40="","",Coureurs!G40)</f>
        <v>Max</v>
      </c>
      <c r="G40" s="105">
        <f>'Course 1'!M40+'Course 2'!M40+'Course 3'!M40+'Course 4'!M40+'Course 5'!M40</f>
        <v>98.61666666666666</v>
      </c>
      <c r="H40" s="52"/>
    </row>
    <row r="41" spans="2:10" ht="12.75">
      <c r="B41" s="14">
        <v>37</v>
      </c>
      <c r="C41" s="28">
        <f>IF(Coureurs!C41="","",Coureurs!C41)</f>
        <v>17</v>
      </c>
      <c r="D41" s="143" t="str">
        <f>IF(Coureurs!D41="","",Coureurs!D41)</f>
        <v>H12</v>
      </c>
      <c r="E41" s="87" t="str">
        <f>IF(Coureurs!F41="","",Coureurs!F41)</f>
        <v>GARDETTE -POIRIER</v>
      </c>
      <c r="F41" s="87" t="str">
        <f>IF(Coureurs!G41="","",Coureurs!G41)</f>
        <v>Arthur</v>
      </c>
      <c r="G41" s="105">
        <f>'Course 1'!M41+'Course 2'!M41+'Course 3'!M41+'Course 4'!M41+'Course 5'!M41</f>
        <v>30</v>
      </c>
      <c r="H41" s="52"/>
    </row>
    <row r="42" spans="2:10" ht="12.75">
      <c r="B42" s="14">
        <v>38</v>
      </c>
      <c r="C42" s="28">
        <f>IF(Coureurs!C42="","",Coureurs!C42)</f>
        <v>3</v>
      </c>
      <c r="D42" s="143" t="str">
        <f>IF(Coureurs!D42="","",Coureurs!D42)</f>
        <v>D14</v>
      </c>
      <c r="E42" s="87" t="str">
        <f>IF(Coureurs!F42="","",Coureurs!F42)</f>
        <v>BIARD</v>
      </c>
      <c r="F42" s="87" t="str">
        <f>IF(Coureurs!G42="","",Coureurs!G42)</f>
        <v>Loïza</v>
      </c>
      <c r="G42" s="105">
        <f>'Course 1'!M42+'Course 2'!M42+'Course 3'!M42+'Course 4'!M42+'Course 5'!M42</f>
        <v>72.766666666666666</v>
      </c>
      <c r="H42" s="52"/>
    </row>
    <row r="43" spans="2:10" ht="12.75">
      <c r="B43" s="14">
        <v>39</v>
      </c>
      <c r="C43" s="28">
        <f>IF(Coureurs!C43="","",Coureurs!C43)</f>
        <v>10</v>
      </c>
      <c r="D43" s="143" t="str">
        <f>IF(Coureurs!D43="","",Coureurs!D43)</f>
        <v>D45</v>
      </c>
      <c r="E43" s="87" t="str">
        <f>IF(Coureurs!F43="","",Coureurs!F43)</f>
        <v>DERLOT</v>
      </c>
      <c r="F43" s="87" t="str">
        <f>IF(Coureurs!G43="","",Coureurs!G43)</f>
        <v>Stéphanie</v>
      </c>
      <c r="G43" s="105">
        <f>'Course 1'!M43+'Course 2'!M43+'Course 3'!M43+'Course 4'!M43+'Course 5'!M43</f>
        <v>56.73333333333332</v>
      </c>
      <c r="H43" s="52"/>
    </row>
    <row r="44" spans="2:10" ht="12.75">
      <c r="B44" s="14">
        <v>40</v>
      </c>
      <c r="C44" s="28">
        <f>IF(Coureurs!C44="","",Coureurs!C44)</f>
        <v>25</v>
      </c>
      <c r="D44" s="143" t="str">
        <f>IF(Coureurs!D44="","",Coureurs!D44)</f>
        <v>H45</v>
      </c>
      <c r="E44" s="87" t="str">
        <f>IF(Coureurs!F44="","",Coureurs!F44)</f>
        <v>DERLOT</v>
      </c>
      <c r="F44" s="87" t="str">
        <f>IF(Coureurs!G44="","",Coureurs!G44)</f>
        <v>Damien</v>
      </c>
      <c r="G44" s="105">
        <f>'Course 1'!M44+'Course 2'!M44+'Course 3'!M44+'Course 4'!M44+'Course 5'!M44</f>
        <v>49.083333333333321</v>
      </c>
      <c r="H44" s="52"/>
    </row>
    <row r="45" spans="2:10" ht="12.75">
      <c r="B45" s="14">
        <v>41</v>
      </c>
      <c r="C45" s="28">
        <f>IF(Coureurs!C45="","",Coureurs!C45)</f>
        <v>3</v>
      </c>
      <c r="D45" s="143" t="str">
        <f>IF(Coureurs!D45="","",Coureurs!D45)</f>
        <v>D14</v>
      </c>
      <c r="E45" s="87" t="str">
        <f>IF(Coureurs!F45="","",Coureurs!F45)</f>
        <v>DERLOT</v>
      </c>
      <c r="F45" s="87" t="str">
        <f>IF(Coureurs!G45="","",Coureurs!G45)</f>
        <v>Lise</v>
      </c>
      <c r="G45" s="105">
        <f>'Course 1'!M45+'Course 2'!M45+'Course 3'!M45+'Course 4'!M45+'Course 5'!M45</f>
        <v>94.05</v>
      </c>
      <c r="H45" s="52"/>
    </row>
    <row r="46" spans="2:10" ht="12.75">
      <c r="B46" s="14">
        <v>42</v>
      </c>
      <c r="C46" s="28">
        <f>IF(Coureurs!C46="","",Coureurs!C46)</f>
        <v>27</v>
      </c>
      <c r="D46" s="143" t="str">
        <f>IF(Coureurs!D46="","",Coureurs!D46)</f>
        <v>H55</v>
      </c>
      <c r="E46" s="87" t="str">
        <f>IF(Coureurs!F46="","",Coureurs!F46)</f>
        <v>DE LAMINNE</v>
      </c>
      <c r="F46" s="87" t="str">
        <f>IF(Coureurs!G46="","",Coureurs!G46)</f>
        <v>Gilles</v>
      </c>
      <c r="G46" s="105">
        <f>'Course 1'!M46+'Course 2'!M46+'Course 3'!M46+'Course 4'!M46+'Course 5'!M46</f>
        <v>52.783333333333324</v>
      </c>
      <c r="H46" s="52"/>
    </row>
    <row r="47" spans="2:10" ht="12.75">
      <c r="B47" s="14">
        <v>43</v>
      </c>
      <c r="C47" s="28">
        <f>IF(Coureurs!C47="","",Coureurs!C47)</f>
        <v>2</v>
      </c>
      <c r="D47" s="143" t="str">
        <f>IF(Coureurs!D47="","",Coureurs!D47)</f>
        <v>D12</v>
      </c>
      <c r="E47" s="87" t="str">
        <f>IF(Coureurs!F47="","",Coureurs!F47)</f>
        <v>LUCAS-VIOU</v>
      </c>
      <c r="F47" s="87" t="str">
        <f>IF(Coureurs!G47="","",Coureurs!G47)</f>
        <v>Charlotte</v>
      </c>
      <c r="G47" s="105">
        <f>'Course 1'!M47+'Course 2'!M47+'Course 3'!M47+'Course 4'!M47+'Course 5'!M47</f>
        <v>30</v>
      </c>
      <c r="H47" s="52"/>
    </row>
    <row r="48" spans="2:10" ht="12.75">
      <c r="B48" s="14">
        <v>44</v>
      </c>
      <c r="C48" s="28">
        <f>IF(Coureurs!C48="","",Coureurs!C48)</f>
        <v>18</v>
      </c>
      <c r="D48" s="143" t="str">
        <f>IF(Coureurs!D48="","",Coureurs!D48)</f>
        <v>H14</v>
      </c>
      <c r="E48" s="87" t="str">
        <f>IF(Coureurs!F48="","",Coureurs!F48)</f>
        <v>CHAFI</v>
      </c>
      <c r="F48" s="87" t="str">
        <f>IF(Coureurs!G48="","",Coureurs!G48)</f>
        <v>Yanis</v>
      </c>
      <c r="G48" s="105">
        <f>'Course 1'!M48+'Course 2'!M48+'Course 3'!M48+'Course 4'!M48+'Course 5'!M48</f>
        <v>84.666666666666671</v>
      </c>
      <c r="H48" s="52"/>
      <c r="J48" s="34"/>
    </row>
    <row r="49" spans="2:10" ht="12.75">
      <c r="B49" s="14">
        <v>45</v>
      </c>
      <c r="C49" s="28">
        <f>IF(Coureurs!C49="","",Coureurs!C49)</f>
        <v>17</v>
      </c>
      <c r="D49" s="143" t="str">
        <f>IF(Coureurs!D49="","",Coureurs!D49)</f>
        <v>H12</v>
      </c>
      <c r="E49" s="87" t="str">
        <f>IF(Coureurs!F49="","",Coureurs!F49)</f>
        <v>NONDEDEO</v>
      </c>
      <c r="F49" s="87" t="str">
        <f>IF(Coureurs!G49="","",Coureurs!G49)</f>
        <v>Baptiste</v>
      </c>
      <c r="G49" s="105">
        <f>'Course 1'!M49+'Course 2'!M49+'Course 3'!M49+'Course 4'!M49+'Course 5'!M49</f>
        <v>100</v>
      </c>
      <c r="H49" s="52"/>
      <c r="J49" s="34"/>
    </row>
    <row r="50" spans="2:10" ht="12.75">
      <c r="B50" s="14">
        <v>46</v>
      </c>
      <c r="C50" s="28">
        <f>IF(Coureurs!C50="","",Coureurs!C50)</f>
        <v>3</v>
      </c>
      <c r="D50" s="143" t="str">
        <f>IF(Coureurs!D50="","",Coureurs!D50)</f>
        <v>D14</v>
      </c>
      <c r="E50" s="87" t="str">
        <f>IF(Coureurs!F50="","",Coureurs!F50)</f>
        <v>LANFRANCHI</v>
      </c>
      <c r="F50" s="87" t="str">
        <f>IF(Coureurs!G50="","",Coureurs!G50)</f>
        <v>lucine</v>
      </c>
      <c r="G50" s="105">
        <f>'Course 1'!M50+'Course 2'!M50+'Course 3'!M50+'Course 4'!M50+'Course 5'!M50</f>
        <v>0</v>
      </c>
      <c r="H50" s="52"/>
      <c r="J50" s="34"/>
    </row>
    <row r="51" spans="2:10" ht="12.75">
      <c r="B51" s="14">
        <v>47</v>
      </c>
      <c r="C51" s="28">
        <f>IF(Coureurs!C51="","",Coureurs!C51)</f>
        <v>25</v>
      </c>
      <c r="D51" s="143" t="str">
        <f>IF(Coureurs!D51="","",Coureurs!D51)</f>
        <v>H45</v>
      </c>
      <c r="E51" s="87" t="str">
        <f>IF(Coureurs!F51="","",Coureurs!F51)</f>
        <v>PACHER</v>
      </c>
      <c r="F51" s="87" t="str">
        <f>IF(Coureurs!G51="","",Coureurs!G51)</f>
        <v>Vincent</v>
      </c>
      <c r="G51" s="105">
        <f>'Course 1'!M51+'Course 2'!M51+'Course 3'!M51+'Course 4'!M51+'Course 5'!M51</f>
        <v>0</v>
      </c>
      <c r="H51" s="52"/>
    </row>
    <row r="52" spans="2:10" ht="12.75">
      <c r="B52" s="14">
        <v>48</v>
      </c>
      <c r="C52" s="28">
        <f>IF(Coureurs!C52="","",Coureurs!C52)</f>
        <v>3</v>
      </c>
      <c r="D52" s="143" t="str">
        <f>IF(Coureurs!D52="","",Coureurs!D52)</f>
        <v>D14</v>
      </c>
      <c r="E52" s="87" t="str">
        <f>IF(Coureurs!F52="","",Coureurs!F52)</f>
        <v>PACHER</v>
      </c>
      <c r="F52" s="87" t="str">
        <f>IF(Coureurs!G52="","",Coureurs!G52)</f>
        <v>Laetitia</v>
      </c>
      <c r="G52" s="105">
        <f>'Course 1'!M52+'Course 2'!M52+'Course 3'!M52+'Course 4'!M52+'Course 5'!M52</f>
        <v>0</v>
      </c>
      <c r="H52" s="52"/>
    </row>
    <row r="53" spans="2:10" ht="12.75">
      <c r="B53" s="14">
        <v>49</v>
      </c>
      <c r="C53" s="28">
        <f>IF(Coureurs!C53="","",Coureurs!C53)</f>
        <v>17</v>
      </c>
      <c r="D53" s="143" t="str">
        <f>IF(Coureurs!D53="","",Coureurs!D53)</f>
        <v>H12</v>
      </c>
      <c r="E53" s="87" t="str">
        <f>IF(Coureurs!F53="","",Coureurs!F53)</f>
        <v>PACHER</v>
      </c>
      <c r="F53" s="87" t="str">
        <f>IF(Coureurs!G53="","",Coureurs!G53)</f>
        <v>Alexandre</v>
      </c>
      <c r="G53" s="105">
        <f>'Course 1'!M53+'Course 2'!M53+'Course 3'!M53+'Course 4'!M53+'Course 5'!M53</f>
        <v>0</v>
      </c>
      <c r="H53" s="52"/>
    </row>
    <row r="54" spans="2:10" ht="12.75">
      <c r="B54" s="14">
        <v>50</v>
      </c>
      <c r="C54" s="28">
        <f>IF(Coureurs!C54="","",Coureurs!C54)</f>
        <v>4</v>
      </c>
      <c r="D54" s="143" t="str">
        <f>IF(Coureurs!D54="","",Coureurs!D54)</f>
        <v>D16</v>
      </c>
      <c r="E54" s="87" t="str">
        <f>IF(Coureurs!F54="","",Coureurs!F54)</f>
        <v>PACHER</v>
      </c>
      <c r="F54" s="87" t="str">
        <f>IF(Coureurs!G54="","",Coureurs!G54)</f>
        <v>Maeva</v>
      </c>
      <c r="G54" s="105">
        <f>'Course 1'!M54+'Course 2'!M54+'Course 3'!M54+'Course 4'!M54+'Course 5'!M54</f>
        <v>0</v>
      </c>
      <c r="H54" s="52"/>
    </row>
    <row r="55" spans="2:10" ht="12.75">
      <c r="B55" s="14">
        <v>51</v>
      </c>
      <c r="C55" s="28">
        <f>IF(Coureurs!C55="","",Coureurs!C55)</f>
        <v>9</v>
      </c>
      <c r="D55" s="143" t="str">
        <f>IF(Coureurs!D55="","",Coureurs!D55)</f>
        <v>D40</v>
      </c>
      <c r="E55" s="87" t="str">
        <f>IF(Coureurs!F55="","",Coureurs!F55)</f>
        <v>MONTANDON VARODA</v>
      </c>
      <c r="F55" s="87" t="str">
        <f>IF(Coureurs!G55="","",Coureurs!G55)</f>
        <v>Christine</v>
      </c>
      <c r="G55" s="105">
        <f>'Course 1'!M55+'Course 2'!M55+'Course 3'!M55+'Course 4'!M55+'Course 5'!M55</f>
        <v>0</v>
      </c>
      <c r="H55" s="52"/>
    </row>
    <row r="56" spans="2:10" ht="12.75">
      <c r="B56" s="14">
        <v>52</v>
      </c>
      <c r="C56" s="28">
        <f>IF(Coureurs!C56="","",Coureurs!C56)</f>
        <v>2</v>
      </c>
      <c r="D56" s="143" t="str">
        <f>IF(Coureurs!D56="","",Coureurs!D56)</f>
        <v>D12</v>
      </c>
      <c r="E56" s="87" t="str">
        <f>IF(Coureurs!F56="","",Coureurs!F56)</f>
        <v>TONDU</v>
      </c>
      <c r="F56" s="87" t="str">
        <f>IF(Coureurs!G56="","",Coureurs!G56)</f>
        <v>Jeanne</v>
      </c>
      <c r="G56" s="105">
        <f>'Course 1'!M56+'Course 2'!M56+'Course 3'!M56+'Course 4'!M56+'Course 5'!M56</f>
        <v>90.816666666666663</v>
      </c>
      <c r="H56" s="52"/>
    </row>
    <row r="57" spans="2:10" ht="12.75">
      <c r="B57" s="14">
        <v>53</v>
      </c>
      <c r="C57" s="28">
        <f>IF(Coureurs!C57="","",Coureurs!C57)</f>
        <v>10</v>
      </c>
      <c r="D57" s="143" t="str">
        <f>IF(Coureurs!D57="","",Coureurs!D57)</f>
        <v>D45</v>
      </c>
      <c r="E57" s="87" t="str">
        <f>IF(Coureurs!F57="","",Coureurs!F57)</f>
        <v>TONDU</v>
      </c>
      <c r="F57" s="87" t="str">
        <f>IF(Coureurs!G57="","",Coureurs!G57)</f>
        <v>Alexandra</v>
      </c>
      <c r="G57" s="105">
        <f>'Course 1'!M57+'Course 2'!M57+'Course 3'!M57+'Course 4'!M57+'Course 5'!M57</f>
        <v>30</v>
      </c>
      <c r="H57" s="52"/>
    </row>
    <row r="58" spans="2:10" ht="12.75">
      <c r="B58" s="14">
        <v>54</v>
      </c>
      <c r="C58" s="28">
        <f>IF(Coureurs!C58="","",Coureurs!C58)</f>
        <v>5</v>
      </c>
      <c r="D58" s="143" t="str">
        <f>IF(Coureurs!D58="","",Coureurs!D58)</f>
        <v>D18</v>
      </c>
      <c r="E58" s="87" t="str">
        <f>IF(Coureurs!F58="","",Coureurs!F58)</f>
        <v>CHATAIGNIER</v>
      </c>
      <c r="F58" s="87" t="str">
        <f>IF(Coureurs!G58="","",Coureurs!G58)</f>
        <v>Louise</v>
      </c>
      <c r="G58" s="105">
        <f>'Course 1'!M58+'Course 2'!M58+'Course 3'!M58+'Course 4'!M58+'Course 5'!M58</f>
        <v>60.283333333333339</v>
      </c>
      <c r="H58" s="52"/>
    </row>
    <row r="59" spans="2:10" ht="12.75">
      <c r="B59" s="14">
        <v>55</v>
      </c>
      <c r="C59" s="28">
        <f>IF(Coureurs!C59="","",Coureurs!C59)</f>
        <v>3</v>
      </c>
      <c r="D59" s="143" t="str">
        <f>IF(Coureurs!D59="","",Coureurs!D59)</f>
        <v>D14</v>
      </c>
      <c r="E59" s="87" t="str">
        <f>IF(Coureurs!F59="","",Coureurs!F59)</f>
        <v>KOEPP</v>
      </c>
      <c r="F59" s="87" t="str">
        <f>IF(Coureurs!G59="","",Coureurs!G59)</f>
        <v>Sonora</v>
      </c>
      <c r="G59" s="105">
        <f>'Course 1'!M59+'Course 2'!M59+'Course 3'!M59+'Course 4'!M59+'Course 5'!M59</f>
        <v>0</v>
      </c>
      <c r="H59" s="52"/>
    </row>
    <row r="60" spans="2:10" ht="12.75">
      <c r="B60" s="14">
        <v>56</v>
      </c>
      <c r="C60" s="28">
        <f>IF(Coureurs!C60="","",Coureurs!C60)</f>
        <v>18</v>
      </c>
      <c r="D60" s="143" t="str">
        <f>IF(Coureurs!D60="","",Coureurs!D60)</f>
        <v>H14</v>
      </c>
      <c r="E60" s="87" t="str">
        <f>IF(Coureurs!F60="","",Coureurs!F60)</f>
        <v>FRENOY</v>
      </c>
      <c r="F60" s="87" t="str">
        <f>IF(Coureurs!G60="","",Coureurs!G60)</f>
        <v>Anatole</v>
      </c>
      <c r="G60" s="105">
        <f>'Course 1'!M60+'Course 2'!M60+'Course 3'!M60+'Course 4'!M60+'Course 5'!M60</f>
        <v>92.25</v>
      </c>
      <c r="H60" s="52"/>
    </row>
    <row r="61" spans="2:10" ht="12.75">
      <c r="B61" s="14">
        <v>57</v>
      </c>
      <c r="C61" s="28">
        <f>IF(Coureurs!C61="","",Coureurs!C61)</f>
        <v>18</v>
      </c>
      <c r="D61" s="143" t="str">
        <f>IF(Coureurs!D61="","",Coureurs!D61)</f>
        <v>H14</v>
      </c>
      <c r="E61" s="87"/>
      <c r="F61" s="87"/>
      <c r="G61" s="105">
        <f>'Course 1'!M61+'Course 2'!M61+'Course 3'!M61+'Course 4'!M61+'Course 5'!M61</f>
        <v>100</v>
      </c>
      <c r="H61" s="52"/>
    </row>
    <row r="62" spans="2:10" ht="12.75">
      <c r="B62" s="14">
        <v>58</v>
      </c>
      <c r="C62" s="28">
        <f>IF(Coureurs!C62="","",Coureurs!C62)</f>
        <v>10</v>
      </c>
      <c r="D62" s="143" t="str">
        <f>IF(Coureurs!D62="","",Coureurs!D62)</f>
        <v>D45</v>
      </c>
      <c r="E62" s="87" t="str">
        <f>IF(Coureurs!F62="","",Coureurs!F62)</f>
        <v>KORZEC</v>
      </c>
      <c r="F62" s="87" t="str">
        <f>IF(Coureurs!G62="","",Coureurs!G62)</f>
        <v>Patricia</v>
      </c>
      <c r="G62" s="105">
        <f>'Course 1'!M62+'Course 2'!M62+'Course 3'!M62+'Course 4'!M62+'Course 5'!M62</f>
        <v>54.483333333333313</v>
      </c>
      <c r="H62" s="52"/>
    </row>
    <row r="63" spans="2:10" ht="12.75">
      <c r="B63" s="14">
        <v>59</v>
      </c>
      <c r="C63" s="28">
        <f>IF(Coureurs!C63="","",Coureurs!C63)</f>
        <v>4</v>
      </c>
      <c r="D63" s="143" t="str">
        <f>IF(Coureurs!D63="","",Coureurs!D63)</f>
        <v>D16</v>
      </c>
      <c r="E63" s="87" t="str">
        <f>IF(Coureurs!F63="","",Coureurs!F63)</f>
        <v>BOUSQUET</v>
      </c>
      <c r="F63" s="87" t="str">
        <f>IF(Coureurs!G63="","",Coureurs!G63)</f>
        <v>Claire</v>
      </c>
      <c r="G63" s="105">
        <f>'Course 1'!M63+'Course 2'!M63+'Course 3'!M63+'Course 4'!M63+'Course 5'!M63</f>
        <v>0</v>
      </c>
      <c r="H63" s="52"/>
    </row>
    <row r="64" spans="2:10" ht="12.75">
      <c r="B64" s="14">
        <v>60</v>
      </c>
      <c r="C64" s="28">
        <f>IF(Coureurs!C64="","",Coureurs!C64)</f>
        <v>18</v>
      </c>
      <c r="D64" s="143" t="str">
        <f>IF(Coureurs!D64="","",Coureurs!D64)</f>
        <v>H14</v>
      </c>
      <c r="E64" s="87" t="str">
        <f>IF(Coureurs!F64="","",Coureurs!F64)</f>
        <v>ROGUIEZ</v>
      </c>
      <c r="F64" s="87" t="str">
        <f>IF(Coureurs!G64="","",Coureurs!G64)</f>
        <v>Timéo</v>
      </c>
      <c r="G64" s="105">
        <f>'Course 1'!M64+'Course 2'!M64+'Course 3'!M64+'Course 4'!M64+'Course 5'!M64</f>
        <v>92.066666666666677</v>
      </c>
      <c r="H64" s="52"/>
    </row>
    <row r="65" spans="2:8" ht="12.75">
      <c r="B65" s="14">
        <v>61</v>
      </c>
      <c r="C65" s="28">
        <f>IF(Coureurs!C65="","",Coureurs!C65)</f>
        <v>1</v>
      </c>
      <c r="D65" s="143" t="str">
        <f>IF(Coureurs!D65="","",Coureurs!D65)</f>
        <v>D10</v>
      </c>
      <c r="E65" s="87" t="str">
        <f>IF(Coureurs!F65="","",Coureurs!F65)</f>
        <v>DERLOT</v>
      </c>
      <c r="F65" s="87" t="str">
        <f>IF(Coureurs!G65="","",Coureurs!G65)</f>
        <v>Alix</v>
      </c>
      <c r="G65" s="105">
        <f>'Course 1'!M65+'Course 2'!M65+'Course 3'!M65+'Course 4'!M65+'Course 5'!M65</f>
        <v>88.36666666666666</v>
      </c>
      <c r="H65" s="52"/>
    </row>
    <row r="66" spans="2:8" ht="12.75">
      <c r="B66" s="14">
        <v>62</v>
      </c>
      <c r="C66" s="28">
        <f>IF(Coureurs!C66="","",Coureurs!C66)</f>
        <v>17</v>
      </c>
      <c r="D66" s="143" t="str">
        <f>IF(Coureurs!D66="","",Coureurs!D66)</f>
        <v>H12</v>
      </c>
      <c r="E66" s="87" t="str">
        <f>IF(Coureurs!F66="","",Coureurs!F66)</f>
        <v>BELLECOURT</v>
      </c>
      <c r="F66" s="87" t="str">
        <f>IF(Coureurs!G66="","",Coureurs!G66)</f>
        <v>Loic</v>
      </c>
      <c r="G66" s="105">
        <f>'Course 1'!M66+'Course 2'!M66+'Course 3'!M66+'Course 4'!M66+'Course 5'!M66</f>
        <v>88.75</v>
      </c>
      <c r="H66" s="52"/>
    </row>
    <row r="67" spans="2:8" ht="12.75">
      <c r="B67" s="14">
        <v>63</v>
      </c>
      <c r="C67" s="28">
        <f>IF(Coureurs!C67="","",Coureurs!C67)</f>
        <v>24</v>
      </c>
      <c r="D67" s="143" t="str">
        <f>IF(Coureurs!D67="","",Coureurs!D67)</f>
        <v>H40</v>
      </c>
      <c r="E67" s="87" t="str">
        <f>IF(Coureurs!F67="","",Coureurs!F67)</f>
        <v>KOEPP</v>
      </c>
      <c r="F67" s="87" t="str">
        <f>IF(Coureurs!G67="","",Coureurs!G67)</f>
        <v>Aaron</v>
      </c>
      <c r="G67" s="105">
        <f>'Course 1'!M67+'Course 2'!M67+'Course 3'!M67+'Course 4'!M67+'Course 5'!M67</f>
        <v>0</v>
      </c>
      <c r="H67" s="52"/>
    </row>
    <row r="68" spans="2:8" ht="12.75">
      <c r="B68" s="14">
        <v>64</v>
      </c>
      <c r="C68" s="28">
        <f>IF(Coureurs!C68="","",Coureurs!C68)</f>
        <v>9</v>
      </c>
      <c r="D68" s="143" t="str">
        <f>IF(Coureurs!D68="","",Coureurs!D68)</f>
        <v>D40</v>
      </c>
      <c r="E68" s="87" t="str">
        <f>IF(Coureurs!F68="","",Coureurs!F68)</f>
        <v>KOEPP</v>
      </c>
      <c r="F68" s="87" t="str">
        <f>IF(Coureurs!G68="","",Coureurs!G68)</f>
        <v>Nanette</v>
      </c>
      <c r="G68" s="105">
        <f>'Course 1'!M68+'Course 2'!M68+'Course 3'!M68+'Course 4'!M68+'Course 5'!M68</f>
        <v>0</v>
      </c>
      <c r="H68" s="52"/>
    </row>
    <row r="69" spans="2:8" ht="12.75">
      <c r="B69" s="14">
        <v>65</v>
      </c>
      <c r="C69" s="28">
        <f>IF(Coureurs!C69="","",Coureurs!C69)</f>
        <v>2</v>
      </c>
      <c r="D69" s="143" t="str">
        <f>IF(Coureurs!D69="","",Coureurs!D69)</f>
        <v>D12</v>
      </c>
      <c r="E69" s="87" t="str">
        <f>IF(Coureurs!F69="","",Coureurs!F69)</f>
        <v>KOEPP</v>
      </c>
      <c r="F69" s="87" t="str">
        <f>IF(Coureurs!G69="","",Coureurs!G69)</f>
        <v>Sahara</v>
      </c>
      <c r="G69" s="105">
        <f>'Course 1'!M69+'Course 2'!M69+'Course 3'!M69+'Course 4'!M69+'Course 5'!M69</f>
        <v>0</v>
      </c>
      <c r="H69" s="52"/>
    </row>
    <row r="70" spans="2:8" ht="12.75">
      <c r="B70" s="14">
        <v>66</v>
      </c>
      <c r="C70" s="28">
        <f>IF(Coureurs!C70="","",Coureurs!C70)</f>
        <v>17</v>
      </c>
      <c r="D70" s="143" t="str">
        <f>IF(Coureurs!D70="","",Coureurs!D70)</f>
        <v>H12</v>
      </c>
      <c r="E70" s="87" t="str">
        <f>IF(Coureurs!F70="","",Coureurs!F70)</f>
        <v>DE LA ROCHE</v>
      </c>
      <c r="F70" s="87" t="str">
        <f>IF(Coureurs!G70="","",Coureurs!G70)</f>
        <v>Paul</v>
      </c>
      <c r="G70" s="105">
        <f>'Course 1'!M70+'Course 2'!M70+'Course 3'!M70+'Course 4'!M70+'Course 5'!M70</f>
        <v>0</v>
      </c>
      <c r="H70" s="52"/>
    </row>
    <row r="71" spans="2:8" ht="12.75">
      <c r="B71" s="14">
        <v>67</v>
      </c>
      <c r="C71" s="28">
        <f>IF(Coureurs!C71="","",Coureurs!C71)</f>
        <v>18</v>
      </c>
      <c r="D71" s="143" t="str">
        <f>IF(Coureurs!D71="","",Coureurs!D71)</f>
        <v>H14</v>
      </c>
      <c r="E71" s="87" t="str">
        <f>IF(Coureurs!F71="","",Coureurs!F71)</f>
        <v>DE LA ROCHE</v>
      </c>
      <c r="F71" s="87" t="str">
        <f>IF(Coureurs!G71="","",Coureurs!G71)</f>
        <v>Raphael</v>
      </c>
      <c r="G71" s="105">
        <f>'Course 1'!M71+'Course 2'!M71+'Course 3'!M71+'Course 4'!M71+'Course 5'!M71</f>
        <v>0</v>
      </c>
      <c r="H71" s="52"/>
    </row>
    <row r="72" spans="2:8" ht="12.75">
      <c r="B72" s="14">
        <v>68</v>
      </c>
      <c r="C72" s="28">
        <f>IF(Coureurs!C72="","",Coureurs!C72)</f>
        <v>2</v>
      </c>
      <c r="D72" s="143" t="str">
        <f>IF(Coureurs!D72="","",Coureurs!D72)</f>
        <v>D12</v>
      </c>
      <c r="E72" s="87" t="str">
        <f>IF(Coureurs!F72="","",Coureurs!F72)</f>
        <v>LAGARDE</v>
      </c>
      <c r="F72" s="87" t="str">
        <f>IF(Coureurs!G72="","",Coureurs!G72)</f>
        <v>Lilia</v>
      </c>
      <c r="G72" s="105">
        <f>'Course 1'!M72+'Course 2'!M72+'Course 3'!M72+'Course 4'!M72+'Course 5'!M72</f>
        <v>0</v>
      </c>
      <c r="H72" s="52"/>
    </row>
    <row r="73" spans="2:8" ht="12.75">
      <c r="B73" s="14">
        <v>69</v>
      </c>
      <c r="C73" s="28">
        <f>IF(Coureurs!C73="","",Coureurs!C73)</f>
        <v>24</v>
      </c>
      <c r="D73" s="143" t="str">
        <f>IF(Coureurs!D73="","",Coureurs!D73)</f>
        <v>H40</v>
      </c>
      <c r="E73" s="87" t="str">
        <f>IF(Coureurs!F73="","",Coureurs!F73)</f>
        <v>BROCHOT</v>
      </c>
      <c r="F73" s="87" t="str">
        <f>IF(Coureurs!G73="","",Coureurs!G73)</f>
        <v>Vincent</v>
      </c>
      <c r="G73" s="105">
        <f>'Course 1'!M73+'Course 2'!M73+'Course 3'!M73+'Course 4'!M73+'Course 5'!M73</f>
        <v>66.466666666666654</v>
      </c>
      <c r="H73" s="52"/>
    </row>
    <row r="74" spans="2:8" ht="12.75">
      <c r="B74" s="14">
        <v>70</v>
      </c>
      <c r="C74" s="28">
        <f>IF(Coureurs!C74="","",Coureurs!C74)</f>
        <v>4</v>
      </c>
      <c r="D74" s="143" t="str">
        <f>IF(Coureurs!D74="","",Coureurs!D74)</f>
        <v>D16</v>
      </c>
      <c r="E74" s="87" t="str">
        <f>IF(Coureurs!F74="","",Coureurs!F74)</f>
        <v>PASQUALINI</v>
      </c>
      <c r="F74" s="87" t="str">
        <f>IF(Coureurs!G74="","",Coureurs!G74)</f>
        <v>Hanna</v>
      </c>
      <c r="G74" s="105">
        <f>'Course 1'!M74+'Course 2'!M74+'Course 3'!M74+'Course 4'!M74+'Course 5'!M74</f>
        <v>88.066666666666663</v>
      </c>
      <c r="H74" s="52"/>
    </row>
    <row r="75" spans="2:8" ht="12.75">
      <c r="B75" s="14">
        <v>71</v>
      </c>
      <c r="C75" s="28">
        <f>IF(Coureurs!C75="","",Coureurs!C75)</f>
        <v>17</v>
      </c>
      <c r="D75" s="143" t="str">
        <f>IF(Coureurs!D75="","",Coureurs!D75)</f>
        <v>H12</v>
      </c>
      <c r="E75" s="87" t="str">
        <f>IF(Coureurs!F75="","",Coureurs!F75)</f>
        <v>LAUDET</v>
      </c>
      <c r="F75" s="87" t="str">
        <f>IF(Coureurs!G75="","",Coureurs!G75)</f>
        <v>Sacha</v>
      </c>
      <c r="G75" s="105">
        <f>'Course 1'!M75+'Course 2'!M75+'Course 3'!M75+'Course 4'!M75+'Course 5'!M75</f>
        <v>89.066666666666663</v>
      </c>
      <c r="H75" s="52"/>
    </row>
    <row r="76" spans="2:8" ht="12.75">
      <c r="B76" s="14">
        <v>72</v>
      </c>
      <c r="C76" s="28">
        <f>IF(Coureurs!C76="","",Coureurs!C76)</f>
        <v>18</v>
      </c>
      <c r="D76" s="143" t="str">
        <f>IF(Coureurs!D76="","",Coureurs!D76)</f>
        <v>H14</v>
      </c>
      <c r="E76" s="87" t="str">
        <f>IF(Coureurs!F76="","",Coureurs!F76)</f>
        <v>LEFEVRE</v>
      </c>
      <c r="F76" s="87" t="str">
        <f>IF(Coureurs!G76="","",Coureurs!G76)</f>
        <v>Gauthier</v>
      </c>
      <c r="G76" s="105">
        <f>'Course 1'!M76+'Course 2'!M76+'Course 3'!M76+'Course 4'!M76+'Course 5'!M76</f>
        <v>82.766666666666652</v>
      </c>
      <c r="H76" s="52"/>
    </row>
    <row r="77" spans="2:8" ht="12.75">
      <c r="B77" s="14">
        <v>73</v>
      </c>
      <c r="C77" s="28">
        <f>IF(Coureurs!C77="","",Coureurs!C77)</f>
        <v>3</v>
      </c>
      <c r="D77" s="143" t="str">
        <f>IF(Coureurs!D77="","",Coureurs!D77)</f>
        <v>D14</v>
      </c>
      <c r="E77" s="87" t="str">
        <f>IF(Coureurs!F77="","",Coureurs!F77)</f>
        <v>BENSET</v>
      </c>
      <c r="F77" s="87" t="str">
        <f>IF(Coureurs!G77="","",Coureurs!G77)</f>
        <v>Estelle</v>
      </c>
      <c r="G77" s="105">
        <f>'Course 1'!M77+'Course 2'!M77+'Course 3'!M77+'Course 4'!M77+'Course 5'!M77</f>
        <v>31.006666666666657</v>
      </c>
      <c r="H77" s="52"/>
    </row>
    <row r="78" spans="2:8" ht="12.75">
      <c r="B78" s="14">
        <v>74</v>
      </c>
      <c r="C78" s="28">
        <f>IF(Coureurs!C78="","",Coureurs!C78)</f>
        <v>27</v>
      </c>
      <c r="D78" s="143" t="str">
        <f>IF(Coureurs!D78="","",Coureurs!D78)</f>
        <v>H55</v>
      </c>
      <c r="E78" s="87" t="str">
        <f>IF(Coureurs!F78="","",Coureurs!F78)</f>
        <v>BOUCHERIE</v>
      </c>
      <c r="F78" s="87" t="str">
        <f>IF(Coureurs!G78="","",Coureurs!G78)</f>
        <v>Pascal</v>
      </c>
      <c r="G78" s="105">
        <f>'Course 1'!M78+'Course 2'!M78+'Course 3'!M78+'Course 4'!M78+'Course 5'!M78</f>
        <v>70.783333333333331</v>
      </c>
      <c r="H78" s="52"/>
    </row>
    <row r="79" spans="2:8" ht="12.75">
      <c r="B79" s="14">
        <v>75</v>
      </c>
      <c r="C79" s="28">
        <f>IF(Coureurs!C79="","",Coureurs!C79)</f>
        <v>12</v>
      </c>
      <c r="D79" s="143" t="str">
        <f>IF(Coureurs!D79="","",Coureurs!D79)</f>
        <v>D55</v>
      </c>
      <c r="E79" s="87" t="str">
        <f>IF(Coureurs!F79="","",Coureurs!F79)</f>
        <v>BOUCHERIE</v>
      </c>
      <c r="F79" s="87" t="str">
        <f>IF(Coureurs!G79="","",Coureurs!G79)</f>
        <v>caroline</v>
      </c>
      <c r="G79" s="105">
        <f>'Course 1'!M79+'Course 2'!M79+'Course 3'!M79+'Course 4'!M79+'Course 5'!M79</f>
        <v>33.483333333333327</v>
      </c>
      <c r="H79" s="52"/>
    </row>
    <row r="80" spans="2:8" ht="12.75">
      <c r="B80" s="14">
        <v>76</v>
      </c>
      <c r="C80" s="28">
        <f>IF(Coureurs!C80="","",Coureurs!C80)</f>
        <v>17</v>
      </c>
      <c r="D80" s="143" t="str">
        <f>IF(Coureurs!D80="","",Coureurs!D80)</f>
        <v>H12</v>
      </c>
      <c r="E80" s="87" t="str">
        <f>IF(Coureurs!F80="","",Coureurs!F80)</f>
        <v>BOUCHERIE</v>
      </c>
      <c r="F80" s="87" t="str">
        <f>IF(Coureurs!G80="","",Coureurs!G80)</f>
        <v>Achille</v>
      </c>
      <c r="G80" s="105">
        <f>'Course 1'!M80+'Course 2'!M80+'Course 3'!M80+'Course 4'!M80+'Course 5'!M80</f>
        <v>0</v>
      </c>
      <c r="H80" s="52"/>
    </row>
    <row r="81" spans="2:8" ht="12.75">
      <c r="B81" s="14">
        <v>77</v>
      </c>
      <c r="C81" s="28">
        <f>IF(Coureurs!C81="","",Coureurs!C81)</f>
        <v>22</v>
      </c>
      <c r="D81" s="143" t="str">
        <f>IF(Coureurs!D81="","",Coureurs!D81)</f>
        <v>H21</v>
      </c>
      <c r="E81" s="87" t="str">
        <f>IF(Coureurs!F81="","",Coureurs!F81)</f>
        <v>BOUCHERIE</v>
      </c>
      <c r="F81" s="87" t="str">
        <f>IF(Coureurs!G81="","",Coureurs!G81)</f>
        <v>jules</v>
      </c>
      <c r="G81" s="105">
        <f>'Course 1'!M81+'Course 2'!M81+'Course 3'!M81+'Course 4'!M81+'Course 5'!M81</f>
        <v>0</v>
      </c>
      <c r="H81" s="52"/>
    </row>
    <row r="82" spans="2:8" ht="12.75">
      <c r="B82" s="14">
        <v>78</v>
      </c>
      <c r="C82" s="28">
        <f>IF(Coureurs!C82="","",Coureurs!C82)</f>
        <v>22</v>
      </c>
      <c r="D82" s="143" t="str">
        <f>IF(Coureurs!D82="","",Coureurs!D82)</f>
        <v>H21</v>
      </c>
      <c r="E82" s="87" t="str">
        <f>IF(Coureurs!F82="","",Coureurs!F82)</f>
        <v>BOUCHERIE</v>
      </c>
      <c r="F82" s="87" t="str">
        <f>IF(Coureurs!G82="","",Coureurs!G82)</f>
        <v>louis</v>
      </c>
      <c r="G82" s="105">
        <f>'Course 1'!M82+'Course 2'!M82+'Course 3'!M82+'Course 4'!M82+'Course 5'!M82</f>
        <v>46.466666666666669</v>
      </c>
      <c r="H82" s="52"/>
    </row>
    <row r="83" spans="2:8" ht="12.75">
      <c r="B83" s="14">
        <v>79</v>
      </c>
      <c r="C83" s="28">
        <f>IF(Coureurs!C83="","",Coureurs!C83)</f>
        <v>18</v>
      </c>
      <c r="D83" s="143" t="str">
        <f>IF(Coureurs!D83="","",Coureurs!D83)</f>
        <v>H14</v>
      </c>
      <c r="E83" s="87" t="str">
        <f>IF(Coureurs!F83="","",Coureurs!F83)</f>
        <v>ZHANG</v>
      </c>
      <c r="F83" s="87" t="str">
        <f>IF(Coureurs!G83="","",Coureurs!G83)</f>
        <v>Felix</v>
      </c>
      <c r="G83" s="105">
        <f>'Course 1'!M83+'Course 2'!M83+'Course 3'!M83+'Course 4'!M83+'Course 5'!M83</f>
        <v>0</v>
      </c>
      <c r="H83" s="52"/>
    </row>
    <row r="84" spans="2:8" ht="12.75">
      <c r="B84" s="14">
        <v>80</v>
      </c>
      <c r="C84" s="28">
        <f>IF(Coureurs!C84="","",Coureurs!C84)</f>
        <v>2</v>
      </c>
      <c r="D84" s="143" t="str">
        <f>IF(Coureurs!D84="","",Coureurs!D84)</f>
        <v>D12</v>
      </c>
      <c r="E84" s="87" t="str">
        <f>IF(Coureurs!F84="","",Coureurs!F84)</f>
        <v>DUSSAIX</v>
      </c>
      <c r="F84" s="87" t="str">
        <f>IF(Coureurs!G84="","",Coureurs!G84)</f>
        <v>Margaux</v>
      </c>
      <c r="G84" s="105">
        <f>'Course 1'!M84+'Course 2'!M84+'Course 3'!M84+'Course 4'!M84+'Course 5'!M84</f>
        <v>30</v>
      </c>
      <c r="H84" s="52"/>
    </row>
    <row r="85" spans="2:8" ht="12.75">
      <c r="B85" s="14">
        <v>81</v>
      </c>
      <c r="C85" s="28">
        <f>IF(Coureurs!C85="","",Coureurs!C85)</f>
        <v>26</v>
      </c>
      <c r="D85" s="143" t="str">
        <f>IF(Coureurs!D85="","",Coureurs!D85)</f>
        <v>H50</v>
      </c>
      <c r="E85" s="87" t="str">
        <f>IF(Coureurs!F85="","",Coureurs!F85)</f>
        <v>DELABROYE DUCROQ</v>
      </c>
      <c r="F85" s="87" t="str">
        <f>IF(Coureurs!G85="","",Coureurs!G85)</f>
        <v>Arnaud</v>
      </c>
      <c r="G85" s="105">
        <f>'Course 1'!M85+'Course 2'!M85+'Course 3'!M85+'Course 4'!M85+'Course 5'!M85</f>
        <v>0</v>
      </c>
      <c r="H85" s="52"/>
    </row>
    <row r="86" spans="2:8" ht="12.75">
      <c r="B86" s="14">
        <v>82</v>
      </c>
      <c r="C86" s="28">
        <f>IF(Coureurs!C86="","",Coureurs!C86)</f>
        <v>16</v>
      </c>
      <c r="D86" s="143" t="str">
        <f>IF(Coureurs!D86="","",Coureurs!D86)</f>
        <v>H10</v>
      </c>
      <c r="E86" s="87" t="str">
        <f>IF(Coureurs!F86="","",Coureurs!F86)</f>
        <v>DELABROYE DUCROQ</v>
      </c>
      <c r="F86" s="87" t="str">
        <f>IF(Coureurs!G86="","",Coureurs!G86)</f>
        <v>Adam</v>
      </c>
      <c r="G86" s="105">
        <f>'Course 1'!M86+'Course 2'!M86+'Course 3'!M86+'Course 4'!M86+'Course 5'!M86</f>
        <v>0</v>
      </c>
      <c r="H86" s="52"/>
    </row>
    <row r="87" spans="2:8" ht="12.75">
      <c r="B87" s="14">
        <v>83</v>
      </c>
      <c r="C87" s="28">
        <f>IF(Coureurs!C87="","",Coureurs!C87)</f>
        <v>18</v>
      </c>
      <c r="D87" s="143" t="str">
        <f>IF(Coureurs!D87="","",Coureurs!D87)</f>
        <v>H14</v>
      </c>
      <c r="E87" s="87" t="str">
        <f>IF(Coureurs!F87="","",Coureurs!F87)</f>
        <v>RICHARD</v>
      </c>
      <c r="F87" s="87" t="str">
        <f>IF(Coureurs!G87="","",Coureurs!G87)</f>
        <v>Mathis</v>
      </c>
      <c r="G87" s="105">
        <f>'Course 1'!M87+'Course 2'!M87+'Course 3'!M87+'Course 4'!M87+'Course 5'!M87</f>
        <v>84.716666666666669</v>
      </c>
      <c r="H87" s="52"/>
    </row>
    <row r="88" spans="2:8" ht="12.75">
      <c r="B88" s="14">
        <v>84</v>
      </c>
      <c r="C88" s="28">
        <f>IF(Coureurs!C88="","",Coureurs!C88)</f>
        <v>9</v>
      </c>
      <c r="D88" s="143" t="str">
        <f>IF(Coureurs!D88="","",Coureurs!D88)</f>
        <v>D40</v>
      </c>
      <c r="E88" s="87" t="str">
        <f>IF(Coureurs!F88="","",Coureurs!F88)</f>
        <v>COQUET</v>
      </c>
      <c r="F88" s="87" t="str">
        <f>IF(Coureurs!G88="","",Coureurs!G88)</f>
        <v>Coralie</v>
      </c>
      <c r="G88" s="105">
        <f>'Course 1'!M88+'Course 2'!M88+'Course 3'!M88+'Course 4'!M88+'Course 5'!M88</f>
        <v>0</v>
      </c>
      <c r="H88" s="52"/>
    </row>
    <row r="89" spans="2:8" ht="12.75">
      <c r="B89" s="14">
        <v>85</v>
      </c>
      <c r="C89" s="28">
        <f>IF(Coureurs!C89="","",Coureurs!C89)</f>
        <v>17</v>
      </c>
      <c r="D89" s="143" t="str">
        <f>IF(Coureurs!D89="","",Coureurs!D89)</f>
        <v>H12</v>
      </c>
      <c r="E89" s="87" t="str">
        <f>IF(Coureurs!F89="","",Coureurs!F89)</f>
        <v>MONTACIE</v>
      </c>
      <c r="F89" s="87" t="str">
        <f>IF(Coureurs!G89="","",Coureurs!G89)</f>
        <v>Victor</v>
      </c>
      <c r="G89" s="105">
        <f>'Course 1'!M89+'Course 2'!M89+'Course 3'!M89+'Course 4'!M89+'Course 5'!M89</f>
        <v>48.150000000000006</v>
      </c>
      <c r="H89" s="52"/>
    </row>
    <row r="90" spans="2:8" ht="12.75">
      <c r="B90" s="14">
        <v>86</v>
      </c>
      <c r="C90" s="28">
        <f>IF(Coureurs!C90="","",Coureurs!C90)</f>
        <v>19</v>
      </c>
      <c r="D90" s="143" t="str">
        <f>IF(Coureurs!D90="","",Coureurs!D90)</f>
        <v>H16</v>
      </c>
      <c r="E90" s="87" t="str">
        <f>IF(Coureurs!F90="","",Coureurs!F90)</f>
        <v>MEUNIER</v>
      </c>
      <c r="F90" s="87" t="str">
        <f>IF(Coureurs!G90="","",Coureurs!G90)</f>
        <v>Hadrien</v>
      </c>
      <c r="G90" s="105">
        <f>'Course 1'!M90+'Course 2'!M90+'Course 3'!M90+'Course 4'!M90+'Course 5'!M90</f>
        <v>0</v>
      </c>
      <c r="H90" s="52"/>
    </row>
    <row r="91" spans="2:8" ht="12.75">
      <c r="B91" s="14">
        <v>87</v>
      </c>
      <c r="C91" s="28">
        <f>IF(Coureurs!C91="","",Coureurs!C91)</f>
        <v>10</v>
      </c>
      <c r="D91" s="143" t="str">
        <f>IF(Coureurs!D91="","",Coureurs!D91)</f>
        <v>D45</v>
      </c>
      <c r="E91" s="87" t="str">
        <f>IF(Coureurs!F91="","",Coureurs!F91)</f>
        <v>SNELLMAN</v>
      </c>
      <c r="F91" s="87" t="str">
        <f>IF(Coureurs!G91="","",Coureurs!G91)</f>
        <v>Kaisa</v>
      </c>
      <c r="G91" s="105">
        <f>'Course 1'!M91+'Course 2'!M91+'Course 3'!M91+'Course 4'!M91+'Course 5'!M91</f>
        <v>64.033333333333331</v>
      </c>
      <c r="H91" s="52"/>
    </row>
    <row r="92" spans="2:8" ht="12.75">
      <c r="B92" s="14">
        <v>88</v>
      </c>
      <c r="C92" s="28" t="e">
        <f>IF(Coureurs!C92="","",Coureurs!C92)</f>
        <v>#N/A</v>
      </c>
      <c r="D92" s="143" t="str">
        <f>IF(Coureurs!D92="","",Coureurs!D92)</f>
        <v>70</v>
      </c>
      <c r="E92" s="87" t="str">
        <f>IF(Coureurs!F92="","",Coureurs!F92)</f>
        <v/>
      </c>
      <c r="F92" s="87" t="str">
        <f>IF(Coureurs!G92="","",Coureurs!G92)</f>
        <v/>
      </c>
      <c r="G92" s="105">
        <f>'Course 1'!M92+'Course 2'!M92+'Course 3'!M92+'Course 4'!M92+'Course 5'!M92</f>
        <v>0</v>
      </c>
      <c r="H92" s="52"/>
    </row>
    <row r="93" spans="2:8" ht="12.75">
      <c r="B93" s="14">
        <v>89</v>
      </c>
      <c r="C93" s="28" t="e">
        <f>IF(Coureurs!C93="","",Coureurs!C93)</f>
        <v>#N/A</v>
      </c>
      <c r="D93" s="143" t="str">
        <f>IF(Coureurs!D93="","",Coureurs!D93)</f>
        <v>70</v>
      </c>
      <c r="E93" s="87" t="str">
        <f>IF(Coureurs!F93="","",Coureurs!F93)</f>
        <v/>
      </c>
      <c r="F93" s="87" t="str">
        <f>IF(Coureurs!G93="","",Coureurs!G93)</f>
        <v/>
      </c>
      <c r="G93" s="105">
        <f>'Course 1'!M93+'Course 2'!M93+'Course 3'!M93+'Course 4'!M93+'Course 5'!M93</f>
        <v>0</v>
      </c>
      <c r="H93" s="52"/>
    </row>
    <row r="94" spans="2:8" ht="12.75">
      <c r="B94" s="14">
        <v>90</v>
      </c>
      <c r="C94" s="28" t="e">
        <f>IF(Coureurs!C94="","",Coureurs!C94)</f>
        <v>#N/A</v>
      </c>
      <c r="D94" s="143" t="str">
        <f>IF(Coureurs!D94="","",Coureurs!D94)</f>
        <v>70</v>
      </c>
      <c r="E94" s="87" t="str">
        <f>IF(Coureurs!F94="","",Coureurs!F94)</f>
        <v/>
      </c>
      <c r="F94" s="87" t="str">
        <f>IF(Coureurs!G94="","",Coureurs!G94)</f>
        <v/>
      </c>
      <c r="G94" s="105">
        <f>'Course 1'!M94+'Course 2'!M94+'Course 3'!M94+'Course 4'!M94+'Course 5'!M94</f>
        <v>0</v>
      </c>
      <c r="H94" s="52"/>
    </row>
    <row r="95" spans="2:8" ht="12.75">
      <c r="B95" s="14">
        <v>91</v>
      </c>
      <c r="C95" s="28" t="e">
        <f>IF(Coureurs!C95="","",Coureurs!C95)</f>
        <v>#N/A</v>
      </c>
      <c r="D95" s="143" t="str">
        <f>IF(Coureurs!D95="","",Coureurs!D95)</f>
        <v>70</v>
      </c>
      <c r="E95" s="87" t="str">
        <f>IF(Coureurs!F95="","",Coureurs!F95)</f>
        <v/>
      </c>
      <c r="F95" s="87" t="str">
        <f>IF(Coureurs!G95="","",Coureurs!G95)</f>
        <v/>
      </c>
      <c r="G95" s="105">
        <f>'Course 1'!M95+'Course 2'!M95+'Course 3'!M95+'Course 4'!M95+'Course 5'!M95</f>
        <v>0</v>
      </c>
      <c r="H95" s="52"/>
    </row>
    <row r="96" spans="2:8" ht="12.75">
      <c r="B96" s="14">
        <v>92</v>
      </c>
      <c r="C96" s="28" t="e">
        <f>IF(Coureurs!C96="","",Coureurs!C96)</f>
        <v>#N/A</v>
      </c>
      <c r="D96" s="143" t="str">
        <f>IF(Coureurs!D96="","",Coureurs!D96)</f>
        <v>70</v>
      </c>
      <c r="E96" s="87" t="str">
        <f>IF(Coureurs!F96="","",Coureurs!F96)</f>
        <v/>
      </c>
      <c r="F96" s="87" t="str">
        <f>IF(Coureurs!G96="","",Coureurs!G96)</f>
        <v/>
      </c>
      <c r="G96" s="105">
        <f>'Course 1'!M96+'Course 2'!M96+'Course 3'!M96+'Course 4'!M96+'Course 5'!M96</f>
        <v>0</v>
      </c>
      <c r="H96" s="52"/>
    </row>
    <row r="97" spans="2:8" ht="12.75">
      <c r="B97" s="14">
        <v>93</v>
      </c>
      <c r="C97" s="28" t="e">
        <f>IF(Coureurs!C97="","",Coureurs!C97)</f>
        <v>#N/A</v>
      </c>
      <c r="D97" s="143" t="str">
        <f>IF(Coureurs!D97="","",Coureurs!D97)</f>
        <v>70</v>
      </c>
      <c r="E97" s="87" t="str">
        <f>IF(Coureurs!F97="","",Coureurs!F97)</f>
        <v/>
      </c>
      <c r="F97" s="87" t="str">
        <f>IF(Coureurs!G97="","",Coureurs!G97)</f>
        <v/>
      </c>
      <c r="G97" s="105">
        <f>'Course 1'!M97+'Course 2'!M97+'Course 3'!M97+'Course 4'!M97+'Course 5'!M97</f>
        <v>0</v>
      </c>
      <c r="H97" s="52"/>
    </row>
    <row r="98" spans="2:8" ht="12.75">
      <c r="B98" s="14">
        <v>94</v>
      </c>
      <c r="C98" s="28" t="e">
        <f>IF(Coureurs!C98="","",Coureurs!C98)</f>
        <v>#N/A</v>
      </c>
      <c r="D98" s="143" t="str">
        <f>IF(Coureurs!D98="","",Coureurs!D98)</f>
        <v>70</v>
      </c>
      <c r="E98" s="87" t="str">
        <f>IF(Coureurs!F98="","",Coureurs!F98)</f>
        <v/>
      </c>
      <c r="F98" s="87" t="str">
        <f>IF(Coureurs!G98="","",Coureurs!G98)</f>
        <v/>
      </c>
      <c r="G98" s="105">
        <f>'Course 1'!M98+'Course 2'!M98+'Course 3'!M98+'Course 4'!M98+'Course 5'!M98</f>
        <v>0</v>
      </c>
      <c r="H98" s="52"/>
    </row>
    <row r="99" spans="2:8" ht="12.75">
      <c r="B99" s="14">
        <v>95</v>
      </c>
      <c r="C99" s="28" t="e">
        <f>IF(Coureurs!C99="","",Coureurs!C99)</f>
        <v>#N/A</v>
      </c>
      <c r="D99" s="143" t="str">
        <f>IF(Coureurs!D99="","",Coureurs!D99)</f>
        <v>70</v>
      </c>
      <c r="E99" s="87" t="str">
        <f>IF(Coureurs!F99="","",Coureurs!F99)</f>
        <v/>
      </c>
      <c r="F99" s="87" t="str">
        <f>IF(Coureurs!G99="","",Coureurs!G99)</f>
        <v/>
      </c>
      <c r="G99" s="105">
        <f>'Course 1'!M99+'Course 2'!M99+'Course 3'!M99+'Course 4'!M99+'Course 5'!M99</f>
        <v>0</v>
      </c>
      <c r="H99" s="52"/>
    </row>
    <row r="100" spans="2:8" ht="12.75">
      <c r="B100" s="14">
        <v>96</v>
      </c>
      <c r="C100" s="28" t="e">
        <f>IF(Coureurs!C100="","",Coureurs!C100)</f>
        <v>#N/A</v>
      </c>
      <c r="D100" s="143" t="str">
        <f>IF(Coureurs!D100="","",Coureurs!D100)</f>
        <v>70</v>
      </c>
      <c r="E100" s="87" t="str">
        <f>IF(Coureurs!F100="","",Coureurs!F100)</f>
        <v/>
      </c>
      <c r="F100" s="87" t="str">
        <f>IF(Coureurs!G100="","",Coureurs!G100)</f>
        <v/>
      </c>
      <c r="G100" s="105">
        <f>'Course 1'!M100+'Course 2'!M100+'Course 3'!M100+'Course 4'!M100+'Course 5'!M100</f>
        <v>0</v>
      </c>
      <c r="H100" s="52"/>
    </row>
    <row r="101" spans="2:8" ht="12.75">
      <c r="B101" s="14">
        <v>97</v>
      </c>
      <c r="C101" s="28" t="e">
        <f>IF(Coureurs!C101="","",Coureurs!C101)</f>
        <v>#N/A</v>
      </c>
      <c r="D101" s="143" t="str">
        <f>IF(Coureurs!D101="","",Coureurs!D101)</f>
        <v>70</v>
      </c>
      <c r="E101" s="87" t="str">
        <f>IF(Coureurs!F101="","",Coureurs!F101)</f>
        <v/>
      </c>
      <c r="F101" s="87" t="str">
        <f>IF(Coureurs!G101="","",Coureurs!G101)</f>
        <v/>
      </c>
      <c r="G101" s="105">
        <f>'Course 1'!M101+'Course 2'!M101+'Course 3'!M101+'Course 4'!M101+'Course 5'!M101</f>
        <v>0</v>
      </c>
      <c r="H101" s="52"/>
    </row>
    <row r="102" spans="2:8" ht="12.75">
      <c r="B102" s="14">
        <v>98</v>
      </c>
      <c r="C102" s="28" t="e">
        <f>IF(Coureurs!C102="","",Coureurs!C102)</f>
        <v>#N/A</v>
      </c>
      <c r="D102" s="143" t="str">
        <f>IF(Coureurs!D102="","",Coureurs!D102)</f>
        <v>70</v>
      </c>
      <c r="E102" s="87" t="str">
        <f>IF(Coureurs!F102="","",Coureurs!F102)</f>
        <v/>
      </c>
      <c r="F102" s="87" t="str">
        <f>IF(Coureurs!G102="","",Coureurs!G102)</f>
        <v/>
      </c>
      <c r="G102" s="105">
        <f>'Course 1'!M102+'Course 2'!M102+'Course 3'!M102+'Course 4'!M102+'Course 5'!M102</f>
        <v>0</v>
      </c>
      <c r="H102" s="52"/>
    </row>
    <row r="103" spans="2:8" ht="12.75">
      <c r="B103" s="14">
        <v>99</v>
      </c>
      <c r="C103" s="28" t="e">
        <f>IF(Coureurs!C103="","",Coureurs!C103)</f>
        <v>#N/A</v>
      </c>
      <c r="D103" s="143" t="str">
        <f>IF(Coureurs!D103="","",Coureurs!D103)</f>
        <v>70</v>
      </c>
      <c r="E103" s="87" t="str">
        <f>IF(Coureurs!F103="","",Coureurs!F103)</f>
        <v/>
      </c>
      <c r="F103" s="87" t="str">
        <f>IF(Coureurs!G103="","",Coureurs!G103)</f>
        <v/>
      </c>
      <c r="G103" s="105">
        <f>'Course 1'!M103+'Course 2'!M103+'Course 3'!M103+'Course 4'!M103+'Course 5'!M103</f>
        <v>0</v>
      </c>
      <c r="H103" s="52"/>
    </row>
    <row r="104" spans="2:8" ht="12.75">
      <c r="B104" s="14">
        <v>100</v>
      </c>
      <c r="C104" s="28" t="e">
        <f>IF(Coureurs!C104="","",Coureurs!C104)</f>
        <v>#N/A</v>
      </c>
      <c r="D104" s="143" t="str">
        <f>IF(Coureurs!D104="","",Coureurs!D104)</f>
        <v>70</v>
      </c>
      <c r="E104" s="87" t="str">
        <f>IF(Coureurs!F104="","",Coureurs!F104)</f>
        <v/>
      </c>
      <c r="F104" s="87" t="str">
        <f>IF(Coureurs!G104="","",Coureurs!G104)</f>
        <v/>
      </c>
      <c r="G104" s="105">
        <f>'Course 1'!M104+'Course 2'!M104+'Course 3'!M104+'Course 4'!M104+'Course 5'!M104</f>
        <v>0</v>
      </c>
      <c r="H104" s="52"/>
    </row>
    <row r="105" spans="2:8" ht="12.75">
      <c r="B105" s="14">
        <v>101</v>
      </c>
      <c r="C105" s="28" t="e">
        <f>IF(Coureurs!C105="","",Coureurs!C105)</f>
        <v>#N/A</v>
      </c>
      <c r="D105" s="143" t="str">
        <f>IF(Coureurs!D105="","",Coureurs!D105)</f>
        <v>70</v>
      </c>
      <c r="E105" s="87" t="str">
        <f>IF(Coureurs!F105="","",Coureurs!F105)</f>
        <v/>
      </c>
      <c r="F105" s="87" t="str">
        <f>IF(Coureurs!G105="","",Coureurs!G105)</f>
        <v/>
      </c>
      <c r="G105" s="105">
        <f>'Course 1'!M105+'Course 2'!M105+'Course 3'!M105+'Course 4'!M105+'Course 5'!M105</f>
        <v>0</v>
      </c>
      <c r="H105" s="52"/>
    </row>
    <row r="106" spans="2:8" ht="12.75">
      <c r="B106" s="14">
        <v>102</v>
      </c>
      <c r="C106" s="28" t="e">
        <f>IF(Coureurs!C106="","",Coureurs!C106)</f>
        <v>#N/A</v>
      </c>
      <c r="D106" s="143" t="str">
        <f>IF(Coureurs!D106="","",Coureurs!D106)</f>
        <v>70</v>
      </c>
      <c r="E106" s="87" t="str">
        <f>IF(Coureurs!F106="","",Coureurs!F106)</f>
        <v/>
      </c>
      <c r="F106" s="87" t="str">
        <f>IF(Coureurs!G106="","",Coureurs!G106)</f>
        <v/>
      </c>
      <c r="G106" s="105">
        <f>'Course 1'!M106+'Course 2'!M106+'Course 3'!M106+'Course 4'!M106+'Course 5'!M106</f>
        <v>0</v>
      </c>
      <c r="H106" s="52"/>
    </row>
    <row r="107" spans="2:8" ht="12.75">
      <c r="B107" s="14">
        <v>103</v>
      </c>
      <c r="C107" s="28" t="e">
        <f>IF(Coureurs!C107="","",Coureurs!C107)</f>
        <v>#N/A</v>
      </c>
      <c r="D107" s="143" t="str">
        <f>IF(Coureurs!D107="","",Coureurs!D107)</f>
        <v>70</v>
      </c>
      <c r="E107" s="87" t="str">
        <f>IF(Coureurs!F107="","",Coureurs!F107)</f>
        <v/>
      </c>
      <c r="F107" s="87" t="str">
        <f>IF(Coureurs!G107="","",Coureurs!G107)</f>
        <v/>
      </c>
      <c r="G107" s="105">
        <f>'Course 1'!M107+'Course 2'!M107+'Course 3'!M107+'Course 4'!M107+'Course 5'!M107</f>
        <v>0</v>
      </c>
      <c r="H107" s="52"/>
    </row>
    <row r="108" spans="2:8" ht="12.75">
      <c r="B108" s="14">
        <v>104</v>
      </c>
      <c r="C108" s="28" t="e">
        <f>IF(Coureurs!C108="","",Coureurs!C108)</f>
        <v>#N/A</v>
      </c>
      <c r="D108" s="143" t="str">
        <f>IF(Coureurs!D108="","",Coureurs!D108)</f>
        <v>70</v>
      </c>
      <c r="E108" s="87" t="str">
        <f>IF(Coureurs!F108="","",Coureurs!F108)</f>
        <v/>
      </c>
      <c r="F108" s="87" t="str">
        <f>IF(Coureurs!G108="","",Coureurs!G108)</f>
        <v/>
      </c>
      <c r="G108" s="105">
        <f>'Course 1'!M108+'Course 2'!M108+'Course 3'!M108+'Course 4'!M108+'Course 5'!M108</f>
        <v>0</v>
      </c>
      <c r="H108" s="52"/>
    </row>
    <row r="109" spans="2:8" ht="12.75">
      <c r="B109" s="14">
        <v>105</v>
      </c>
      <c r="C109" s="28" t="e">
        <f>IF(Coureurs!C109="","",Coureurs!C109)</f>
        <v>#N/A</v>
      </c>
      <c r="D109" s="143" t="str">
        <f>IF(Coureurs!D109="","",Coureurs!D109)</f>
        <v>70</v>
      </c>
      <c r="E109" s="87" t="str">
        <f>IF(Coureurs!F109="","",Coureurs!F109)</f>
        <v/>
      </c>
      <c r="F109" s="87" t="str">
        <f>IF(Coureurs!G109="","",Coureurs!G109)</f>
        <v/>
      </c>
      <c r="G109" s="105">
        <f>'Course 1'!M109+'Course 2'!M109+'Course 3'!M109+'Course 4'!M109+'Course 5'!M109</f>
        <v>0</v>
      </c>
      <c r="H109" s="52"/>
    </row>
    <row r="110" spans="2:8" ht="12.75">
      <c r="B110" s="14">
        <v>106</v>
      </c>
      <c r="C110" s="28" t="e">
        <f>IF(Coureurs!C110="","",Coureurs!C110)</f>
        <v>#N/A</v>
      </c>
      <c r="D110" s="143" t="str">
        <f>IF(Coureurs!D110="","",Coureurs!D110)</f>
        <v>70</v>
      </c>
      <c r="E110" s="87" t="str">
        <f>IF(Coureurs!F110="","",Coureurs!F110)</f>
        <v/>
      </c>
      <c r="F110" s="87" t="str">
        <f>IF(Coureurs!G110="","",Coureurs!G110)</f>
        <v/>
      </c>
      <c r="G110" s="105">
        <f>'Course 1'!M110+'Course 2'!M110+'Course 3'!M110+'Course 4'!M110+'Course 5'!M110</f>
        <v>0</v>
      </c>
      <c r="H110" s="52"/>
    </row>
    <row r="111" spans="2:8" ht="12.75">
      <c r="B111" s="14">
        <v>107</v>
      </c>
      <c r="C111" s="28" t="e">
        <f>IF(Coureurs!C111="","",Coureurs!C111)</f>
        <v>#N/A</v>
      </c>
      <c r="D111" s="143" t="str">
        <f>IF(Coureurs!D111="","",Coureurs!D111)</f>
        <v>70</v>
      </c>
      <c r="E111" s="87" t="str">
        <f>IF(Coureurs!F111="","",Coureurs!F111)</f>
        <v/>
      </c>
      <c r="F111" s="87" t="str">
        <f>IF(Coureurs!G111="","",Coureurs!G111)</f>
        <v/>
      </c>
      <c r="G111" s="105">
        <f>'Course 1'!M111+'Course 2'!M111+'Course 3'!M111+'Course 4'!M111+'Course 5'!M111</f>
        <v>0</v>
      </c>
      <c r="H111" s="52"/>
    </row>
    <row r="112" spans="2:8" ht="12.75">
      <c r="B112" s="14">
        <v>108</v>
      </c>
      <c r="C112" s="28" t="e">
        <f>IF(Coureurs!C112="","",Coureurs!C112)</f>
        <v>#N/A</v>
      </c>
      <c r="D112" s="143" t="str">
        <f>IF(Coureurs!D112="","",Coureurs!D112)</f>
        <v>70</v>
      </c>
      <c r="E112" s="87" t="str">
        <f>IF(Coureurs!F112="","",Coureurs!F112)</f>
        <v/>
      </c>
      <c r="F112" s="87" t="str">
        <f>IF(Coureurs!G112="","",Coureurs!G112)</f>
        <v/>
      </c>
      <c r="G112" s="105">
        <f>'Course 1'!M112+'Course 2'!M112+'Course 3'!M112+'Course 4'!M112+'Course 5'!M112</f>
        <v>0</v>
      </c>
      <c r="H112" s="52"/>
    </row>
    <row r="113" spans="2:8" ht="12.75">
      <c r="B113" s="14">
        <v>109</v>
      </c>
      <c r="C113" s="28" t="e">
        <f>IF(Coureurs!C113="","",Coureurs!C113)</f>
        <v>#N/A</v>
      </c>
      <c r="D113" s="143" t="str">
        <f>IF(Coureurs!D113="","",Coureurs!D113)</f>
        <v>70</v>
      </c>
      <c r="E113" s="87" t="str">
        <f>IF(Coureurs!F113="","",Coureurs!F113)</f>
        <v/>
      </c>
      <c r="F113" s="87" t="str">
        <f>IF(Coureurs!G113="","",Coureurs!G113)</f>
        <v/>
      </c>
      <c r="G113" s="105">
        <f>'Course 1'!M113+'Course 2'!M113+'Course 3'!M113+'Course 4'!M113+'Course 5'!M113</f>
        <v>0</v>
      </c>
      <c r="H113" s="52"/>
    </row>
    <row r="114" spans="2:8" ht="12.75">
      <c r="B114" s="14">
        <v>110</v>
      </c>
      <c r="C114" s="28" t="e">
        <f>IF(Coureurs!C114="","",Coureurs!C114)</f>
        <v>#N/A</v>
      </c>
      <c r="D114" s="143" t="str">
        <f>IF(Coureurs!D114="","",Coureurs!D114)</f>
        <v>70</v>
      </c>
      <c r="E114" s="87" t="str">
        <f>IF(Coureurs!F114="","",Coureurs!F114)</f>
        <v/>
      </c>
      <c r="F114" s="87" t="str">
        <f>IF(Coureurs!G114="","",Coureurs!G114)</f>
        <v/>
      </c>
      <c r="G114" s="105">
        <f>'Course 1'!M114+'Course 2'!M114+'Course 3'!M114+'Course 4'!M114+'Course 5'!M114</f>
        <v>0</v>
      </c>
      <c r="H114" s="52"/>
    </row>
    <row r="115" spans="2:8" ht="12.75">
      <c r="B115" s="14">
        <v>111</v>
      </c>
      <c r="C115" s="28" t="e">
        <f>IF(Coureurs!C115="","",Coureurs!C115)</f>
        <v>#N/A</v>
      </c>
      <c r="D115" s="143" t="str">
        <f>IF(Coureurs!D115="","",Coureurs!D115)</f>
        <v>70</v>
      </c>
      <c r="E115" s="87" t="str">
        <f>IF(Coureurs!F115="","",Coureurs!F115)</f>
        <v/>
      </c>
      <c r="F115" s="87" t="str">
        <f>IF(Coureurs!G115="","",Coureurs!G115)</f>
        <v/>
      </c>
      <c r="G115" s="105">
        <f>'Course 1'!M115+'Course 2'!M115+'Course 3'!M115+'Course 4'!M115+'Course 5'!M115</f>
        <v>0</v>
      </c>
      <c r="H115" s="52"/>
    </row>
    <row r="116" spans="2:8" ht="12.75">
      <c r="B116" s="14">
        <v>112</v>
      </c>
      <c r="C116" s="28" t="e">
        <f>IF(Coureurs!C116="","",Coureurs!C116)</f>
        <v>#N/A</v>
      </c>
      <c r="D116" s="143" t="str">
        <f>IF(Coureurs!D116="","",Coureurs!D116)</f>
        <v>70</v>
      </c>
      <c r="E116" s="87" t="str">
        <f>IF(Coureurs!F116="","",Coureurs!F116)</f>
        <v/>
      </c>
      <c r="F116" s="87" t="str">
        <f>IF(Coureurs!G116="","",Coureurs!G116)</f>
        <v/>
      </c>
      <c r="G116" s="105">
        <f>'Course 1'!M116+'Course 2'!M116+'Course 3'!M116+'Course 4'!M116+'Course 5'!M116</f>
        <v>0</v>
      </c>
      <c r="H116" s="52"/>
    </row>
    <row r="117" spans="2:8" ht="12.75">
      <c r="B117" s="14">
        <v>113</v>
      </c>
      <c r="C117" s="28" t="e">
        <f>IF(Coureurs!C117="","",Coureurs!C117)</f>
        <v>#N/A</v>
      </c>
      <c r="D117" s="143" t="str">
        <f>IF(Coureurs!D117="","",Coureurs!D117)</f>
        <v>70</v>
      </c>
      <c r="E117" s="87" t="str">
        <f>IF(Coureurs!F117="","",Coureurs!F117)</f>
        <v/>
      </c>
      <c r="F117" s="87" t="str">
        <f>IF(Coureurs!G117="","",Coureurs!G117)</f>
        <v/>
      </c>
      <c r="G117" s="105">
        <f>'Course 1'!M117+'Course 2'!M117+'Course 3'!M117+'Course 4'!M117+'Course 5'!M117</f>
        <v>0</v>
      </c>
      <c r="H117" s="52"/>
    </row>
    <row r="118" spans="2:8" ht="12.75">
      <c r="B118" s="14">
        <v>114</v>
      </c>
      <c r="C118" s="28" t="e">
        <f>IF(Coureurs!C118="","",Coureurs!C118)</f>
        <v>#N/A</v>
      </c>
      <c r="D118" s="143" t="str">
        <f>IF(Coureurs!D118="","",Coureurs!D118)</f>
        <v>70</v>
      </c>
      <c r="E118" s="87" t="str">
        <f>IF(Coureurs!F118="","",Coureurs!F118)</f>
        <v/>
      </c>
      <c r="F118" s="87" t="str">
        <f>IF(Coureurs!G118="","",Coureurs!G118)</f>
        <v/>
      </c>
      <c r="G118" s="105">
        <f>'Course 1'!M118+'Course 2'!M118+'Course 3'!M118+'Course 4'!M118+'Course 5'!M118</f>
        <v>0</v>
      </c>
      <c r="H118" s="52"/>
    </row>
    <row r="119" spans="2:8" ht="12.75">
      <c r="B119" s="14">
        <v>115</v>
      </c>
      <c r="C119" s="28" t="e">
        <f>IF(Coureurs!C119="","",Coureurs!C119)</f>
        <v>#N/A</v>
      </c>
      <c r="D119" s="143" t="str">
        <f>IF(Coureurs!D119="","",Coureurs!D119)</f>
        <v>70</v>
      </c>
      <c r="E119" s="87" t="str">
        <f>IF(Coureurs!F119="","",Coureurs!F119)</f>
        <v/>
      </c>
      <c r="F119" s="87" t="str">
        <f>IF(Coureurs!G119="","",Coureurs!G119)</f>
        <v/>
      </c>
      <c r="G119" s="105">
        <f>'Course 1'!M119+'Course 2'!M119+'Course 3'!M119+'Course 4'!M119+'Course 5'!M119</f>
        <v>0</v>
      </c>
      <c r="H119" s="52"/>
    </row>
    <row r="120" spans="2:8" ht="12.75">
      <c r="B120" s="14">
        <v>116</v>
      </c>
      <c r="C120" s="28" t="e">
        <f>IF(Coureurs!C120="","",Coureurs!C120)</f>
        <v>#N/A</v>
      </c>
      <c r="D120" s="143" t="str">
        <f>IF(Coureurs!D120="","",Coureurs!D120)</f>
        <v>70</v>
      </c>
      <c r="E120" s="87" t="str">
        <f>IF(Coureurs!F120="","",Coureurs!F120)</f>
        <v/>
      </c>
      <c r="F120" s="87" t="str">
        <f>IF(Coureurs!G120="","",Coureurs!G120)</f>
        <v/>
      </c>
      <c r="G120" s="105">
        <f>'Course 1'!M120+'Course 2'!M120+'Course 3'!M120+'Course 4'!M120+'Course 5'!M120</f>
        <v>0</v>
      </c>
      <c r="H120" s="52"/>
    </row>
    <row r="121" spans="2:8" ht="12.75">
      <c r="B121" s="14">
        <v>117</v>
      </c>
      <c r="C121" s="28" t="e">
        <f>IF(Coureurs!C121="","",Coureurs!C121)</f>
        <v>#N/A</v>
      </c>
      <c r="D121" s="143" t="str">
        <f>IF(Coureurs!D121="","",Coureurs!D121)</f>
        <v>70</v>
      </c>
      <c r="E121" s="87" t="str">
        <f>IF(Coureurs!F121="","",Coureurs!F121)</f>
        <v/>
      </c>
      <c r="F121" s="87" t="str">
        <f>IF(Coureurs!G121="","",Coureurs!G121)</f>
        <v/>
      </c>
      <c r="G121" s="105">
        <f>'Course 1'!M121+'Course 2'!M121+'Course 3'!M121+'Course 4'!M121+'Course 5'!M121</f>
        <v>0</v>
      </c>
      <c r="H121" s="52"/>
    </row>
    <row r="122" spans="2:8" ht="12.75">
      <c r="B122" s="14">
        <v>118</v>
      </c>
      <c r="C122" s="28" t="str">
        <f>IF(Coureurs!C122="","",Coureurs!C122)</f>
        <v/>
      </c>
      <c r="D122" s="143" t="str">
        <f>IF(Coureurs!D122="","",Coureurs!D122)</f>
        <v>70</v>
      </c>
      <c r="E122" s="87" t="str">
        <f>IF(Coureurs!F122="","",Coureurs!F122)</f>
        <v/>
      </c>
      <c r="F122" s="87" t="str">
        <f>IF(Coureurs!G122="","",Coureurs!G122)</f>
        <v/>
      </c>
      <c r="G122" s="105">
        <f>'Course 1'!M122+'Course 2'!M122+'Course 3'!M122+'Course 4'!M122+'Course 5'!M122</f>
        <v>0</v>
      </c>
      <c r="H122" s="52"/>
    </row>
    <row r="123" spans="2:8" ht="12.75">
      <c r="B123" s="14">
        <v>119</v>
      </c>
      <c r="C123" s="28" t="str">
        <f>IF(Coureurs!C123="","",Coureurs!C123)</f>
        <v/>
      </c>
      <c r="D123" s="143" t="str">
        <f>IF(Coureurs!D123="","",Coureurs!D123)</f>
        <v>70</v>
      </c>
      <c r="E123" s="87" t="str">
        <f>IF(Coureurs!F123="","",Coureurs!F123)</f>
        <v/>
      </c>
      <c r="F123" s="87" t="str">
        <f>IF(Coureurs!G123="","",Coureurs!G123)</f>
        <v/>
      </c>
      <c r="G123" s="105">
        <f>'Course 1'!M123+'Course 2'!M123+'Course 3'!M123+'Course 4'!M123+'Course 5'!M123</f>
        <v>0</v>
      </c>
      <c r="H123" s="52"/>
    </row>
    <row r="124" spans="2:8" ht="12.75">
      <c r="B124" s="14">
        <v>120</v>
      </c>
      <c r="C124" s="28" t="str">
        <f>IF(Coureurs!C124="","",Coureurs!C124)</f>
        <v/>
      </c>
      <c r="D124" s="143" t="str">
        <f>IF(Coureurs!D124="","",Coureurs!D124)</f>
        <v>70</v>
      </c>
      <c r="E124" s="87" t="str">
        <f>IF(Coureurs!F124="","",Coureurs!F124)</f>
        <v/>
      </c>
      <c r="F124" s="87" t="str">
        <f>IF(Coureurs!G124="","",Coureurs!G124)</f>
        <v/>
      </c>
      <c r="G124" s="105">
        <f>'Course 1'!M124+'Course 2'!M124+'Course 3'!M124+'Course 4'!M124+'Course 5'!M124</f>
        <v>0</v>
      </c>
      <c r="H124" s="52"/>
    </row>
    <row r="125" spans="2:8" ht="12.75">
      <c r="B125" s="14">
        <v>121</v>
      </c>
      <c r="C125" s="28" t="str">
        <f>IF(Coureurs!C125="","",Coureurs!C125)</f>
        <v/>
      </c>
      <c r="D125" s="143" t="str">
        <f>IF(Coureurs!D125="","",Coureurs!D125)</f>
        <v>70</v>
      </c>
      <c r="E125" s="87" t="str">
        <f>IF(Coureurs!F125="","",Coureurs!F125)</f>
        <v/>
      </c>
      <c r="F125" s="87" t="str">
        <f>IF(Coureurs!G125="","",Coureurs!G125)</f>
        <v/>
      </c>
      <c r="G125" s="105">
        <f>'Course 1'!M125+'Course 2'!M125+'Course 3'!M125+'Course 4'!M125+'Course 5'!M125</f>
        <v>0</v>
      </c>
      <c r="H125" s="52"/>
    </row>
    <row r="126" spans="2:8" ht="12.75">
      <c r="B126" s="14">
        <v>122</v>
      </c>
      <c r="C126" s="28" t="str">
        <f>IF(Coureurs!C126="","",Coureurs!C126)</f>
        <v/>
      </c>
      <c r="D126" s="143" t="str">
        <f>IF(Coureurs!D126="","",Coureurs!D126)</f>
        <v>70</v>
      </c>
      <c r="E126" s="87" t="str">
        <f>IF(Coureurs!F126="","",Coureurs!F126)</f>
        <v/>
      </c>
      <c r="F126" s="87" t="str">
        <f>IF(Coureurs!G126="","",Coureurs!G126)</f>
        <v/>
      </c>
      <c r="G126" s="105">
        <f>'Course 1'!M126+'Course 2'!M126+'Course 3'!M126+'Course 4'!M126+'Course 5'!M126</f>
        <v>0</v>
      </c>
      <c r="H126" s="52"/>
    </row>
    <row r="127" spans="2:8" ht="12.75">
      <c r="B127" s="14">
        <v>123</v>
      </c>
      <c r="C127" s="28" t="str">
        <f>IF(Coureurs!C127="","",Coureurs!C127)</f>
        <v/>
      </c>
      <c r="D127" s="143" t="str">
        <f>IF(Coureurs!D127="","",Coureurs!D127)</f>
        <v>70</v>
      </c>
      <c r="E127" s="87" t="str">
        <f>IF(Coureurs!F127="","",Coureurs!F127)</f>
        <v/>
      </c>
      <c r="F127" s="87" t="str">
        <f>IF(Coureurs!G127="","",Coureurs!G127)</f>
        <v/>
      </c>
      <c r="G127" s="105">
        <f>'Course 1'!M127+'Course 2'!M127+'Course 3'!M127+'Course 4'!M127+'Course 5'!M127</f>
        <v>0</v>
      </c>
      <c r="H127" s="52"/>
    </row>
    <row r="128" spans="2:8" ht="12.75">
      <c r="B128" s="14">
        <v>124</v>
      </c>
      <c r="C128" s="28" t="str">
        <f>IF(Coureurs!C128="","",Coureurs!C128)</f>
        <v/>
      </c>
      <c r="D128" s="143" t="str">
        <f>IF(Coureurs!D128="","",Coureurs!D128)</f>
        <v>70</v>
      </c>
      <c r="E128" s="87" t="str">
        <f>IF(Coureurs!F128="","",Coureurs!F128)</f>
        <v/>
      </c>
      <c r="F128" s="87" t="str">
        <f>IF(Coureurs!G128="","",Coureurs!G128)</f>
        <v/>
      </c>
      <c r="G128" s="105">
        <f>'Course 1'!M128+'Course 2'!M128+'Course 3'!M128+'Course 4'!M128+'Course 5'!M128</f>
        <v>0</v>
      </c>
      <c r="H128" s="52"/>
    </row>
    <row r="129" spans="2:8" ht="12.75">
      <c r="B129" s="14">
        <v>125</v>
      </c>
      <c r="C129" s="28" t="str">
        <f>IF(Coureurs!C129="","",Coureurs!C129)</f>
        <v/>
      </c>
      <c r="D129" s="143" t="str">
        <f>IF(Coureurs!D129="","",Coureurs!D129)</f>
        <v>70</v>
      </c>
      <c r="E129" s="87" t="str">
        <f>IF(Coureurs!F129="","",Coureurs!F129)</f>
        <v/>
      </c>
      <c r="F129" s="87" t="str">
        <f>IF(Coureurs!G129="","",Coureurs!G129)</f>
        <v/>
      </c>
      <c r="G129" s="105">
        <f>'Course 1'!M129+'Course 2'!M129+'Course 3'!M129+'Course 4'!M129+'Course 5'!M129</f>
        <v>0</v>
      </c>
      <c r="H129" s="52"/>
    </row>
    <row r="130" spans="2:8" ht="12.75">
      <c r="B130" s="14">
        <v>126</v>
      </c>
      <c r="C130" s="28" t="str">
        <f>IF(Coureurs!C130="","",Coureurs!C130)</f>
        <v/>
      </c>
      <c r="D130" s="143" t="str">
        <f>IF(Coureurs!D130="","",Coureurs!D130)</f>
        <v>70</v>
      </c>
      <c r="E130" s="87" t="str">
        <f>IF(Coureurs!F130="","",Coureurs!F130)</f>
        <v/>
      </c>
      <c r="F130" s="87" t="str">
        <f>IF(Coureurs!G130="","",Coureurs!G130)</f>
        <v/>
      </c>
      <c r="G130" s="105">
        <f>'Course 1'!M130+'Course 2'!M130+'Course 3'!M130+'Course 4'!M130+'Course 5'!M130</f>
        <v>0</v>
      </c>
      <c r="H130" s="52"/>
    </row>
    <row r="131" spans="2:8" ht="12.75">
      <c r="B131" s="14">
        <v>127</v>
      </c>
      <c r="C131" s="28" t="str">
        <f>IF(Coureurs!C131="","",Coureurs!C131)</f>
        <v/>
      </c>
      <c r="D131" s="143" t="str">
        <f>IF(Coureurs!D131="","",Coureurs!D131)</f>
        <v>70</v>
      </c>
      <c r="E131" s="87" t="str">
        <f>IF(Coureurs!F131="","",Coureurs!F131)</f>
        <v/>
      </c>
      <c r="F131" s="87" t="str">
        <f>IF(Coureurs!G131="","",Coureurs!G131)</f>
        <v/>
      </c>
      <c r="G131" s="105">
        <f>'Course 1'!M131+'Course 2'!M131+'Course 3'!M131+'Course 4'!M131+'Course 5'!M131</f>
        <v>0</v>
      </c>
      <c r="H131" s="52"/>
    </row>
    <row r="132" spans="2:8" ht="12.75">
      <c r="B132" s="14">
        <v>128</v>
      </c>
      <c r="C132" s="28" t="str">
        <f>IF(Coureurs!C132="","",Coureurs!C132)</f>
        <v/>
      </c>
      <c r="D132" s="143" t="str">
        <f>IF(Coureurs!D132="","",Coureurs!D132)</f>
        <v>70</v>
      </c>
      <c r="E132" s="87" t="str">
        <f>IF(Coureurs!F132="","",Coureurs!F132)</f>
        <v/>
      </c>
      <c r="F132" s="87" t="str">
        <f>IF(Coureurs!G132="","",Coureurs!G132)</f>
        <v/>
      </c>
      <c r="G132" s="105">
        <f>'Course 1'!M132+'Course 2'!M132+'Course 3'!M132+'Course 4'!M132+'Course 5'!M132</f>
        <v>0</v>
      </c>
      <c r="H132" s="52"/>
    </row>
    <row r="133" spans="2:8" ht="12.75">
      <c r="B133" s="14">
        <v>129</v>
      </c>
      <c r="C133" s="28" t="str">
        <f>IF(Coureurs!C133="","",Coureurs!C133)</f>
        <v/>
      </c>
      <c r="D133" s="143" t="str">
        <f>IF(Coureurs!D133="","",Coureurs!D133)</f>
        <v>70</v>
      </c>
      <c r="E133" s="87" t="str">
        <f>IF(Coureurs!F133="","",Coureurs!F133)</f>
        <v/>
      </c>
      <c r="F133" s="87" t="str">
        <f>IF(Coureurs!G133="","",Coureurs!G133)</f>
        <v/>
      </c>
      <c r="G133" s="105">
        <f>'Course 1'!M133+'Course 2'!M133+'Course 3'!M133+'Course 4'!M133+'Course 5'!M133</f>
        <v>0</v>
      </c>
      <c r="H133" s="52"/>
    </row>
    <row r="134" spans="2:8" ht="12.75">
      <c r="B134" s="14">
        <v>130</v>
      </c>
      <c r="C134" s="28" t="str">
        <f>IF(Coureurs!C134="","",Coureurs!C134)</f>
        <v/>
      </c>
      <c r="D134" s="143" t="str">
        <f>IF(Coureurs!D134="","",Coureurs!D134)</f>
        <v>70</v>
      </c>
      <c r="E134" s="87" t="str">
        <f>IF(Coureurs!F134="","",Coureurs!F134)</f>
        <v/>
      </c>
      <c r="F134" s="87" t="str">
        <f>IF(Coureurs!G134="","",Coureurs!G134)</f>
        <v/>
      </c>
      <c r="G134" s="105">
        <f>'Course 1'!M134+'Course 2'!M134+'Course 3'!M134+'Course 4'!M134+'Course 5'!M134</f>
        <v>0</v>
      </c>
      <c r="H134" s="52"/>
    </row>
    <row r="135" spans="2:8" ht="12.75">
      <c r="B135" s="14">
        <v>131</v>
      </c>
      <c r="C135" s="28" t="str">
        <f>IF(Coureurs!C135="","",Coureurs!C135)</f>
        <v/>
      </c>
      <c r="D135" s="143" t="str">
        <f>IF(Coureurs!D135="","",Coureurs!D135)</f>
        <v>70</v>
      </c>
      <c r="E135" s="87" t="str">
        <f>IF(Coureurs!F135="","",Coureurs!F135)</f>
        <v/>
      </c>
      <c r="F135" s="87" t="str">
        <f>IF(Coureurs!G135="","",Coureurs!G135)</f>
        <v/>
      </c>
      <c r="G135" s="105">
        <f>'Course 1'!M135+'Course 2'!M135+'Course 3'!M135+'Course 4'!M135+'Course 5'!M135</f>
        <v>0</v>
      </c>
      <c r="H135" s="52"/>
    </row>
    <row r="136" spans="2:8" ht="12.75">
      <c r="B136" s="14">
        <v>132</v>
      </c>
      <c r="C136" s="28" t="str">
        <f>IF(Coureurs!C136="","",Coureurs!C136)</f>
        <v/>
      </c>
      <c r="D136" s="143" t="str">
        <f>IF(Coureurs!D136="","",Coureurs!D136)</f>
        <v>70</v>
      </c>
      <c r="E136" s="87" t="str">
        <f>IF(Coureurs!F136="","",Coureurs!F136)</f>
        <v/>
      </c>
      <c r="F136" s="87" t="str">
        <f>IF(Coureurs!G136="","",Coureurs!G136)</f>
        <v/>
      </c>
      <c r="G136" s="105">
        <f>'Course 1'!M136+'Course 2'!M136+'Course 3'!M136+'Course 4'!M136+'Course 5'!M136</f>
        <v>0</v>
      </c>
      <c r="H136" s="52"/>
    </row>
    <row r="137" spans="2:8" ht="12.75">
      <c r="B137" s="14">
        <v>133</v>
      </c>
      <c r="C137" s="28" t="str">
        <f>IF(Coureurs!C137="","",Coureurs!C137)</f>
        <v/>
      </c>
      <c r="D137" s="143" t="str">
        <f>IF(Coureurs!D137="","",Coureurs!D137)</f>
        <v>70</v>
      </c>
      <c r="E137" s="87" t="str">
        <f>IF(Coureurs!F137="","",Coureurs!F137)</f>
        <v/>
      </c>
      <c r="F137" s="87" t="str">
        <f>IF(Coureurs!G137="","",Coureurs!G137)</f>
        <v/>
      </c>
      <c r="G137" s="105">
        <f>'Course 1'!M137+'Course 2'!M137+'Course 3'!M137+'Course 4'!M137+'Course 5'!M137</f>
        <v>0</v>
      </c>
      <c r="H137" s="52"/>
    </row>
    <row r="138" spans="2:8" ht="12.75">
      <c r="B138" s="14">
        <v>134</v>
      </c>
      <c r="C138" s="28" t="str">
        <f>IF(Coureurs!C138="","",Coureurs!C138)</f>
        <v/>
      </c>
      <c r="D138" s="143" t="str">
        <f>IF(Coureurs!D138="","",Coureurs!D138)</f>
        <v>70</v>
      </c>
      <c r="E138" s="87" t="str">
        <f>IF(Coureurs!F138="","",Coureurs!F138)</f>
        <v/>
      </c>
      <c r="F138" s="87" t="str">
        <f>IF(Coureurs!G138="","",Coureurs!G138)</f>
        <v/>
      </c>
      <c r="G138" s="105">
        <f>'Course 1'!M138+'Course 2'!M138+'Course 3'!M138+'Course 4'!M138+'Course 5'!M138</f>
        <v>0</v>
      </c>
      <c r="H138" s="52"/>
    </row>
    <row r="139" spans="2:8" ht="12.75">
      <c r="B139" s="14">
        <v>135</v>
      </c>
      <c r="C139" s="28" t="str">
        <f>IF(Coureurs!C139="","",Coureurs!C139)</f>
        <v/>
      </c>
      <c r="D139" s="143" t="str">
        <f>IF(Coureurs!D139="","",Coureurs!D139)</f>
        <v>70</v>
      </c>
      <c r="E139" s="87" t="str">
        <f>IF(Coureurs!F139="","",Coureurs!F139)</f>
        <v/>
      </c>
      <c r="F139" s="87" t="str">
        <f>IF(Coureurs!G139="","",Coureurs!G139)</f>
        <v/>
      </c>
      <c r="G139" s="105">
        <f>'Course 1'!M139+'Course 2'!M139+'Course 3'!M139+'Course 4'!M139+'Course 5'!M139</f>
        <v>0</v>
      </c>
      <c r="H139" s="52"/>
    </row>
    <row r="140" spans="2:8" ht="12.75">
      <c r="B140" s="14">
        <v>136</v>
      </c>
      <c r="C140" s="28" t="str">
        <f>IF(Coureurs!C140="","",Coureurs!C140)</f>
        <v/>
      </c>
      <c r="D140" s="143" t="str">
        <f>IF(Coureurs!D140="","",Coureurs!D140)</f>
        <v>70</v>
      </c>
      <c r="E140" s="87" t="str">
        <f>IF(Coureurs!F140="","",Coureurs!F140)</f>
        <v/>
      </c>
      <c r="F140" s="87" t="str">
        <f>IF(Coureurs!G140="","",Coureurs!G140)</f>
        <v/>
      </c>
      <c r="G140" s="105">
        <f>'Course 1'!M140+'Course 2'!M140+'Course 3'!M140+'Course 4'!M140+'Course 5'!M140</f>
        <v>0</v>
      </c>
      <c r="H140" s="52"/>
    </row>
    <row r="141" spans="2:8" ht="12.75">
      <c r="B141" s="14">
        <v>137</v>
      </c>
      <c r="C141" s="28" t="str">
        <f>IF(Coureurs!C141="","",Coureurs!C141)</f>
        <v/>
      </c>
      <c r="D141" s="143" t="str">
        <f>IF(Coureurs!D141="","",Coureurs!D141)</f>
        <v>70</v>
      </c>
      <c r="E141" s="87" t="str">
        <f>IF(Coureurs!F141="","",Coureurs!F141)</f>
        <v/>
      </c>
      <c r="F141" s="87" t="str">
        <f>IF(Coureurs!G141="","",Coureurs!G141)</f>
        <v/>
      </c>
      <c r="G141" s="105">
        <f>'Course 1'!M141+'Course 2'!M141+'Course 3'!M141+'Course 4'!M141+'Course 5'!M141</f>
        <v>0</v>
      </c>
      <c r="H141" s="52"/>
    </row>
    <row r="142" spans="2:8" ht="12.75">
      <c r="B142" s="14">
        <v>138</v>
      </c>
      <c r="C142" s="28" t="str">
        <f>IF(Coureurs!C142="","",Coureurs!C142)</f>
        <v/>
      </c>
      <c r="D142" s="143" t="str">
        <f>IF(Coureurs!D142="","",Coureurs!D142)</f>
        <v>70</v>
      </c>
      <c r="E142" s="87" t="str">
        <f>IF(Coureurs!F142="","",Coureurs!F142)</f>
        <v/>
      </c>
      <c r="F142" s="87" t="str">
        <f>IF(Coureurs!G142="","",Coureurs!G142)</f>
        <v/>
      </c>
      <c r="G142" s="105">
        <f>'Course 1'!M142+'Course 2'!M142+'Course 3'!M142+'Course 4'!M142+'Course 5'!M142</f>
        <v>0</v>
      </c>
      <c r="H142" s="52"/>
    </row>
    <row r="143" spans="2:8" ht="12.75">
      <c r="B143" s="14">
        <v>139</v>
      </c>
      <c r="C143" s="28" t="str">
        <f>IF(Coureurs!C143="","",Coureurs!C143)</f>
        <v/>
      </c>
      <c r="D143" s="143" t="str">
        <f>IF(Coureurs!D143="","",Coureurs!D143)</f>
        <v>70</v>
      </c>
      <c r="E143" s="87" t="str">
        <f>IF(Coureurs!F143="","",Coureurs!F143)</f>
        <v/>
      </c>
      <c r="F143" s="87" t="str">
        <f>IF(Coureurs!G143="","",Coureurs!G143)</f>
        <v/>
      </c>
      <c r="G143" s="105">
        <f>'Course 1'!M143+'Course 2'!M143+'Course 3'!M143+'Course 4'!M143+'Course 5'!M143</f>
        <v>0</v>
      </c>
      <c r="H143" s="52"/>
    </row>
    <row r="144" spans="2:8" ht="12.75">
      <c r="B144" s="14">
        <v>140</v>
      </c>
      <c r="C144" s="28" t="str">
        <f>IF(Coureurs!C144="","",Coureurs!C144)</f>
        <v/>
      </c>
      <c r="D144" s="143" t="str">
        <f>IF(Coureurs!D144="","",Coureurs!D144)</f>
        <v>70</v>
      </c>
      <c r="E144" s="87" t="str">
        <f>IF(Coureurs!F144="","",Coureurs!F144)</f>
        <v/>
      </c>
      <c r="F144" s="87" t="str">
        <f>IF(Coureurs!G144="","",Coureurs!G144)</f>
        <v/>
      </c>
      <c r="G144" s="105">
        <f>'Course 1'!M144+'Course 2'!M144+'Course 3'!M144+'Course 4'!M144+'Course 5'!M144</f>
        <v>0</v>
      </c>
      <c r="H144" s="52"/>
    </row>
    <row r="145" spans="2:8" ht="12.75">
      <c r="B145" s="14">
        <v>141</v>
      </c>
      <c r="C145" s="28" t="str">
        <f>IF(Coureurs!C145="","",Coureurs!C145)</f>
        <v/>
      </c>
      <c r="D145" s="143" t="str">
        <f>IF(Coureurs!D145="","",Coureurs!D145)</f>
        <v>70</v>
      </c>
      <c r="E145" s="87" t="str">
        <f>IF(Coureurs!F145="","",Coureurs!F145)</f>
        <v/>
      </c>
      <c r="F145" s="87" t="str">
        <f>IF(Coureurs!G145="","",Coureurs!G145)</f>
        <v/>
      </c>
      <c r="G145" s="105">
        <f>'Course 1'!M145+'Course 2'!M145+'Course 3'!M145+'Course 4'!M145+'Course 5'!M145</f>
        <v>0</v>
      </c>
      <c r="H145" s="52"/>
    </row>
    <row r="146" spans="2:8" ht="12.75">
      <c r="B146" s="14">
        <v>142</v>
      </c>
      <c r="C146" s="28" t="str">
        <f>IF(Coureurs!C146="","",Coureurs!C146)</f>
        <v/>
      </c>
      <c r="D146" s="143" t="str">
        <f>IF(Coureurs!D146="","",Coureurs!D146)</f>
        <v>70</v>
      </c>
      <c r="E146" s="87" t="str">
        <f>IF(Coureurs!F146="","",Coureurs!F146)</f>
        <v/>
      </c>
      <c r="F146" s="87" t="str">
        <f>IF(Coureurs!G146="","",Coureurs!G146)</f>
        <v/>
      </c>
      <c r="G146" s="105">
        <f>'Course 1'!M146+'Course 2'!M146+'Course 3'!M146+'Course 4'!M146+'Course 5'!M146</f>
        <v>0</v>
      </c>
      <c r="H146" s="52"/>
    </row>
    <row r="147" spans="2:8" ht="12.75">
      <c r="B147" s="14">
        <v>143</v>
      </c>
      <c r="C147" s="28" t="str">
        <f>IF(Coureurs!C147="","",Coureurs!C147)</f>
        <v/>
      </c>
      <c r="D147" s="143" t="str">
        <f>IF(Coureurs!D147="","",Coureurs!D147)</f>
        <v>70</v>
      </c>
      <c r="E147" s="87" t="str">
        <f>IF(Coureurs!F147="","",Coureurs!F147)</f>
        <v/>
      </c>
      <c r="F147" s="87" t="str">
        <f>IF(Coureurs!G147="","",Coureurs!G147)</f>
        <v/>
      </c>
      <c r="G147" s="105">
        <f>'Course 1'!M147+'Course 2'!M147+'Course 3'!M147+'Course 4'!M147+'Course 5'!M147</f>
        <v>0</v>
      </c>
      <c r="H147" s="52"/>
    </row>
    <row r="148" spans="2:8" ht="12.75">
      <c r="B148" s="14">
        <v>144</v>
      </c>
      <c r="C148" s="28" t="str">
        <f>IF(Coureurs!C148="","",Coureurs!C148)</f>
        <v/>
      </c>
      <c r="D148" s="143" t="str">
        <f>IF(Coureurs!D148="","",Coureurs!D148)</f>
        <v>70</v>
      </c>
      <c r="E148" s="87" t="str">
        <f>IF(Coureurs!F148="","",Coureurs!F148)</f>
        <v/>
      </c>
      <c r="F148" s="87" t="str">
        <f>IF(Coureurs!G148="","",Coureurs!G148)</f>
        <v/>
      </c>
      <c r="G148" s="105">
        <f>'Course 1'!M148+'Course 2'!M148+'Course 3'!M148+'Course 4'!M148+'Course 5'!M148</f>
        <v>0</v>
      </c>
      <c r="H148" s="52"/>
    </row>
    <row r="149" spans="2:8" ht="12.75">
      <c r="B149" s="14">
        <v>145</v>
      </c>
      <c r="C149" s="28" t="str">
        <f>IF(Coureurs!C149="","",Coureurs!C149)</f>
        <v/>
      </c>
      <c r="D149" s="143" t="str">
        <f>IF(Coureurs!D149="","",Coureurs!D149)</f>
        <v>70</v>
      </c>
      <c r="E149" s="87" t="str">
        <f>IF(Coureurs!F149="","",Coureurs!F149)</f>
        <v/>
      </c>
      <c r="F149" s="87" t="str">
        <f>IF(Coureurs!G149="","",Coureurs!G149)</f>
        <v/>
      </c>
      <c r="G149" s="105">
        <f>'Course 1'!M149+'Course 2'!M149+'Course 3'!M149+'Course 4'!M149+'Course 5'!M149</f>
        <v>0</v>
      </c>
      <c r="H149" s="52"/>
    </row>
    <row r="150" spans="2:8" ht="12.75">
      <c r="B150" s="14">
        <v>146</v>
      </c>
      <c r="C150" s="28" t="str">
        <f>IF(Coureurs!C150="","",Coureurs!C150)</f>
        <v/>
      </c>
      <c r="D150" s="143" t="str">
        <f>IF(Coureurs!D150="","",Coureurs!D150)</f>
        <v>70</v>
      </c>
      <c r="E150" s="87" t="str">
        <f>IF(Coureurs!F150="","",Coureurs!F150)</f>
        <v/>
      </c>
      <c r="F150" s="87" t="str">
        <f>IF(Coureurs!G150="","",Coureurs!G150)</f>
        <v/>
      </c>
      <c r="G150" s="105">
        <f>'Course 1'!M150+'Course 2'!M150+'Course 3'!M150+'Course 4'!M150+'Course 5'!M150</f>
        <v>0</v>
      </c>
      <c r="H150" s="52"/>
    </row>
    <row r="151" spans="2:8" ht="12.75">
      <c r="B151" s="14">
        <v>147</v>
      </c>
      <c r="C151" s="28" t="str">
        <f>IF(Coureurs!C151="","",Coureurs!C151)</f>
        <v/>
      </c>
      <c r="D151" s="143" t="str">
        <f>IF(Coureurs!D151="","",Coureurs!D151)</f>
        <v>70</v>
      </c>
      <c r="E151" s="87" t="str">
        <f>IF(Coureurs!F151="","",Coureurs!F151)</f>
        <v/>
      </c>
      <c r="F151" s="87" t="str">
        <f>IF(Coureurs!G151="","",Coureurs!G151)</f>
        <v/>
      </c>
      <c r="G151" s="105">
        <f>'Course 1'!M151+'Course 2'!M151+'Course 3'!M151+'Course 4'!M151+'Course 5'!M151</f>
        <v>0</v>
      </c>
      <c r="H151" s="52"/>
    </row>
    <row r="152" spans="2:8" ht="12.75">
      <c r="B152" s="14">
        <v>148</v>
      </c>
      <c r="C152" s="28" t="str">
        <f>IF(Coureurs!C152="","",Coureurs!C152)</f>
        <v/>
      </c>
      <c r="D152" s="143" t="str">
        <f>IF(Coureurs!D152="","",Coureurs!D152)</f>
        <v>70</v>
      </c>
      <c r="E152" s="87" t="str">
        <f>IF(Coureurs!F152="","",Coureurs!F152)</f>
        <v/>
      </c>
      <c r="F152" s="87" t="str">
        <f>IF(Coureurs!G152="","",Coureurs!G152)</f>
        <v/>
      </c>
      <c r="G152" s="105">
        <f>'Course 1'!M152+'Course 2'!M152+'Course 3'!M152+'Course 4'!M152+'Course 5'!M152</f>
        <v>0</v>
      </c>
      <c r="H152" s="52"/>
    </row>
    <row r="153" spans="2:8" ht="12.75">
      <c r="B153" s="14">
        <v>149</v>
      </c>
      <c r="C153" s="28" t="str">
        <f>IF(Coureurs!C153="","",Coureurs!C153)</f>
        <v/>
      </c>
      <c r="D153" s="143" t="str">
        <f>IF(Coureurs!D153="","",Coureurs!D153)</f>
        <v>70</v>
      </c>
      <c r="E153" s="87" t="str">
        <f>IF(Coureurs!F153="","",Coureurs!F153)</f>
        <v/>
      </c>
      <c r="F153" s="87" t="str">
        <f>IF(Coureurs!G153="","",Coureurs!G153)</f>
        <v/>
      </c>
      <c r="G153" s="105">
        <f>'Course 1'!M153+'Course 2'!M153+'Course 3'!M153+'Course 4'!M153+'Course 5'!M153</f>
        <v>0</v>
      </c>
      <c r="H153" s="52"/>
    </row>
    <row r="154" spans="2:8" ht="12.75">
      <c r="B154" s="14">
        <v>150</v>
      </c>
      <c r="C154" s="28" t="str">
        <f>IF(Coureurs!C154="","",Coureurs!C154)</f>
        <v/>
      </c>
      <c r="D154" s="143" t="str">
        <f>IF(Coureurs!D154="","",Coureurs!D154)</f>
        <v>70</v>
      </c>
      <c r="E154" s="87" t="str">
        <f>IF(Coureurs!F154="","",Coureurs!F154)</f>
        <v/>
      </c>
      <c r="F154" s="87" t="str">
        <f>IF(Coureurs!G154="","",Coureurs!G154)</f>
        <v/>
      </c>
      <c r="G154" s="105">
        <f>'Course 1'!M154+'Course 2'!M154+'Course 3'!M154+'Course 4'!M154+'Course 5'!M154</f>
        <v>0</v>
      </c>
      <c r="H154" s="52"/>
    </row>
    <row r="155" spans="2:8" ht="12.75">
      <c r="B155" s="14">
        <v>151</v>
      </c>
      <c r="C155" s="28" t="str">
        <f>IF(Coureurs!C155="","",Coureurs!C155)</f>
        <v/>
      </c>
      <c r="D155" s="143" t="str">
        <f>IF(Coureurs!D155="","",Coureurs!D155)</f>
        <v>70</v>
      </c>
      <c r="E155" s="87" t="str">
        <f>IF(Coureurs!F155="","",Coureurs!F155)</f>
        <v/>
      </c>
      <c r="F155" s="87" t="str">
        <f>IF(Coureurs!G155="","",Coureurs!G155)</f>
        <v/>
      </c>
      <c r="G155" s="105">
        <f>'Course 1'!M155+'Course 2'!M155+'Course 3'!M155+'Course 4'!M155+'Course 5'!M155</f>
        <v>0</v>
      </c>
      <c r="H155" s="52"/>
    </row>
    <row r="156" spans="2:8" ht="12.75">
      <c r="B156" s="14">
        <v>152</v>
      </c>
      <c r="C156" s="28" t="str">
        <f>IF(Coureurs!C156="","",Coureurs!C156)</f>
        <v/>
      </c>
      <c r="D156" s="143" t="str">
        <f>IF(Coureurs!D156="","",Coureurs!D156)</f>
        <v>70</v>
      </c>
      <c r="E156" s="87" t="str">
        <f>IF(Coureurs!F156="","",Coureurs!F156)</f>
        <v/>
      </c>
      <c r="F156" s="87" t="str">
        <f>IF(Coureurs!G156="","",Coureurs!G156)</f>
        <v/>
      </c>
      <c r="G156" s="105">
        <f>'Course 1'!M156+'Course 2'!M156+'Course 3'!M156+'Course 4'!M156+'Course 5'!M156</f>
        <v>0</v>
      </c>
      <c r="H156" s="52"/>
    </row>
    <row r="157" spans="2:8" ht="12.75">
      <c r="B157" s="14">
        <v>153</v>
      </c>
      <c r="C157" s="28" t="str">
        <f>IF(Coureurs!C157="","",Coureurs!C157)</f>
        <v/>
      </c>
      <c r="D157" s="143" t="str">
        <f>IF(Coureurs!D157="","",Coureurs!D157)</f>
        <v>70</v>
      </c>
      <c r="E157" s="87" t="str">
        <f>IF(Coureurs!F157="","",Coureurs!F157)</f>
        <v/>
      </c>
      <c r="F157" s="87" t="str">
        <f>IF(Coureurs!G157="","",Coureurs!G157)</f>
        <v/>
      </c>
      <c r="G157" s="105">
        <f>'Course 1'!M157+'Course 2'!M157+'Course 3'!M157+'Course 4'!M157+'Course 5'!M157</f>
        <v>0</v>
      </c>
      <c r="H157" s="52"/>
    </row>
    <row r="158" spans="2:8" ht="12.75">
      <c r="B158" s="14">
        <v>154</v>
      </c>
      <c r="C158" s="28" t="str">
        <f>IF(Coureurs!C158="","",Coureurs!C158)</f>
        <v/>
      </c>
      <c r="D158" s="143" t="str">
        <f>IF(Coureurs!D158="","",Coureurs!D158)</f>
        <v>70</v>
      </c>
      <c r="E158" s="87" t="str">
        <f>IF(Coureurs!F158="","",Coureurs!F158)</f>
        <v/>
      </c>
      <c r="F158" s="87" t="str">
        <f>IF(Coureurs!G158="","",Coureurs!G158)</f>
        <v/>
      </c>
      <c r="G158" s="105">
        <f>'Course 1'!M158+'Course 2'!M158+'Course 3'!M158+'Course 4'!M158+'Course 5'!M158</f>
        <v>0</v>
      </c>
      <c r="H158" s="52"/>
    </row>
    <row r="159" spans="2:8" ht="12.75">
      <c r="B159" s="14">
        <v>155</v>
      </c>
      <c r="C159" s="28" t="str">
        <f>IF(Coureurs!C159="","",Coureurs!C159)</f>
        <v/>
      </c>
      <c r="D159" s="143" t="str">
        <f>IF(Coureurs!D159="","",Coureurs!D159)</f>
        <v>70</v>
      </c>
      <c r="E159" s="87" t="str">
        <f>IF(Coureurs!F159="","",Coureurs!F159)</f>
        <v/>
      </c>
      <c r="F159" s="87" t="str">
        <f>IF(Coureurs!G159="","",Coureurs!G159)</f>
        <v/>
      </c>
      <c r="G159" s="105">
        <f>'Course 1'!M159+'Course 2'!M159+'Course 3'!M159+'Course 4'!M159+'Course 5'!M159</f>
        <v>0</v>
      </c>
      <c r="H159" s="52"/>
    </row>
    <row r="160" spans="2:8" ht="12.75">
      <c r="B160" s="14">
        <v>156</v>
      </c>
      <c r="C160" s="28" t="str">
        <f>IF(Coureurs!C160="","",Coureurs!C160)</f>
        <v/>
      </c>
      <c r="D160" s="143" t="str">
        <f>IF(Coureurs!D160="","",Coureurs!D160)</f>
        <v>70</v>
      </c>
      <c r="E160" s="87" t="str">
        <f>IF(Coureurs!F160="","",Coureurs!F160)</f>
        <v/>
      </c>
      <c r="F160" s="87" t="str">
        <f>IF(Coureurs!G160="","",Coureurs!G160)</f>
        <v/>
      </c>
      <c r="G160" s="105">
        <f>'Course 1'!M160+'Course 2'!M160+'Course 3'!M160+'Course 4'!M160+'Course 5'!M160</f>
        <v>0</v>
      </c>
      <c r="H160" s="52"/>
    </row>
    <row r="161" spans="2:8" ht="12.75">
      <c r="B161" s="14">
        <v>157</v>
      </c>
      <c r="C161" s="28" t="str">
        <f>IF(Coureurs!C161="","",Coureurs!C161)</f>
        <v/>
      </c>
      <c r="D161" s="143" t="str">
        <f>IF(Coureurs!D161="","",Coureurs!D161)</f>
        <v>70</v>
      </c>
      <c r="E161" s="87" t="str">
        <f>IF(Coureurs!F161="","",Coureurs!F161)</f>
        <v/>
      </c>
      <c r="F161" s="87" t="str">
        <f>IF(Coureurs!G161="","",Coureurs!G161)</f>
        <v/>
      </c>
      <c r="G161" s="105">
        <f>'Course 1'!M161+'Course 2'!M161+'Course 3'!M161+'Course 4'!M161+'Course 5'!M161</f>
        <v>0</v>
      </c>
      <c r="H161" s="52"/>
    </row>
    <row r="162" spans="2:8" ht="12.75">
      <c r="B162" s="14">
        <v>158</v>
      </c>
      <c r="C162" s="28" t="str">
        <f>IF(Coureurs!C162="","",Coureurs!C162)</f>
        <v/>
      </c>
      <c r="D162" s="143" t="str">
        <f>IF(Coureurs!D162="","",Coureurs!D162)</f>
        <v>70</v>
      </c>
      <c r="E162" s="87" t="str">
        <f>IF(Coureurs!F162="","",Coureurs!F162)</f>
        <v/>
      </c>
      <c r="F162" s="87" t="str">
        <f>IF(Coureurs!G162="","",Coureurs!G162)</f>
        <v/>
      </c>
      <c r="G162" s="105">
        <f>'Course 1'!M162+'Course 2'!M162+'Course 3'!M162+'Course 4'!M162+'Course 5'!M162</f>
        <v>0</v>
      </c>
      <c r="H162" s="52"/>
    </row>
    <row r="163" spans="2:8" ht="12.75">
      <c r="B163" s="14">
        <v>159</v>
      </c>
      <c r="C163" s="28" t="str">
        <f>IF(Coureurs!C163="","",Coureurs!C163)</f>
        <v/>
      </c>
      <c r="D163" s="143" t="str">
        <f>IF(Coureurs!D163="","",Coureurs!D163)</f>
        <v>70</v>
      </c>
      <c r="E163" s="87" t="str">
        <f>IF(Coureurs!F163="","",Coureurs!F163)</f>
        <v/>
      </c>
      <c r="F163" s="87" t="str">
        <f>IF(Coureurs!G163="","",Coureurs!G163)</f>
        <v/>
      </c>
      <c r="G163" s="105">
        <f>'Course 1'!M163+'Course 2'!M163+'Course 3'!M163+'Course 4'!M163+'Course 5'!M163</f>
        <v>0</v>
      </c>
      <c r="H163" s="52"/>
    </row>
    <row r="164" spans="2:8" ht="12.75">
      <c r="B164" s="14">
        <v>160</v>
      </c>
      <c r="C164" s="28" t="str">
        <f>IF(Coureurs!C164="","",Coureurs!C164)</f>
        <v/>
      </c>
      <c r="D164" s="143" t="str">
        <f>IF(Coureurs!D164="","",Coureurs!D164)</f>
        <v>70</v>
      </c>
      <c r="E164" s="87" t="str">
        <f>IF(Coureurs!F164="","",Coureurs!F164)</f>
        <v/>
      </c>
      <c r="F164" s="87" t="str">
        <f>IF(Coureurs!G164="","",Coureurs!G164)</f>
        <v/>
      </c>
      <c r="G164" s="105">
        <f>'Course 1'!M164+'Course 2'!M164+'Course 3'!M164+'Course 4'!M164+'Course 5'!M164</f>
        <v>0</v>
      </c>
      <c r="H164" s="52"/>
    </row>
    <row r="165" spans="2:8" ht="12.75">
      <c r="B165" s="14">
        <v>161</v>
      </c>
      <c r="C165" s="28" t="str">
        <f>IF(Coureurs!C165="","",Coureurs!C165)</f>
        <v/>
      </c>
      <c r="D165" s="143" t="str">
        <f>IF(Coureurs!D165="","",Coureurs!D165)</f>
        <v>70</v>
      </c>
      <c r="E165" s="87" t="str">
        <f>IF(Coureurs!F165="","",Coureurs!F165)</f>
        <v/>
      </c>
      <c r="F165" s="87" t="str">
        <f>IF(Coureurs!G165="","",Coureurs!G165)</f>
        <v/>
      </c>
      <c r="G165" s="105">
        <f>'Course 1'!M165+'Course 2'!M165+'Course 3'!M165+'Course 4'!M165+'Course 5'!M165</f>
        <v>0</v>
      </c>
      <c r="H165" s="52"/>
    </row>
    <row r="166" spans="2:8" ht="12.75">
      <c r="B166" s="14">
        <v>162</v>
      </c>
      <c r="C166" s="28" t="str">
        <f>IF(Coureurs!C166="","",Coureurs!C166)</f>
        <v/>
      </c>
      <c r="D166" s="143" t="str">
        <f>IF(Coureurs!D166="","",Coureurs!D166)</f>
        <v>70</v>
      </c>
      <c r="E166" s="87" t="str">
        <f>IF(Coureurs!F166="","",Coureurs!F166)</f>
        <v/>
      </c>
      <c r="F166" s="87" t="str">
        <f>IF(Coureurs!G166="","",Coureurs!G166)</f>
        <v/>
      </c>
      <c r="G166" s="105">
        <f>'Course 1'!M166+'Course 2'!M166+'Course 3'!M166+'Course 4'!M166+'Course 5'!M166</f>
        <v>0</v>
      </c>
      <c r="H166" s="52"/>
    </row>
    <row r="167" spans="2:8" ht="12.75">
      <c r="B167" s="14">
        <v>163</v>
      </c>
      <c r="C167" s="28" t="str">
        <f>IF(Coureurs!C167="","",Coureurs!C167)</f>
        <v/>
      </c>
      <c r="D167" s="143" t="str">
        <f>IF(Coureurs!D167="","",Coureurs!D167)</f>
        <v>70</v>
      </c>
      <c r="E167" s="87" t="str">
        <f>IF(Coureurs!F167="","",Coureurs!F167)</f>
        <v/>
      </c>
      <c r="F167" s="87" t="str">
        <f>IF(Coureurs!G167="","",Coureurs!G167)</f>
        <v/>
      </c>
      <c r="G167" s="105">
        <f>'Course 1'!M167+'Course 2'!M167+'Course 3'!M167+'Course 4'!M167+'Course 5'!M167</f>
        <v>0</v>
      </c>
      <c r="H167" s="52"/>
    </row>
    <row r="168" spans="2:8" ht="12.75">
      <c r="B168" s="14">
        <v>164</v>
      </c>
      <c r="C168" s="28" t="str">
        <f>IF(Coureurs!C168="","",Coureurs!C168)</f>
        <v/>
      </c>
      <c r="D168" s="143" t="str">
        <f>IF(Coureurs!D168="","",Coureurs!D168)</f>
        <v>70</v>
      </c>
      <c r="E168" s="87" t="str">
        <f>IF(Coureurs!F168="","",Coureurs!F168)</f>
        <v/>
      </c>
      <c r="F168" s="87" t="str">
        <f>IF(Coureurs!G168="","",Coureurs!G168)</f>
        <v/>
      </c>
      <c r="G168" s="105">
        <f>'Course 1'!M168+'Course 2'!M168+'Course 3'!M168+'Course 4'!M168+'Course 5'!M168</f>
        <v>0</v>
      </c>
      <c r="H168" s="52"/>
    </row>
    <row r="169" spans="2:8" ht="12.75">
      <c r="B169" s="14">
        <v>165</v>
      </c>
      <c r="C169" s="28" t="str">
        <f>IF(Coureurs!C169="","",Coureurs!C169)</f>
        <v/>
      </c>
      <c r="D169" s="143" t="str">
        <f>IF(Coureurs!D169="","",Coureurs!D169)</f>
        <v>70</v>
      </c>
      <c r="E169" s="87" t="str">
        <f>IF(Coureurs!F169="","",Coureurs!F169)</f>
        <v/>
      </c>
      <c r="F169" s="87" t="str">
        <f>IF(Coureurs!G169="","",Coureurs!G169)</f>
        <v/>
      </c>
      <c r="G169" s="105">
        <f>'Course 1'!M169+'Course 2'!M169+'Course 3'!M169+'Course 4'!M169+'Course 5'!M169</f>
        <v>0</v>
      </c>
      <c r="H169" s="52"/>
    </row>
    <row r="170" spans="2:8" ht="12.75">
      <c r="B170" s="14">
        <v>166</v>
      </c>
      <c r="C170" s="28" t="str">
        <f>IF(Coureurs!C170="","",Coureurs!C170)</f>
        <v/>
      </c>
      <c r="D170" s="143" t="str">
        <f>IF(Coureurs!D170="","",Coureurs!D170)</f>
        <v>70</v>
      </c>
      <c r="E170" s="87" t="str">
        <f>IF(Coureurs!F170="","",Coureurs!F170)</f>
        <v/>
      </c>
      <c r="F170" s="87" t="str">
        <f>IF(Coureurs!G170="","",Coureurs!G170)</f>
        <v/>
      </c>
      <c r="G170" s="105">
        <f>'Course 1'!M170+'Course 2'!M170+'Course 3'!M170+'Course 4'!M170+'Course 5'!M170</f>
        <v>0</v>
      </c>
      <c r="H170" s="52"/>
    </row>
    <row r="171" spans="2:8" ht="12.75">
      <c r="B171" s="14">
        <v>167</v>
      </c>
      <c r="C171" s="28" t="str">
        <f>IF(Coureurs!C171="","",Coureurs!C171)</f>
        <v/>
      </c>
      <c r="D171" s="143" t="str">
        <f>IF(Coureurs!D171="","",Coureurs!D171)</f>
        <v>70</v>
      </c>
      <c r="E171" s="87" t="str">
        <f>IF(Coureurs!F171="","",Coureurs!F171)</f>
        <v/>
      </c>
      <c r="F171" s="87" t="str">
        <f>IF(Coureurs!G171="","",Coureurs!G171)</f>
        <v/>
      </c>
      <c r="G171" s="105">
        <f>'Course 1'!M171+'Course 2'!M171+'Course 3'!M171+'Course 4'!M171+'Course 5'!M171</f>
        <v>0</v>
      </c>
      <c r="H171" s="52"/>
    </row>
    <row r="172" spans="2:8" ht="12.75">
      <c r="B172" s="14">
        <v>168</v>
      </c>
      <c r="C172" s="28" t="str">
        <f>IF(Coureurs!C172="","",Coureurs!C172)</f>
        <v/>
      </c>
      <c r="D172" s="143" t="str">
        <f>IF(Coureurs!D172="","",Coureurs!D172)</f>
        <v>70</v>
      </c>
      <c r="E172" s="87" t="str">
        <f>IF(Coureurs!F172="","",Coureurs!F172)</f>
        <v/>
      </c>
      <c r="F172" s="87" t="str">
        <f>IF(Coureurs!G172="","",Coureurs!G172)</f>
        <v/>
      </c>
      <c r="G172" s="105">
        <f>'Course 1'!M172+'Course 2'!M172+'Course 3'!M172+'Course 4'!M172+'Course 5'!M172</f>
        <v>0</v>
      </c>
      <c r="H172" s="52"/>
    </row>
    <row r="173" spans="2:8" ht="12.75">
      <c r="B173" s="14">
        <v>169</v>
      </c>
      <c r="C173" s="28" t="str">
        <f>IF(Coureurs!C173="","",Coureurs!C173)</f>
        <v/>
      </c>
      <c r="D173" s="143" t="str">
        <f>IF(Coureurs!D173="","",Coureurs!D173)</f>
        <v>70</v>
      </c>
      <c r="E173" s="87" t="str">
        <f>IF(Coureurs!F173="","",Coureurs!F173)</f>
        <v/>
      </c>
      <c r="F173" s="87" t="str">
        <f>IF(Coureurs!G173="","",Coureurs!G173)</f>
        <v/>
      </c>
      <c r="G173" s="105">
        <f>'Course 1'!M173+'Course 2'!M173+'Course 3'!M173+'Course 4'!M173+'Course 5'!M173</f>
        <v>0</v>
      </c>
      <c r="H173" s="52"/>
    </row>
    <row r="174" spans="2:8" ht="12.75">
      <c r="B174" s="14">
        <v>170</v>
      </c>
      <c r="C174" s="28" t="str">
        <f>IF(Coureurs!C174="","",Coureurs!C174)</f>
        <v/>
      </c>
      <c r="D174" s="143" t="str">
        <f>IF(Coureurs!D174="","",Coureurs!D174)</f>
        <v>70</v>
      </c>
      <c r="E174" s="87" t="str">
        <f>IF(Coureurs!F174="","",Coureurs!F174)</f>
        <v/>
      </c>
      <c r="F174" s="87" t="str">
        <f>IF(Coureurs!G174="","",Coureurs!G174)</f>
        <v/>
      </c>
      <c r="G174" s="105">
        <f>'Course 1'!M174+'Course 2'!M174+'Course 3'!M174+'Course 4'!M174+'Course 5'!M174</f>
        <v>0</v>
      </c>
      <c r="H174" s="52"/>
    </row>
    <row r="175" spans="2:8" ht="12.75">
      <c r="B175" s="14">
        <v>171</v>
      </c>
      <c r="C175" s="28" t="str">
        <f>IF(Coureurs!C175="","",Coureurs!C175)</f>
        <v/>
      </c>
      <c r="D175" s="143" t="str">
        <f>IF(Coureurs!D175="","",Coureurs!D175)</f>
        <v>70</v>
      </c>
      <c r="E175" s="87" t="str">
        <f>IF(Coureurs!F175="","",Coureurs!F175)</f>
        <v/>
      </c>
      <c r="F175" s="87" t="str">
        <f>IF(Coureurs!G175="","",Coureurs!G175)</f>
        <v/>
      </c>
      <c r="G175" s="105">
        <f>'Course 1'!M175+'Course 2'!M175+'Course 3'!M175+'Course 4'!M175+'Course 5'!M175</f>
        <v>0</v>
      </c>
      <c r="H175" s="52"/>
    </row>
    <row r="176" spans="2:8" ht="12.75">
      <c r="B176" s="14">
        <v>172</v>
      </c>
      <c r="C176" s="28" t="str">
        <f>IF(Coureurs!C176="","",Coureurs!C176)</f>
        <v/>
      </c>
      <c r="D176" s="143" t="str">
        <f>IF(Coureurs!D176="","",Coureurs!D176)</f>
        <v>70</v>
      </c>
      <c r="E176" s="87" t="str">
        <f>IF(Coureurs!F176="","",Coureurs!F176)</f>
        <v/>
      </c>
      <c r="F176" s="87" t="str">
        <f>IF(Coureurs!G176="","",Coureurs!G176)</f>
        <v/>
      </c>
      <c r="G176" s="105">
        <f>'Course 1'!M176+'Course 2'!M176+'Course 3'!M176+'Course 4'!M176+'Course 5'!M176</f>
        <v>0</v>
      </c>
      <c r="H176" s="52"/>
    </row>
    <row r="177" spans="2:8" ht="12.75">
      <c r="B177" s="14">
        <v>173</v>
      </c>
      <c r="C177" s="28" t="str">
        <f>IF(Coureurs!C177="","",Coureurs!C177)</f>
        <v/>
      </c>
      <c r="D177" s="143" t="str">
        <f>IF(Coureurs!D177="","",Coureurs!D177)</f>
        <v>70</v>
      </c>
      <c r="E177" s="87" t="str">
        <f>IF(Coureurs!F177="","",Coureurs!F177)</f>
        <v/>
      </c>
      <c r="F177" s="87" t="str">
        <f>IF(Coureurs!G177="","",Coureurs!G177)</f>
        <v/>
      </c>
      <c r="G177" s="105">
        <f>'Course 1'!M177+'Course 2'!M177+'Course 3'!M177+'Course 4'!M177+'Course 5'!M177</f>
        <v>0</v>
      </c>
      <c r="H177" s="52"/>
    </row>
    <row r="178" spans="2:8" ht="12.75">
      <c r="B178" s="14">
        <v>174</v>
      </c>
      <c r="C178" s="28" t="str">
        <f>IF(Coureurs!C178="","",Coureurs!C178)</f>
        <v/>
      </c>
      <c r="D178" s="143" t="str">
        <f>IF(Coureurs!D178="","",Coureurs!D178)</f>
        <v>70</v>
      </c>
      <c r="E178" s="87" t="str">
        <f>IF(Coureurs!F178="","",Coureurs!F178)</f>
        <v/>
      </c>
      <c r="F178" s="87" t="str">
        <f>IF(Coureurs!G178="","",Coureurs!G178)</f>
        <v/>
      </c>
      <c r="G178" s="105">
        <f>'Course 1'!M178+'Course 2'!M178+'Course 3'!M178+'Course 4'!M178+'Course 5'!M178</f>
        <v>0</v>
      </c>
      <c r="H178" s="52"/>
    </row>
    <row r="179" spans="2:8" ht="12.75">
      <c r="B179" s="14">
        <v>175</v>
      </c>
      <c r="C179" s="28" t="str">
        <f>IF(Coureurs!C179="","",Coureurs!C179)</f>
        <v/>
      </c>
      <c r="D179" s="143" t="str">
        <f>IF(Coureurs!D179="","",Coureurs!D179)</f>
        <v>70</v>
      </c>
      <c r="E179" s="87" t="str">
        <f>IF(Coureurs!F179="","",Coureurs!F179)</f>
        <v/>
      </c>
      <c r="F179" s="87" t="str">
        <f>IF(Coureurs!G179="","",Coureurs!G179)</f>
        <v/>
      </c>
      <c r="G179" s="105">
        <f>'Course 1'!M179+'Course 2'!M179+'Course 3'!M179+'Course 4'!M179+'Course 5'!M179</f>
        <v>0</v>
      </c>
      <c r="H179" s="52"/>
    </row>
    <row r="180" spans="2:8" ht="12.75">
      <c r="B180" s="14">
        <v>176</v>
      </c>
      <c r="C180" s="28" t="str">
        <f>IF(Coureurs!C180="","",Coureurs!C180)</f>
        <v/>
      </c>
      <c r="D180" s="143" t="str">
        <f>IF(Coureurs!D180="","",Coureurs!D180)</f>
        <v>70</v>
      </c>
      <c r="E180" s="87" t="str">
        <f>IF(Coureurs!F180="","",Coureurs!F180)</f>
        <v/>
      </c>
      <c r="F180" s="87" t="str">
        <f>IF(Coureurs!G180="","",Coureurs!G180)</f>
        <v/>
      </c>
      <c r="G180" s="105">
        <f>'Course 1'!M180+'Course 2'!M180+'Course 3'!M180+'Course 4'!M180+'Course 5'!M180</f>
        <v>0</v>
      </c>
      <c r="H180" s="52"/>
    </row>
    <row r="181" spans="2:8" ht="12.75">
      <c r="B181" s="14">
        <v>177</v>
      </c>
      <c r="C181" s="28" t="str">
        <f>IF(Coureurs!C181="","",Coureurs!C181)</f>
        <v/>
      </c>
      <c r="D181" s="143" t="str">
        <f>IF(Coureurs!D181="","",Coureurs!D181)</f>
        <v>70</v>
      </c>
      <c r="E181" s="87" t="str">
        <f>IF(Coureurs!F181="","",Coureurs!F181)</f>
        <v/>
      </c>
      <c r="F181" s="87" t="str">
        <f>IF(Coureurs!G181="","",Coureurs!G181)</f>
        <v/>
      </c>
      <c r="G181" s="105">
        <f>'Course 1'!M181+'Course 2'!M181+'Course 3'!M181+'Course 4'!M181+'Course 5'!M181</f>
        <v>0</v>
      </c>
      <c r="H181" s="52"/>
    </row>
    <row r="182" spans="2:8" ht="12.75">
      <c r="B182" s="14">
        <v>178</v>
      </c>
      <c r="C182" s="28" t="str">
        <f>IF(Coureurs!C182="","",Coureurs!C182)</f>
        <v/>
      </c>
      <c r="D182" s="143" t="str">
        <f>IF(Coureurs!D182="","",Coureurs!D182)</f>
        <v>70</v>
      </c>
      <c r="E182" s="87" t="str">
        <f>IF(Coureurs!F182="","",Coureurs!F182)</f>
        <v/>
      </c>
      <c r="F182" s="87" t="str">
        <f>IF(Coureurs!G182="","",Coureurs!G182)</f>
        <v/>
      </c>
      <c r="G182" s="105">
        <f>'Course 1'!M182+'Course 2'!M182+'Course 3'!M182+'Course 4'!M182+'Course 5'!M182</f>
        <v>0</v>
      </c>
      <c r="H182" s="52"/>
    </row>
    <row r="183" spans="2:8" ht="12.75">
      <c r="B183" s="14">
        <v>179</v>
      </c>
      <c r="C183" s="28" t="str">
        <f>IF(Coureurs!C183="","",Coureurs!C183)</f>
        <v/>
      </c>
      <c r="D183" s="143" t="str">
        <f>IF(Coureurs!D183="","",Coureurs!D183)</f>
        <v>70</v>
      </c>
      <c r="E183" s="87" t="str">
        <f>IF(Coureurs!F183="","",Coureurs!F183)</f>
        <v/>
      </c>
      <c r="F183" s="87" t="str">
        <f>IF(Coureurs!G183="","",Coureurs!G183)</f>
        <v/>
      </c>
      <c r="G183" s="105">
        <f>'Course 1'!M183+'Course 2'!M183+'Course 3'!M183+'Course 4'!M183+'Course 5'!M183</f>
        <v>0</v>
      </c>
      <c r="H183" s="52"/>
    </row>
    <row r="184" spans="2:8" ht="12.75">
      <c r="B184" s="14">
        <v>180</v>
      </c>
      <c r="C184" s="28" t="str">
        <f>IF(Coureurs!C184="","",Coureurs!C184)</f>
        <v/>
      </c>
      <c r="D184" s="143" t="str">
        <f>IF(Coureurs!D184="","",Coureurs!D184)</f>
        <v>70</v>
      </c>
      <c r="E184" s="87" t="str">
        <f>IF(Coureurs!F184="","",Coureurs!F184)</f>
        <v/>
      </c>
      <c r="F184" s="87" t="str">
        <f>IF(Coureurs!G184="","",Coureurs!G184)</f>
        <v/>
      </c>
      <c r="G184" s="105">
        <f>'Course 1'!M184+'Course 2'!M184+'Course 3'!M184+'Course 4'!M184+'Course 5'!M184</f>
        <v>0</v>
      </c>
      <c r="H184" s="52"/>
    </row>
    <row r="185" spans="2:8" ht="12.75">
      <c r="B185" s="14">
        <v>181</v>
      </c>
      <c r="C185" s="28" t="str">
        <f>IF(Coureurs!C185="","",Coureurs!C185)</f>
        <v/>
      </c>
      <c r="D185" s="143" t="str">
        <f>IF(Coureurs!D185="","",Coureurs!D185)</f>
        <v>70</v>
      </c>
      <c r="E185" s="87" t="str">
        <f>IF(Coureurs!F185="","",Coureurs!F185)</f>
        <v/>
      </c>
      <c r="F185" s="87" t="str">
        <f>IF(Coureurs!G185="","",Coureurs!G185)</f>
        <v/>
      </c>
      <c r="G185" s="105">
        <f>'Course 1'!M185+'Course 2'!M185+'Course 3'!M185+'Course 4'!M185+'Course 5'!M185</f>
        <v>0</v>
      </c>
      <c r="H185" s="52"/>
    </row>
    <row r="186" spans="2:8" ht="12.75">
      <c r="B186" s="14">
        <v>182</v>
      </c>
      <c r="C186" s="28" t="str">
        <f>IF(Coureurs!C186="","",Coureurs!C186)</f>
        <v/>
      </c>
      <c r="D186" s="143" t="str">
        <f>IF(Coureurs!D186="","",Coureurs!D186)</f>
        <v>70</v>
      </c>
      <c r="E186" s="87" t="str">
        <f>IF(Coureurs!F186="","",Coureurs!F186)</f>
        <v/>
      </c>
      <c r="F186" s="87" t="str">
        <f>IF(Coureurs!G186="","",Coureurs!G186)</f>
        <v/>
      </c>
      <c r="G186" s="105">
        <f>'Course 1'!M186+'Course 2'!M186+'Course 3'!M186+'Course 4'!M186+'Course 5'!M186</f>
        <v>0</v>
      </c>
      <c r="H186" s="52"/>
    </row>
    <row r="187" spans="2:8" ht="12.75">
      <c r="B187" s="14">
        <v>183</v>
      </c>
      <c r="C187" s="28" t="str">
        <f>IF(Coureurs!C187="","",Coureurs!C187)</f>
        <v/>
      </c>
      <c r="D187" s="143" t="str">
        <f>IF(Coureurs!D187="","",Coureurs!D187)</f>
        <v>70</v>
      </c>
      <c r="E187" s="87" t="str">
        <f>IF(Coureurs!F187="","",Coureurs!F187)</f>
        <v/>
      </c>
      <c r="F187" s="87" t="str">
        <f>IF(Coureurs!G187="","",Coureurs!G187)</f>
        <v/>
      </c>
      <c r="G187" s="105">
        <f>'Course 1'!M187+'Course 2'!M187+'Course 3'!M187+'Course 4'!M187+'Course 5'!M187</f>
        <v>0</v>
      </c>
      <c r="H187" s="52"/>
    </row>
    <row r="188" spans="2:8" ht="12.75">
      <c r="B188" s="14">
        <v>184</v>
      </c>
      <c r="C188" s="28" t="str">
        <f>IF(Coureurs!C188="","",Coureurs!C188)</f>
        <v/>
      </c>
      <c r="D188" s="143" t="str">
        <f>IF(Coureurs!D188="","",Coureurs!D188)</f>
        <v>70</v>
      </c>
      <c r="E188" s="87" t="str">
        <f>IF(Coureurs!F188="","",Coureurs!F188)</f>
        <v/>
      </c>
      <c r="F188" s="87" t="str">
        <f>IF(Coureurs!G188="","",Coureurs!G188)</f>
        <v/>
      </c>
      <c r="G188" s="105">
        <f>'Course 1'!M188+'Course 2'!M188+'Course 3'!M188+'Course 4'!M188+'Course 5'!M188</f>
        <v>0</v>
      </c>
      <c r="H188" s="52"/>
    </row>
    <row r="189" spans="2:8" ht="12.75">
      <c r="B189" s="14">
        <v>185</v>
      </c>
      <c r="C189" s="28" t="str">
        <f>IF(Coureurs!C189="","",Coureurs!C189)</f>
        <v/>
      </c>
      <c r="D189" s="143" t="str">
        <f>IF(Coureurs!D189="","",Coureurs!D189)</f>
        <v>70</v>
      </c>
      <c r="E189" s="87" t="str">
        <f>IF(Coureurs!F189="","",Coureurs!F189)</f>
        <v/>
      </c>
      <c r="F189" s="87" t="str">
        <f>IF(Coureurs!G189="","",Coureurs!G189)</f>
        <v/>
      </c>
      <c r="G189" s="105">
        <f>'Course 1'!M189+'Course 2'!M189+'Course 3'!M189+'Course 4'!M189+'Course 5'!M189</f>
        <v>0</v>
      </c>
      <c r="H189" s="52"/>
    </row>
    <row r="190" spans="2:8" ht="12.75">
      <c r="B190" s="14">
        <v>186</v>
      </c>
      <c r="C190" s="28" t="str">
        <f>IF(Coureurs!C190="","",Coureurs!C190)</f>
        <v/>
      </c>
      <c r="D190" s="143" t="str">
        <f>IF(Coureurs!D190="","",Coureurs!D190)</f>
        <v>70</v>
      </c>
      <c r="E190" s="87" t="str">
        <f>IF(Coureurs!F190="","",Coureurs!F190)</f>
        <v/>
      </c>
      <c r="F190" s="87" t="str">
        <f>IF(Coureurs!G190="","",Coureurs!G190)</f>
        <v/>
      </c>
      <c r="G190" s="105">
        <f>'Course 1'!M190+'Course 2'!M190+'Course 3'!M190+'Course 4'!M190+'Course 5'!M190</f>
        <v>0</v>
      </c>
      <c r="H190" s="52"/>
    </row>
    <row r="191" spans="2:8" ht="12.75">
      <c r="B191" s="14">
        <v>187</v>
      </c>
      <c r="C191" s="28" t="str">
        <f>IF(Coureurs!C191="","",Coureurs!C191)</f>
        <v/>
      </c>
      <c r="D191" s="143" t="str">
        <f>IF(Coureurs!D191="","",Coureurs!D191)</f>
        <v>70</v>
      </c>
      <c r="E191" s="87" t="str">
        <f>IF(Coureurs!F191="","",Coureurs!F191)</f>
        <v/>
      </c>
      <c r="F191" s="87" t="str">
        <f>IF(Coureurs!G191="","",Coureurs!G191)</f>
        <v/>
      </c>
      <c r="G191" s="105">
        <f>'Course 1'!M191+'Course 2'!M191+'Course 3'!M191+'Course 4'!M191+'Course 5'!M191</f>
        <v>0</v>
      </c>
      <c r="H191" s="52"/>
    </row>
    <row r="192" spans="2:8" ht="12.75">
      <c r="B192" s="14">
        <v>188</v>
      </c>
      <c r="C192" s="28" t="str">
        <f>IF(Coureurs!C192="","",Coureurs!C192)</f>
        <v/>
      </c>
      <c r="D192" s="143" t="str">
        <f>IF(Coureurs!D192="","",Coureurs!D192)</f>
        <v>70</v>
      </c>
      <c r="E192" s="87" t="str">
        <f>IF(Coureurs!F192="","",Coureurs!F192)</f>
        <v/>
      </c>
      <c r="F192" s="87" t="str">
        <f>IF(Coureurs!G192="","",Coureurs!G192)</f>
        <v/>
      </c>
      <c r="G192" s="105">
        <f>'Course 1'!M192+'Course 2'!M192+'Course 3'!M192+'Course 4'!M192+'Course 5'!M192</f>
        <v>0</v>
      </c>
      <c r="H192" s="52"/>
    </row>
    <row r="193" spans="2:8" ht="12.75">
      <c r="B193" s="14">
        <v>189</v>
      </c>
      <c r="C193" s="28" t="str">
        <f>IF(Coureurs!C193="","",Coureurs!C193)</f>
        <v/>
      </c>
      <c r="D193" s="143" t="str">
        <f>IF(Coureurs!D193="","",Coureurs!D193)</f>
        <v>70</v>
      </c>
      <c r="E193" s="87" t="str">
        <f>IF(Coureurs!F193="","",Coureurs!F193)</f>
        <v/>
      </c>
      <c r="F193" s="87" t="str">
        <f>IF(Coureurs!G193="","",Coureurs!G193)</f>
        <v/>
      </c>
      <c r="G193" s="105">
        <f>'Course 1'!M193+'Course 2'!M193+'Course 3'!M193+'Course 4'!M193+'Course 5'!M193</f>
        <v>0</v>
      </c>
      <c r="H193" s="52"/>
    </row>
    <row r="194" spans="2:8" ht="12.75">
      <c r="B194" s="14">
        <v>190</v>
      </c>
      <c r="C194" s="28" t="str">
        <f>IF(Coureurs!C194="","",Coureurs!C194)</f>
        <v/>
      </c>
      <c r="D194" s="143" t="str">
        <f>IF(Coureurs!D194="","",Coureurs!D194)</f>
        <v>70</v>
      </c>
      <c r="E194" s="87" t="str">
        <f>IF(Coureurs!F194="","",Coureurs!F194)</f>
        <v/>
      </c>
      <c r="F194" s="87" t="str">
        <f>IF(Coureurs!G194="","",Coureurs!G194)</f>
        <v/>
      </c>
      <c r="G194" s="105">
        <f>'Course 1'!M194+'Course 2'!M194+'Course 3'!M194+'Course 4'!M194+'Course 5'!M194</f>
        <v>0</v>
      </c>
      <c r="H194" s="52"/>
    </row>
    <row r="195" spans="2:8" ht="12.75">
      <c r="B195" s="14">
        <v>191</v>
      </c>
      <c r="C195" s="28" t="str">
        <f>IF(Coureurs!C195="","",Coureurs!C195)</f>
        <v/>
      </c>
      <c r="D195" s="143" t="str">
        <f>IF(Coureurs!D195="","",Coureurs!D195)</f>
        <v>70</v>
      </c>
      <c r="E195" s="87" t="str">
        <f>IF(Coureurs!F195="","",Coureurs!F195)</f>
        <v/>
      </c>
      <c r="F195" s="87" t="str">
        <f>IF(Coureurs!G195="","",Coureurs!G195)</f>
        <v/>
      </c>
      <c r="G195" s="105">
        <f>'Course 1'!M195+'Course 2'!M195+'Course 3'!M195+'Course 4'!M195+'Course 5'!M195</f>
        <v>0</v>
      </c>
      <c r="H195" s="52"/>
    </row>
    <row r="196" spans="2:8" ht="12.75">
      <c r="B196" s="14">
        <v>192</v>
      </c>
      <c r="C196" s="28" t="str">
        <f>IF(Coureurs!C196="","",Coureurs!C196)</f>
        <v/>
      </c>
      <c r="D196" s="143" t="str">
        <f>IF(Coureurs!D196="","",Coureurs!D196)</f>
        <v>70</v>
      </c>
      <c r="E196" s="87" t="str">
        <f>IF(Coureurs!F196="","",Coureurs!F196)</f>
        <v/>
      </c>
      <c r="F196" s="87" t="str">
        <f>IF(Coureurs!G196="","",Coureurs!G196)</f>
        <v/>
      </c>
      <c r="G196" s="105">
        <f>'Course 1'!M196+'Course 2'!M196+'Course 3'!M196+'Course 4'!M196+'Course 5'!M196</f>
        <v>0</v>
      </c>
      <c r="H196" s="52"/>
    </row>
    <row r="197" spans="2:8" ht="12.75">
      <c r="B197" s="14">
        <v>193</v>
      </c>
      <c r="C197" s="28" t="str">
        <f>IF(Coureurs!C197="","",Coureurs!C197)</f>
        <v/>
      </c>
      <c r="D197" s="143" t="str">
        <f>IF(Coureurs!D197="","",Coureurs!D197)</f>
        <v>70</v>
      </c>
      <c r="E197" s="87" t="str">
        <f>IF(Coureurs!F197="","",Coureurs!F197)</f>
        <v/>
      </c>
      <c r="F197" s="87" t="str">
        <f>IF(Coureurs!G197="","",Coureurs!G197)</f>
        <v/>
      </c>
      <c r="G197" s="105">
        <f>'Course 1'!M197+'Course 2'!M197+'Course 3'!M197+'Course 4'!M197+'Course 5'!M197</f>
        <v>0</v>
      </c>
      <c r="H197" s="52"/>
    </row>
    <row r="198" spans="2:8" ht="12.75">
      <c r="B198" s="14">
        <v>194</v>
      </c>
      <c r="C198" s="28" t="str">
        <f>IF(Coureurs!C198="","",Coureurs!C198)</f>
        <v/>
      </c>
      <c r="D198" s="143" t="str">
        <f>IF(Coureurs!D198="","",Coureurs!D198)</f>
        <v>70</v>
      </c>
      <c r="E198" s="87" t="str">
        <f>IF(Coureurs!F198="","",Coureurs!F198)</f>
        <v/>
      </c>
      <c r="F198" s="87" t="str">
        <f>IF(Coureurs!G198="","",Coureurs!G198)</f>
        <v/>
      </c>
      <c r="G198" s="105">
        <f>'Course 1'!M198+'Course 2'!M198+'Course 3'!M198+'Course 4'!M198+'Course 5'!M198</f>
        <v>0</v>
      </c>
      <c r="H198" s="52"/>
    </row>
    <row r="199" spans="2:8" ht="12.75">
      <c r="B199" s="14">
        <v>195</v>
      </c>
      <c r="C199" s="28" t="str">
        <f>IF(Coureurs!C199="","",Coureurs!C199)</f>
        <v/>
      </c>
      <c r="D199" s="143" t="str">
        <f>IF(Coureurs!D199="","",Coureurs!D199)</f>
        <v>70</v>
      </c>
      <c r="E199" s="87" t="str">
        <f>IF(Coureurs!F199="","",Coureurs!F199)</f>
        <v/>
      </c>
      <c r="F199" s="87" t="str">
        <f>IF(Coureurs!G199="","",Coureurs!G199)</f>
        <v/>
      </c>
      <c r="G199" s="105">
        <f>'Course 1'!M199+'Course 2'!M199+'Course 3'!M199+'Course 4'!M199+'Course 5'!M199</f>
        <v>0</v>
      </c>
      <c r="H199" s="52"/>
    </row>
    <row r="200" spans="2:8" ht="12.75">
      <c r="B200" s="14">
        <v>196</v>
      </c>
      <c r="C200" s="28" t="str">
        <f>IF(Coureurs!C200="","",Coureurs!C200)</f>
        <v/>
      </c>
      <c r="D200" s="143" t="str">
        <f>IF(Coureurs!D200="","",Coureurs!D200)</f>
        <v>70</v>
      </c>
      <c r="E200" s="87" t="str">
        <f>IF(Coureurs!F200="","",Coureurs!F200)</f>
        <v/>
      </c>
      <c r="F200" s="87" t="str">
        <f>IF(Coureurs!G200="","",Coureurs!G200)</f>
        <v/>
      </c>
      <c r="G200" s="105">
        <f>'Course 1'!M200+'Course 2'!M200+'Course 3'!M200+'Course 4'!M200+'Course 5'!M200</f>
        <v>0</v>
      </c>
      <c r="H200" s="52"/>
    </row>
    <row r="201" spans="2:8" ht="12.75">
      <c r="B201" s="14">
        <v>197</v>
      </c>
      <c r="C201" s="28" t="str">
        <f>IF(Coureurs!C201="","",Coureurs!C201)</f>
        <v/>
      </c>
      <c r="D201" s="143" t="str">
        <f>IF(Coureurs!D201="","",Coureurs!D201)</f>
        <v>70</v>
      </c>
      <c r="E201" s="87" t="str">
        <f>IF(Coureurs!F201="","",Coureurs!F201)</f>
        <v/>
      </c>
      <c r="F201" s="87" t="str">
        <f>IF(Coureurs!G201="","",Coureurs!G201)</f>
        <v/>
      </c>
      <c r="G201" s="105">
        <f>'Course 1'!M201+'Course 2'!M202+'Course 3'!M201+'Course 4'!M201+'Course 5'!M201</f>
        <v>0</v>
      </c>
      <c r="H201" s="52"/>
    </row>
    <row r="202" spans="2:8" ht="12.75">
      <c r="B202" s="14">
        <v>198</v>
      </c>
      <c r="C202" s="28" t="str">
        <f>IF(Coureurs!C202="","",Coureurs!C202)</f>
        <v/>
      </c>
      <c r="D202" s="143" t="str">
        <f>IF(Coureurs!D202="","",Coureurs!D202)</f>
        <v>70</v>
      </c>
      <c r="E202" s="87" t="str">
        <f>IF(Coureurs!F202="","",Coureurs!F202)</f>
        <v/>
      </c>
      <c r="F202" s="87" t="str">
        <f>IF(Coureurs!G202="","",Coureurs!G202)</f>
        <v/>
      </c>
      <c r="G202" s="105">
        <f>'Course 1'!M202+'Course 2'!M202+'Course 3'!M202+'Course 4'!M202+'Course 5'!M202</f>
        <v>0</v>
      </c>
      <c r="H202" s="52"/>
    </row>
    <row r="203" spans="2:8" ht="12.75">
      <c r="B203" s="14">
        <v>199</v>
      </c>
      <c r="C203" s="28" t="str">
        <f>IF(Coureurs!C203="","",Coureurs!C203)</f>
        <v/>
      </c>
      <c r="D203" s="143" t="str">
        <f>IF(Coureurs!D203="","",Coureurs!D203)</f>
        <v>70</v>
      </c>
      <c r="E203" s="87" t="str">
        <f>IF(Coureurs!F203="","",Coureurs!F203)</f>
        <v/>
      </c>
      <c r="F203" s="87" t="str">
        <f>IF(Coureurs!G203="","",Coureurs!G203)</f>
        <v/>
      </c>
      <c r="G203" s="105">
        <f>'Course 1'!M203+'Course 2'!M203+'Course 3'!M203+'Course 4'!M203+'Course 5'!M203</f>
        <v>0</v>
      </c>
      <c r="H203" s="52"/>
    </row>
    <row r="204" spans="2:8" ht="12.75">
      <c r="B204" s="14">
        <v>200</v>
      </c>
      <c r="C204" s="28" t="str">
        <f>IF(Coureurs!C204="","",Coureurs!C204)</f>
        <v/>
      </c>
      <c r="D204" s="143" t="str">
        <f>IF(Coureurs!D204="","",Coureurs!D204)</f>
        <v>70</v>
      </c>
      <c r="E204" s="87" t="str">
        <f>IF(Coureurs!F204="","",Coureurs!F204)</f>
        <v/>
      </c>
      <c r="F204" s="87" t="str">
        <f>IF(Coureurs!G204="","",Coureurs!G204)</f>
        <v/>
      </c>
      <c r="G204" s="105">
        <f>'Course 1'!M204+'Course 2'!M204+'Course 3'!M204+'Course 4'!M204+'Course 5'!M204</f>
        <v>0</v>
      </c>
      <c r="H204" s="52"/>
    </row>
    <row r="205" spans="2:8" ht="12.75">
      <c r="B205" s="14">
        <v>201</v>
      </c>
      <c r="C205" s="28" t="str">
        <f>IF(Coureurs!C205="","",Coureurs!C205)</f>
        <v/>
      </c>
      <c r="D205" s="143" t="str">
        <f>IF(Coureurs!D205="","",Coureurs!D205)</f>
        <v>70</v>
      </c>
      <c r="E205" s="87" t="str">
        <f>IF(Coureurs!F205="","",Coureurs!F205)</f>
        <v/>
      </c>
      <c r="F205" s="87" t="str">
        <f>IF(Coureurs!G205="","",Coureurs!G205)</f>
        <v/>
      </c>
      <c r="G205" s="105">
        <f>'Course 1'!M205+'Course 2'!M206+'Course 3'!M205+'Course 4'!M205+'Course 5'!M205</f>
        <v>0</v>
      </c>
      <c r="H205" s="52"/>
    </row>
    <row r="206" spans="2:8" ht="12.75">
      <c r="B206" s="14">
        <v>202</v>
      </c>
      <c r="C206" s="28" t="str">
        <f>IF(Coureurs!C206="","",Coureurs!C206)</f>
        <v/>
      </c>
      <c r="D206" s="143" t="str">
        <f>IF(Coureurs!D206="","",Coureurs!D206)</f>
        <v>70</v>
      </c>
      <c r="E206" s="87" t="str">
        <f>IF(Coureurs!F206="","",Coureurs!F206)</f>
        <v/>
      </c>
      <c r="F206" s="87" t="str">
        <f>IF(Coureurs!G206="","",Coureurs!G206)</f>
        <v/>
      </c>
      <c r="G206" s="105">
        <f>'Course 1'!M206+'Course 2'!M206+'Course 3'!M206+'Course 4'!M206+'Course 5'!M206</f>
        <v>0</v>
      </c>
      <c r="H206" s="52"/>
    </row>
    <row r="207" spans="2:8" ht="12.75">
      <c r="B207" s="14">
        <v>203</v>
      </c>
      <c r="C207" s="28" t="str">
        <f>IF(Coureurs!C207="","",Coureurs!C207)</f>
        <v/>
      </c>
      <c r="D207" s="143" t="str">
        <f>IF(Coureurs!D207="","",Coureurs!D207)</f>
        <v>70</v>
      </c>
      <c r="E207" s="87" t="str">
        <f>IF(Coureurs!F207="","",Coureurs!F207)</f>
        <v/>
      </c>
      <c r="F207" s="87" t="str">
        <f>IF(Coureurs!G207="","",Coureurs!G207)</f>
        <v/>
      </c>
      <c r="G207" s="105">
        <f>'Course 1'!M207+'Course 2'!M207+'Course 3'!M207+'Course 4'!M207+'Course 5'!M207</f>
        <v>0</v>
      </c>
      <c r="H207" s="52"/>
    </row>
    <row r="208" spans="2:8" ht="12.75">
      <c r="B208" s="14">
        <v>204</v>
      </c>
      <c r="C208" s="28" t="str">
        <f>IF(Coureurs!C208="","",Coureurs!C208)</f>
        <v/>
      </c>
      <c r="D208" s="143" t="str">
        <f>IF(Coureurs!D208="","",Coureurs!D208)</f>
        <v>70</v>
      </c>
      <c r="E208" s="87" t="str">
        <f>IF(Coureurs!F208="","",Coureurs!F208)</f>
        <v/>
      </c>
      <c r="F208" s="87" t="str">
        <f>IF(Coureurs!G208="","",Coureurs!G208)</f>
        <v/>
      </c>
      <c r="G208" s="105">
        <f>'Course 1'!M208+'Course 2'!M208+'Course 3'!M208+'Course 4'!M208+'Course 5'!M208</f>
        <v>0</v>
      </c>
      <c r="H208" s="52"/>
    </row>
    <row r="209" spans="2:8" ht="12.75">
      <c r="B209" s="14">
        <v>205</v>
      </c>
      <c r="C209" s="28" t="str">
        <f>IF(Coureurs!C209="","",Coureurs!C209)</f>
        <v/>
      </c>
      <c r="D209" s="143" t="str">
        <f>IF(Coureurs!D209="","",Coureurs!D209)</f>
        <v>70</v>
      </c>
      <c r="E209" s="87" t="str">
        <f>IF(Coureurs!F209="","",Coureurs!F209)</f>
        <v/>
      </c>
      <c r="F209" s="87" t="str">
        <f>IF(Coureurs!G209="","",Coureurs!G209)</f>
        <v/>
      </c>
      <c r="G209" s="105">
        <f>'Course 1'!M209+'Course 2'!M210+'Course 3'!M209+'Course 4'!M209+'Course 5'!M209</f>
        <v>0</v>
      </c>
      <c r="H209" s="52"/>
    </row>
    <row r="210" spans="2:8" ht="12.75">
      <c r="B210" s="14">
        <v>206</v>
      </c>
      <c r="C210" s="28" t="str">
        <f>IF(Coureurs!C210="","",Coureurs!C210)</f>
        <v/>
      </c>
      <c r="D210" s="143" t="str">
        <f>IF(Coureurs!D210="","",Coureurs!D210)</f>
        <v>70</v>
      </c>
      <c r="E210" s="87" t="str">
        <f>IF(Coureurs!F210="","",Coureurs!F210)</f>
        <v/>
      </c>
      <c r="F210" s="87" t="str">
        <f>IF(Coureurs!G210="","",Coureurs!G210)</f>
        <v/>
      </c>
      <c r="G210" s="105">
        <f>'Course 1'!M210+'Course 2'!M210+'Course 3'!M210+'Course 4'!M210+'Course 5'!M210</f>
        <v>0</v>
      </c>
      <c r="H210" s="52"/>
    </row>
    <row r="211" spans="2:8" ht="12.75">
      <c r="B211" s="14">
        <v>207</v>
      </c>
      <c r="C211" s="28" t="str">
        <f>IF(Coureurs!C211="","",Coureurs!C211)</f>
        <v/>
      </c>
      <c r="D211" s="143" t="str">
        <f>IF(Coureurs!D211="","",Coureurs!D211)</f>
        <v>70</v>
      </c>
      <c r="E211" s="87" t="str">
        <f>IF(Coureurs!F211="","",Coureurs!F211)</f>
        <v/>
      </c>
      <c r="F211" s="87" t="str">
        <f>IF(Coureurs!G211="","",Coureurs!G211)</f>
        <v/>
      </c>
      <c r="G211" s="105">
        <f>'Course 1'!M211+'Course 2'!M211+'Course 3'!M211+'Course 4'!M211+'Course 5'!M211</f>
        <v>0</v>
      </c>
      <c r="H211" s="52"/>
    </row>
    <row r="212" spans="2:8" ht="12.75">
      <c r="B212" s="14">
        <v>208</v>
      </c>
      <c r="C212" s="28" t="str">
        <f>IF(Coureurs!C212="","",Coureurs!C212)</f>
        <v/>
      </c>
      <c r="D212" s="143" t="str">
        <f>IF(Coureurs!D212="","",Coureurs!D212)</f>
        <v>70</v>
      </c>
      <c r="E212" s="87" t="str">
        <f>IF(Coureurs!F212="","",Coureurs!F212)</f>
        <v/>
      </c>
      <c r="F212" s="87" t="str">
        <f>IF(Coureurs!G212="","",Coureurs!G212)</f>
        <v/>
      </c>
      <c r="G212" s="105">
        <f>'Course 1'!M212+'Course 2'!M212+'Course 3'!M212+'Course 4'!M212+'Course 5'!M212</f>
        <v>0</v>
      </c>
      <c r="H212" s="52"/>
    </row>
    <row r="213" spans="2:8" ht="12.75">
      <c r="B213" s="14">
        <v>209</v>
      </c>
      <c r="C213" s="28" t="str">
        <f>IF(Coureurs!C213="","",Coureurs!C213)</f>
        <v/>
      </c>
      <c r="D213" s="143" t="str">
        <f>IF(Coureurs!D213="","",Coureurs!D213)</f>
        <v>70</v>
      </c>
      <c r="E213" s="87" t="str">
        <f>IF(Coureurs!F213="","",Coureurs!F213)</f>
        <v/>
      </c>
      <c r="F213" s="87" t="str">
        <f>IF(Coureurs!G213="","",Coureurs!G213)</f>
        <v/>
      </c>
      <c r="G213" s="105">
        <f>'Course 1'!M213+'Course 2'!M214+'Course 3'!M213+'Course 4'!M213+'Course 5'!M213</f>
        <v>0</v>
      </c>
      <c r="H213" s="52"/>
    </row>
    <row r="214" spans="2:8" ht="12.75">
      <c r="B214" s="14">
        <v>210</v>
      </c>
      <c r="C214" s="28" t="str">
        <f>IF(Coureurs!C214="","",Coureurs!C214)</f>
        <v/>
      </c>
      <c r="D214" s="143" t="str">
        <f>IF(Coureurs!D214="","",Coureurs!D214)</f>
        <v>70</v>
      </c>
      <c r="E214" s="87" t="str">
        <f>IF(Coureurs!F214="","",Coureurs!F214)</f>
        <v/>
      </c>
      <c r="F214" s="87" t="str">
        <f>IF(Coureurs!G214="","",Coureurs!G214)</f>
        <v/>
      </c>
      <c r="G214" s="105">
        <f>'Course 1'!M214+'Course 2'!M214+'Course 3'!M214+'Course 4'!M214+'Course 5'!M214</f>
        <v>0</v>
      </c>
      <c r="H214" s="52"/>
    </row>
    <row r="215" spans="2:8" ht="12.75">
      <c r="B215" s="14">
        <v>211</v>
      </c>
      <c r="C215" s="28" t="str">
        <f>IF(Coureurs!C215="","",Coureurs!C215)</f>
        <v/>
      </c>
      <c r="D215" s="143" t="str">
        <f>IF(Coureurs!D215="","",Coureurs!D215)</f>
        <v>70</v>
      </c>
      <c r="E215" s="87" t="str">
        <f>IF(Coureurs!F215="","",Coureurs!F215)</f>
        <v/>
      </c>
      <c r="F215" s="87" t="str">
        <f>IF(Coureurs!G215="","",Coureurs!G215)</f>
        <v/>
      </c>
      <c r="G215" s="105">
        <f>'Course 1'!M215+'Course 2'!M215+'Course 3'!M215+'Course 4'!M215+'Course 5'!M215</f>
        <v>0</v>
      </c>
      <c r="H215" s="52"/>
    </row>
    <row r="216" spans="2:8" ht="12.75">
      <c r="B216" s="14">
        <v>212</v>
      </c>
      <c r="C216" s="28" t="str">
        <f>IF(Coureurs!C216="","",Coureurs!C216)</f>
        <v/>
      </c>
      <c r="D216" s="143" t="str">
        <f>IF(Coureurs!D216="","",Coureurs!D216)</f>
        <v>70</v>
      </c>
      <c r="E216" s="87" t="str">
        <f>IF(Coureurs!F216="","",Coureurs!F216)</f>
        <v/>
      </c>
      <c r="F216" s="87" t="str">
        <f>IF(Coureurs!G216="","",Coureurs!G216)</f>
        <v/>
      </c>
      <c r="G216" s="105">
        <f>'Course 1'!M216+'Course 2'!M216+'Course 3'!M216+'Course 4'!M216+'Course 5'!M216</f>
        <v>0</v>
      </c>
      <c r="H216" s="52"/>
    </row>
    <row r="217" spans="2:8" ht="12.75">
      <c r="B217" s="14">
        <v>213</v>
      </c>
      <c r="C217" s="28" t="str">
        <f>IF(Coureurs!C217="","",Coureurs!C217)</f>
        <v/>
      </c>
      <c r="D217" s="143" t="str">
        <f>IF(Coureurs!D217="","",Coureurs!D217)</f>
        <v>70</v>
      </c>
      <c r="E217" s="87" t="str">
        <f>IF(Coureurs!F217="","",Coureurs!F217)</f>
        <v/>
      </c>
      <c r="F217" s="87" t="str">
        <f>IF(Coureurs!G217="","",Coureurs!G217)</f>
        <v/>
      </c>
      <c r="G217" s="105">
        <f>'Course 1'!M217+'Course 2'!M218+'Course 3'!M217+'Course 4'!M217+'Course 5'!M217</f>
        <v>0</v>
      </c>
      <c r="H217" s="52"/>
    </row>
    <row r="218" spans="2:8" ht="12.75">
      <c r="B218" s="14">
        <v>214</v>
      </c>
      <c r="C218" s="28" t="str">
        <f>IF(Coureurs!C218="","",Coureurs!C218)</f>
        <v/>
      </c>
      <c r="D218" s="143" t="str">
        <f>IF(Coureurs!D218="","",Coureurs!D218)</f>
        <v>70</v>
      </c>
      <c r="E218" s="87" t="str">
        <f>IF(Coureurs!F218="","",Coureurs!F218)</f>
        <v/>
      </c>
      <c r="F218" s="87" t="str">
        <f>IF(Coureurs!G218="","",Coureurs!G218)</f>
        <v/>
      </c>
      <c r="G218" s="105">
        <f>'Course 1'!M218+'Course 2'!M218+'Course 3'!M218+'Course 4'!M218+'Course 5'!M218</f>
        <v>0</v>
      </c>
      <c r="H218" s="52"/>
    </row>
    <row r="219" spans="2:8" ht="12.75">
      <c r="B219" s="14">
        <v>215</v>
      </c>
      <c r="C219" s="28" t="str">
        <f>IF(Coureurs!C219="","",Coureurs!C219)</f>
        <v/>
      </c>
      <c r="D219" s="143" t="str">
        <f>IF(Coureurs!D219="","",Coureurs!D219)</f>
        <v>70</v>
      </c>
      <c r="E219" s="87" t="str">
        <f>IF(Coureurs!F219="","",Coureurs!F219)</f>
        <v/>
      </c>
      <c r="F219" s="87" t="str">
        <f>IF(Coureurs!G219="","",Coureurs!G219)</f>
        <v/>
      </c>
      <c r="G219" s="105">
        <f>'Course 1'!M219+'Course 2'!M219+'Course 3'!M219+'Course 4'!M219+'Course 5'!M219</f>
        <v>0</v>
      </c>
      <c r="H219" s="52"/>
    </row>
    <row r="220" spans="2:8" ht="12.75">
      <c r="B220" s="14">
        <v>216</v>
      </c>
      <c r="C220" s="28" t="str">
        <f>IF(Coureurs!C220="","",Coureurs!C220)</f>
        <v/>
      </c>
      <c r="D220" s="143" t="str">
        <f>IF(Coureurs!D220="","",Coureurs!D220)</f>
        <v>70</v>
      </c>
      <c r="E220" s="87" t="str">
        <f>IF(Coureurs!F220="","",Coureurs!F220)</f>
        <v/>
      </c>
      <c r="F220" s="87" t="str">
        <f>IF(Coureurs!G220="","",Coureurs!G220)</f>
        <v/>
      </c>
      <c r="G220" s="105">
        <f>'Course 1'!M220+'Course 2'!M220+'Course 3'!M220+'Course 4'!M220+'Course 5'!M220</f>
        <v>0</v>
      </c>
      <c r="H220" s="52"/>
    </row>
    <row r="221" spans="2:8" ht="12.75">
      <c r="B221" s="14">
        <v>217</v>
      </c>
      <c r="C221" s="28" t="str">
        <f>IF(Coureurs!C221="","",Coureurs!C221)</f>
        <v/>
      </c>
      <c r="D221" s="143" t="str">
        <f>IF(Coureurs!D221="","",Coureurs!D221)</f>
        <v>70</v>
      </c>
      <c r="E221" s="87" t="str">
        <f>IF(Coureurs!F221="","",Coureurs!F221)</f>
        <v/>
      </c>
      <c r="F221" s="87" t="str">
        <f>IF(Coureurs!G221="","",Coureurs!G221)</f>
        <v/>
      </c>
      <c r="G221" s="105">
        <f>'Course 1'!M221+'Course 2'!M222+'Course 3'!M221+'Course 4'!M221+'Course 5'!M221</f>
        <v>0</v>
      </c>
      <c r="H221" s="52"/>
    </row>
    <row r="222" spans="2:8" ht="12.75">
      <c r="B222" s="14">
        <v>218</v>
      </c>
      <c r="C222" s="28" t="str">
        <f>IF(Coureurs!C222="","",Coureurs!C222)</f>
        <v/>
      </c>
      <c r="D222" s="143" t="str">
        <f>IF(Coureurs!D222="","",Coureurs!D222)</f>
        <v>70</v>
      </c>
      <c r="E222" s="87" t="str">
        <f>IF(Coureurs!F222="","",Coureurs!F222)</f>
        <v/>
      </c>
      <c r="F222" s="87" t="str">
        <f>IF(Coureurs!G222="","",Coureurs!G222)</f>
        <v/>
      </c>
      <c r="G222" s="105">
        <f>'Course 1'!M222+'Course 2'!M222+'Course 3'!M222+'Course 4'!M222+'Course 5'!M222</f>
        <v>0</v>
      </c>
      <c r="H222" s="52"/>
    </row>
    <row r="223" spans="2:8" ht="12.75">
      <c r="B223" s="14">
        <v>219</v>
      </c>
      <c r="C223" s="28" t="str">
        <f>IF(Coureurs!C223="","",Coureurs!C223)</f>
        <v/>
      </c>
      <c r="D223" s="143" t="str">
        <f>IF(Coureurs!D223="","",Coureurs!D223)</f>
        <v>70</v>
      </c>
      <c r="E223" s="87" t="str">
        <f>IF(Coureurs!F223="","",Coureurs!F223)</f>
        <v/>
      </c>
      <c r="F223" s="87" t="str">
        <f>IF(Coureurs!G223="","",Coureurs!G223)</f>
        <v/>
      </c>
      <c r="G223" s="105">
        <f>'Course 1'!M223+'Course 2'!M223+'Course 3'!M223+'Course 4'!M223+'Course 5'!M223</f>
        <v>0</v>
      </c>
      <c r="H223" s="52"/>
    </row>
    <row r="224" spans="2:8" ht="12.75">
      <c r="B224" s="14">
        <v>220</v>
      </c>
      <c r="C224" s="28" t="str">
        <f>IF(Coureurs!C224="","",Coureurs!C224)</f>
        <v/>
      </c>
      <c r="D224" s="143" t="str">
        <f>IF(Coureurs!D224="","",Coureurs!D224)</f>
        <v>70</v>
      </c>
      <c r="E224" s="87" t="str">
        <f>IF(Coureurs!F224="","",Coureurs!F224)</f>
        <v/>
      </c>
      <c r="F224" s="87" t="str">
        <f>IF(Coureurs!G224="","",Coureurs!G224)</f>
        <v/>
      </c>
      <c r="G224" s="105">
        <f>'Course 1'!M224+'Course 2'!M224+'Course 3'!M224+'Course 4'!M224+'Course 5'!M224</f>
        <v>0</v>
      </c>
      <c r="H224" s="52"/>
    </row>
    <row r="225" spans="2:8" ht="12.75">
      <c r="B225" s="14">
        <v>221</v>
      </c>
      <c r="C225" s="28" t="str">
        <f>IF(Coureurs!C225="","",Coureurs!C225)</f>
        <v/>
      </c>
      <c r="D225" s="143" t="str">
        <f>IF(Coureurs!D225="","",Coureurs!D225)</f>
        <v>70</v>
      </c>
      <c r="E225" s="87" t="str">
        <f>IF(Coureurs!F225="","",Coureurs!F225)</f>
        <v/>
      </c>
      <c r="F225" s="87" t="str">
        <f>IF(Coureurs!G225="","",Coureurs!G225)</f>
        <v/>
      </c>
      <c r="G225" s="105">
        <f>'Course 1'!M225+'Course 2'!M226+'Course 3'!M225+'Course 4'!M225+'Course 5'!M225</f>
        <v>0</v>
      </c>
      <c r="H225" s="52"/>
    </row>
    <row r="226" spans="2:8" ht="12.75">
      <c r="B226" s="14">
        <v>222</v>
      </c>
      <c r="C226" s="28" t="str">
        <f>IF(Coureurs!C226="","",Coureurs!C226)</f>
        <v/>
      </c>
      <c r="D226" s="143" t="str">
        <f>IF(Coureurs!D226="","",Coureurs!D226)</f>
        <v>70</v>
      </c>
      <c r="E226" s="87" t="str">
        <f>IF(Coureurs!F226="","",Coureurs!F226)</f>
        <v/>
      </c>
      <c r="F226" s="87" t="str">
        <f>IF(Coureurs!G226="","",Coureurs!G226)</f>
        <v/>
      </c>
      <c r="G226" s="105">
        <f>'Course 1'!M226+'Course 2'!M226+'Course 3'!M226+'Course 4'!M226+'Course 5'!M226</f>
        <v>0</v>
      </c>
      <c r="H226" s="52"/>
    </row>
    <row r="227" spans="2:8" ht="12.75">
      <c r="B227" s="14">
        <v>223</v>
      </c>
      <c r="C227" s="28" t="str">
        <f>IF(Coureurs!C227="","",Coureurs!C227)</f>
        <v/>
      </c>
      <c r="D227" s="143" t="str">
        <f>IF(Coureurs!D227="","",Coureurs!D227)</f>
        <v>70</v>
      </c>
      <c r="E227" s="87" t="str">
        <f>IF(Coureurs!F227="","",Coureurs!F227)</f>
        <v/>
      </c>
      <c r="F227" s="87" t="str">
        <f>IF(Coureurs!G227="","",Coureurs!G227)</f>
        <v/>
      </c>
      <c r="G227" s="105">
        <f>'Course 1'!M227+'Course 2'!M227+'Course 3'!M227+'Course 4'!M227+'Course 5'!M227</f>
        <v>0</v>
      </c>
      <c r="H227" s="52"/>
    </row>
    <row r="228" spans="2:8" ht="12.75">
      <c r="B228" s="14">
        <v>224</v>
      </c>
      <c r="C228" s="28" t="str">
        <f>IF(Coureurs!C228="","",Coureurs!C228)</f>
        <v/>
      </c>
      <c r="D228" s="143" t="str">
        <f>IF(Coureurs!D228="","",Coureurs!D228)</f>
        <v>70</v>
      </c>
      <c r="E228" s="87" t="str">
        <f>IF(Coureurs!F228="","",Coureurs!F228)</f>
        <v/>
      </c>
      <c r="F228" s="87" t="str">
        <f>IF(Coureurs!G228="","",Coureurs!G228)</f>
        <v/>
      </c>
      <c r="G228" s="105">
        <f>'Course 1'!M228+'Course 2'!M228+'Course 3'!M228+'Course 4'!M228+'Course 5'!M228</f>
        <v>0</v>
      </c>
      <c r="H228" s="52"/>
    </row>
    <row r="229" spans="2:8" ht="12.75">
      <c r="B229" s="14">
        <v>225</v>
      </c>
      <c r="C229" s="28" t="str">
        <f>IF(Coureurs!C229="","",Coureurs!C229)</f>
        <v/>
      </c>
      <c r="D229" s="143" t="str">
        <f>IF(Coureurs!D229="","",Coureurs!D229)</f>
        <v>70</v>
      </c>
      <c r="E229" s="87" t="str">
        <f>IF(Coureurs!F229="","",Coureurs!F229)</f>
        <v/>
      </c>
      <c r="F229" s="87" t="str">
        <f>IF(Coureurs!G229="","",Coureurs!G229)</f>
        <v/>
      </c>
      <c r="G229" s="105">
        <f>'Course 1'!M229+'Course 2'!M230+'Course 3'!M229+'Course 4'!M229+'Course 5'!M229</f>
        <v>0</v>
      </c>
      <c r="H229" s="52"/>
    </row>
    <row r="230" spans="2:8" ht="12.75">
      <c r="B230" s="14">
        <v>226</v>
      </c>
      <c r="C230" s="28" t="str">
        <f>IF(Coureurs!C230="","",Coureurs!C230)</f>
        <v/>
      </c>
      <c r="D230" s="143" t="str">
        <f>IF(Coureurs!D230="","",Coureurs!D230)</f>
        <v>70</v>
      </c>
      <c r="E230" s="87" t="str">
        <f>IF(Coureurs!F230="","",Coureurs!F230)</f>
        <v/>
      </c>
      <c r="F230" s="87" t="str">
        <f>IF(Coureurs!G230="","",Coureurs!G230)</f>
        <v/>
      </c>
      <c r="G230" s="105">
        <f>'Course 1'!M230+'Course 2'!M230+'Course 3'!M230+'Course 4'!M230+'Course 5'!M230</f>
        <v>0</v>
      </c>
      <c r="H230" s="52"/>
    </row>
    <row r="231" spans="2:8" ht="12.75">
      <c r="B231" s="14">
        <v>227</v>
      </c>
      <c r="C231" s="28" t="str">
        <f>IF(Coureurs!C231="","",Coureurs!C231)</f>
        <v/>
      </c>
      <c r="D231" s="143" t="str">
        <f>IF(Coureurs!D231="","",Coureurs!D231)</f>
        <v>70</v>
      </c>
      <c r="E231" s="87" t="str">
        <f>IF(Coureurs!F231="","",Coureurs!F231)</f>
        <v/>
      </c>
      <c r="F231" s="87" t="str">
        <f>IF(Coureurs!G231="","",Coureurs!G231)</f>
        <v/>
      </c>
      <c r="G231" s="105">
        <f>'Course 1'!M231+'Course 2'!M231+'Course 3'!M231+'Course 4'!M231+'Course 5'!M231</f>
        <v>0</v>
      </c>
      <c r="H231" s="52"/>
    </row>
    <row r="232" spans="2:8" ht="12.75">
      <c r="B232" s="14">
        <v>228</v>
      </c>
      <c r="C232" s="28" t="str">
        <f>IF(Coureurs!C232="","",Coureurs!C232)</f>
        <v/>
      </c>
      <c r="D232" s="143" t="str">
        <f>IF(Coureurs!D232="","",Coureurs!D232)</f>
        <v>70</v>
      </c>
      <c r="E232" s="87" t="str">
        <f>IF(Coureurs!F232="","",Coureurs!F232)</f>
        <v/>
      </c>
      <c r="F232" s="87" t="str">
        <f>IF(Coureurs!G232="","",Coureurs!G232)</f>
        <v/>
      </c>
      <c r="G232" s="105">
        <f>'Course 1'!M232+'Course 2'!M232+'Course 3'!M232+'Course 4'!M232+'Course 5'!M232</f>
        <v>0</v>
      </c>
      <c r="H232" s="52"/>
    </row>
    <row r="233" spans="2:8" ht="12.75">
      <c r="B233" s="14">
        <v>229</v>
      </c>
      <c r="C233" s="28" t="str">
        <f>IF(Coureurs!C233="","",Coureurs!C233)</f>
        <v/>
      </c>
      <c r="D233" s="143" t="str">
        <f>IF(Coureurs!D233="","",Coureurs!D233)</f>
        <v>70</v>
      </c>
      <c r="E233" s="87" t="str">
        <f>IF(Coureurs!F233="","",Coureurs!F233)</f>
        <v/>
      </c>
      <c r="F233" s="87" t="str">
        <f>IF(Coureurs!G233="","",Coureurs!G233)</f>
        <v/>
      </c>
      <c r="G233" s="105">
        <f>'Course 1'!M233+'Course 2'!M234+'Course 3'!M233+'Course 4'!M233+'Course 5'!M233</f>
        <v>0</v>
      </c>
      <c r="H233" s="52"/>
    </row>
    <row r="234" spans="2:8" ht="12.75">
      <c r="B234" s="14">
        <v>230</v>
      </c>
      <c r="C234" s="28" t="str">
        <f>IF(Coureurs!C234="","",Coureurs!C234)</f>
        <v/>
      </c>
      <c r="D234" s="143" t="str">
        <f>IF(Coureurs!D234="","",Coureurs!D234)</f>
        <v>70</v>
      </c>
      <c r="E234" s="87" t="str">
        <f>IF(Coureurs!F234="","",Coureurs!F234)</f>
        <v/>
      </c>
      <c r="F234" s="87" t="str">
        <f>IF(Coureurs!G234="","",Coureurs!G234)</f>
        <v/>
      </c>
      <c r="G234" s="105">
        <f>'Course 1'!M234+'Course 2'!M234+'Course 3'!M234+'Course 4'!M234+'Course 5'!M234</f>
        <v>0</v>
      </c>
      <c r="H234" s="52"/>
    </row>
    <row r="235" spans="2:8" ht="12.75">
      <c r="B235" s="14">
        <v>231</v>
      </c>
      <c r="C235" s="28" t="str">
        <f>IF(Coureurs!C235="","",Coureurs!C235)</f>
        <v/>
      </c>
      <c r="D235" s="143" t="str">
        <f>IF(Coureurs!D235="","",Coureurs!D235)</f>
        <v>70</v>
      </c>
      <c r="E235" s="87" t="str">
        <f>IF(Coureurs!F235="","",Coureurs!F235)</f>
        <v/>
      </c>
      <c r="F235" s="87" t="str">
        <f>IF(Coureurs!G235="","",Coureurs!G235)</f>
        <v/>
      </c>
      <c r="G235" s="105">
        <f>'Course 1'!M235+'Course 2'!M235+'Course 3'!M235+'Course 4'!M235+'Course 5'!M235</f>
        <v>0</v>
      </c>
      <c r="H235" s="52"/>
    </row>
    <row r="236" spans="2:8" ht="12.75">
      <c r="B236" s="14">
        <v>232</v>
      </c>
      <c r="C236" s="28" t="str">
        <f>IF(Coureurs!C236="","",Coureurs!C236)</f>
        <v/>
      </c>
      <c r="D236" s="143" t="str">
        <f>IF(Coureurs!D236="","",Coureurs!D236)</f>
        <v>70</v>
      </c>
      <c r="E236" s="87" t="str">
        <f>IF(Coureurs!F236="","",Coureurs!F236)</f>
        <v/>
      </c>
      <c r="F236" s="87" t="str">
        <f>IF(Coureurs!G236="","",Coureurs!G236)</f>
        <v/>
      </c>
      <c r="G236" s="105">
        <f>'Course 1'!M236+'Course 2'!M236+'Course 3'!M236+'Course 4'!M236+'Course 5'!M236</f>
        <v>0</v>
      </c>
      <c r="H236" s="52"/>
    </row>
    <row r="237" spans="2:8" ht="12.75">
      <c r="B237" s="14">
        <v>233</v>
      </c>
      <c r="C237" s="28" t="str">
        <f>IF(Coureurs!C237="","",Coureurs!C237)</f>
        <v/>
      </c>
      <c r="D237" s="143" t="str">
        <f>IF(Coureurs!D237="","",Coureurs!D237)</f>
        <v>70</v>
      </c>
      <c r="E237" s="87" t="str">
        <f>IF(Coureurs!F237="","",Coureurs!F237)</f>
        <v/>
      </c>
      <c r="F237" s="87" t="str">
        <f>IF(Coureurs!G237="","",Coureurs!G237)</f>
        <v/>
      </c>
      <c r="G237" s="105">
        <f>'Course 1'!M237+'Course 2'!M238+'Course 3'!M237+'Course 4'!M237+'Course 5'!M237</f>
        <v>0</v>
      </c>
      <c r="H237" s="52"/>
    </row>
    <row r="238" spans="2:8" ht="12.75">
      <c r="B238" s="14">
        <v>234</v>
      </c>
      <c r="C238" s="28" t="str">
        <f>IF(Coureurs!C238="","",Coureurs!C238)</f>
        <v/>
      </c>
      <c r="D238" s="143" t="str">
        <f>IF(Coureurs!D238="","",Coureurs!D238)</f>
        <v>70</v>
      </c>
      <c r="E238" s="87" t="str">
        <f>IF(Coureurs!F238="","",Coureurs!F238)</f>
        <v/>
      </c>
      <c r="F238" s="87" t="str">
        <f>IF(Coureurs!G238="","",Coureurs!G238)</f>
        <v/>
      </c>
      <c r="G238" s="105">
        <f>'Course 1'!M238+'Course 2'!M238+'Course 3'!M238+'Course 4'!M238+'Course 5'!M238</f>
        <v>0</v>
      </c>
      <c r="H238" s="52"/>
    </row>
    <row r="239" spans="2:8" ht="12.75">
      <c r="B239" s="14">
        <v>235</v>
      </c>
      <c r="C239" s="28" t="str">
        <f>IF(Coureurs!C239="","",Coureurs!C239)</f>
        <v/>
      </c>
      <c r="D239" s="143" t="str">
        <f>IF(Coureurs!D239="","",Coureurs!D239)</f>
        <v>70</v>
      </c>
      <c r="E239" s="87" t="str">
        <f>IF(Coureurs!F239="","",Coureurs!F239)</f>
        <v/>
      </c>
      <c r="F239" s="87" t="str">
        <f>IF(Coureurs!G239="","",Coureurs!G239)</f>
        <v/>
      </c>
      <c r="G239" s="105">
        <f>'Course 1'!M239+'Course 2'!M239+'Course 3'!M239+'Course 4'!M239+'Course 5'!M239</f>
        <v>0</v>
      </c>
      <c r="H239" s="52"/>
    </row>
    <row r="240" spans="2:8" ht="12.75">
      <c r="B240" s="14">
        <v>236</v>
      </c>
      <c r="C240" s="28" t="str">
        <f>IF(Coureurs!C240="","",Coureurs!C240)</f>
        <v/>
      </c>
      <c r="D240" s="143" t="str">
        <f>IF(Coureurs!D240="","",Coureurs!D240)</f>
        <v>70</v>
      </c>
      <c r="E240" s="87" t="str">
        <f>IF(Coureurs!F240="","",Coureurs!F240)</f>
        <v/>
      </c>
      <c r="F240" s="87" t="str">
        <f>IF(Coureurs!G240="","",Coureurs!G240)</f>
        <v/>
      </c>
      <c r="G240" s="105">
        <f>'Course 1'!M240+'Course 2'!M240+'Course 3'!M240+'Course 4'!M240+'Course 5'!M240</f>
        <v>0</v>
      </c>
      <c r="H240" s="52"/>
    </row>
    <row r="241" spans="2:8" ht="12.75">
      <c r="B241" s="14">
        <v>237</v>
      </c>
      <c r="C241" s="28" t="str">
        <f>IF(Coureurs!C241="","",Coureurs!C241)</f>
        <v/>
      </c>
      <c r="D241" s="143" t="str">
        <f>IF(Coureurs!D241="","",Coureurs!D241)</f>
        <v>70</v>
      </c>
      <c r="E241" s="87" t="str">
        <f>IF(Coureurs!F241="","",Coureurs!F241)</f>
        <v/>
      </c>
      <c r="F241" s="87" t="str">
        <f>IF(Coureurs!G241="","",Coureurs!G241)</f>
        <v/>
      </c>
      <c r="G241" s="105">
        <f>'Course 1'!M241+'Course 2'!M242+'Course 3'!M241+'Course 4'!M241+'Course 5'!M241</f>
        <v>0</v>
      </c>
      <c r="H241" s="52"/>
    </row>
    <row r="242" spans="2:8" ht="12.75">
      <c r="B242" s="14">
        <v>238</v>
      </c>
      <c r="C242" s="28" t="str">
        <f>IF(Coureurs!C242="","",Coureurs!C242)</f>
        <v/>
      </c>
      <c r="D242" s="143" t="str">
        <f>IF(Coureurs!D242="","",Coureurs!D242)</f>
        <v>70</v>
      </c>
      <c r="E242" s="87" t="str">
        <f>IF(Coureurs!F242="","",Coureurs!F242)</f>
        <v/>
      </c>
      <c r="F242" s="87" t="str">
        <f>IF(Coureurs!G242="","",Coureurs!G242)</f>
        <v/>
      </c>
      <c r="G242" s="105">
        <f>'Course 1'!M242+'Course 2'!M242+'Course 3'!M242+'Course 4'!M242+'Course 5'!M242</f>
        <v>0</v>
      </c>
      <c r="H242" s="52"/>
    </row>
    <row r="243" spans="2:8" ht="12.75">
      <c r="B243" s="14">
        <v>239</v>
      </c>
      <c r="C243" s="28" t="str">
        <f>IF(Coureurs!C243="","",Coureurs!C243)</f>
        <v/>
      </c>
      <c r="D243" s="143" t="str">
        <f>IF(Coureurs!D243="","",Coureurs!D243)</f>
        <v>70</v>
      </c>
      <c r="E243" s="87" t="str">
        <f>IF(Coureurs!F243="","",Coureurs!F243)</f>
        <v/>
      </c>
      <c r="F243" s="87" t="str">
        <f>IF(Coureurs!G243="","",Coureurs!G243)</f>
        <v/>
      </c>
      <c r="G243" s="105">
        <f>'Course 1'!M243+'Course 2'!M243+'Course 3'!M243+'Course 4'!M243+'Course 5'!M243</f>
        <v>0</v>
      </c>
      <c r="H243" s="52"/>
    </row>
    <row r="244" spans="2:8" ht="12.75">
      <c r="B244" s="14">
        <v>240</v>
      </c>
      <c r="C244" s="28" t="str">
        <f>IF(Coureurs!C244="","",Coureurs!C244)</f>
        <v/>
      </c>
      <c r="D244" s="143" t="str">
        <f>IF(Coureurs!D244="","",Coureurs!D244)</f>
        <v>70</v>
      </c>
      <c r="E244" s="87" t="str">
        <f>IF(Coureurs!F244="","",Coureurs!F244)</f>
        <v/>
      </c>
      <c r="F244" s="87" t="str">
        <f>IF(Coureurs!G244="","",Coureurs!G244)</f>
        <v/>
      </c>
      <c r="G244" s="105">
        <f>'Course 1'!M244+'Course 2'!M244+'Course 3'!M244+'Course 4'!M244+'Course 5'!M244</f>
        <v>0</v>
      </c>
      <c r="H244" s="52"/>
    </row>
    <row r="245" spans="2:8" ht="12.75">
      <c r="B245" s="14">
        <v>241</v>
      </c>
      <c r="C245" s="28" t="str">
        <f>IF(Coureurs!C245="","",Coureurs!C245)</f>
        <v/>
      </c>
      <c r="D245" s="143" t="str">
        <f>IF(Coureurs!D245="","",Coureurs!D245)</f>
        <v>70</v>
      </c>
      <c r="E245" s="87" t="str">
        <f>IF(Coureurs!F245="","",Coureurs!F245)</f>
        <v/>
      </c>
      <c r="F245" s="87" t="str">
        <f>IF(Coureurs!G245="","",Coureurs!G245)</f>
        <v/>
      </c>
      <c r="G245" s="105">
        <f>'Course 1'!M245+'Course 2'!M246+'Course 3'!M245+'Course 4'!M245+'Course 5'!M245</f>
        <v>0</v>
      </c>
      <c r="H245" s="52"/>
    </row>
    <row r="246" spans="2:8" ht="12.75">
      <c r="B246" s="14">
        <v>242</v>
      </c>
      <c r="C246" s="28" t="str">
        <f>IF(Coureurs!C246="","",Coureurs!C246)</f>
        <v/>
      </c>
      <c r="D246" s="143" t="str">
        <f>IF(Coureurs!D246="","",Coureurs!D246)</f>
        <v>70</v>
      </c>
      <c r="E246" s="87" t="str">
        <f>IF(Coureurs!F246="","",Coureurs!F246)</f>
        <v/>
      </c>
      <c r="F246" s="87" t="str">
        <f>IF(Coureurs!G246="","",Coureurs!G246)</f>
        <v/>
      </c>
      <c r="G246" s="105">
        <f>'Course 1'!M246+'Course 2'!M246+'Course 3'!M246+'Course 4'!M246+'Course 5'!M246</f>
        <v>0</v>
      </c>
      <c r="H246" s="52"/>
    </row>
    <row r="247" spans="2:8" ht="12.75">
      <c r="B247" s="14">
        <v>243</v>
      </c>
      <c r="C247" s="28" t="str">
        <f>IF(Coureurs!C247="","",Coureurs!C247)</f>
        <v/>
      </c>
      <c r="D247" s="143" t="str">
        <f>IF(Coureurs!D247="","",Coureurs!D247)</f>
        <v>70</v>
      </c>
      <c r="E247" s="87" t="str">
        <f>IF(Coureurs!F247="","",Coureurs!F247)</f>
        <v/>
      </c>
      <c r="F247" s="87" t="str">
        <f>IF(Coureurs!G247="","",Coureurs!G247)</f>
        <v/>
      </c>
      <c r="G247" s="105">
        <f>'Course 1'!M247+'Course 2'!M247+'Course 3'!M247+'Course 4'!M247+'Course 5'!M247</f>
        <v>0</v>
      </c>
      <c r="H247" s="52"/>
    </row>
    <row r="248" spans="2:8" ht="12.75">
      <c r="B248" s="14">
        <v>244</v>
      </c>
      <c r="C248" s="28" t="str">
        <f>IF(Coureurs!C248="","",Coureurs!C248)</f>
        <v/>
      </c>
      <c r="D248" s="143" t="str">
        <f>IF(Coureurs!D248="","",Coureurs!D248)</f>
        <v>70</v>
      </c>
      <c r="E248" s="87" t="str">
        <f>IF(Coureurs!F248="","",Coureurs!F248)</f>
        <v/>
      </c>
      <c r="F248" s="87" t="str">
        <f>IF(Coureurs!G248="","",Coureurs!G248)</f>
        <v/>
      </c>
      <c r="G248" s="105">
        <f>'Course 1'!M248+'Course 2'!M248+'Course 3'!M248+'Course 4'!M248+'Course 5'!M248</f>
        <v>0</v>
      </c>
      <c r="H248" s="52"/>
    </row>
    <row r="249" spans="2:8" ht="12.75">
      <c r="B249" s="14">
        <v>245</v>
      </c>
      <c r="C249" s="28" t="str">
        <f>IF(Coureurs!C249="","",Coureurs!C249)</f>
        <v/>
      </c>
      <c r="D249" s="143" t="str">
        <f>IF(Coureurs!D249="","",Coureurs!D249)</f>
        <v>70</v>
      </c>
      <c r="E249" s="87" t="str">
        <f>IF(Coureurs!F249="","",Coureurs!F249)</f>
        <v/>
      </c>
      <c r="F249" s="87" t="str">
        <f>IF(Coureurs!G249="","",Coureurs!G249)</f>
        <v/>
      </c>
      <c r="G249" s="105">
        <f>'Course 1'!M249+'Course 2'!M250+'Course 3'!M249+'Course 4'!M249+'Course 5'!M249</f>
        <v>0</v>
      </c>
      <c r="H249" s="52"/>
    </row>
    <row r="250" spans="2:8" ht="12.75">
      <c r="B250" s="14">
        <v>246</v>
      </c>
      <c r="C250" s="28" t="str">
        <f>IF(Coureurs!C250="","",Coureurs!C250)</f>
        <v/>
      </c>
      <c r="D250" s="143" t="str">
        <f>IF(Coureurs!D250="","",Coureurs!D250)</f>
        <v>70</v>
      </c>
      <c r="E250" s="87" t="str">
        <f>IF(Coureurs!F250="","",Coureurs!F250)</f>
        <v/>
      </c>
      <c r="F250" s="87" t="str">
        <f>IF(Coureurs!G250="","",Coureurs!G250)</f>
        <v/>
      </c>
      <c r="G250" s="105">
        <f>'Course 1'!M250+'Course 2'!M250+'Course 3'!M250+'Course 4'!M250+'Course 5'!M250</f>
        <v>0</v>
      </c>
      <c r="H250" s="52"/>
    </row>
    <row r="251" spans="2:8" ht="12.75">
      <c r="B251" s="14">
        <v>247</v>
      </c>
      <c r="C251" s="28" t="str">
        <f>IF(Coureurs!C251="","",Coureurs!C251)</f>
        <v/>
      </c>
      <c r="D251" s="143" t="str">
        <f>IF(Coureurs!D251="","",Coureurs!D251)</f>
        <v>70</v>
      </c>
      <c r="E251" s="87" t="str">
        <f>IF(Coureurs!F251="","",Coureurs!F251)</f>
        <v/>
      </c>
      <c r="F251" s="87" t="str">
        <f>IF(Coureurs!G251="","",Coureurs!G251)</f>
        <v/>
      </c>
      <c r="G251" s="105">
        <f>'Course 1'!M251+'Course 2'!M251+'Course 3'!M251+'Course 4'!M251+'Course 5'!M251</f>
        <v>0</v>
      </c>
      <c r="H251" s="52"/>
    </row>
    <row r="252" spans="2:8" ht="12.75">
      <c r="B252" s="14">
        <v>248</v>
      </c>
      <c r="C252" s="28" t="str">
        <f>IF(Coureurs!C252="","",Coureurs!C252)</f>
        <v/>
      </c>
      <c r="D252" s="143" t="str">
        <f>IF(Coureurs!D252="","",Coureurs!D252)</f>
        <v>70</v>
      </c>
      <c r="E252" s="87" t="str">
        <f>IF(Coureurs!F252="","",Coureurs!F252)</f>
        <v/>
      </c>
      <c r="F252" s="87" t="str">
        <f>IF(Coureurs!G252="","",Coureurs!G252)</f>
        <v/>
      </c>
      <c r="G252" s="105">
        <f>'Course 1'!M252+'Course 2'!M252+'Course 3'!M252+'Course 4'!M252+'Course 5'!M252</f>
        <v>0</v>
      </c>
      <c r="H252" s="52"/>
    </row>
    <row r="253" spans="2:8" ht="12.75">
      <c r="B253" s="14">
        <v>249</v>
      </c>
      <c r="C253" s="28" t="str">
        <f>IF(Coureurs!C253="","",Coureurs!C253)</f>
        <v/>
      </c>
      <c r="D253" s="143" t="str">
        <f>IF(Coureurs!D253="","",Coureurs!D253)</f>
        <v>70</v>
      </c>
      <c r="E253" s="87" t="str">
        <f>IF(Coureurs!F253="","",Coureurs!F253)</f>
        <v/>
      </c>
      <c r="F253" s="87" t="str">
        <f>IF(Coureurs!G253="","",Coureurs!G253)</f>
        <v/>
      </c>
      <c r="G253" s="105">
        <f>'Course 1'!M253+'Course 2'!M254+'Course 3'!M253+'Course 4'!M253+'Course 5'!M253</f>
        <v>0</v>
      </c>
      <c r="H253" s="52"/>
    </row>
    <row r="254" spans="2:8" ht="12.75">
      <c r="B254" s="14">
        <v>250</v>
      </c>
      <c r="C254" s="28" t="str">
        <f>IF(Coureurs!C254="","",Coureurs!C254)</f>
        <v/>
      </c>
      <c r="D254" s="143" t="str">
        <f>IF(Coureurs!D254="","",Coureurs!D254)</f>
        <v>70</v>
      </c>
      <c r="E254" s="87" t="str">
        <f>IF(Coureurs!F254="","",Coureurs!F254)</f>
        <v/>
      </c>
      <c r="F254" s="87" t="str">
        <f>IF(Coureurs!G254="","",Coureurs!G254)</f>
        <v/>
      </c>
      <c r="G254" s="105">
        <f>'Course 1'!M254+'Course 2'!M254+'Course 3'!M254+'Course 4'!M254+'Course 5'!M254</f>
        <v>0</v>
      </c>
      <c r="H254" s="52"/>
    </row>
    <row r="255" spans="2:8" ht="12.75">
      <c r="B255" s="14">
        <v>251</v>
      </c>
      <c r="C255" s="28" t="str">
        <f>IF(Coureurs!C255="","",Coureurs!C255)</f>
        <v/>
      </c>
      <c r="D255" s="143" t="str">
        <f>IF(Coureurs!D255="","",Coureurs!D255)</f>
        <v>70</v>
      </c>
      <c r="E255" s="87" t="str">
        <f>IF(Coureurs!F255="","",Coureurs!F255)</f>
        <v/>
      </c>
      <c r="F255" s="87" t="str">
        <f>IF(Coureurs!G255="","",Coureurs!G255)</f>
        <v/>
      </c>
      <c r="G255" s="105">
        <f>'Course 1'!M255+'Course 2'!M255+'Course 3'!M255+'Course 4'!M255+'Course 5'!M255</f>
        <v>0</v>
      </c>
      <c r="H255" s="52"/>
    </row>
    <row r="256" spans="2:8" ht="12.75">
      <c r="B256" s="14">
        <v>252</v>
      </c>
      <c r="C256" s="28" t="str">
        <f>IF(Coureurs!C256="","",Coureurs!C256)</f>
        <v/>
      </c>
      <c r="D256" s="143" t="str">
        <f>IF(Coureurs!D256="","",Coureurs!D256)</f>
        <v>70</v>
      </c>
      <c r="E256" s="87" t="str">
        <f>IF(Coureurs!F256="","",Coureurs!F256)</f>
        <v/>
      </c>
      <c r="F256" s="87" t="str">
        <f>IF(Coureurs!G256="","",Coureurs!G256)</f>
        <v/>
      </c>
      <c r="G256" s="105">
        <f>'Course 1'!M256+'Course 2'!M256+'Course 3'!M256+'Course 4'!M256+'Course 5'!M256</f>
        <v>0</v>
      </c>
      <c r="H256" s="52"/>
    </row>
    <row r="257" spans="2:8" ht="12.75">
      <c r="B257" s="14">
        <v>253</v>
      </c>
      <c r="C257" s="28" t="str">
        <f>IF(Coureurs!C257="","",Coureurs!C257)</f>
        <v/>
      </c>
      <c r="D257" s="143" t="str">
        <f>IF(Coureurs!D257="","",Coureurs!D257)</f>
        <v>70</v>
      </c>
      <c r="E257" s="87" t="str">
        <f>IF(Coureurs!F257="","",Coureurs!F257)</f>
        <v/>
      </c>
      <c r="F257" s="87" t="str">
        <f>IF(Coureurs!G257="","",Coureurs!G257)</f>
        <v/>
      </c>
      <c r="G257" s="105">
        <f>'Course 1'!M257+'Course 2'!M258+'Course 3'!M257+'Course 4'!M257+'Course 5'!M257</f>
        <v>0</v>
      </c>
      <c r="H257" s="52"/>
    </row>
    <row r="258" spans="2:8" ht="12.75">
      <c r="B258" s="14">
        <v>254</v>
      </c>
      <c r="C258" s="28" t="str">
        <f>IF(Coureurs!C258="","",Coureurs!C258)</f>
        <v/>
      </c>
      <c r="D258" s="143" t="str">
        <f>IF(Coureurs!D258="","",Coureurs!D258)</f>
        <v>70</v>
      </c>
      <c r="E258" s="87" t="str">
        <f>IF(Coureurs!F258="","",Coureurs!F258)</f>
        <v/>
      </c>
      <c r="F258" s="87" t="str">
        <f>IF(Coureurs!G258="","",Coureurs!G258)</f>
        <v/>
      </c>
      <c r="G258" s="105">
        <f>'Course 1'!M258+'Course 2'!M258+'Course 3'!M258+'Course 4'!M258+'Course 5'!M258</f>
        <v>0</v>
      </c>
      <c r="H258" s="52"/>
    </row>
    <row r="259" spans="2:8" ht="12.75">
      <c r="B259" s="14">
        <v>255</v>
      </c>
      <c r="C259" s="28" t="str">
        <f>IF(Coureurs!C259="","",Coureurs!C259)</f>
        <v/>
      </c>
      <c r="D259" s="143" t="str">
        <f>IF(Coureurs!D259="","",Coureurs!D259)</f>
        <v>70</v>
      </c>
      <c r="E259" s="87" t="str">
        <f>IF(Coureurs!F259="","",Coureurs!F259)</f>
        <v/>
      </c>
      <c r="F259" s="87" t="str">
        <f>IF(Coureurs!G259="","",Coureurs!G259)</f>
        <v/>
      </c>
      <c r="G259" s="105">
        <f>'Course 1'!M259+'Course 2'!M259+'Course 3'!M259+'Course 4'!M259+'Course 5'!M259</f>
        <v>0</v>
      </c>
      <c r="H259" s="52"/>
    </row>
    <row r="260" spans="2:8" ht="12.75">
      <c r="B260" s="14">
        <v>256</v>
      </c>
      <c r="C260" s="28" t="str">
        <f>IF(Coureurs!C260="","",Coureurs!C260)</f>
        <v/>
      </c>
      <c r="D260" s="143" t="str">
        <f>IF(Coureurs!D260="","",Coureurs!D260)</f>
        <v>70</v>
      </c>
      <c r="E260" s="87" t="str">
        <f>IF(Coureurs!F260="","",Coureurs!F260)</f>
        <v/>
      </c>
      <c r="F260" s="87" t="str">
        <f>IF(Coureurs!G260="","",Coureurs!G260)</f>
        <v/>
      </c>
      <c r="G260" s="105">
        <f>'Course 1'!M260+'Course 2'!M260+'Course 3'!M260+'Course 4'!M260+'Course 5'!M260</f>
        <v>0</v>
      </c>
      <c r="H260" s="52"/>
    </row>
    <row r="261" spans="2:8" ht="12.75">
      <c r="B261" s="14">
        <v>257</v>
      </c>
      <c r="C261" s="28" t="str">
        <f>IF(Coureurs!C261="","",Coureurs!C261)</f>
        <v/>
      </c>
      <c r="D261" s="143" t="str">
        <f>IF(Coureurs!D261="","",Coureurs!D261)</f>
        <v>70</v>
      </c>
      <c r="E261" s="87" t="str">
        <f>IF(Coureurs!F261="","",Coureurs!F261)</f>
        <v/>
      </c>
      <c r="F261" s="87" t="str">
        <f>IF(Coureurs!G261="","",Coureurs!G261)</f>
        <v/>
      </c>
      <c r="G261" s="105">
        <f>'Course 1'!M261+'Course 2'!M262+'Course 3'!M261+'Course 4'!M261+'Course 5'!M261</f>
        <v>0</v>
      </c>
      <c r="H261" s="52"/>
    </row>
    <row r="262" spans="2:8" ht="12.75">
      <c r="B262" s="14">
        <v>258</v>
      </c>
      <c r="C262" s="28" t="str">
        <f>IF(Coureurs!C262="","",Coureurs!C262)</f>
        <v/>
      </c>
      <c r="D262" s="143" t="str">
        <f>IF(Coureurs!D262="","",Coureurs!D262)</f>
        <v>70</v>
      </c>
      <c r="E262" s="87" t="str">
        <f>IF(Coureurs!F262="","",Coureurs!F262)</f>
        <v/>
      </c>
      <c r="F262" s="87" t="str">
        <f>IF(Coureurs!G262="","",Coureurs!G262)</f>
        <v/>
      </c>
      <c r="G262" s="105">
        <f>'Course 1'!M262+'Course 2'!M262+'Course 3'!M262+'Course 4'!M262+'Course 5'!M262</f>
        <v>0</v>
      </c>
      <c r="H262" s="52"/>
    </row>
    <row r="263" spans="2:8" ht="12.75">
      <c r="B263" s="14">
        <v>259</v>
      </c>
      <c r="C263" s="28" t="str">
        <f>IF(Coureurs!C263="","",Coureurs!C263)</f>
        <v/>
      </c>
      <c r="D263" s="143" t="str">
        <f>IF(Coureurs!D263="","",Coureurs!D263)</f>
        <v>70</v>
      </c>
      <c r="E263" s="87" t="str">
        <f>IF(Coureurs!F263="","",Coureurs!F263)</f>
        <v/>
      </c>
      <c r="F263" s="87" t="str">
        <f>IF(Coureurs!G263="","",Coureurs!G263)</f>
        <v/>
      </c>
      <c r="G263" s="105">
        <f>'Course 1'!M263+'Course 2'!M263+'Course 3'!M263+'Course 4'!M263+'Course 5'!M263</f>
        <v>0</v>
      </c>
      <c r="H263" s="52"/>
    </row>
    <row r="264" spans="2:8" ht="12.75">
      <c r="B264" s="14">
        <v>260</v>
      </c>
      <c r="C264" s="28" t="str">
        <f>IF(Coureurs!C264="","",Coureurs!C264)</f>
        <v/>
      </c>
      <c r="D264" s="143" t="str">
        <f>IF(Coureurs!D264="","",Coureurs!D264)</f>
        <v>70</v>
      </c>
      <c r="E264" s="87" t="str">
        <f>IF(Coureurs!F264="","",Coureurs!F264)</f>
        <v/>
      </c>
      <c r="F264" s="87" t="str">
        <f>IF(Coureurs!G264="","",Coureurs!G264)</f>
        <v/>
      </c>
      <c r="G264" s="105">
        <f>'Course 1'!M264+'Course 2'!M264+'Course 3'!M264+'Course 4'!M264+'Course 5'!M264</f>
        <v>0</v>
      </c>
      <c r="H264" s="52"/>
    </row>
    <row r="265" spans="2:8" ht="12.75">
      <c r="B265" s="14">
        <v>261</v>
      </c>
      <c r="C265" s="28" t="str">
        <f>IF(Coureurs!C265="","",Coureurs!C265)</f>
        <v/>
      </c>
      <c r="D265" s="143" t="str">
        <f>IF(Coureurs!D265="","",Coureurs!D265)</f>
        <v>70</v>
      </c>
      <c r="E265" s="87" t="str">
        <f>IF(Coureurs!F265="","",Coureurs!F265)</f>
        <v/>
      </c>
      <c r="F265" s="87" t="str">
        <f>IF(Coureurs!G265="","",Coureurs!G265)</f>
        <v/>
      </c>
      <c r="G265" s="105">
        <f>'Course 1'!M265+'Course 2'!M266+'Course 3'!M265+'Course 4'!M265+'Course 5'!M265</f>
        <v>0</v>
      </c>
      <c r="H265" s="52"/>
    </row>
    <row r="266" spans="2:8" ht="12.75">
      <c r="B266" s="14">
        <v>262</v>
      </c>
      <c r="C266" s="28" t="str">
        <f>IF(Coureurs!C266="","",Coureurs!C266)</f>
        <v/>
      </c>
      <c r="D266" s="143" t="str">
        <f>IF(Coureurs!D266="","",Coureurs!D266)</f>
        <v>70</v>
      </c>
      <c r="E266" s="87" t="str">
        <f>IF(Coureurs!F266="","",Coureurs!F266)</f>
        <v/>
      </c>
      <c r="F266" s="87" t="str">
        <f>IF(Coureurs!G266="","",Coureurs!G266)</f>
        <v/>
      </c>
      <c r="G266" s="105">
        <f>'Course 1'!M266+'Course 2'!M266+'Course 3'!M266+'Course 4'!M266+'Course 5'!M266</f>
        <v>0</v>
      </c>
      <c r="H266" s="52"/>
    </row>
    <row r="267" spans="2:8" ht="12.75">
      <c r="B267" s="14">
        <v>263</v>
      </c>
      <c r="C267" s="28" t="str">
        <f>IF(Coureurs!C267="","",Coureurs!C267)</f>
        <v/>
      </c>
      <c r="D267" s="143" t="str">
        <f>IF(Coureurs!D267="","",Coureurs!D267)</f>
        <v>70</v>
      </c>
      <c r="E267" s="87" t="str">
        <f>IF(Coureurs!F267="","",Coureurs!F267)</f>
        <v/>
      </c>
      <c r="F267" s="87" t="str">
        <f>IF(Coureurs!G267="","",Coureurs!G267)</f>
        <v/>
      </c>
      <c r="G267" s="105">
        <f>'Course 1'!M267+'Course 2'!M267+'Course 3'!M267+'Course 4'!M267+'Course 5'!M267</f>
        <v>0</v>
      </c>
      <c r="H267" s="52"/>
    </row>
    <row r="268" spans="2:8" ht="12.75">
      <c r="B268" s="14">
        <v>264</v>
      </c>
      <c r="C268" s="28" t="str">
        <f>IF(Coureurs!C268="","",Coureurs!C268)</f>
        <v/>
      </c>
      <c r="D268" s="143" t="str">
        <f>IF(Coureurs!D268="","",Coureurs!D268)</f>
        <v>70</v>
      </c>
      <c r="E268" s="87" t="str">
        <f>IF(Coureurs!F268="","",Coureurs!F268)</f>
        <v/>
      </c>
      <c r="F268" s="87" t="str">
        <f>IF(Coureurs!G268="","",Coureurs!G268)</f>
        <v/>
      </c>
      <c r="G268" s="105">
        <f>'Course 1'!M268+'Course 2'!M268+'Course 3'!M268+'Course 4'!M268+'Course 5'!M268</f>
        <v>0</v>
      </c>
      <c r="H268" s="52"/>
    </row>
    <row r="269" spans="2:8" ht="12.75">
      <c r="B269" s="14">
        <v>265</v>
      </c>
      <c r="C269" s="28" t="str">
        <f>IF(Coureurs!C269="","",Coureurs!C269)</f>
        <v/>
      </c>
      <c r="D269" s="143" t="str">
        <f>IF(Coureurs!D269="","",Coureurs!D269)</f>
        <v>70</v>
      </c>
      <c r="E269" s="87" t="str">
        <f>IF(Coureurs!F269="","",Coureurs!F269)</f>
        <v/>
      </c>
      <c r="F269" s="87" t="str">
        <f>IF(Coureurs!G269="","",Coureurs!G269)</f>
        <v/>
      </c>
      <c r="G269" s="105">
        <f>'Course 1'!M269+'Course 2'!M270+'Course 3'!M269+'Course 4'!M269+'Course 5'!M269</f>
        <v>0</v>
      </c>
      <c r="H269" s="52"/>
    </row>
    <row r="270" spans="2:8" ht="12.75">
      <c r="B270" s="14">
        <v>266</v>
      </c>
      <c r="C270" s="28" t="str">
        <f>IF(Coureurs!C270="","",Coureurs!C270)</f>
        <v/>
      </c>
      <c r="D270" s="143" t="str">
        <f>IF(Coureurs!D270="","",Coureurs!D270)</f>
        <v>70</v>
      </c>
      <c r="E270" s="87" t="str">
        <f>IF(Coureurs!F270="","",Coureurs!F270)</f>
        <v/>
      </c>
      <c r="F270" s="87" t="str">
        <f>IF(Coureurs!G270="","",Coureurs!G270)</f>
        <v/>
      </c>
      <c r="G270" s="105">
        <f>'Course 1'!M270+'Course 2'!M270+'Course 3'!M270+'Course 4'!M270+'Course 5'!M270</f>
        <v>0</v>
      </c>
      <c r="H270" s="52"/>
    </row>
    <row r="271" spans="2:8" ht="12.75">
      <c r="B271" s="14">
        <v>267</v>
      </c>
      <c r="C271" s="28" t="str">
        <f>IF(Coureurs!C271="","",Coureurs!C271)</f>
        <v/>
      </c>
      <c r="D271" s="143" t="str">
        <f>IF(Coureurs!D271="","",Coureurs!D271)</f>
        <v>70</v>
      </c>
      <c r="E271" s="87" t="str">
        <f>IF(Coureurs!F271="","",Coureurs!F271)</f>
        <v/>
      </c>
      <c r="F271" s="87" t="str">
        <f>IF(Coureurs!G271="","",Coureurs!G271)</f>
        <v/>
      </c>
      <c r="G271" s="105">
        <f>'Course 1'!M271+'Course 2'!M271+'Course 3'!M271+'Course 4'!M271+'Course 5'!M271</f>
        <v>0</v>
      </c>
      <c r="H271" s="52"/>
    </row>
    <row r="272" spans="2:8" ht="12.75">
      <c r="B272" s="14">
        <v>268</v>
      </c>
      <c r="C272" s="28" t="str">
        <f>IF(Coureurs!C272="","",Coureurs!C272)</f>
        <v/>
      </c>
      <c r="D272" s="143" t="str">
        <f>IF(Coureurs!D272="","",Coureurs!D272)</f>
        <v>70</v>
      </c>
      <c r="E272" s="87" t="str">
        <f>IF(Coureurs!F272="","",Coureurs!F272)</f>
        <v/>
      </c>
      <c r="F272" s="87" t="str">
        <f>IF(Coureurs!G272="","",Coureurs!G272)</f>
        <v/>
      </c>
      <c r="G272" s="105">
        <f>'Course 1'!M272+'Course 2'!M272+'Course 3'!M272+'Course 4'!M272+'Course 5'!M272</f>
        <v>0</v>
      </c>
      <c r="H272" s="52"/>
    </row>
    <row r="273" spans="2:8" ht="12.75">
      <c r="B273" s="14">
        <v>269</v>
      </c>
      <c r="C273" s="28" t="str">
        <f>IF(Coureurs!C273="","",Coureurs!C273)</f>
        <v/>
      </c>
      <c r="D273" s="143" t="str">
        <f>IF(Coureurs!D273="","",Coureurs!D273)</f>
        <v>70</v>
      </c>
      <c r="E273" s="87" t="str">
        <f>IF(Coureurs!F273="","",Coureurs!F273)</f>
        <v/>
      </c>
      <c r="F273" s="87" t="str">
        <f>IF(Coureurs!G273="","",Coureurs!G273)</f>
        <v/>
      </c>
      <c r="G273" s="105">
        <f>'Course 1'!M273+'Course 2'!M274+'Course 3'!M273+'Course 4'!M273+'Course 5'!M273</f>
        <v>0</v>
      </c>
      <c r="H273" s="52"/>
    </row>
    <row r="274" spans="2:8" ht="12.75">
      <c r="B274" s="14">
        <v>270</v>
      </c>
      <c r="C274" s="28" t="str">
        <f>IF(Coureurs!C274="","",Coureurs!C274)</f>
        <v/>
      </c>
      <c r="D274" s="143" t="str">
        <f>IF(Coureurs!D274="","",Coureurs!D274)</f>
        <v>70</v>
      </c>
      <c r="E274" s="87" t="str">
        <f>IF(Coureurs!F274="","",Coureurs!F274)</f>
        <v/>
      </c>
      <c r="F274" s="87" t="str">
        <f>IF(Coureurs!G274="","",Coureurs!G274)</f>
        <v/>
      </c>
      <c r="G274" s="105">
        <f>'Course 1'!M274+'Course 2'!M274+'Course 3'!M274+'Course 4'!M274+'Course 5'!M274</f>
        <v>0</v>
      </c>
      <c r="H274" s="52"/>
    </row>
    <row r="275" spans="2:8" ht="12.75">
      <c r="B275" s="14">
        <v>271</v>
      </c>
      <c r="C275" s="28" t="str">
        <f>IF(Coureurs!C275="","",Coureurs!C275)</f>
        <v/>
      </c>
      <c r="D275" s="143" t="str">
        <f>IF(Coureurs!D275="","",Coureurs!D275)</f>
        <v>70</v>
      </c>
      <c r="E275" s="87" t="str">
        <f>IF(Coureurs!F275="","",Coureurs!F275)</f>
        <v/>
      </c>
      <c r="F275" s="87" t="str">
        <f>IF(Coureurs!G275="","",Coureurs!G275)</f>
        <v/>
      </c>
      <c r="G275" s="105">
        <f>'Course 1'!M275+'Course 2'!M275+'Course 3'!M275+'Course 4'!M275+'Course 5'!M275</f>
        <v>0</v>
      </c>
      <c r="H275" s="52"/>
    </row>
    <row r="276" spans="2:8" ht="12.75">
      <c r="B276" s="14">
        <v>272</v>
      </c>
      <c r="C276" s="28" t="str">
        <f>IF(Coureurs!C276="","",Coureurs!C276)</f>
        <v/>
      </c>
      <c r="D276" s="143" t="str">
        <f>IF(Coureurs!D276="","",Coureurs!D276)</f>
        <v>70</v>
      </c>
      <c r="E276" s="87" t="str">
        <f>IF(Coureurs!F276="","",Coureurs!F276)</f>
        <v/>
      </c>
      <c r="F276" s="87" t="str">
        <f>IF(Coureurs!G276="","",Coureurs!G276)</f>
        <v/>
      </c>
      <c r="G276" s="105">
        <f>'Course 1'!M276+'Course 2'!M276+'Course 3'!M276+'Course 4'!M276+'Course 5'!M276</f>
        <v>0</v>
      </c>
      <c r="H276" s="52"/>
    </row>
    <row r="277" spans="2:8" ht="12.75">
      <c r="B277" s="14">
        <v>273</v>
      </c>
      <c r="C277" s="28" t="str">
        <f>IF(Coureurs!C277="","",Coureurs!C277)</f>
        <v/>
      </c>
      <c r="D277" s="143" t="str">
        <f>IF(Coureurs!D277="","",Coureurs!D277)</f>
        <v>70</v>
      </c>
      <c r="E277" s="87" t="str">
        <f>IF(Coureurs!F277="","",Coureurs!F277)</f>
        <v/>
      </c>
      <c r="F277" s="87" t="str">
        <f>IF(Coureurs!G277="","",Coureurs!G277)</f>
        <v/>
      </c>
      <c r="G277" s="105">
        <f>'Course 1'!M277+'Course 2'!M278+'Course 3'!M277+'Course 4'!M277+'Course 5'!M277</f>
        <v>0</v>
      </c>
      <c r="H277" s="52"/>
    </row>
    <row r="278" spans="2:8" ht="12.75">
      <c r="B278" s="14">
        <v>274</v>
      </c>
      <c r="C278" s="28" t="str">
        <f>IF(Coureurs!C278="","",Coureurs!C278)</f>
        <v/>
      </c>
      <c r="D278" s="143" t="str">
        <f>IF(Coureurs!D278="","",Coureurs!D278)</f>
        <v>70</v>
      </c>
      <c r="E278" s="87" t="str">
        <f>IF(Coureurs!F278="","",Coureurs!F278)</f>
        <v/>
      </c>
      <c r="F278" s="87" t="str">
        <f>IF(Coureurs!G278="","",Coureurs!G278)</f>
        <v/>
      </c>
      <c r="G278" s="105">
        <f>'Course 1'!M278+'Course 2'!M278+'Course 3'!M278+'Course 4'!M278+'Course 5'!M278</f>
        <v>0</v>
      </c>
      <c r="H278" s="52"/>
    </row>
    <row r="279" spans="2:8" ht="12.75">
      <c r="B279" s="14">
        <v>275</v>
      </c>
      <c r="C279" s="28" t="str">
        <f>IF(Coureurs!C279="","",Coureurs!C279)</f>
        <v/>
      </c>
      <c r="D279" s="143" t="str">
        <f>IF(Coureurs!D279="","",Coureurs!D279)</f>
        <v>70</v>
      </c>
      <c r="E279" s="87" t="str">
        <f>IF(Coureurs!F279="","",Coureurs!F279)</f>
        <v/>
      </c>
      <c r="F279" s="87" t="str">
        <f>IF(Coureurs!G279="","",Coureurs!G279)</f>
        <v/>
      </c>
      <c r="G279" s="105">
        <f>'Course 1'!M279+'Course 2'!M279+'Course 3'!M279+'Course 4'!M279+'Course 5'!M279</f>
        <v>0</v>
      </c>
      <c r="H279" s="52"/>
    </row>
    <row r="280" spans="2:8" ht="12.75">
      <c r="B280" s="14">
        <v>276</v>
      </c>
      <c r="C280" s="28" t="str">
        <f>IF(Coureurs!C280="","",Coureurs!C280)</f>
        <v/>
      </c>
      <c r="D280" s="143" t="str">
        <f>IF(Coureurs!D280="","",Coureurs!D280)</f>
        <v>70</v>
      </c>
      <c r="E280" s="87" t="str">
        <f>IF(Coureurs!F280="","",Coureurs!F280)</f>
        <v/>
      </c>
      <c r="F280" s="87" t="str">
        <f>IF(Coureurs!G280="","",Coureurs!G280)</f>
        <v/>
      </c>
      <c r="G280" s="105">
        <f>'Course 1'!M280+'Course 2'!M280+'Course 3'!M280+'Course 4'!M280+'Course 5'!M280</f>
        <v>0</v>
      </c>
      <c r="H280" s="52"/>
    </row>
    <row r="281" spans="2:8" ht="12.75">
      <c r="B281" s="14">
        <v>277</v>
      </c>
      <c r="C281" s="28" t="str">
        <f>IF(Coureurs!C281="","",Coureurs!C281)</f>
        <v/>
      </c>
      <c r="D281" s="143" t="str">
        <f>IF(Coureurs!D281="","",Coureurs!D281)</f>
        <v>70</v>
      </c>
      <c r="E281" s="87" t="str">
        <f>IF(Coureurs!F281="","",Coureurs!F281)</f>
        <v/>
      </c>
      <c r="F281" s="87" t="str">
        <f>IF(Coureurs!G281="","",Coureurs!G281)</f>
        <v/>
      </c>
      <c r="G281" s="105">
        <f>'Course 1'!M281+'Course 2'!M282+'Course 3'!M281+'Course 4'!M281+'Course 5'!M281</f>
        <v>0</v>
      </c>
      <c r="H281" s="52"/>
    </row>
    <row r="282" spans="2:8" ht="12.75">
      <c r="B282" s="14">
        <v>278</v>
      </c>
      <c r="C282" s="28" t="str">
        <f>IF(Coureurs!C282="","",Coureurs!C282)</f>
        <v/>
      </c>
      <c r="D282" s="143" t="str">
        <f>IF(Coureurs!D282="","",Coureurs!D282)</f>
        <v>70</v>
      </c>
      <c r="E282" s="87" t="str">
        <f>IF(Coureurs!F282="","",Coureurs!F282)</f>
        <v/>
      </c>
      <c r="F282" s="87" t="str">
        <f>IF(Coureurs!G282="","",Coureurs!G282)</f>
        <v/>
      </c>
      <c r="G282" s="105">
        <f>'Course 1'!M282+'Course 2'!M282+'Course 3'!M282+'Course 4'!M282+'Course 5'!M282</f>
        <v>0</v>
      </c>
      <c r="H282" s="52"/>
    </row>
    <row r="283" spans="2:8" ht="12.75">
      <c r="B283" s="14">
        <v>279</v>
      </c>
      <c r="C283" s="28" t="str">
        <f>IF(Coureurs!C283="","",Coureurs!C283)</f>
        <v/>
      </c>
      <c r="D283" s="143" t="str">
        <f>IF(Coureurs!D283="","",Coureurs!D283)</f>
        <v>70</v>
      </c>
      <c r="E283" s="87" t="str">
        <f>IF(Coureurs!F283="","",Coureurs!F283)</f>
        <v/>
      </c>
      <c r="F283" s="87" t="str">
        <f>IF(Coureurs!G283="","",Coureurs!G283)</f>
        <v/>
      </c>
      <c r="G283" s="105">
        <f>'Course 1'!M283+'Course 2'!M283+'Course 3'!M283+'Course 4'!M283+'Course 5'!M283</f>
        <v>0</v>
      </c>
      <c r="H283" s="52"/>
    </row>
    <row r="284" spans="2:8" ht="12.75">
      <c r="B284" s="14">
        <v>280</v>
      </c>
      <c r="C284" s="28" t="str">
        <f>IF(Coureurs!C284="","",Coureurs!C284)</f>
        <v/>
      </c>
      <c r="D284" s="143" t="str">
        <f>IF(Coureurs!D284="","",Coureurs!D284)</f>
        <v>70</v>
      </c>
      <c r="E284" s="87" t="str">
        <f>IF(Coureurs!F284="","",Coureurs!F284)</f>
        <v/>
      </c>
      <c r="F284" s="87" t="str">
        <f>IF(Coureurs!G284="","",Coureurs!G284)</f>
        <v/>
      </c>
      <c r="G284" s="105">
        <f>'Course 1'!M284+'Course 2'!M284+'Course 3'!M284+'Course 4'!M284+'Course 5'!M284</f>
        <v>0</v>
      </c>
      <c r="H284" s="52"/>
    </row>
    <row r="285" spans="2:8" ht="12.75">
      <c r="B285" s="14">
        <v>281</v>
      </c>
      <c r="C285" s="28" t="str">
        <f>IF(Coureurs!C285="","",Coureurs!C285)</f>
        <v/>
      </c>
      <c r="D285" s="143" t="str">
        <f>IF(Coureurs!D285="","",Coureurs!D285)</f>
        <v>70</v>
      </c>
      <c r="E285" s="87" t="str">
        <f>IF(Coureurs!F285="","",Coureurs!F285)</f>
        <v/>
      </c>
      <c r="F285" s="87" t="str">
        <f>IF(Coureurs!G285="","",Coureurs!G285)</f>
        <v/>
      </c>
      <c r="G285" s="105">
        <f>'Course 1'!M285+'Course 2'!M286+'Course 3'!M285+'Course 4'!M285+'Course 5'!M285</f>
        <v>0</v>
      </c>
      <c r="H285" s="52"/>
    </row>
    <row r="286" spans="2:8" ht="12.75">
      <c r="B286" s="14">
        <v>282</v>
      </c>
      <c r="C286" s="28" t="str">
        <f>IF(Coureurs!C286="","",Coureurs!C286)</f>
        <v/>
      </c>
      <c r="D286" s="143" t="str">
        <f>IF(Coureurs!D286="","",Coureurs!D286)</f>
        <v>70</v>
      </c>
      <c r="E286" s="87" t="str">
        <f>IF(Coureurs!F286="","",Coureurs!F286)</f>
        <v/>
      </c>
      <c r="F286" s="87" t="str">
        <f>IF(Coureurs!G286="","",Coureurs!G286)</f>
        <v/>
      </c>
      <c r="G286" s="105">
        <f>'Course 1'!M286+'Course 2'!M286+'Course 3'!M286+'Course 4'!M286+'Course 5'!M286</f>
        <v>0</v>
      </c>
      <c r="H286" s="52"/>
    </row>
    <row r="287" spans="2:8" ht="12.75">
      <c r="B287" s="14">
        <v>283</v>
      </c>
      <c r="C287" s="28" t="str">
        <f>IF(Coureurs!C287="","",Coureurs!C287)</f>
        <v/>
      </c>
      <c r="D287" s="143" t="str">
        <f>IF(Coureurs!D287="","",Coureurs!D287)</f>
        <v>70</v>
      </c>
      <c r="E287" s="87" t="str">
        <f>IF(Coureurs!F287="","",Coureurs!F287)</f>
        <v/>
      </c>
      <c r="F287" s="87" t="str">
        <f>IF(Coureurs!G287="","",Coureurs!G287)</f>
        <v/>
      </c>
      <c r="G287" s="105">
        <f>'Course 1'!M287+'Course 2'!M287+'Course 3'!M287+'Course 4'!M287+'Course 5'!M287</f>
        <v>0</v>
      </c>
      <c r="H287" s="52"/>
    </row>
    <row r="288" spans="2:8" ht="12.75">
      <c r="B288" s="14">
        <v>284</v>
      </c>
      <c r="C288" s="28" t="str">
        <f>IF(Coureurs!C288="","",Coureurs!C288)</f>
        <v/>
      </c>
      <c r="D288" s="143" t="str">
        <f>IF(Coureurs!D288="","",Coureurs!D288)</f>
        <v>70</v>
      </c>
      <c r="E288" s="87" t="str">
        <f>IF(Coureurs!F288="","",Coureurs!F288)</f>
        <v/>
      </c>
      <c r="F288" s="87" t="str">
        <f>IF(Coureurs!G288="","",Coureurs!G288)</f>
        <v/>
      </c>
      <c r="G288" s="105">
        <f>'Course 1'!M288+'Course 2'!M288+'Course 3'!M288+'Course 4'!M288+'Course 5'!M288</f>
        <v>0</v>
      </c>
      <c r="H288" s="52"/>
    </row>
    <row r="289" spans="2:8" ht="12.75">
      <c r="B289" s="14">
        <v>285</v>
      </c>
      <c r="C289" s="28" t="str">
        <f>IF(Coureurs!C289="","",Coureurs!C289)</f>
        <v/>
      </c>
      <c r="D289" s="143" t="str">
        <f>IF(Coureurs!D289="","",Coureurs!D289)</f>
        <v>70</v>
      </c>
      <c r="E289" s="87" t="str">
        <f>IF(Coureurs!F289="","",Coureurs!F289)</f>
        <v/>
      </c>
      <c r="F289" s="87" t="str">
        <f>IF(Coureurs!G289="","",Coureurs!G289)</f>
        <v/>
      </c>
      <c r="G289" s="105">
        <f>'Course 1'!M289+'Course 2'!M290+'Course 3'!M289+'Course 4'!M289+'Course 5'!M289</f>
        <v>0</v>
      </c>
      <c r="H289" s="52"/>
    </row>
    <row r="290" spans="2:8" ht="12.75">
      <c r="B290" s="14">
        <v>286</v>
      </c>
      <c r="C290" s="28" t="str">
        <f>IF(Coureurs!C290="","",Coureurs!C290)</f>
        <v/>
      </c>
      <c r="D290" s="143" t="str">
        <f>IF(Coureurs!D290="","",Coureurs!D290)</f>
        <v>70</v>
      </c>
      <c r="E290" s="87" t="str">
        <f>IF(Coureurs!F290="","",Coureurs!F290)</f>
        <v/>
      </c>
      <c r="F290" s="87" t="str">
        <f>IF(Coureurs!G290="","",Coureurs!G290)</f>
        <v/>
      </c>
      <c r="G290" s="105">
        <f>'Course 1'!M290+'Course 2'!M290+'Course 3'!M290+'Course 4'!M290+'Course 5'!M290</f>
        <v>0</v>
      </c>
      <c r="H290" s="52"/>
    </row>
    <row r="291" spans="2:8" ht="12.75">
      <c r="B291" s="14">
        <v>287</v>
      </c>
      <c r="C291" s="28" t="str">
        <f>IF(Coureurs!C291="","",Coureurs!C291)</f>
        <v/>
      </c>
      <c r="D291" s="143" t="str">
        <f>IF(Coureurs!D291="","",Coureurs!D291)</f>
        <v>70</v>
      </c>
      <c r="E291" s="87" t="str">
        <f>IF(Coureurs!F291="","",Coureurs!F291)</f>
        <v/>
      </c>
      <c r="F291" s="87" t="str">
        <f>IF(Coureurs!G291="","",Coureurs!G291)</f>
        <v/>
      </c>
      <c r="G291" s="105">
        <f>'Course 1'!M291+'Course 2'!M291+'Course 3'!M291+'Course 4'!M291+'Course 5'!M291</f>
        <v>0</v>
      </c>
      <c r="H291" s="52"/>
    </row>
    <row r="292" spans="2:8" ht="12.75">
      <c r="B292" s="14">
        <v>288</v>
      </c>
      <c r="C292" s="28" t="str">
        <f>IF(Coureurs!C292="","",Coureurs!C292)</f>
        <v/>
      </c>
      <c r="D292" s="143" t="str">
        <f>IF(Coureurs!D292="","",Coureurs!D292)</f>
        <v>70</v>
      </c>
      <c r="E292" s="87" t="str">
        <f>IF(Coureurs!F292="","",Coureurs!F292)</f>
        <v/>
      </c>
      <c r="F292" s="87" t="str">
        <f>IF(Coureurs!G292="","",Coureurs!G292)</f>
        <v/>
      </c>
      <c r="G292" s="105">
        <f>'Course 1'!M292+'Course 2'!M292+'Course 3'!M292+'Course 4'!M292+'Course 5'!M292</f>
        <v>0</v>
      </c>
      <c r="H292" s="52"/>
    </row>
    <row r="293" spans="2:8" ht="12.75">
      <c r="B293" s="14">
        <v>289</v>
      </c>
      <c r="C293" s="28" t="str">
        <f>IF(Coureurs!C293="","",Coureurs!C293)</f>
        <v/>
      </c>
      <c r="D293" s="143" t="str">
        <f>IF(Coureurs!D293="","",Coureurs!D293)</f>
        <v>70</v>
      </c>
      <c r="E293" s="87" t="str">
        <f>IF(Coureurs!F293="","",Coureurs!F293)</f>
        <v/>
      </c>
      <c r="F293" s="87" t="str">
        <f>IF(Coureurs!G293="","",Coureurs!G293)</f>
        <v/>
      </c>
      <c r="G293" s="105">
        <f>'Course 1'!M293+'Course 2'!M294+'Course 3'!M293+'Course 4'!M293+'Course 5'!M293</f>
        <v>0</v>
      </c>
      <c r="H293" s="52"/>
    </row>
    <row r="294" spans="2:8" ht="12.75">
      <c r="B294" s="14">
        <v>290</v>
      </c>
      <c r="C294" s="28" t="str">
        <f>IF(Coureurs!C294="","",Coureurs!C294)</f>
        <v/>
      </c>
      <c r="D294" s="143" t="str">
        <f>IF(Coureurs!D294="","",Coureurs!D294)</f>
        <v>70</v>
      </c>
      <c r="E294" s="87" t="str">
        <f>IF(Coureurs!F294="","",Coureurs!F294)</f>
        <v/>
      </c>
      <c r="F294" s="87" t="str">
        <f>IF(Coureurs!G294="","",Coureurs!G294)</f>
        <v/>
      </c>
      <c r="G294" s="105">
        <f>'Course 1'!M294+'Course 2'!M294+'Course 3'!M294+'Course 4'!M294+'Course 5'!M294</f>
        <v>0</v>
      </c>
      <c r="H294" s="52"/>
    </row>
    <row r="295" spans="2:8" ht="12.75">
      <c r="B295" s="14">
        <v>291</v>
      </c>
      <c r="C295" s="28" t="str">
        <f>IF(Coureurs!C295="","",Coureurs!C295)</f>
        <v/>
      </c>
      <c r="D295" s="143" t="str">
        <f>IF(Coureurs!D295="","",Coureurs!D295)</f>
        <v>70</v>
      </c>
      <c r="E295" s="87" t="str">
        <f>IF(Coureurs!F295="","",Coureurs!F295)</f>
        <v/>
      </c>
      <c r="F295" s="87" t="str">
        <f>IF(Coureurs!G295="","",Coureurs!G295)</f>
        <v/>
      </c>
      <c r="G295" s="105">
        <f>'Course 1'!M295+'Course 2'!M295+'Course 3'!M295+'Course 4'!M295+'Course 5'!M295</f>
        <v>0</v>
      </c>
      <c r="H295" s="52"/>
    </row>
    <row r="296" spans="2:8" ht="12.75">
      <c r="B296" s="14">
        <v>292</v>
      </c>
      <c r="C296" s="28" t="str">
        <f>IF(Coureurs!C296="","",Coureurs!C296)</f>
        <v/>
      </c>
      <c r="D296" s="143" t="str">
        <f>IF(Coureurs!D296="","",Coureurs!D296)</f>
        <v>70</v>
      </c>
      <c r="E296" s="87" t="str">
        <f>IF(Coureurs!F296="","",Coureurs!F296)</f>
        <v/>
      </c>
      <c r="F296" s="87" t="str">
        <f>IF(Coureurs!G296="","",Coureurs!G296)</f>
        <v/>
      </c>
      <c r="G296" s="105">
        <f>'Course 1'!M296+'Course 2'!M296+'Course 3'!M296+'Course 4'!M296+'Course 5'!M296</f>
        <v>0</v>
      </c>
      <c r="H296" s="52"/>
    </row>
    <row r="297" spans="2:8" ht="12.75">
      <c r="B297" s="14">
        <v>293</v>
      </c>
      <c r="C297" s="28" t="str">
        <f>IF(Coureurs!C297="","",Coureurs!C297)</f>
        <v/>
      </c>
      <c r="D297" s="143" t="str">
        <f>IF(Coureurs!D297="","",Coureurs!D297)</f>
        <v>70</v>
      </c>
      <c r="E297" s="87" t="str">
        <f>IF(Coureurs!F297="","",Coureurs!F297)</f>
        <v/>
      </c>
      <c r="F297" s="87" t="str">
        <f>IF(Coureurs!G297="","",Coureurs!G297)</f>
        <v/>
      </c>
      <c r="G297" s="105">
        <f>'Course 1'!M297+'Course 2'!M297+'Course 3'!M297+'Course 4'!M297+'Course 5'!M297</f>
        <v>0</v>
      </c>
      <c r="H297" s="52"/>
    </row>
    <row r="298" spans="2:8" ht="12.75">
      <c r="B298" s="14">
        <v>294</v>
      </c>
      <c r="C298" s="28" t="str">
        <f>IF(Coureurs!C298="","",Coureurs!C298)</f>
        <v/>
      </c>
      <c r="D298" s="143" t="str">
        <f>IF(Coureurs!D298="","",Coureurs!D298)</f>
        <v>70</v>
      </c>
      <c r="E298" s="87" t="str">
        <f>IF(Coureurs!F298="","",Coureurs!F298)</f>
        <v/>
      </c>
      <c r="F298" s="87" t="str">
        <f>IF(Coureurs!G298="","",Coureurs!G298)</f>
        <v/>
      </c>
      <c r="G298" s="105">
        <f>'Course 1'!M298+'Course 2'!M298+'Course 3'!M298+'Course 4'!M298+'Course 5'!M298</f>
        <v>0</v>
      </c>
      <c r="H298" s="52"/>
    </row>
    <row r="299" spans="2:8" ht="12.75">
      <c r="B299" s="14">
        <v>295</v>
      </c>
      <c r="C299" s="28" t="str">
        <f>IF(Coureurs!C299="","",Coureurs!C299)</f>
        <v/>
      </c>
      <c r="D299" s="143" t="str">
        <f>IF(Coureurs!D299="","",Coureurs!D299)</f>
        <v>70</v>
      </c>
      <c r="E299" s="87" t="str">
        <f>IF(Coureurs!F299="","",Coureurs!F299)</f>
        <v/>
      </c>
      <c r="F299" s="87" t="str">
        <f>IF(Coureurs!G299="","",Coureurs!G299)</f>
        <v/>
      </c>
      <c r="G299" s="105">
        <f>'Course 1'!M299+'Course 2'!M299+'Course 3'!M299+'Course 4'!M299+'Course 5'!M299</f>
        <v>0</v>
      </c>
      <c r="H299" s="52"/>
    </row>
    <row r="300" spans="2:8" ht="12.75">
      <c r="B300" s="14">
        <v>296</v>
      </c>
      <c r="C300" s="28" t="str">
        <f>IF(Coureurs!C300="","",Coureurs!C300)</f>
        <v/>
      </c>
      <c r="D300" s="143" t="str">
        <f>IF(Coureurs!D300="","",Coureurs!D300)</f>
        <v>70</v>
      </c>
      <c r="E300" s="87" t="str">
        <f>IF(Coureurs!F300="","",Coureurs!F300)</f>
        <v/>
      </c>
      <c r="F300" s="87" t="str">
        <f>IF(Coureurs!G300="","",Coureurs!G300)</f>
        <v/>
      </c>
      <c r="G300" s="105">
        <f>'Course 1'!M300+'Course 2'!M300+'Course 3'!M300+'Course 4'!M300+'Course 5'!M300</f>
        <v>0</v>
      </c>
      <c r="H300" s="52"/>
    </row>
    <row r="301" spans="2:8" ht="12.75">
      <c r="B301" s="14">
        <v>297</v>
      </c>
      <c r="C301" s="28" t="str">
        <f>IF(Coureurs!C301="","",Coureurs!C301)</f>
        <v/>
      </c>
      <c r="D301" s="143" t="str">
        <f>IF(Coureurs!D301="","",Coureurs!D301)</f>
        <v>70</v>
      </c>
      <c r="E301" s="87" t="str">
        <f>IF(Coureurs!F301="","",Coureurs!F301)</f>
        <v/>
      </c>
      <c r="F301" s="87" t="str">
        <f>IF(Coureurs!G301="","",Coureurs!G301)</f>
        <v/>
      </c>
      <c r="G301" s="105">
        <f>'Course 1'!M301+'Course 2'!M301+'Course 3'!M301+'Course 4'!M301+'Course 5'!M301</f>
        <v>0</v>
      </c>
      <c r="H301" s="52"/>
    </row>
    <row r="302" spans="2:8" ht="12.75">
      <c r="B302" s="14">
        <v>298</v>
      </c>
      <c r="C302" s="28" t="str">
        <f>IF(Coureurs!C302="","",Coureurs!C302)</f>
        <v/>
      </c>
      <c r="D302" s="143" t="str">
        <f>IF(Coureurs!D302="","",Coureurs!D302)</f>
        <v>70</v>
      </c>
      <c r="E302" s="87" t="str">
        <f>IF(Coureurs!F302="","",Coureurs!F302)</f>
        <v/>
      </c>
      <c r="F302" s="87" t="str">
        <f>IF(Coureurs!G302="","",Coureurs!G302)</f>
        <v/>
      </c>
      <c r="G302" s="105">
        <f>'Course 1'!M302+'Course 2'!M302+'Course 3'!M302+'Course 4'!M302+'Course 5'!M302</f>
        <v>0</v>
      </c>
      <c r="H302" s="52"/>
    </row>
    <row r="303" spans="2:8" ht="12.75">
      <c r="B303" s="14">
        <v>299</v>
      </c>
      <c r="C303" s="28" t="str">
        <f>IF(Coureurs!C303="","",Coureurs!C303)</f>
        <v/>
      </c>
      <c r="D303" s="143" t="str">
        <f>IF(Coureurs!D303="","",Coureurs!D303)</f>
        <v>70</v>
      </c>
      <c r="E303" s="87" t="str">
        <f>IF(Coureurs!F303="","",Coureurs!F303)</f>
        <v/>
      </c>
      <c r="F303" s="87" t="str">
        <f>IF(Coureurs!G303="","",Coureurs!G303)</f>
        <v/>
      </c>
      <c r="G303" s="105">
        <f>'Course 1'!M303+'Course 2'!M303+'Course 3'!M303+'Course 4'!M303+'Course 5'!M303</f>
        <v>0</v>
      </c>
      <c r="H303" s="52"/>
    </row>
    <row r="304" spans="2:8" ht="12.75">
      <c r="B304" s="14">
        <v>300</v>
      </c>
      <c r="C304" s="28" t="str">
        <f>IF(Coureurs!C304="","",Coureurs!C304)</f>
        <v/>
      </c>
      <c r="D304" s="143" t="str">
        <f>IF(Coureurs!D304="","",Coureurs!D304)</f>
        <v>70</v>
      </c>
      <c r="E304" s="87" t="str">
        <f>IF(Coureurs!F304="","",Coureurs!F304)</f>
        <v/>
      </c>
      <c r="F304" s="87" t="str">
        <f>IF(Coureurs!G304="","",Coureurs!G304)</f>
        <v/>
      </c>
      <c r="G304" s="105">
        <f>'Course 1'!M304+'Course 2'!M304+'Course 3'!M304+'Course 4'!M304+'Course 5'!M304</f>
        <v>0</v>
      </c>
      <c r="H304" s="52"/>
    </row>
  </sheetData>
  <sheetProtection password="CFA8" sheet="1" objects="1" scenarios="1" selectLockedCells="1"/>
  <mergeCells count="1">
    <mergeCell ref="D1:H1"/>
  </mergeCells>
  <pageMargins left="0.18" right="0.46" top="0.47" bottom="0.984251969" header="0.4921259845" footer="0.4921259845"/>
  <pageSetup paperSize="9" orientation="landscape" horizontalDpi="4294967295" verticalDpi="4294967295"/>
  <headerFooter alignWithMargins="0"/>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sheetPr codeName="Feuil1" enableFormatConditionsCalculation="0">
    <pageSetUpPr fitToPage="1"/>
  </sheetPr>
  <dimension ref="B1:AY304"/>
  <sheetViews>
    <sheetView view="pageBreakPreview" zoomScale="56" zoomScaleSheetLayoutView="56" workbookViewId="0">
      <pane ySplit="3" topLeftCell="A5" activePane="bottomLeft" state="frozen"/>
      <selection pane="bottomLeft" activeCell="Z31" sqref="Z31:AO303"/>
    </sheetView>
  </sheetViews>
  <sheetFormatPr baseColWidth="10" defaultColWidth="3.28515625" defaultRowHeight="21" customHeight="1"/>
  <cols>
    <col min="1" max="1" width="7.42578125" style="43" customWidth="1"/>
    <col min="2" max="2" width="5.28515625" style="43" hidden="1" customWidth="1"/>
    <col min="3" max="4" width="5.28515625" style="44" hidden="1" customWidth="1"/>
    <col min="5" max="5" width="8.140625" style="44" hidden="1" customWidth="1"/>
    <col min="6" max="6" width="5.28515625" style="43" hidden="1" customWidth="1"/>
    <col min="7" max="7" width="7.85546875" style="43" hidden="1" customWidth="1"/>
    <col min="8" max="8" width="11.28515625" style="56" hidden="1" customWidth="1"/>
    <col min="9" max="11" width="5.140625" style="43" hidden="1" customWidth="1"/>
    <col min="12" max="12" width="7.85546875" style="53" hidden="1" customWidth="1"/>
    <col min="13" max="15" width="5.140625" style="43" hidden="1" customWidth="1"/>
    <col min="16" max="16" width="7.85546875" style="53" hidden="1" customWidth="1"/>
    <col min="17" max="19" width="5.140625" style="43" hidden="1" customWidth="1"/>
    <col min="20" max="20" width="9.140625" style="43" hidden="1" customWidth="1"/>
    <col min="21" max="23" width="5.140625" style="43" hidden="1" customWidth="1"/>
    <col min="24" max="24" width="8.140625" style="43" hidden="1" customWidth="1"/>
    <col min="25" max="25" width="7.140625" style="43" hidden="1" customWidth="1"/>
    <col min="26" max="26" width="24.140625" style="43" customWidth="1"/>
    <col min="27" max="27" width="10.140625" style="43" bestFit="1" customWidth="1"/>
    <col min="28" max="28" width="7.140625" style="43" customWidth="1"/>
    <col min="29" max="29" width="10.140625" style="43" bestFit="1" customWidth="1"/>
    <col min="30" max="30" width="25.28515625" style="43" customWidth="1"/>
    <col min="31" max="31" width="11.7109375" style="43" customWidth="1"/>
    <col min="32" max="32" width="11.7109375" style="53" customWidth="1"/>
    <col min="33" max="33" width="11.7109375" style="117" customWidth="1"/>
    <col min="34" max="34" width="23.140625" style="119" customWidth="1"/>
    <col min="35" max="35" width="13.85546875" style="43" customWidth="1"/>
    <col min="36" max="36" width="11.7109375" style="53" customWidth="1"/>
    <col min="37" max="37" width="11.7109375" style="117" customWidth="1"/>
    <col min="38" max="38" width="21.140625" style="45" customWidth="1"/>
    <col min="39" max="39" width="11.7109375" style="43" customWidth="1"/>
    <col min="40" max="40" width="11.7109375" style="53" customWidth="1"/>
    <col min="41" max="41" width="11.7109375" style="117" customWidth="1"/>
    <col min="42" max="46" width="13.42578125" style="43" hidden="1" customWidth="1"/>
    <col min="47" max="47" width="13.42578125" customWidth="1"/>
    <col min="48" max="50" width="13.42578125" style="43" customWidth="1"/>
    <col min="51" max="51" width="13.42578125" customWidth="1"/>
    <col min="52" max="54" width="13.42578125" style="43" customWidth="1"/>
    <col min="55" max="65" width="12.42578125" style="43" customWidth="1"/>
    <col min="66" max="16384" width="3.28515625" style="43"/>
  </cols>
  <sheetData>
    <row r="1" spans="2:45" ht="53.25" customHeight="1" thickBot="1">
      <c r="Z1" s="190" t="s">
        <v>34</v>
      </c>
      <c r="AA1" s="191"/>
      <c r="AB1" s="191"/>
      <c r="AC1" s="191"/>
      <c r="AD1" s="191"/>
      <c r="AE1" s="191"/>
      <c r="AF1" s="191"/>
      <c r="AG1" s="191"/>
      <c r="AH1" s="191"/>
      <c r="AI1" s="191"/>
      <c r="AJ1" s="191"/>
      <c r="AK1" s="191"/>
      <c r="AL1" s="191"/>
      <c r="AM1" s="191"/>
      <c r="AN1" s="191"/>
      <c r="AO1" s="191"/>
    </row>
    <row r="2" spans="2:45" ht="29.1" customHeight="1" thickBot="1">
      <c r="Z2" s="161" t="s">
        <v>31</v>
      </c>
      <c r="AA2" s="162"/>
      <c r="AB2" s="162"/>
      <c r="AC2" s="115" t="s">
        <v>6</v>
      </c>
      <c r="AD2" s="161" t="s">
        <v>32</v>
      </c>
      <c r="AE2" s="162"/>
      <c r="AF2" s="162"/>
      <c r="AG2" s="115" t="s">
        <v>7</v>
      </c>
      <c r="AH2" s="161" t="s">
        <v>33</v>
      </c>
      <c r="AI2" s="162"/>
      <c r="AJ2" s="162"/>
      <c r="AK2" s="115" t="str">
        <f>'Règles et points'!D28</f>
        <v>D</v>
      </c>
      <c r="AL2" s="161" t="s">
        <v>240</v>
      </c>
      <c r="AM2" s="162"/>
      <c r="AN2" s="162"/>
      <c r="AO2" s="115" t="str">
        <f>'Règles et points'!D29</f>
        <v>H</v>
      </c>
    </row>
    <row r="3" spans="2:45" ht="24.75" customHeight="1" thickBot="1">
      <c r="B3" s="47"/>
      <c r="C3" s="192" t="s">
        <v>26</v>
      </c>
      <c r="D3" s="192" t="s">
        <v>1</v>
      </c>
      <c r="E3" s="48" t="s">
        <v>30</v>
      </c>
      <c r="F3" s="48" t="s">
        <v>14</v>
      </c>
      <c r="G3" s="48" t="s">
        <v>25</v>
      </c>
      <c r="H3" s="57" t="s">
        <v>15</v>
      </c>
      <c r="J3" s="58"/>
      <c r="K3" s="59"/>
      <c r="L3" s="63" t="s">
        <v>6</v>
      </c>
      <c r="N3" s="58"/>
      <c r="O3" s="59"/>
      <c r="P3" s="63" t="s">
        <v>7</v>
      </c>
      <c r="R3" s="61"/>
      <c r="S3" s="62"/>
      <c r="T3" s="60" t="str">
        <f>AK$2</f>
        <v>D</v>
      </c>
      <c r="V3" s="61"/>
      <c r="W3" s="62"/>
      <c r="X3" s="60" t="str">
        <f>AO$2</f>
        <v>H</v>
      </c>
      <c r="Z3" s="163" t="str">
        <f>'Règles et points'!E27</f>
        <v>Jeunes Filles</v>
      </c>
      <c r="AA3" s="163" t="s">
        <v>6</v>
      </c>
      <c r="AB3" s="164"/>
      <c r="AC3" s="165" t="s">
        <v>35</v>
      </c>
      <c r="AD3" s="163" t="str">
        <f>'Règles et points'!E30</f>
        <v>Jeunes Hommes</v>
      </c>
      <c r="AE3" s="163" t="s">
        <v>7</v>
      </c>
      <c r="AF3" s="164"/>
      <c r="AG3" s="165" t="s">
        <v>35</v>
      </c>
      <c r="AH3" s="163" t="str">
        <f>'Règles et points'!E28</f>
        <v>Dames</v>
      </c>
      <c r="AI3" s="163" t="s">
        <v>4</v>
      </c>
      <c r="AJ3" s="164"/>
      <c r="AK3" s="165" t="s">
        <v>35</v>
      </c>
      <c r="AL3" s="163" t="str">
        <f>'Règles et points'!E29</f>
        <v>Hommes</v>
      </c>
      <c r="AM3" s="163" t="str">
        <f>'Règles et points'!D29</f>
        <v>H</v>
      </c>
      <c r="AN3" s="164"/>
      <c r="AO3" s="165" t="s">
        <v>35</v>
      </c>
    </row>
    <row r="4" spans="2:45" ht="21" customHeight="1">
      <c r="D4" s="46"/>
      <c r="E4" s="46"/>
      <c r="T4" s="45"/>
      <c r="X4" s="45"/>
      <c r="Z4" s="43" t="s">
        <v>162</v>
      </c>
      <c r="AA4" s="43" t="s">
        <v>163</v>
      </c>
      <c r="AB4" s="173">
        <v>0</v>
      </c>
      <c r="AD4" s="77" t="s">
        <v>164</v>
      </c>
      <c r="AE4" s="77" t="s">
        <v>165</v>
      </c>
      <c r="AF4" s="172">
        <v>0</v>
      </c>
      <c r="AG4" s="116"/>
      <c r="AH4" s="118" t="s">
        <v>99</v>
      </c>
      <c r="AI4" s="77" t="s">
        <v>100</v>
      </c>
      <c r="AJ4" s="172">
        <v>0</v>
      </c>
      <c r="AK4" s="116" t="str">
        <f>IF(AJ4=AJ5,AK5,IF(AJ4=0,"abs",AR4))</f>
        <v>abs</v>
      </c>
      <c r="AL4" s="79" t="s">
        <v>89</v>
      </c>
      <c r="AM4" s="77" t="s">
        <v>90</v>
      </c>
      <c r="AN4" s="172">
        <v>0</v>
      </c>
      <c r="AO4" s="116" t="str">
        <f>IF(AN4=AN5,AO5,IF(AN4=0,"abs",AS4))</f>
        <v>abs</v>
      </c>
      <c r="AQ4" s="43">
        <f t="shared" ref="AQ4:AQ11" si="0">IF(AF5="",0,1+AQ5)</f>
        <v>23</v>
      </c>
      <c r="AR4" s="43">
        <f t="shared" ref="AR4:AR36" si="1">IF(AJ4="",0,1+AR5)</f>
        <v>21</v>
      </c>
      <c r="AS4" s="43">
        <f t="shared" ref="AS4:AS36" si="2">IF(AN4="",0,1+AS5)</f>
        <v>27</v>
      </c>
    </row>
    <row r="5" spans="2:45" ht="21" customHeight="1">
      <c r="B5" s="43">
        <v>1</v>
      </c>
      <c r="C5" s="44">
        <f>'Course 1'!C5</f>
        <v>24</v>
      </c>
      <c r="D5" s="46" t="str">
        <f>IF(C5="","",HLOOKUP(C5,'Règles et points'!$D$5:$Y$7,3))</f>
        <v>H21</v>
      </c>
      <c r="E5" s="46" t="str">
        <f>IF(C5="","",HLOOKUP(C5,'Règles et points'!$D$5:$AG$7,2))</f>
        <v>H</v>
      </c>
      <c r="F5" s="43" t="str">
        <f>IF('Course 1'!E5="","",'Course 1'!E5)</f>
        <v>GARDEUR</v>
      </c>
      <c r="G5" s="43" t="str">
        <f>IF('Course 1'!F5="","",'Course 1'!F5)</f>
        <v>Julien</v>
      </c>
      <c r="H5" s="56">
        <f>'Course 1'!M5+'Course 2'!M5+'Course 3'!M5+'Course 4'!M5+'Course 4'!M5</f>
        <v>0</v>
      </c>
      <c r="J5" s="43" t="str">
        <f>IF($E5=$L$3,$F5,"")</f>
        <v/>
      </c>
      <c r="K5" s="43" t="str">
        <f>IF($E5=$L$3,$G5,"")</f>
        <v/>
      </c>
      <c r="L5" s="53" t="str">
        <f>IF($E5=$L$3,$H5,"")</f>
        <v/>
      </c>
      <c r="N5" s="43" t="str">
        <f>IF($E5=$P$3,$F5,"")</f>
        <v/>
      </c>
      <c r="O5" s="43" t="str">
        <f>IF($E5=$P$3,$G5,"")</f>
        <v/>
      </c>
      <c r="P5" s="53" t="str">
        <f>IF($E5=$P$3,$H5,"")</f>
        <v/>
      </c>
      <c r="R5" s="43" t="str">
        <f>IF($E5=$T$3,$F5,"")</f>
        <v/>
      </c>
      <c r="S5" s="43" t="str">
        <f>IF($E5=$T$3,$G5,"")</f>
        <v/>
      </c>
      <c r="T5" s="45" t="str">
        <f>IF($E5=$T$3,$H5,"")</f>
        <v/>
      </c>
      <c r="V5" s="43" t="str">
        <f>IF($E5=$X$3,$F5,"")</f>
        <v>GARDEUR</v>
      </c>
      <c r="W5" s="43" t="str">
        <f>IF($E5=$X$3,$G5,"")</f>
        <v>Julien</v>
      </c>
      <c r="X5" s="45">
        <f>IF($E5=$X$3,$H5,"")</f>
        <v>0</v>
      </c>
      <c r="Z5" s="43" t="s">
        <v>164</v>
      </c>
      <c r="AA5" s="43" t="s">
        <v>129</v>
      </c>
      <c r="AB5" s="173">
        <v>0</v>
      </c>
      <c r="AD5" s="77" t="s">
        <v>203</v>
      </c>
      <c r="AE5" s="77" t="s">
        <v>204</v>
      </c>
      <c r="AF5" s="172">
        <v>0</v>
      </c>
      <c r="AG5" s="116"/>
      <c r="AH5" s="118" t="s">
        <v>116</v>
      </c>
      <c r="AI5" s="77" t="s">
        <v>118</v>
      </c>
      <c r="AJ5" s="172">
        <v>0</v>
      </c>
      <c r="AK5" s="116" t="str">
        <f t="shared" ref="AK5:AK24" si="3">IF(AJ5=AJ6,AK6,IF(AJ5=0,"abs",AR5))</f>
        <v>abs</v>
      </c>
      <c r="AL5" s="79" t="s">
        <v>91</v>
      </c>
      <c r="AM5" s="77" t="s">
        <v>92</v>
      </c>
      <c r="AN5" s="172">
        <v>0</v>
      </c>
      <c r="AO5" s="116" t="str">
        <f t="shared" ref="AO5:AO30" si="4">IF(AN5=AN6,AO6,IF(AN5=0,"abs",AS5))</f>
        <v>abs</v>
      </c>
      <c r="AQ5" s="43">
        <f t="shared" si="0"/>
        <v>22</v>
      </c>
      <c r="AR5" s="43">
        <f t="shared" si="1"/>
        <v>20</v>
      </c>
      <c r="AS5" s="43">
        <f t="shared" si="2"/>
        <v>26</v>
      </c>
    </row>
    <row r="6" spans="2:45" ht="21" customHeight="1">
      <c r="B6" s="43">
        <v>2</v>
      </c>
      <c r="C6" s="44">
        <f>'Course 1'!C6</f>
        <v>26</v>
      </c>
      <c r="D6" s="46" t="str">
        <f>IF(C6="","",HLOOKUP(C6,'Règles et points'!$D$5:$Y$7,3))</f>
        <v>H21</v>
      </c>
      <c r="E6" s="46" t="str">
        <f>IF(C6="","",HLOOKUP(C6,'Règles et points'!$D$5:$AG$7,2))</f>
        <v>H</v>
      </c>
      <c r="F6" s="43" t="str">
        <f>IF('Course 1'!E6="","",'Course 1'!E6)</f>
        <v>TOUSSAINT</v>
      </c>
      <c r="G6" s="43" t="str">
        <f>IF('Course 1'!F6="","",'Course 1'!F6)</f>
        <v>Stéphane</v>
      </c>
      <c r="H6" s="56">
        <f>'Course 1'!M6+'Course 2'!M6+'Course 3'!M6+'Course 4'!M6+'Course 4'!M6</f>
        <v>0</v>
      </c>
      <c r="J6" s="43" t="str">
        <f>IF($E6=$L$3,$F6,"")</f>
        <v/>
      </c>
      <c r="K6" s="43" t="str">
        <f>IF($E6=$L$3,$G6,"")</f>
        <v/>
      </c>
      <c r="L6" s="53" t="str">
        <f>IF($E6=$L$3,$H6,"")</f>
        <v/>
      </c>
      <c r="N6" s="43" t="str">
        <f t="shared" ref="N6:N69" si="5">IF($E6=$P$3,$F6,"")</f>
        <v/>
      </c>
      <c r="O6" s="43" t="str">
        <f t="shared" ref="O6:O69" si="6">IF($E6=$P$3,$G6,"")</f>
        <v/>
      </c>
      <c r="P6" s="53" t="str">
        <f t="shared" ref="P6:P69" si="7">IF($E6=$P$3,$H6,"")</f>
        <v/>
      </c>
      <c r="R6" s="43" t="str">
        <f>IF($E6=$T$3,$F6,"")</f>
        <v/>
      </c>
      <c r="S6" s="43" t="str">
        <f>IF($E6=$T$3,$G6,"")</f>
        <v/>
      </c>
      <c r="T6" s="45" t="str">
        <f>IF($E6=$T$3,$H6,"")</f>
        <v/>
      </c>
      <c r="V6" s="43" t="str">
        <f>IF($E6=$X$3,$F6,"")</f>
        <v>TOUSSAINT</v>
      </c>
      <c r="W6" s="43" t="str">
        <f>IF($E6=$X$3,$G6,"")</f>
        <v>Stéphane</v>
      </c>
      <c r="X6" s="45">
        <f>IF($E6=$X$3,$H6,"")</f>
        <v>0</v>
      </c>
      <c r="Z6" s="43" t="s">
        <v>164</v>
      </c>
      <c r="AA6" s="43" t="s">
        <v>166</v>
      </c>
      <c r="AB6" s="173">
        <v>0</v>
      </c>
      <c r="AD6" s="77" t="s">
        <v>203</v>
      </c>
      <c r="AE6" s="77" t="s">
        <v>205</v>
      </c>
      <c r="AF6" s="172">
        <v>0</v>
      </c>
      <c r="AG6" s="116"/>
      <c r="AH6" s="118" t="s">
        <v>119</v>
      </c>
      <c r="AI6" s="77" t="s">
        <v>120</v>
      </c>
      <c r="AJ6" s="172">
        <v>0</v>
      </c>
      <c r="AK6" s="116" t="str">
        <f t="shared" si="3"/>
        <v>abs</v>
      </c>
      <c r="AL6" s="79" t="s">
        <v>97</v>
      </c>
      <c r="AM6" s="77" t="s">
        <v>98</v>
      </c>
      <c r="AN6" s="172">
        <v>0</v>
      </c>
      <c r="AO6" s="116" t="str">
        <f t="shared" si="4"/>
        <v>abs</v>
      </c>
      <c r="AQ6" s="43">
        <f t="shared" si="0"/>
        <v>21</v>
      </c>
      <c r="AR6" s="43">
        <f t="shared" si="1"/>
        <v>19</v>
      </c>
      <c r="AS6" s="43">
        <f t="shared" si="2"/>
        <v>25</v>
      </c>
    </row>
    <row r="7" spans="2:45" ht="21" customHeight="1">
      <c r="B7" s="43">
        <v>3</v>
      </c>
      <c r="C7" s="44">
        <f>'Course 1'!C7</f>
        <v>25</v>
      </c>
      <c r="D7" s="46" t="str">
        <f>IF(C7="","",HLOOKUP(C7,'Règles et points'!$D$5:$Y$7,3))</f>
        <v>H21</v>
      </c>
      <c r="E7" s="46" t="str">
        <f>IF(C7="","",HLOOKUP(C7,'Règles et points'!$D$5:$AG$7,2))</f>
        <v>H</v>
      </c>
      <c r="F7" s="43" t="str">
        <f>IF('Course 1'!E7="","",'Course 1'!E7)</f>
        <v>VANNIER</v>
      </c>
      <c r="G7" s="43" t="str">
        <f>IF('Course 1'!F7="","",'Course 1'!F7)</f>
        <v>Fabrice</v>
      </c>
      <c r="H7" s="56">
        <f>'Course 1'!M7+'Course 2'!M7+'Course 3'!M7+'Course 4'!M7+'Course 4'!M7</f>
        <v>100</v>
      </c>
      <c r="J7" s="43" t="str">
        <f t="shared" ref="J7:J67" si="8">IF($E7=$L$3,$F7,"")</f>
        <v/>
      </c>
      <c r="K7" s="43" t="str">
        <f t="shared" ref="K7:K67" si="9">IF($E7=$L$3,$G7,"")</f>
        <v/>
      </c>
      <c r="L7" s="53" t="str">
        <f t="shared" ref="L7:L67" si="10">IF($E7=$L$3,$H7,"")</f>
        <v/>
      </c>
      <c r="N7" s="43" t="str">
        <f t="shared" si="5"/>
        <v/>
      </c>
      <c r="O7" s="43" t="str">
        <f t="shared" si="6"/>
        <v/>
      </c>
      <c r="P7" s="53" t="str">
        <f t="shared" si="7"/>
        <v/>
      </c>
      <c r="R7" s="43" t="str">
        <f t="shared" ref="R7:R68" si="11">IF($E7=$T$3,$F7,"")</f>
        <v/>
      </c>
      <c r="S7" s="43" t="str">
        <f t="shared" ref="S7:S68" si="12">IF($E7=$T$3,$G7,"")</f>
        <v/>
      </c>
      <c r="T7" s="45" t="str">
        <f t="shared" ref="T7:T68" si="13">IF($E7=$T$3,$H7,"")</f>
        <v/>
      </c>
      <c r="V7" s="43" t="str">
        <f t="shared" ref="V7:V68" si="14">IF($E7=$X$3,$F7,"")</f>
        <v>VANNIER</v>
      </c>
      <c r="W7" s="43" t="str">
        <f t="shared" ref="W7:W68" si="15">IF($E7=$X$3,$G7,"")</f>
        <v>Fabrice</v>
      </c>
      <c r="X7" s="45">
        <f t="shared" ref="X7:X27" si="16">IF($E7=$X$3,$H7,"")</f>
        <v>100</v>
      </c>
      <c r="Z7" s="43" t="s">
        <v>173</v>
      </c>
      <c r="AA7" s="43" t="s">
        <v>174</v>
      </c>
      <c r="AB7" s="173">
        <v>0</v>
      </c>
      <c r="AD7" s="77" t="s">
        <v>216</v>
      </c>
      <c r="AE7" s="77" t="s">
        <v>219</v>
      </c>
      <c r="AF7" s="78">
        <v>0</v>
      </c>
      <c r="AG7" s="116"/>
      <c r="AH7" s="118" t="s">
        <v>91</v>
      </c>
      <c r="AI7" s="77" t="s">
        <v>122</v>
      </c>
      <c r="AJ7" s="78">
        <v>0</v>
      </c>
      <c r="AK7" s="116" t="str">
        <f t="shared" si="3"/>
        <v>abs</v>
      </c>
      <c r="AL7" s="79" t="s">
        <v>107</v>
      </c>
      <c r="AM7" s="77" t="s">
        <v>108</v>
      </c>
      <c r="AN7" s="172">
        <v>0</v>
      </c>
      <c r="AO7" s="116" t="str">
        <f t="shared" si="4"/>
        <v>abs</v>
      </c>
      <c r="AQ7" s="43">
        <f t="shared" si="0"/>
        <v>20</v>
      </c>
      <c r="AR7" s="43">
        <f t="shared" si="1"/>
        <v>18</v>
      </c>
      <c r="AS7" s="43">
        <f t="shared" si="2"/>
        <v>24</v>
      </c>
    </row>
    <row r="8" spans="2:45" ht="21" customHeight="1">
      <c r="B8" s="43">
        <v>4</v>
      </c>
      <c r="C8" s="44">
        <f>'Course 1'!C8</f>
        <v>30</v>
      </c>
      <c r="D8" s="46" t="str">
        <f>IF(C8="","",HLOOKUP(C8,'Règles et points'!$D$5:$Y$7,3))</f>
        <v>H21</v>
      </c>
      <c r="E8" s="46" t="str">
        <f>IF(C8="","",HLOOKUP(C8,'Règles et points'!$D$5:$AG$7,2))</f>
        <v>H</v>
      </c>
      <c r="F8" s="43" t="str">
        <f>IF('Course 1'!E8="","",'Course 1'!E8)</f>
        <v>HAMON</v>
      </c>
      <c r="G8" s="43" t="str">
        <f>IF('Course 1'!F8="","",'Course 1'!F8)</f>
        <v>Patrick</v>
      </c>
      <c r="H8" s="56">
        <f>'Course 1'!M8+'Course 2'!M8+'Course 3'!M8+'Course 4'!M8+'Course 4'!M8</f>
        <v>91.666666666666671</v>
      </c>
      <c r="J8" s="43" t="str">
        <f t="shared" si="8"/>
        <v/>
      </c>
      <c r="K8" s="43" t="str">
        <f t="shared" si="9"/>
        <v/>
      </c>
      <c r="L8" s="53" t="str">
        <f t="shared" si="10"/>
        <v/>
      </c>
      <c r="N8" s="43" t="str">
        <f t="shared" si="5"/>
        <v/>
      </c>
      <c r="O8" s="43" t="str">
        <f t="shared" si="6"/>
        <v/>
      </c>
      <c r="P8" s="53" t="str">
        <f t="shared" si="7"/>
        <v/>
      </c>
      <c r="R8" s="43" t="str">
        <f t="shared" si="11"/>
        <v/>
      </c>
      <c r="S8" s="43" t="str">
        <f t="shared" si="12"/>
        <v/>
      </c>
      <c r="T8" s="45" t="str">
        <f t="shared" si="13"/>
        <v/>
      </c>
      <c r="V8" s="43" t="str">
        <f t="shared" si="14"/>
        <v>HAMON</v>
      </c>
      <c r="W8" s="43" t="str">
        <f t="shared" si="15"/>
        <v>Patrick</v>
      </c>
      <c r="X8" s="45">
        <f t="shared" si="16"/>
        <v>91.666666666666671</v>
      </c>
      <c r="Z8" s="43" t="s">
        <v>180</v>
      </c>
      <c r="AA8" s="43" t="s">
        <v>181</v>
      </c>
      <c r="AB8" s="173">
        <v>0</v>
      </c>
      <c r="AD8" s="77" t="s">
        <v>222</v>
      </c>
      <c r="AE8" s="77" t="s">
        <v>223</v>
      </c>
      <c r="AF8" s="172">
        <v>0</v>
      </c>
      <c r="AG8" s="116"/>
      <c r="AH8" s="118" t="s">
        <v>139</v>
      </c>
      <c r="AI8" s="77" t="s">
        <v>141</v>
      </c>
      <c r="AJ8" s="172">
        <v>0</v>
      </c>
      <c r="AK8" s="116" t="str">
        <f t="shared" si="3"/>
        <v>abs</v>
      </c>
      <c r="AL8" s="79" t="s">
        <v>109</v>
      </c>
      <c r="AM8" s="77" t="s">
        <v>110</v>
      </c>
      <c r="AN8" s="172">
        <v>0</v>
      </c>
      <c r="AO8" s="116" t="str">
        <f t="shared" si="4"/>
        <v>abs</v>
      </c>
      <c r="AQ8" s="43">
        <f t="shared" si="0"/>
        <v>19</v>
      </c>
      <c r="AR8" s="43">
        <f t="shared" si="1"/>
        <v>17</v>
      </c>
      <c r="AS8" s="43">
        <f t="shared" si="2"/>
        <v>23</v>
      </c>
    </row>
    <row r="9" spans="2:45" ht="21" customHeight="1">
      <c r="B9" s="43">
        <v>5</v>
      </c>
      <c r="C9" s="44">
        <f>'Course 1'!C9</f>
        <v>27</v>
      </c>
      <c r="D9" s="46" t="str">
        <f>IF(C9="","",HLOOKUP(C9,'Règles et points'!$D$5:$Y$7,3))</f>
        <v>H21</v>
      </c>
      <c r="E9" s="46" t="str">
        <f>IF(C9="","",HLOOKUP(C9,'Règles et points'!$D$5:$AG$7,2))</f>
        <v>H</v>
      </c>
      <c r="F9" s="43" t="str">
        <f>IF('Course 1'!E9="","",'Course 1'!E9)</f>
        <v>GILLARD</v>
      </c>
      <c r="G9" s="43" t="str">
        <f>IF('Course 1'!F9="","",'Course 1'!F9)</f>
        <v>Hugues</v>
      </c>
      <c r="H9" s="56">
        <f>'Course 1'!M9+'Course 2'!M9+'Course 3'!M9+'Course 4'!M9+'Course 4'!M9</f>
        <v>0</v>
      </c>
      <c r="J9" s="43" t="str">
        <f t="shared" si="8"/>
        <v/>
      </c>
      <c r="K9" s="43" t="str">
        <f t="shared" si="9"/>
        <v/>
      </c>
      <c r="L9" s="53" t="str">
        <f t="shared" si="10"/>
        <v/>
      </c>
      <c r="N9" s="43" t="str">
        <f t="shared" si="5"/>
        <v/>
      </c>
      <c r="O9" s="43" t="str">
        <f t="shared" si="6"/>
        <v/>
      </c>
      <c r="P9" s="53" t="str">
        <f t="shared" si="7"/>
        <v/>
      </c>
      <c r="R9" s="43" t="str">
        <f t="shared" si="11"/>
        <v/>
      </c>
      <c r="S9" s="43" t="str">
        <f t="shared" si="12"/>
        <v/>
      </c>
      <c r="T9" s="45" t="str">
        <f t="shared" si="13"/>
        <v/>
      </c>
      <c r="V9" s="43" t="str">
        <f t="shared" si="14"/>
        <v>GILLARD</v>
      </c>
      <c r="W9" s="43" t="str">
        <f t="shared" si="15"/>
        <v>Hugues</v>
      </c>
      <c r="X9" s="45">
        <f t="shared" si="16"/>
        <v>0</v>
      </c>
      <c r="Z9" s="43" t="s">
        <v>173</v>
      </c>
      <c r="AA9" s="43" t="s">
        <v>202</v>
      </c>
      <c r="AB9" s="173">
        <v>0</v>
      </c>
      <c r="AD9" s="77" t="s">
        <v>226</v>
      </c>
      <c r="AE9" s="77" t="s">
        <v>228</v>
      </c>
      <c r="AF9" s="172">
        <v>0</v>
      </c>
      <c r="AG9" s="116"/>
      <c r="AH9" s="118" t="s">
        <v>167</v>
      </c>
      <c r="AI9" s="77" t="s">
        <v>168</v>
      </c>
      <c r="AJ9" s="172">
        <v>0</v>
      </c>
      <c r="AK9" s="116" t="str">
        <f t="shared" si="3"/>
        <v>abs</v>
      </c>
      <c r="AL9" s="79" t="s">
        <v>113</v>
      </c>
      <c r="AM9" s="77" t="s">
        <v>114</v>
      </c>
      <c r="AN9" s="172">
        <v>0</v>
      </c>
      <c r="AO9" s="116" t="str">
        <f t="shared" si="4"/>
        <v>abs</v>
      </c>
      <c r="AQ9" s="43">
        <f t="shared" si="0"/>
        <v>18</v>
      </c>
      <c r="AR9" s="43">
        <f t="shared" si="1"/>
        <v>16</v>
      </c>
      <c r="AS9" s="43">
        <f t="shared" si="2"/>
        <v>22</v>
      </c>
    </row>
    <row r="10" spans="2:45" ht="21" customHeight="1">
      <c r="B10" s="43">
        <v>6</v>
      </c>
      <c r="C10" s="44">
        <f>'Course 1'!C10</f>
        <v>11</v>
      </c>
      <c r="D10" s="46" t="str">
        <f>IF(C10="","",HLOOKUP(C10,'Règles et points'!$D$5:$Y$7,3))</f>
        <v>D50</v>
      </c>
      <c r="E10" s="46" t="str">
        <f>IF(C10="","",HLOOKUP(C10,'Règles et points'!$D$5:$AG$7,2))</f>
        <v>D</v>
      </c>
      <c r="F10" s="43" t="str">
        <f>IF('Course 1'!E10="","",'Course 1'!E10)</f>
        <v>OLIVIER</v>
      </c>
      <c r="G10" s="43" t="str">
        <f>IF('Course 1'!F10="","",'Course 1'!F10)</f>
        <v>Sandra</v>
      </c>
      <c r="H10" s="56">
        <f>'Course 1'!M10+'Course 2'!M10+'Course 3'!M10+'Course 4'!M10+'Course 4'!M10</f>
        <v>0</v>
      </c>
      <c r="J10" s="43" t="str">
        <f t="shared" si="8"/>
        <v/>
      </c>
      <c r="K10" s="43" t="str">
        <f t="shared" si="9"/>
        <v/>
      </c>
      <c r="L10" s="53" t="str">
        <f t="shared" si="10"/>
        <v/>
      </c>
      <c r="N10" s="43" t="str">
        <f t="shared" si="5"/>
        <v/>
      </c>
      <c r="O10" s="43" t="str">
        <f t="shared" si="6"/>
        <v/>
      </c>
      <c r="P10" s="53" t="str">
        <f t="shared" si="7"/>
        <v/>
      </c>
      <c r="R10" s="43" t="str">
        <f t="shared" si="11"/>
        <v>OLIVIER</v>
      </c>
      <c r="S10" s="43" t="str">
        <f t="shared" si="12"/>
        <v>Sandra</v>
      </c>
      <c r="T10" s="45">
        <f t="shared" si="13"/>
        <v>0</v>
      </c>
      <c r="V10" s="43" t="str">
        <f t="shared" si="14"/>
        <v/>
      </c>
      <c r="W10" s="43" t="str">
        <f t="shared" si="15"/>
        <v/>
      </c>
      <c r="X10" s="45" t="str">
        <f t="shared" si="16"/>
        <v/>
      </c>
      <c r="Z10" s="43" t="s">
        <v>206</v>
      </c>
      <c r="AA10" s="43" t="s">
        <v>207</v>
      </c>
      <c r="AB10" s="173">
        <v>0</v>
      </c>
      <c r="AD10" s="77" t="s">
        <v>235</v>
      </c>
      <c r="AE10" s="77" t="s">
        <v>236</v>
      </c>
      <c r="AF10" s="172">
        <v>0</v>
      </c>
      <c r="AG10" s="116"/>
      <c r="AH10" s="118" t="s">
        <v>173</v>
      </c>
      <c r="AI10" s="77" t="s">
        <v>201</v>
      </c>
      <c r="AJ10" s="172">
        <v>0</v>
      </c>
      <c r="AK10" s="116" t="str">
        <f t="shared" si="3"/>
        <v>abs</v>
      </c>
      <c r="AL10" s="79" t="s">
        <v>116</v>
      </c>
      <c r="AM10" s="77" t="s">
        <v>117</v>
      </c>
      <c r="AN10" s="172">
        <v>0</v>
      </c>
      <c r="AO10" s="116" t="str">
        <f t="shared" si="4"/>
        <v>abs</v>
      </c>
      <c r="AQ10" s="43">
        <f t="shared" si="0"/>
        <v>17</v>
      </c>
      <c r="AR10" s="43">
        <f t="shared" si="1"/>
        <v>15</v>
      </c>
      <c r="AS10" s="43">
        <f t="shared" si="2"/>
        <v>21</v>
      </c>
    </row>
    <row r="11" spans="2:45" ht="21" customHeight="1">
      <c r="B11" s="43">
        <v>7</v>
      </c>
      <c r="C11" s="44">
        <f>'Course 1'!C11</f>
        <v>13</v>
      </c>
      <c r="D11" s="46" t="str">
        <f>IF(C11="","",HLOOKUP(C11,'Règles et points'!$D$5:$Y$7,3))</f>
        <v>D60</v>
      </c>
      <c r="E11" s="46" t="str">
        <f>IF(C11="","",HLOOKUP(C11,'Règles et points'!$D$5:$AG$7,2))</f>
        <v>D</v>
      </c>
      <c r="F11" s="43" t="str">
        <f>IF('Course 1'!E11="","",'Course 1'!E11)</f>
        <v>MOLINIER</v>
      </c>
      <c r="G11" s="43" t="str">
        <f>IF('Course 1'!F11="","",'Course 1'!F11)</f>
        <v>Frederique</v>
      </c>
      <c r="H11" s="56">
        <f>'Course 1'!M11+'Course 2'!M11+'Course 3'!M11+'Course 4'!M11+'Course 4'!M11</f>
        <v>30</v>
      </c>
      <c r="J11" s="43" t="str">
        <f t="shared" si="8"/>
        <v/>
      </c>
      <c r="K11" s="43" t="str">
        <f t="shared" si="9"/>
        <v/>
      </c>
      <c r="L11" s="53" t="str">
        <f t="shared" si="10"/>
        <v/>
      </c>
      <c r="N11" s="43" t="str">
        <f t="shared" si="5"/>
        <v/>
      </c>
      <c r="O11" s="43" t="str">
        <f t="shared" si="6"/>
        <v/>
      </c>
      <c r="P11" s="53" t="str">
        <f t="shared" si="7"/>
        <v/>
      </c>
      <c r="R11" s="43" t="str">
        <f t="shared" si="11"/>
        <v>MOLINIER</v>
      </c>
      <c r="S11" s="43" t="str">
        <f t="shared" si="12"/>
        <v>Frederique</v>
      </c>
      <c r="T11" s="45">
        <f t="shared" si="13"/>
        <v>30</v>
      </c>
      <c r="V11" s="43" t="str">
        <f t="shared" si="14"/>
        <v/>
      </c>
      <c r="W11" s="43" t="str">
        <f t="shared" si="15"/>
        <v/>
      </c>
      <c r="X11" s="45" t="str">
        <f t="shared" si="16"/>
        <v/>
      </c>
      <c r="Z11" s="43" t="s">
        <v>155</v>
      </c>
      <c r="AA11" s="43" t="s">
        <v>156</v>
      </c>
      <c r="AB11" s="173">
        <v>30</v>
      </c>
      <c r="AD11" s="77" t="s">
        <v>191</v>
      </c>
      <c r="AE11" s="77" t="s">
        <v>192</v>
      </c>
      <c r="AF11" s="172">
        <v>30</v>
      </c>
      <c r="AG11" s="116"/>
      <c r="AH11" s="118" t="s">
        <v>231</v>
      </c>
      <c r="AI11" s="77" t="s">
        <v>232</v>
      </c>
      <c r="AJ11" s="172">
        <v>0</v>
      </c>
      <c r="AK11" s="116" t="str">
        <f t="shared" si="3"/>
        <v>abs</v>
      </c>
      <c r="AL11" s="79" t="s">
        <v>91</v>
      </c>
      <c r="AM11" s="77" t="s">
        <v>121</v>
      </c>
      <c r="AN11" s="172">
        <v>0</v>
      </c>
      <c r="AO11" s="116" t="str">
        <f t="shared" si="4"/>
        <v>abs</v>
      </c>
      <c r="AQ11" s="43">
        <f t="shared" si="0"/>
        <v>16</v>
      </c>
      <c r="AR11" s="43">
        <f t="shared" si="1"/>
        <v>14</v>
      </c>
      <c r="AS11" s="43">
        <f t="shared" si="2"/>
        <v>20</v>
      </c>
    </row>
    <row r="12" spans="2:45" ht="21" customHeight="1">
      <c r="B12" s="43">
        <v>8</v>
      </c>
      <c r="C12" s="44">
        <f>'Course 1'!C12</f>
        <v>7</v>
      </c>
      <c r="D12" s="46" t="str">
        <f>IF(C12="","",HLOOKUP(C12,'Règles et points'!$D$5:$Y$7,3))</f>
        <v>D21</v>
      </c>
      <c r="E12" s="46" t="str">
        <f>IF(C12="","",HLOOKUP(C12,'Règles et points'!$D$5:$AG$7,2))</f>
        <v>D</v>
      </c>
      <c r="F12" s="43" t="str">
        <f>IF('Course 1'!E12="","",'Course 1'!E12)</f>
        <v>MOLINIER</v>
      </c>
      <c r="G12" s="43" t="str">
        <f>IF('Course 1'!F12="","",'Course 1'!F12)</f>
        <v>Caroline</v>
      </c>
      <c r="H12" s="56">
        <f>'Course 1'!M12+'Course 2'!M12+'Course 3'!M12+'Course 4'!M12+'Course 4'!M12</f>
        <v>47.933333333333302</v>
      </c>
      <c r="J12" s="43" t="str">
        <f t="shared" si="8"/>
        <v/>
      </c>
      <c r="K12" s="43" t="str">
        <f t="shared" si="9"/>
        <v/>
      </c>
      <c r="L12" s="53" t="str">
        <f t="shared" si="10"/>
        <v/>
      </c>
      <c r="N12" s="43" t="str">
        <f t="shared" si="5"/>
        <v/>
      </c>
      <c r="O12" s="43" t="str">
        <f t="shared" si="6"/>
        <v/>
      </c>
      <c r="P12" s="53" t="str">
        <f t="shared" si="7"/>
        <v/>
      </c>
      <c r="R12" s="43" t="str">
        <f t="shared" si="11"/>
        <v>MOLINIER</v>
      </c>
      <c r="S12" s="43" t="str">
        <f t="shared" si="12"/>
        <v>Caroline</v>
      </c>
      <c r="T12" s="45">
        <f t="shared" si="13"/>
        <v>47.933333333333302</v>
      </c>
      <c r="V12" s="43" t="str">
        <f t="shared" si="14"/>
        <v/>
      </c>
      <c r="W12" s="43" t="str">
        <f t="shared" si="15"/>
        <v/>
      </c>
      <c r="X12" s="45" t="str">
        <f t="shared" si="16"/>
        <v/>
      </c>
      <c r="Z12" s="43" t="s">
        <v>224</v>
      </c>
      <c r="AA12" s="43" t="s">
        <v>225</v>
      </c>
      <c r="AB12" s="173">
        <v>30</v>
      </c>
      <c r="AD12" s="77" t="s">
        <v>197</v>
      </c>
      <c r="AE12" s="77" t="s">
        <v>140</v>
      </c>
      <c r="AF12" s="172">
        <v>30</v>
      </c>
      <c r="AG12" s="116"/>
      <c r="AH12" s="118" t="s">
        <v>101</v>
      </c>
      <c r="AI12" s="77" t="s">
        <v>102</v>
      </c>
      <c r="AJ12" s="172">
        <v>30</v>
      </c>
      <c r="AK12" s="116">
        <f t="shared" si="3"/>
        <v>11</v>
      </c>
      <c r="AL12" s="79" t="s">
        <v>130</v>
      </c>
      <c r="AM12" s="77" t="s">
        <v>131</v>
      </c>
      <c r="AN12" s="172">
        <v>0</v>
      </c>
      <c r="AO12" s="116" t="str">
        <f t="shared" si="4"/>
        <v>abs</v>
      </c>
      <c r="AQ12" s="43">
        <f t="shared" ref="AQ12:AQ36" si="17">IF(AF13="",0,1+AQ13)</f>
        <v>15</v>
      </c>
      <c r="AR12" s="43">
        <f t="shared" si="1"/>
        <v>13</v>
      </c>
      <c r="AS12" s="43">
        <f t="shared" si="2"/>
        <v>19</v>
      </c>
    </row>
    <row r="13" spans="2:45" ht="21" customHeight="1">
      <c r="B13" s="43">
        <v>9</v>
      </c>
      <c r="C13" s="44">
        <f>'Course 1'!C13</f>
        <v>28</v>
      </c>
      <c r="D13" s="46" t="str">
        <f>IF(C13="","",HLOOKUP(C13,'Règles et points'!$D$5:$Y$7,3))</f>
        <v>H21</v>
      </c>
      <c r="E13" s="46" t="str">
        <f>IF(C13="","",HLOOKUP(C13,'Règles et points'!$D$5:$AG$7,2))</f>
        <v>H</v>
      </c>
      <c r="F13" s="43" t="str">
        <f>IF('Course 1'!E13="","",'Course 1'!E13)</f>
        <v>RORA</v>
      </c>
      <c r="G13" s="43" t="str">
        <f>IF('Course 1'!F13="","",'Course 1'!F13)</f>
        <v>Jose</v>
      </c>
      <c r="H13" s="56">
        <f>'Course 1'!M13+'Course 2'!M13+'Course 3'!M13+'Course 4'!M13+'Course 4'!M13</f>
        <v>100</v>
      </c>
      <c r="J13" s="43" t="str">
        <f t="shared" si="8"/>
        <v/>
      </c>
      <c r="K13" s="43" t="str">
        <f t="shared" si="9"/>
        <v/>
      </c>
      <c r="L13" s="53" t="str">
        <f t="shared" si="10"/>
        <v/>
      </c>
      <c r="N13" s="43" t="str">
        <f t="shared" si="5"/>
        <v/>
      </c>
      <c r="O13" s="43" t="str">
        <f t="shared" si="6"/>
        <v/>
      </c>
      <c r="P13" s="53" t="str">
        <f t="shared" si="7"/>
        <v/>
      </c>
      <c r="R13" s="43" t="str">
        <f t="shared" si="11"/>
        <v/>
      </c>
      <c r="S13" s="43" t="str">
        <f t="shared" si="12"/>
        <v/>
      </c>
      <c r="T13" s="45" t="str">
        <f t="shared" si="13"/>
        <v/>
      </c>
      <c r="V13" s="43" t="str">
        <f t="shared" si="14"/>
        <v>RORA</v>
      </c>
      <c r="W13" s="43" t="str">
        <f t="shared" si="15"/>
        <v>Jose</v>
      </c>
      <c r="X13" s="45">
        <f t="shared" si="16"/>
        <v>100</v>
      </c>
      <c r="Z13" s="43" t="s">
        <v>214</v>
      </c>
      <c r="AA13" s="43" t="s">
        <v>215</v>
      </c>
      <c r="AB13" s="173">
        <v>31.006666666666657</v>
      </c>
      <c r="AD13" s="77" t="s">
        <v>233</v>
      </c>
      <c r="AE13" s="77" t="s">
        <v>234</v>
      </c>
      <c r="AF13" s="172">
        <v>48.150000000000006</v>
      </c>
      <c r="AG13" s="116"/>
      <c r="AH13" s="118" t="s">
        <v>104</v>
      </c>
      <c r="AI13" s="77" t="s">
        <v>106</v>
      </c>
      <c r="AJ13" s="172">
        <v>30</v>
      </c>
      <c r="AK13" s="116">
        <f t="shared" si="3"/>
        <v>11</v>
      </c>
      <c r="AL13" s="79" t="s">
        <v>164</v>
      </c>
      <c r="AM13" s="77" t="s">
        <v>126</v>
      </c>
      <c r="AN13" s="172">
        <v>0</v>
      </c>
      <c r="AO13" s="116" t="str">
        <f t="shared" si="4"/>
        <v>abs</v>
      </c>
      <c r="AQ13" s="43">
        <f t="shared" si="17"/>
        <v>14</v>
      </c>
      <c r="AR13" s="43">
        <f t="shared" si="1"/>
        <v>12</v>
      </c>
      <c r="AS13" s="43">
        <f t="shared" si="2"/>
        <v>18</v>
      </c>
    </row>
    <row r="14" spans="2:45" ht="21" customHeight="1">
      <c r="B14" s="43">
        <v>10</v>
      </c>
      <c r="C14" s="44">
        <f>'Course 1'!C14</f>
        <v>12</v>
      </c>
      <c r="D14" s="46" t="str">
        <f>IF(C14="","",HLOOKUP(C14,'Règles et points'!$D$5:$Y$7,3))</f>
        <v>D55</v>
      </c>
      <c r="E14" s="46" t="str">
        <f>IF(C14="","",HLOOKUP(C14,'Règles et points'!$D$5:$AG$7,2))</f>
        <v>D</v>
      </c>
      <c r="F14" s="43" t="str">
        <f>IF('Course 1'!E14="","",'Course 1'!E14)</f>
        <v>RORA</v>
      </c>
      <c r="G14" s="43" t="str">
        <f>IF('Course 1'!F14="","",'Course 1'!F14)</f>
        <v>Isabelle</v>
      </c>
      <c r="H14" s="56">
        <f>'Course 1'!M14+'Course 2'!M14+'Course 3'!M14+'Course 4'!M14+'Course 4'!M14</f>
        <v>30</v>
      </c>
      <c r="J14" s="43" t="str">
        <f t="shared" si="8"/>
        <v/>
      </c>
      <c r="K14" s="43" t="str">
        <f t="shared" si="9"/>
        <v/>
      </c>
      <c r="L14" s="53" t="str">
        <f t="shared" si="10"/>
        <v/>
      </c>
      <c r="N14" s="43" t="str">
        <f t="shared" si="5"/>
        <v/>
      </c>
      <c r="O14" s="43" t="str">
        <f t="shared" si="6"/>
        <v/>
      </c>
      <c r="P14" s="53" t="str">
        <f t="shared" si="7"/>
        <v/>
      </c>
      <c r="R14" s="43" t="str">
        <f t="shared" si="11"/>
        <v>RORA</v>
      </c>
      <c r="S14" s="43" t="str">
        <f t="shared" si="12"/>
        <v>Isabelle</v>
      </c>
      <c r="T14" s="45">
        <f t="shared" si="13"/>
        <v>30</v>
      </c>
      <c r="V14" s="43" t="str">
        <f t="shared" si="14"/>
        <v/>
      </c>
      <c r="W14" s="43" t="str">
        <f t="shared" si="15"/>
        <v/>
      </c>
      <c r="X14" s="45" t="str">
        <f t="shared" si="16"/>
        <v/>
      </c>
      <c r="Z14" s="43" t="s">
        <v>134</v>
      </c>
      <c r="AA14" s="43" t="s">
        <v>136</v>
      </c>
      <c r="AB14" s="173">
        <v>65.349999999999994</v>
      </c>
      <c r="AD14" s="77" t="s">
        <v>144</v>
      </c>
      <c r="AE14" s="77" t="s">
        <v>145</v>
      </c>
      <c r="AF14" s="172">
        <v>67.366666666666674</v>
      </c>
      <c r="AG14" s="116"/>
      <c r="AH14" s="118" t="s">
        <v>146</v>
      </c>
      <c r="AI14" s="77" t="s">
        <v>170</v>
      </c>
      <c r="AJ14" s="172">
        <v>30</v>
      </c>
      <c r="AK14" s="116">
        <f t="shared" si="3"/>
        <v>11</v>
      </c>
      <c r="AL14" s="79" t="s">
        <v>173</v>
      </c>
      <c r="AM14" s="77" t="s">
        <v>200</v>
      </c>
      <c r="AN14" s="172">
        <v>0</v>
      </c>
      <c r="AO14" s="116" t="str">
        <f t="shared" si="4"/>
        <v>abs</v>
      </c>
      <c r="AQ14" s="43">
        <f t="shared" si="17"/>
        <v>13</v>
      </c>
      <c r="AR14" s="43">
        <f t="shared" si="1"/>
        <v>11</v>
      </c>
      <c r="AS14" s="43">
        <f t="shared" si="2"/>
        <v>17</v>
      </c>
    </row>
    <row r="15" spans="2:45" ht="21" customHeight="1">
      <c r="B15" s="43">
        <v>11</v>
      </c>
      <c r="C15" s="44">
        <f>'Course 1'!C15</f>
        <v>29</v>
      </c>
      <c r="D15" s="46" t="str">
        <f>IF(C15="","",HLOOKUP(C15,'Règles et points'!$D$5:$Y$7,3))</f>
        <v>H21</v>
      </c>
      <c r="E15" s="46" t="str">
        <f>IF(C15="","",HLOOKUP(C15,'Règles et points'!$D$5:$AG$7,2))</f>
        <v>H</v>
      </c>
      <c r="F15" s="43" t="str">
        <f>IF('Course 1'!E15="","",'Course 1'!E15)</f>
        <v>PERSE</v>
      </c>
      <c r="G15" s="43" t="str">
        <f>IF('Course 1'!F15="","",'Course 1'!F15)</f>
        <v>Philippe</v>
      </c>
      <c r="H15" s="56">
        <f>'Course 1'!M15+'Course 2'!M15+'Course 3'!M15+'Course 4'!M15+'Course 4'!M15</f>
        <v>0</v>
      </c>
      <c r="J15" s="43" t="str">
        <f t="shared" si="8"/>
        <v/>
      </c>
      <c r="K15" s="43" t="str">
        <f t="shared" si="9"/>
        <v/>
      </c>
      <c r="L15" s="53" t="str">
        <f t="shared" si="10"/>
        <v/>
      </c>
      <c r="N15" s="43" t="str">
        <f t="shared" si="5"/>
        <v/>
      </c>
      <c r="O15" s="43" t="str">
        <f t="shared" si="6"/>
        <v/>
      </c>
      <c r="P15" s="53" t="str">
        <f t="shared" si="7"/>
        <v/>
      </c>
      <c r="R15" s="43" t="str">
        <f t="shared" si="11"/>
        <v/>
      </c>
      <c r="S15" s="43" t="str">
        <f t="shared" si="12"/>
        <v/>
      </c>
      <c r="T15" s="45" t="str">
        <f t="shared" si="13"/>
        <v/>
      </c>
      <c r="V15" s="43" t="str">
        <f t="shared" si="14"/>
        <v>PERSE</v>
      </c>
      <c r="W15" s="43" t="str">
        <f t="shared" si="15"/>
        <v>Philippe</v>
      </c>
      <c r="X15" s="45">
        <f t="shared" si="16"/>
        <v>0</v>
      </c>
      <c r="Z15" s="43" t="s">
        <v>132</v>
      </c>
      <c r="AA15" s="43" t="s">
        <v>148</v>
      </c>
      <c r="AB15" s="173">
        <v>72.766666666666666</v>
      </c>
      <c r="AD15" s="77" t="s">
        <v>212</v>
      </c>
      <c r="AE15" s="77" t="s">
        <v>213</v>
      </c>
      <c r="AF15" s="172">
        <v>82.766666666666652</v>
      </c>
      <c r="AG15" s="116"/>
      <c r="AH15" s="118" t="s">
        <v>124</v>
      </c>
      <c r="AI15" s="77" t="s">
        <v>125</v>
      </c>
      <c r="AJ15" s="172">
        <v>30.996666666666648</v>
      </c>
      <c r="AK15" s="116">
        <f t="shared" si="3"/>
        <v>10</v>
      </c>
      <c r="AL15" s="79" t="s">
        <v>216</v>
      </c>
      <c r="AM15" s="77" t="s">
        <v>220</v>
      </c>
      <c r="AN15" s="172">
        <v>0</v>
      </c>
      <c r="AO15" s="116" t="str">
        <f t="shared" si="4"/>
        <v>abs</v>
      </c>
      <c r="AQ15" s="43">
        <f t="shared" si="17"/>
        <v>12</v>
      </c>
      <c r="AR15" s="43">
        <f t="shared" si="1"/>
        <v>10</v>
      </c>
      <c r="AS15" s="43">
        <f t="shared" si="2"/>
        <v>16</v>
      </c>
    </row>
    <row r="16" spans="2:45" ht="21" customHeight="1">
      <c r="B16" s="43">
        <v>12</v>
      </c>
      <c r="C16" s="44">
        <f>'Course 1'!C16</f>
        <v>30</v>
      </c>
      <c r="D16" s="46" t="str">
        <f>IF(C16="","",HLOOKUP(C16,'Règles et points'!$D$5:$Y$7,3))</f>
        <v>H21</v>
      </c>
      <c r="E16" s="46" t="str">
        <f>IF(C16="","",HLOOKUP(C16,'Règles et points'!$D$5:$AG$7,2))</f>
        <v>H</v>
      </c>
      <c r="F16" s="43" t="str">
        <f>IF('Course 1'!E16="","",'Course 1'!E16)</f>
        <v>DENIAU</v>
      </c>
      <c r="G16" s="43" t="str">
        <f>IF('Course 1'!F16="","",'Course 1'!F16)</f>
        <v>Alain</v>
      </c>
      <c r="H16" s="56">
        <f>'Course 1'!M16+'Course 2'!M16+'Course 3'!M16+'Course 4'!M16+'Course 4'!M16</f>
        <v>0</v>
      </c>
      <c r="J16" s="43" t="str">
        <f t="shared" si="8"/>
        <v/>
      </c>
      <c r="K16" s="43" t="str">
        <f t="shared" si="9"/>
        <v/>
      </c>
      <c r="L16" s="53" t="str">
        <f t="shared" si="10"/>
        <v/>
      </c>
      <c r="N16" s="43" t="str">
        <f t="shared" si="5"/>
        <v/>
      </c>
      <c r="O16" s="43" t="str">
        <f t="shared" si="6"/>
        <v/>
      </c>
      <c r="P16" s="53" t="str">
        <f t="shared" si="7"/>
        <v/>
      </c>
      <c r="R16" s="43" t="str">
        <f t="shared" si="11"/>
        <v/>
      </c>
      <c r="S16" s="43" t="str">
        <f t="shared" si="12"/>
        <v/>
      </c>
      <c r="T16" s="45" t="str">
        <f t="shared" si="13"/>
        <v/>
      </c>
      <c r="V16" s="43" t="str">
        <f t="shared" si="14"/>
        <v>DENIAU</v>
      </c>
      <c r="W16" s="43" t="str">
        <f t="shared" si="15"/>
        <v>Alain</v>
      </c>
      <c r="X16" s="45">
        <f t="shared" si="16"/>
        <v>0</v>
      </c>
      <c r="Z16" s="43" t="s">
        <v>208</v>
      </c>
      <c r="AA16" s="43" t="s">
        <v>209</v>
      </c>
      <c r="AB16" s="173">
        <v>88.066666666666663</v>
      </c>
      <c r="AD16" s="77" t="s">
        <v>157</v>
      </c>
      <c r="AE16" s="77" t="s">
        <v>158</v>
      </c>
      <c r="AF16" s="172">
        <v>84.666666666666671</v>
      </c>
      <c r="AG16" s="116"/>
      <c r="AH16" s="118" t="s">
        <v>216</v>
      </c>
      <c r="AI16" s="77" t="s">
        <v>218</v>
      </c>
      <c r="AJ16" s="172">
        <v>33.483333333333327</v>
      </c>
      <c r="AK16" s="116">
        <f t="shared" si="3"/>
        <v>9</v>
      </c>
      <c r="AL16" s="79" t="s">
        <v>226</v>
      </c>
      <c r="AM16" s="77" t="s">
        <v>227</v>
      </c>
      <c r="AN16" s="172">
        <v>0</v>
      </c>
      <c r="AO16" s="116" t="str">
        <f t="shared" si="4"/>
        <v>abs</v>
      </c>
      <c r="AQ16" s="43">
        <f t="shared" si="17"/>
        <v>11</v>
      </c>
      <c r="AR16" s="43">
        <f t="shared" si="1"/>
        <v>9</v>
      </c>
      <c r="AS16" s="43">
        <f t="shared" si="2"/>
        <v>15</v>
      </c>
    </row>
    <row r="17" spans="2:45" ht="21" customHeight="1">
      <c r="B17" s="43">
        <v>13</v>
      </c>
      <c r="C17" s="44">
        <f>'Course 1'!C17</f>
        <v>10</v>
      </c>
      <c r="D17" s="46" t="str">
        <f>IF(C17="","",HLOOKUP(C17,'Règles et points'!$D$5:$Y$7,3))</f>
        <v>D45</v>
      </c>
      <c r="E17" s="46" t="str">
        <f>IF(C17="","",HLOOKUP(C17,'Règles et points'!$D$5:$AG$7,2))</f>
        <v>D</v>
      </c>
      <c r="F17" s="43" t="str">
        <f>IF('Course 1'!E17="","",'Course 1'!E17)</f>
        <v>LAGRANGE</v>
      </c>
      <c r="G17" s="43" t="str">
        <f>IF('Course 1'!F17="","",'Course 1'!F17)</f>
        <v>Florence</v>
      </c>
      <c r="H17" s="56">
        <f>'Course 1'!M17+'Course 2'!M17+'Course 3'!M17+'Course 4'!M17+'Course 4'!M17</f>
        <v>55.54999999999999</v>
      </c>
      <c r="J17" s="43" t="str">
        <f t="shared" si="8"/>
        <v/>
      </c>
      <c r="K17" s="43" t="str">
        <f t="shared" si="9"/>
        <v/>
      </c>
      <c r="L17" s="53" t="str">
        <f t="shared" si="10"/>
        <v/>
      </c>
      <c r="N17" s="43" t="str">
        <f t="shared" si="5"/>
        <v/>
      </c>
      <c r="O17" s="43" t="str">
        <f t="shared" si="6"/>
        <v/>
      </c>
      <c r="P17" s="53" t="str">
        <f t="shared" si="7"/>
        <v/>
      </c>
      <c r="R17" s="43" t="str">
        <f t="shared" si="11"/>
        <v>LAGRANGE</v>
      </c>
      <c r="S17" s="43" t="str">
        <f t="shared" si="12"/>
        <v>Florence</v>
      </c>
      <c r="T17" s="45">
        <f t="shared" si="13"/>
        <v>55.54999999999999</v>
      </c>
      <c r="V17" s="43" t="str">
        <f t="shared" si="14"/>
        <v/>
      </c>
      <c r="W17" s="43" t="str">
        <f t="shared" si="15"/>
        <v/>
      </c>
      <c r="X17" s="45" t="str">
        <f t="shared" si="16"/>
        <v/>
      </c>
      <c r="Z17" s="43" t="s">
        <v>149</v>
      </c>
      <c r="AA17" s="43" t="s">
        <v>184</v>
      </c>
      <c r="AB17" s="173">
        <v>88.36666666666666</v>
      </c>
      <c r="AD17" s="77" t="s">
        <v>229</v>
      </c>
      <c r="AE17" s="77" t="s">
        <v>230</v>
      </c>
      <c r="AF17" s="172">
        <v>84.716666666666669</v>
      </c>
      <c r="AG17" s="116"/>
      <c r="AH17" s="118" t="s">
        <v>101</v>
      </c>
      <c r="AI17" s="77" t="s">
        <v>103</v>
      </c>
      <c r="AJ17" s="172">
        <v>47.933333333333302</v>
      </c>
      <c r="AK17" s="116">
        <f t="shared" si="3"/>
        <v>8</v>
      </c>
      <c r="AL17" s="79" t="s">
        <v>142</v>
      </c>
      <c r="AM17" s="77" t="s">
        <v>143</v>
      </c>
      <c r="AN17" s="172">
        <v>37.366666666666646</v>
      </c>
      <c r="AO17" s="116">
        <f t="shared" si="4"/>
        <v>14</v>
      </c>
      <c r="AQ17" s="43">
        <f t="shared" si="17"/>
        <v>10</v>
      </c>
      <c r="AR17" s="43">
        <f t="shared" si="1"/>
        <v>8</v>
      </c>
      <c r="AS17" s="43">
        <f t="shared" si="2"/>
        <v>14</v>
      </c>
    </row>
    <row r="18" spans="2:45" ht="21" customHeight="1">
      <c r="B18" s="43">
        <v>14</v>
      </c>
      <c r="C18" s="44">
        <f>'Course 1'!C18</f>
        <v>27</v>
      </c>
      <c r="D18" s="46" t="str">
        <f>IF(C18="","",HLOOKUP(C18,'Règles et points'!$D$5:$Y$7,3))</f>
        <v>H21</v>
      </c>
      <c r="E18" s="46" t="str">
        <f>IF(C18="","",HLOOKUP(C18,'Règles et points'!$D$5:$AG$7,2))</f>
        <v>H</v>
      </c>
      <c r="F18" s="43" t="str">
        <f>IF('Course 1'!E18="","",'Course 1'!E18)</f>
        <v>FINAUD-GUYOT</v>
      </c>
      <c r="G18" s="43" t="str">
        <f>IF('Course 1'!F18="","",'Course 1'!F18)</f>
        <v>Lionel</v>
      </c>
      <c r="H18" s="56">
        <f>'Course 1'!M18+'Course 2'!M18+'Course 3'!M18+'Course 4'!M18+'Course 4'!M18</f>
        <v>0</v>
      </c>
      <c r="J18" s="43" t="str">
        <f t="shared" si="8"/>
        <v/>
      </c>
      <c r="K18" s="43" t="str">
        <f t="shared" si="9"/>
        <v/>
      </c>
      <c r="L18" s="53" t="str">
        <f t="shared" si="10"/>
        <v/>
      </c>
      <c r="N18" s="43" t="str">
        <f t="shared" si="5"/>
        <v/>
      </c>
      <c r="O18" s="43" t="str">
        <f t="shared" si="6"/>
        <v/>
      </c>
      <c r="P18" s="53" t="str">
        <f t="shared" si="7"/>
        <v/>
      </c>
      <c r="R18" s="43" t="str">
        <f t="shared" si="11"/>
        <v/>
      </c>
      <c r="S18" s="43" t="str">
        <f t="shared" si="12"/>
        <v/>
      </c>
      <c r="T18" s="45" t="str">
        <f t="shared" si="13"/>
        <v/>
      </c>
      <c r="V18" s="43" t="str">
        <f t="shared" si="14"/>
        <v>FINAUD-GUYOT</v>
      </c>
      <c r="W18" s="43" t="str">
        <f t="shared" si="15"/>
        <v>Lionel</v>
      </c>
      <c r="X18" s="45">
        <f t="shared" si="16"/>
        <v>0</v>
      </c>
      <c r="Z18" s="43" t="s">
        <v>146</v>
      </c>
      <c r="AA18" s="43" t="s">
        <v>169</v>
      </c>
      <c r="AB18" s="173">
        <v>90.816666666666663</v>
      </c>
      <c r="AD18" s="77" t="s">
        <v>134</v>
      </c>
      <c r="AE18" s="77" t="s">
        <v>135</v>
      </c>
      <c r="AF18" s="172">
        <v>86.933333333333337</v>
      </c>
      <c r="AG18" s="116"/>
      <c r="AH18" s="118" t="s">
        <v>178</v>
      </c>
      <c r="AI18" s="77" t="s">
        <v>179</v>
      </c>
      <c r="AJ18" s="172">
        <v>54.483333333333313</v>
      </c>
      <c r="AK18" s="116">
        <f t="shared" si="3"/>
        <v>7</v>
      </c>
      <c r="AL18" s="79" t="s">
        <v>216</v>
      </c>
      <c r="AM18" s="77" t="s">
        <v>221</v>
      </c>
      <c r="AN18" s="172">
        <v>46.466666666666669</v>
      </c>
      <c r="AO18" s="116">
        <f t="shared" si="4"/>
        <v>13</v>
      </c>
      <c r="AQ18" s="43">
        <f t="shared" si="17"/>
        <v>9</v>
      </c>
      <c r="AR18" s="43">
        <f t="shared" si="1"/>
        <v>7</v>
      </c>
      <c r="AS18" s="43">
        <f t="shared" si="2"/>
        <v>13</v>
      </c>
    </row>
    <row r="19" spans="2:45" ht="21" customHeight="1">
      <c r="B19" s="43">
        <v>15</v>
      </c>
      <c r="C19" s="44">
        <f>'Course 1'!C19</f>
        <v>28</v>
      </c>
      <c r="D19" s="46" t="str">
        <f>IF(C19="","",HLOOKUP(C19,'Règles et points'!$D$5:$Y$7,3))</f>
        <v>H21</v>
      </c>
      <c r="E19" s="46" t="str">
        <f>IF(C19="","",HLOOKUP(C19,'Règles et points'!$D$5:$AG$7,2))</f>
        <v>H</v>
      </c>
      <c r="F19" s="43" t="str">
        <f>IF('Course 1'!E19="","",'Course 1'!E19)</f>
        <v>ADOLPHE</v>
      </c>
      <c r="G19" s="43" t="str">
        <f>IF('Course 1'!F19="","",'Course 1'!F19)</f>
        <v>Philippe</v>
      </c>
      <c r="H19" s="56">
        <f>'Course 1'!M19+'Course 2'!M19+'Course 3'!M19+'Course 4'!M19+'Course 4'!M19</f>
        <v>49.733333333333327</v>
      </c>
      <c r="J19" s="43" t="str">
        <f t="shared" si="8"/>
        <v/>
      </c>
      <c r="K19" s="43" t="str">
        <f t="shared" si="9"/>
        <v/>
      </c>
      <c r="L19" s="53" t="str">
        <f t="shared" si="10"/>
        <v/>
      </c>
      <c r="N19" s="43" t="str">
        <f t="shared" si="5"/>
        <v/>
      </c>
      <c r="O19" s="43" t="str">
        <f t="shared" si="6"/>
        <v/>
      </c>
      <c r="P19" s="53" t="str">
        <f t="shared" si="7"/>
        <v/>
      </c>
      <c r="R19" s="43" t="str">
        <f t="shared" si="11"/>
        <v/>
      </c>
      <c r="S19" s="43" t="str">
        <f t="shared" si="12"/>
        <v/>
      </c>
      <c r="T19" s="45" t="str">
        <f t="shared" si="13"/>
        <v/>
      </c>
      <c r="V19" s="43" t="str">
        <f t="shared" si="14"/>
        <v>ADOLPHE</v>
      </c>
      <c r="W19" s="43" t="str">
        <f t="shared" si="15"/>
        <v>Philippe</v>
      </c>
      <c r="X19" s="45">
        <f t="shared" si="16"/>
        <v>49.733333333333327</v>
      </c>
      <c r="Z19" s="43" t="s">
        <v>149</v>
      </c>
      <c r="AA19" s="43" t="s">
        <v>152</v>
      </c>
      <c r="AB19" s="173">
        <v>94.05</v>
      </c>
      <c r="AD19" s="77" t="s">
        <v>146</v>
      </c>
      <c r="AE19" s="77" t="s">
        <v>147</v>
      </c>
      <c r="AF19" s="172">
        <v>87.483333333333334</v>
      </c>
      <c r="AG19" s="116"/>
      <c r="AH19" s="118" t="s">
        <v>111</v>
      </c>
      <c r="AI19" s="77" t="s">
        <v>112</v>
      </c>
      <c r="AJ19" s="172">
        <v>55.54999999999999</v>
      </c>
      <c r="AK19" s="116">
        <f t="shared" si="3"/>
        <v>6</v>
      </c>
      <c r="AL19" s="79" t="s">
        <v>189</v>
      </c>
      <c r="AM19" s="77" t="s">
        <v>190</v>
      </c>
      <c r="AN19" s="172">
        <v>46.483333333333327</v>
      </c>
      <c r="AO19" s="116">
        <f t="shared" si="4"/>
        <v>12</v>
      </c>
      <c r="AQ19" s="43">
        <f t="shared" si="17"/>
        <v>8</v>
      </c>
      <c r="AR19" s="43">
        <f t="shared" si="1"/>
        <v>6</v>
      </c>
      <c r="AS19" s="43">
        <f t="shared" si="2"/>
        <v>12</v>
      </c>
    </row>
    <row r="20" spans="2:45" ht="21" customHeight="1">
      <c r="B20" s="43">
        <v>16</v>
      </c>
      <c r="C20" s="44">
        <f>'Course 1'!C20</f>
        <v>28</v>
      </c>
      <c r="D20" s="46" t="str">
        <f>IF(C20="","",HLOOKUP(C20,'Règles et points'!$D$5:$Y$7,3))</f>
        <v>H21</v>
      </c>
      <c r="E20" s="46" t="str">
        <f>IF(C20="","",HLOOKUP(C20,'Règles et points'!$D$5:$AG$7,2))</f>
        <v>H</v>
      </c>
      <c r="F20" s="43" t="str">
        <f>IF('Course 1'!E20="","",'Course 1'!E20)</f>
        <v>LECONTE</v>
      </c>
      <c r="G20" s="43" t="str">
        <f>IF('Course 1'!F20="","",'Course 1'!F20)</f>
        <v>Gilbert</v>
      </c>
      <c r="H20" s="56">
        <f>'Course 1'!M20+'Course 2'!M20+'Course 3'!M20+'Course 4'!M20+'Course 4'!M20</f>
        <v>0</v>
      </c>
      <c r="J20" s="43" t="str">
        <f t="shared" si="8"/>
        <v/>
      </c>
      <c r="K20" s="43" t="str">
        <f t="shared" si="9"/>
        <v/>
      </c>
      <c r="L20" s="53" t="str">
        <f t="shared" si="10"/>
        <v/>
      </c>
      <c r="N20" s="43" t="str">
        <f t="shared" si="5"/>
        <v/>
      </c>
      <c r="O20" s="43" t="str">
        <f t="shared" si="6"/>
        <v/>
      </c>
      <c r="P20" s="53" t="str">
        <f t="shared" si="7"/>
        <v/>
      </c>
      <c r="R20" s="43" t="str">
        <f t="shared" si="11"/>
        <v/>
      </c>
      <c r="S20" s="43" t="str">
        <f t="shared" si="12"/>
        <v/>
      </c>
      <c r="T20" s="45" t="str">
        <f t="shared" si="13"/>
        <v/>
      </c>
      <c r="V20" s="43" t="str">
        <f t="shared" si="14"/>
        <v>LECONTE</v>
      </c>
      <c r="W20" s="43" t="str">
        <f t="shared" si="15"/>
        <v>Gilbert</v>
      </c>
      <c r="X20" s="45">
        <f t="shared" si="16"/>
        <v>0</v>
      </c>
      <c r="Z20" s="43" t="s">
        <v>27</v>
      </c>
      <c r="AA20" s="43" t="s">
        <v>27</v>
      </c>
      <c r="AB20" s="173" t="s">
        <v>27</v>
      </c>
      <c r="AD20" s="77" t="s">
        <v>198</v>
      </c>
      <c r="AE20" s="77" t="s">
        <v>199</v>
      </c>
      <c r="AF20" s="172">
        <v>88.75</v>
      </c>
      <c r="AG20" s="116"/>
      <c r="AH20" s="118" t="s">
        <v>149</v>
      </c>
      <c r="AI20" s="77" t="s">
        <v>150</v>
      </c>
      <c r="AJ20" s="172">
        <v>56.73333333333332</v>
      </c>
      <c r="AK20" s="116">
        <f t="shared" si="3"/>
        <v>5</v>
      </c>
      <c r="AL20" s="79" t="s">
        <v>149</v>
      </c>
      <c r="AM20" s="77" t="s">
        <v>151</v>
      </c>
      <c r="AN20" s="172">
        <v>49.083333333333321</v>
      </c>
      <c r="AO20" s="116">
        <f t="shared" si="4"/>
        <v>11</v>
      </c>
      <c r="AQ20" s="43">
        <f t="shared" si="17"/>
        <v>7</v>
      </c>
      <c r="AR20" s="43">
        <f t="shared" si="1"/>
        <v>5</v>
      </c>
      <c r="AS20" s="43">
        <f t="shared" si="2"/>
        <v>11</v>
      </c>
    </row>
    <row r="21" spans="2:45" ht="21" customHeight="1">
      <c r="B21" s="43">
        <v>17</v>
      </c>
      <c r="C21" s="44">
        <f>'Course 1'!C21</f>
        <v>13</v>
      </c>
      <c r="D21" s="46" t="str">
        <f>IF(C21="","",HLOOKUP(C21,'Règles et points'!$D$5:$Y$7,3))</f>
        <v>D60</v>
      </c>
      <c r="E21" s="46" t="str">
        <f>IF(C21="","",HLOOKUP(C21,'Règles et points'!$D$5:$AG$7,2))</f>
        <v>D</v>
      </c>
      <c r="F21" s="43" t="str">
        <f>IF('Course 1'!E21="","",'Course 1'!E21)</f>
        <v>LECONTE</v>
      </c>
      <c r="G21" s="43" t="str">
        <f>IF('Course 1'!F21="","",'Course 1'!F21)</f>
        <v>Sylvie</v>
      </c>
      <c r="H21" s="56">
        <f>'Course 1'!M21+'Course 2'!M21+'Course 3'!M21+'Course 4'!M21+'Course 4'!M21</f>
        <v>0</v>
      </c>
      <c r="J21" s="43" t="str">
        <f t="shared" si="8"/>
        <v/>
      </c>
      <c r="K21" s="43" t="str">
        <f t="shared" si="9"/>
        <v/>
      </c>
      <c r="L21" s="53" t="str">
        <f t="shared" si="10"/>
        <v/>
      </c>
      <c r="N21" s="43" t="str">
        <f t="shared" si="5"/>
        <v/>
      </c>
      <c r="O21" s="43" t="str">
        <f t="shared" si="6"/>
        <v/>
      </c>
      <c r="P21" s="53" t="str">
        <f t="shared" si="7"/>
        <v/>
      </c>
      <c r="R21" s="43" t="str">
        <f t="shared" si="11"/>
        <v>LECONTE</v>
      </c>
      <c r="S21" s="43" t="str">
        <f t="shared" si="12"/>
        <v>Sylvie</v>
      </c>
      <c r="T21" s="45">
        <f t="shared" si="13"/>
        <v>0</v>
      </c>
      <c r="V21" s="43" t="str">
        <f t="shared" si="14"/>
        <v/>
      </c>
      <c r="W21" s="43" t="str">
        <f t="shared" si="15"/>
        <v/>
      </c>
      <c r="X21" s="45" t="str">
        <f t="shared" si="16"/>
        <v/>
      </c>
      <c r="Z21" s="43" t="s">
        <v>27</v>
      </c>
      <c r="AA21" s="43" t="s">
        <v>27</v>
      </c>
      <c r="AB21" s="173" t="s">
        <v>27</v>
      </c>
      <c r="AD21" s="77" t="s">
        <v>210</v>
      </c>
      <c r="AE21" s="77" t="s">
        <v>211</v>
      </c>
      <c r="AF21" s="172">
        <v>89.066666666666663</v>
      </c>
      <c r="AG21" s="116"/>
      <c r="AH21" s="118" t="s">
        <v>137</v>
      </c>
      <c r="AI21" s="77" t="s">
        <v>138</v>
      </c>
      <c r="AJ21" s="172">
        <v>59.083333333333329</v>
      </c>
      <c r="AK21" s="116">
        <f t="shared" si="3"/>
        <v>4</v>
      </c>
      <c r="AL21" s="79" t="s">
        <v>115</v>
      </c>
      <c r="AM21" s="77" t="s">
        <v>108</v>
      </c>
      <c r="AN21" s="172">
        <v>49.733333333333327</v>
      </c>
      <c r="AO21" s="116">
        <f t="shared" si="4"/>
        <v>10</v>
      </c>
      <c r="AQ21" s="43">
        <f t="shared" si="17"/>
        <v>6</v>
      </c>
      <c r="AR21" s="43">
        <f t="shared" si="1"/>
        <v>4</v>
      </c>
      <c r="AS21" s="43">
        <f t="shared" si="2"/>
        <v>10</v>
      </c>
    </row>
    <row r="22" spans="2:45" ht="21" customHeight="1">
      <c r="B22" s="43">
        <v>18</v>
      </c>
      <c r="C22" s="44">
        <f>'Course 1'!C22</f>
        <v>8</v>
      </c>
      <c r="D22" s="46" t="str">
        <f>IF(C22="","",HLOOKUP(C22,'Règles et points'!$D$5:$Y$7,3))</f>
        <v>D35</v>
      </c>
      <c r="E22" s="46" t="str">
        <f>IF(C22="","",HLOOKUP(C22,'Règles et points'!$D$5:$AG$7,2))</f>
        <v>D</v>
      </c>
      <c r="F22" s="43" t="str">
        <f>IF('Course 1'!E22="","",'Course 1'!E22)</f>
        <v>MEY</v>
      </c>
      <c r="G22" s="43" t="str">
        <f>IF('Course 1'!F22="","",'Course 1'!F22)</f>
        <v>Milena</v>
      </c>
      <c r="H22" s="56">
        <f>'Course 1'!M22+'Course 2'!M22+'Course 3'!M22+'Course 4'!M22+'Course 4'!M22</f>
        <v>0</v>
      </c>
      <c r="J22" s="43" t="str">
        <f t="shared" si="8"/>
        <v/>
      </c>
      <c r="K22" s="43" t="str">
        <f t="shared" si="9"/>
        <v/>
      </c>
      <c r="L22" s="53" t="str">
        <f t="shared" si="10"/>
        <v/>
      </c>
      <c r="N22" s="43" t="str">
        <f t="shared" si="5"/>
        <v/>
      </c>
      <c r="O22" s="43" t="str">
        <f t="shared" si="6"/>
        <v/>
      </c>
      <c r="P22" s="53" t="str">
        <f t="shared" si="7"/>
        <v/>
      </c>
      <c r="R22" s="43" t="str">
        <f t="shared" si="11"/>
        <v>MEY</v>
      </c>
      <c r="S22" s="43" t="str">
        <f t="shared" si="12"/>
        <v>Milena</v>
      </c>
      <c r="T22" s="45">
        <f t="shared" si="13"/>
        <v>0</v>
      </c>
      <c r="V22" s="43" t="str">
        <f t="shared" si="14"/>
        <v/>
      </c>
      <c r="W22" s="43" t="str">
        <f t="shared" si="15"/>
        <v/>
      </c>
      <c r="X22" s="45" t="str">
        <f t="shared" si="16"/>
        <v/>
      </c>
      <c r="Z22" s="43" t="s">
        <v>27</v>
      </c>
      <c r="AA22" s="43" t="s">
        <v>27</v>
      </c>
      <c r="AB22" s="173" t="s">
        <v>27</v>
      </c>
      <c r="AD22" s="77" t="s">
        <v>182</v>
      </c>
      <c r="AE22" s="77" t="s">
        <v>183</v>
      </c>
      <c r="AF22" s="172">
        <v>92.066666666666677</v>
      </c>
      <c r="AG22" s="116"/>
      <c r="AH22" s="118" t="s">
        <v>127</v>
      </c>
      <c r="AI22" s="77" t="s">
        <v>128</v>
      </c>
      <c r="AJ22" s="172">
        <v>59.766666666666666</v>
      </c>
      <c r="AK22" s="116">
        <f t="shared" si="3"/>
        <v>3</v>
      </c>
      <c r="AL22" s="79" t="s">
        <v>153</v>
      </c>
      <c r="AM22" s="77" t="s">
        <v>154</v>
      </c>
      <c r="AN22" s="172">
        <v>52.783333333333324</v>
      </c>
      <c r="AO22" s="116">
        <f t="shared" si="4"/>
        <v>9</v>
      </c>
      <c r="AQ22" s="43">
        <f t="shared" si="17"/>
        <v>5</v>
      </c>
      <c r="AR22" s="43">
        <f t="shared" si="1"/>
        <v>3</v>
      </c>
      <c r="AS22" s="43">
        <f t="shared" si="2"/>
        <v>9</v>
      </c>
    </row>
    <row r="23" spans="2:45" ht="21" customHeight="1">
      <c r="B23" s="43">
        <v>19</v>
      </c>
      <c r="C23" s="44">
        <f>'Course 1'!C23</f>
        <v>22</v>
      </c>
      <c r="D23" s="46" t="str">
        <f>IF(C23="","",HLOOKUP(C23,'Règles et points'!$D$5:$Y$7,3))</f>
        <v>H21</v>
      </c>
      <c r="E23" s="46" t="str">
        <f>IF(C23="","",HLOOKUP(C23,'Règles et points'!$D$5:$AG$7,2))</f>
        <v>H</v>
      </c>
      <c r="F23" s="43" t="str">
        <f>IF('Course 1'!E23="","",'Course 1'!E23)</f>
        <v>TOUSSAINT</v>
      </c>
      <c r="G23" s="43" t="str">
        <f>IF('Course 1'!F23="","",'Course 1'!F23)</f>
        <v>Tom</v>
      </c>
      <c r="H23" s="56">
        <f>'Course 1'!M23+'Course 2'!M23+'Course 3'!M23+'Course 4'!M23+'Course 4'!M23</f>
        <v>0</v>
      </c>
      <c r="J23" s="43" t="str">
        <f t="shared" si="8"/>
        <v/>
      </c>
      <c r="K23" s="43" t="str">
        <f t="shared" si="9"/>
        <v/>
      </c>
      <c r="L23" s="53" t="str">
        <f t="shared" si="10"/>
        <v/>
      </c>
      <c r="N23" s="43" t="str">
        <f t="shared" si="5"/>
        <v/>
      </c>
      <c r="O23" s="43" t="str">
        <f t="shared" si="6"/>
        <v/>
      </c>
      <c r="P23" s="53" t="str">
        <f t="shared" si="7"/>
        <v/>
      </c>
      <c r="R23" s="43" t="str">
        <f t="shared" si="11"/>
        <v/>
      </c>
      <c r="S23" s="43" t="str">
        <f t="shared" si="12"/>
        <v/>
      </c>
      <c r="T23" s="45" t="str">
        <f t="shared" si="13"/>
        <v/>
      </c>
      <c r="V23" s="43" t="str">
        <f t="shared" si="14"/>
        <v>TOUSSAINT</v>
      </c>
      <c r="W23" s="43" t="str">
        <f t="shared" si="15"/>
        <v>Tom</v>
      </c>
      <c r="X23" s="45">
        <f t="shared" si="16"/>
        <v>0</v>
      </c>
      <c r="Z23" s="43" t="s">
        <v>27</v>
      </c>
      <c r="AA23" s="43" t="s">
        <v>27</v>
      </c>
      <c r="AB23" s="173" t="s">
        <v>27</v>
      </c>
      <c r="AD23" s="77" t="s">
        <v>175</v>
      </c>
      <c r="AE23" s="77" t="s">
        <v>176</v>
      </c>
      <c r="AF23" s="172">
        <v>92.25</v>
      </c>
      <c r="AG23" s="116"/>
      <c r="AH23" s="118" t="s">
        <v>171</v>
      </c>
      <c r="AI23" s="77" t="s">
        <v>159</v>
      </c>
      <c r="AJ23" s="172">
        <v>60.283333333333339</v>
      </c>
      <c r="AK23" s="116">
        <f t="shared" si="3"/>
        <v>2</v>
      </c>
      <c r="AL23" s="79" t="s">
        <v>177</v>
      </c>
      <c r="AM23" s="77" t="s">
        <v>126</v>
      </c>
      <c r="AN23" s="172">
        <v>66.466666666666654</v>
      </c>
      <c r="AO23" s="116">
        <f t="shared" si="4"/>
        <v>8</v>
      </c>
      <c r="AQ23" s="43">
        <f t="shared" si="17"/>
        <v>4</v>
      </c>
      <c r="AR23" s="43">
        <f t="shared" si="1"/>
        <v>2</v>
      </c>
      <c r="AS23" s="43">
        <f t="shared" si="2"/>
        <v>8</v>
      </c>
    </row>
    <row r="24" spans="2:45" ht="21" customHeight="1">
      <c r="B24" s="43">
        <v>20</v>
      </c>
      <c r="C24" s="44">
        <f>'Course 1'!C24</f>
        <v>6</v>
      </c>
      <c r="D24" s="46" t="str">
        <f>IF(C24="","",HLOOKUP(C24,'Règles et points'!$D$5:$Y$7,3))</f>
        <v>D20</v>
      </c>
      <c r="E24" s="46" t="str">
        <f>IF(C24="","",HLOOKUP(C24,'Règles et points'!$D$5:$AG$7,2))</f>
        <v>D</v>
      </c>
      <c r="F24" s="43" t="str">
        <f>IF('Course 1'!E24="","",'Course 1'!E24)</f>
        <v>TOUSSAINT</v>
      </c>
      <c r="G24" s="43" t="str">
        <f>IF('Course 1'!F24="","",'Course 1'!F24)</f>
        <v>Perrine</v>
      </c>
      <c r="H24" s="56">
        <f>'Course 1'!M24+'Course 2'!M24+'Course 3'!M24+'Course 4'!M24+'Course 4'!M24</f>
        <v>0</v>
      </c>
      <c r="J24" s="43" t="str">
        <f t="shared" si="8"/>
        <v/>
      </c>
      <c r="K24" s="43" t="str">
        <f t="shared" si="9"/>
        <v/>
      </c>
      <c r="L24" s="53" t="str">
        <f t="shared" si="10"/>
        <v/>
      </c>
      <c r="N24" s="43" t="str">
        <f t="shared" si="5"/>
        <v/>
      </c>
      <c r="O24" s="43" t="str">
        <f t="shared" si="6"/>
        <v/>
      </c>
      <c r="P24" s="53" t="str">
        <f t="shared" si="7"/>
        <v/>
      </c>
      <c r="R24" s="43" t="str">
        <f t="shared" si="11"/>
        <v>TOUSSAINT</v>
      </c>
      <c r="S24" s="43" t="str">
        <f t="shared" si="12"/>
        <v>Perrine</v>
      </c>
      <c r="T24" s="45">
        <f t="shared" si="13"/>
        <v>0</v>
      </c>
      <c r="V24" s="43" t="str">
        <f t="shared" si="14"/>
        <v/>
      </c>
      <c r="W24" s="43" t="str">
        <f t="shared" si="15"/>
        <v/>
      </c>
      <c r="X24" s="45" t="str">
        <f t="shared" si="16"/>
        <v/>
      </c>
      <c r="Z24" s="43" t="s">
        <v>27</v>
      </c>
      <c r="AA24" s="43" t="s">
        <v>27</v>
      </c>
      <c r="AB24" s="173" t="s">
        <v>27</v>
      </c>
      <c r="AD24" s="77" t="s">
        <v>195</v>
      </c>
      <c r="AE24" s="77" t="s">
        <v>196</v>
      </c>
      <c r="AF24" s="172">
        <v>98.61666666666666</v>
      </c>
      <c r="AG24" s="116"/>
      <c r="AH24" s="118" t="s">
        <v>195</v>
      </c>
      <c r="AI24" s="77" t="s">
        <v>237</v>
      </c>
      <c r="AJ24" s="172">
        <v>64.033333333333331</v>
      </c>
      <c r="AK24" s="116">
        <f t="shared" si="3"/>
        <v>1</v>
      </c>
      <c r="AL24" s="79" t="s">
        <v>193</v>
      </c>
      <c r="AM24" s="77" t="s">
        <v>194</v>
      </c>
      <c r="AN24" s="172">
        <v>69.166666666666657</v>
      </c>
      <c r="AO24" s="116">
        <f t="shared" si="4"/>
        <v>7</v>
      </c>
      <c r="AQ24" s="43">
        <f t="shared" si="17"/>
        <v>3</v>
      </c>
      <c r="AR24" s="43">
        <f t="shared" si="1"/>
        <v>1</v>
      </c>
      <c r="AS24" s="43">
        <f t="shared" si="2"/>
        <v>7</v>
      </c>
    </row>
    <row r="25" spans="2:45" ht="21" customHeight="1">
      <c r="B25" s="43">
        <v>21</v>
      </c>
      <c r="C25" s="44">
        <f>'Course 1'!C25</f>
        <v>20</v>
      </c>
      <c r="D25" s="46" t="str">
        <f>IF(C25="","",HLOOKUP(C25,'Règles et points'!$D$5:$Y$7,3))</f>
        <v>H18</v>
      </c>
      <c r="E25" s="46" t="str">
        <f>IF(C25="","",HLOOKUP(C25,'Règles et points'!$D$5:$AG$7,2))</f>
        <v>H</v>
      </c>
      <c r="F25" s="43" t="str">
        <f>IF('Course 1'!E25="","",'Course 1'!E25)</f>
        <v>GILLARD</v>
      </c>
      <c r="G25" s="43" t="str">
        <f>IF('Course 1'!F25="","",'Course 1'!F25)</f>
        <v>Lucas</v>
      </c>
      <c r="H25" s="56">
        <f>'Course 1'!M25+'Course 2'!M25+'Course 3'!M25+'Course 4'!M25+'Course 4'!M25</f>
        <v>91.45</v>
      </c>
      <c r="J25" s="43" t="str">
        <f t="shared" si="8"/>
        <v/>
      </c>
      <c r="K25" s="43" t="str">
        <f t="shared" si="9"/>
        <v/>
      </c>
      <c r="L25" s="53" t="str">
        <f t="shared" si="10"/>
        <v/>
      </c>
      <c r="N25" s="43" t="str">
        <f t="shared" si="5"/>
        <v/>
      </c>
      <c r="O25" s="43" t="str">
        <f t="shared" si="6"/>
        <v/>
      </c>
      <c r="P25" s="53" t="str">
        <f t="shared" si="7"/>
        <v/>
      </c>
      <c r="R25" s="43" t="str">
        <f t="shared" si="11"/>
        <v/>
      </c>
      <c r="S25" s="43" t="str">
        <f t="shared" si="12"/>
        <v/>
      </c>
      <c r="T25" s="45" t="str">
        <f t="shared" si="13"/>
        <v/>
      </c>
      <c r="V25" s="43" t="str">
        <f t="shared" si="14"/>
        <v>GILLARD</v>
      </c>
      <c r="W25" s="43" t="str">
        <f t="shared" si="15"/>
        <v>Lucas</v>
      </c>
      <c r="X25" s="45">
        <f t="shared" si="16"/>
        <v>91.45</v>
      </c>
      <c r="Z25" s="43" t="s">
        <v>27</v>
      </c>
      <c r="AA25" s="43" t="s">
        <v>27</v>
      </c>
      <c r="AB25" s="173" t="s">
        <v>27</v>
      </c>
      <c r="AD25" s="77" t="s">
        <v>160</v>
      </c>
      <c r="AE25" s="77" t="s">
        <v>161</v>
      </c>
      <c r="AF25" s="172">
        <v>100</v>
      </c>
      <c r="AG25" s="116"/>
      <c r="AH25" s="118" t="s">
        <v>27</v>
      </c>
      <c r="AI25" s="77" t="s">
        <v>27</v>
      </c>
      <c r="AJ25" s="172" t="s">
        <v>27</v>
      </c>
      <c r="AK25" s="116"/>
      <c r="AL25" s="79" t="s">
        <v>216</v>
      </c>
      <c r="AM25" s="77" t="s">
        <v>217</v>
      </c>
      <c r="AN25" s="172">
        <v>70.783333333333331</v>
      </c>
      <c r="AO25" s="116">
        <f t="shared" si="4"/>
        <v>6</v>
      </c>
      <c r="AQ25" s="43">
        <f t="shared" si="17"/>
        <v>2</v>
      </c>
      <c r="AR25" s="43">
        <f t="shared" si="1"/>
        <v>0</v>
      </c>
      <c r="AS25" s="43">
        <f t="shared" si="2"/>
        <v>6</v>
      </c>
    </row>
    <row r="26" spans="2:45" ht="21" customHeight="1">
      <c r="B26" s="43">
        <v>22</v>
      </c>
      <c r="C26" s="44">
        <f>'Course 1'!C26</f>
        <v>11</v>
      </c>
      <c r="D26" s="46" t="str">
        <f>IF(C26="","",HLOOKUP(C26,'Règles et points'!$D$5:$Y$7,3))</f>
        <v>D50</v>
      </c>
      <c r="E26" s="46" t="str">
        <f>IF(C26="","",HLOOKUP(C26,'Règles et points'!$D$5:$AG$7,2))</f>
        <v>D</v>
      </c>
      <c r="F26" s="43" t="str">
        <f>IF('Course 1'!E26="","",'Course 1'!E26)</f>
        <v>LEBLOIS</v>
      </c>
      <c r="G26" s="43" t="str">
        <f>IF('Course 1'!F26="","",'Course 1'!F26)</f>
        <v>Delphine</v>
      </c>
      <c r="H26" s="56">
        <f>'Course 1'!M26+'Course 2'!M26+'Course 3'!M26+'Course 4'!M26+'Course 4'!M26</f>
        <v>30.996666666666648</v>
      </c>
      <c r="J26" s="43" t="str">
        <f t="shared" si="8"/>
        <v/>
      </c>
      <c r="K26" s="43" t="str">
        <f t="shared" si="9"/>
        <v/>
      </c>
      <c r="L26" s="53" t="str">
        <f t="shared" si="10"/>
        <v/>
      </c>
      <c r="N26" s="43" t="str">
        <f t="shared" si="5"/>
        <v/>
      </c>
      <c r="O26" s="43" t="str">
        <f t="shared" si="6"/>
        <v/>
      </c>
      <c r="P26" s="53" t="str">
        <f t="shared" si="7"/>
        <v/>
      </c>
      <c r="R26" s="43" t="str">
        <f t="shared" si="11"/>
        <v>LEBLOIS</v>
      </c>
      <c r="S26" s="43" t="str">
        <f t="shared" si="12"/>
        <v>Delphine</v>
      </c>
      <c r="T26" s="45">
        <f t="shared" si="13"/>
        <v>30.996666666666648</v>
      </c>
      <c r="V26" s="43" t="str">
        <f t="shared" si="14"/>
        <v/>
      </c>
      <c r="W26" s="43" t="str">
        <f t="shared" si="15"/>
        <v/>
      </c>
      <c r="X26" s="45" t="str">
        <f t="shared" si="16"/>
        <v/>
      </c>
      <c r="Z26" s="43" t="s">
        <v>27</v>
      </c>
      <c r="AA26" s="43" t="s">
        <v>27</v>
      </c>
      <c r="AB26" s="173" t="s">
        <v>27</v>
      </c>
      <c r="AD26" s="77" t="s">
        <v>177</v>
      </c>
      <c r="AE26" s="77" t="s">
        <v>172</v>
      </c>
      <c r="AF26" s="172">
        <v>100</v>
      </c>
      <c r="AG26" s="116"/>
      <c r="AH26" s="118" t="s">
        <v>27</v>
      </c>
      <c r="AI26" s="77" t="s">
        <v>27</v>
      </c>
      <c r="AJ26" s="172" t="s">
        <v>27</v>
      </c>
      <c r="AK26" s="116"/>
      <c r="AL26" s="79" t="s">
        <v>132</v>
      </c>
      <c r="AM26" s="77" t="s">
        <v>133</v>
      </c>
      <c r="AN26" s="172">
        <v>76.016666666666652</v>
      </c>
      <c r="AO26" s="116">
        <f t="shared" si="4"/>
        <v>5</v>
      </c>
      <c r="AQ26" s="43">
        <f>IF(AF26="",0,1+AQ27)</f>
        <v>1</v>
      </c>
      <c r="AR26" s="43">
        <f t="shared" si="1"/>
        <v>0</v>
      </c>
      <c r="AS26" s="43">
        <f t="shared" si="2"/>
        <v>5</v>
      </c>
    </row>
    <row r="27" spans="2:45" ht="21" customHeight="1">
      <c r="B27" s="43">
        <v>23</v>
      </c>
      <c r="C27" s="44">
        <f>'Course 1'!C27</f>
        <v>22</v>
      </c>
      <c r="D27" s="46" t="str">
        <f>IF(C27="","",HLOOKUP(C27,'Règles et points'!$D$5:$Y$7,3))</f>
        <v>H21</v>
      </c>
      <c r="E27" s="46" t="str">
        <f>IF(C27="","",HLOOKUP(C27,'Règles et points'!$D$5:$AG$7,2))</f>
        <v>H</v>
      </c>
      <c r="F27" s="43" t="str">
        <f>IF('Course 1'!E27="","",'Course 1'!E27)</f>
        <v>FONTAINE</v>
      </c>
      <c r="G27" s="43" t="str">
        <f>IF('Course 1'!F27="","",'Course 1'!F27)</f>
        <v>Valentin</v>
      </c>
      <c r="H27" s="56">
        <f>'Course 1'!M27+'Course 2'!M27+'Course 3'!M27+'Course 4'!M27+'Course 4'!M27</f>
        <v>46.483333333333327</v>
      </c>
      <c r="J27" s="43" t="str">
        <f t="shared" si="8"/>
        <v/>
      </c>
      <c r="K27" s="43" t="str">
        <f t="shared" si="9"/>
        <v/>
      </c>
      <c r="L27" s="53" t="str">
        <f t="shared" si="10"/>
        <v/>
      </c>
      <c r="N27" s="43" t="str">
        <f t="shared" si="5"/>
        <v/>
      </c>
      <c r="O27" s="43" t="str">
        <f t="shared" si="6"/>
        <v/>
      </c>
      <c r="P27" s="53" t="str">
        <f t="shared" si="7"/>
        <v/>
      </c>
      <c r="R27" s="43" t="str">
        <f t="shared" si="11"/>
        <v/>
      </c>
      <c r="S27" s="43" t="str">
        <f t="shared" si="12"/>
        <v/>
      </c>
      <c r="T27" s="45" t="str">
        <f t="shared" si="13"/>
        <v/>
      </c>
      <c r="V27" s="43" t="str">
        <f t="shared" si="14"/>
        <v>FONTAINE</v>
      </c>
      <c r="W27" s="43" t="str">
        <f t="shared" si="15"/>
        <v>Valentin</v>
      </c>
      <c r="X27" s="45">
        <f t="shared" si="16"/>
        <v>46.483333333333327</v>
      </c>
      <c r="Z27" s="43" t="s">
        <v>27</v>
      </c>
      <c r="AA27" s="43" t="s">
        <v>27</v>
      </c>
      <c r="AB27" s="173" t="s">
        <v>27</v>
      </c>
      <c r="AD27" s="77" t="s">
        <v>27</v>
      </c>
      <c r="AE27" s="77" t="s">
        <v>27</v>
      </c>
      <c r="AF27" s="172" t="s">
        <v>27</v>
      </c>
      <c r="AG27" s="116"/>
      <c r="AH27" s="118" t="s">
        <v>27</v>
      </c>
      <c r="AI27" s="77" t="s">
        <v>27</v>
      </c>
      <c r="AJ27" s="172" t="s">
        <v>27</v>
      </c>
      <c r="AK27" s="116"/>
      <c r="AL27" s="79" t="s">
        <v>97</v>
      </c>
      <c r="AM27" s="77" t="s">
        <v>123</v>
      </c>
      <c r="AN27" s="172">
        <v>91.45</v>
      </c>
      <c r="AO27" s="116">
        <f t="shared" si="4"/>
        <v>4</v>
      </c>
      <c r="AQ27" s="43">
        <f>IF(AF27="",0,1+AQ28)</f>
        <v>0</v>
      </c>
      <c r="AR27" s="43">
        <f t="shared" si="1"/>
        <v>0</v>
      </c>
      <c r="AS27" s="43">
        <f t="shared" si="2"/>
        <v>4</v>
      </c>
    </row>
    <row r="28" spans="2:45" ht="21" customHeight="1">
      <c r="B28" s="43">
        <v>24</v>
      </c>
      <c r="C28" s="44">
        <f>'Course 1'!C28</f>
        <v>12</v>
      </c>
      <c r="D28" s="46" t="str">
        <f>IF(C28="","",HLOOKUP(C28,'Règles et points'!$D$5:$Y$7,3))</f>
        <v>D55</v>
      </c>
      <c r="E28" s="46" t="str">
        <f>IF(C28="","",HLOOKUP(C28,'Règles et points'!$D$5:$AG$7,2))</f>
        <v>D</v>
      </c>
      <c r="F28" s="43" t="str">
        <f>IF('Course 1'!E28="","",'Course 1'!E28)</f>
        <v>FOUCHER</v>
      </c>
      <c r="G28" s="43" t="str">
        <f>IF('Course 1'!F28="","",'Course 1'!F28)</f>
        <v>Marie</v>
      </c>
      <c r="H28" s="56">
        <f>'Course 1'!M28+'Course 2'!M28+'Course 3'!M28+'Course 4'!M28+'Course 4'!M28</f>
        <v>59.766666666666666</v>
      </c>
      <c r="J28" s="43" t="str">
        <f t="shared" si="8"/>
        <v/>
      </c>
      <c r="K28" s="43" t="str">
        <f t="shared" si="9"/>
        <v/>
      </c>
      <c r="L28" s="53" t="str">
        <f t="shared" si="10"/>
        <v/>
      </c>
      <c r="N28" s="43" t="str">
        <f t="shared" si="5"/>
        <v/>
      </c>
      <c r="O28" s="43" t="str">
        <f t="shared" si="6"/>
        <v/>
      </c>
      <c r="P28" s="53" t="str">
        <f t="shared" si="7"/>
        <v/>
      </c>
      <c r="R28" s="43" t="str">
        <f t="shared" si="11"/>
        <v>FOUCHER</v>
      </c>
      <c r="S28" s="43" t="str">
        <f t="shared" si="12"/>
        <v>Marie</v>
      </c>
      <c r="T28" s="45">
        <f t="shared" si="13"/>
        <v>59.766666666666666</v>
      </c>
      <c r="V28" s="43" t="str">
        <f t="shared" si="14"/>
        <v/>
      </c>
      <c r="W28" s="43" t="str">
        <f t="shared" si="15"/>
        <v/>
      </c>
      <c r="X28" s="45" t="str">
        <f t="shared" ref="X28:X68" si="18">IF($E28=$X$3,$H28,"")</f>
        <v/>
      </c>
      <c r="Z28" s="43" t="s">
        <v>27</v>
      </c>
      <c r="AA28" s="43" t="s">
        <v>27</v>
      </c>
      <c r="AB28" s="173" t="s">
        <v>27</v>
      </c>
      <c r="AD28" s="77" t="s">
        <v>27</v>
      </c>
      <c r="AE28" s="77" t="s">
        <v>27</v>
      </c>
      <c r="AF28" s="172" t="s">
        <v>27</v>
      </c>
      <c r="AG28" s="116"/>
      <c r="AH28" s="118" t="s">
        <v>27</v>
      </c>
      <c r="AI28" s="77" t="s">
        <v>27</v>
      </c>
      <c r="AJ28" s="172" t="s">
        <v>27</v>
      </c>
      <c r="AK28" s="116"/>
      <c r="AL28" s="79" t="s">
        <v>95</v>
      </c>
      <c r="AM28" s="77" t="s">
        <v>96</v>
      </c>
      <c r="AN28" s="172">
        <v>91.666666666666671</v>
      </c>
      <c r="AO28" s="116">
        <f t="shared" si="4"/>
        <v>3</v>
      </c>
      <c r="AQ28" s="43">
        <f>IF(AF29="",0,1+AQ29)</f>
        <v>0</v>
      </c>
      <c r="AR28" s="43">
        <f t="shared" si="1"/>
        <v>0</v>
      </c>
      <c r="AS28" s="43">
        <f t="shared" si="2"/>
        <v>3</v>
      </c>
    </row>
    <row r="29" spans="2:45" ht="21" customHeight="1">
      <c r="B29" s="43">
        <v>25</v>
      </c>
      <c r="C29" s="44">
        <f>'Course 1'!C29</f>
        <v>24</v>
      </c>
      <c r="D29" s="46" t="str">
        <f>IF(C29="","",HLOOKUP(C29,'Règles et points'!$D$5:$Y$7,3))</f>
        <v>H21</v>
      </c>
      <c r="E29" s="46" t="str">
        <f>IF(C29="","",HLOOKUP(C29,'Règles et points'!$D$5:$AG$7,2))</f>
        <v>H</v>
      </c>
      <c r="F29" s="43" t="str">
        <f>IF('Course 1'!E29="","",'Course 1'!E29)</f>
        <v>GUERIN</v>
      </c>
      <c r="G29" s="43" t="str">
        <f>IF('Course 1'!F29="","",'Course 1'!F29)</f>
        <v>Fabien</v>
      </c>
      <c r="H29" s="56">
        <f>'Course 1'!M29+'Course 2'!M29+'Course 3'!M29+'Course 4'!M29+'Course 4'!M29</f>
        <v>0</v>
      </c>
      <c r="J29" s="43" t="str">
        <f t="shared" si="8"/>
        <v/>
      </c>
      <c r="K29" s="43" t="str">
        <f t="shared" si="9"/>
        <v/>
      </c>
      <c r="L29" s="53" t="str">
        <f t="shared" si="10"/>
        <v/>
      </c>
      <c r="N29" s="43" t="str">
        <f t="shared" si="5"/>
        <v/>
      </c>
      <c r="O29" s="43" t="str">
        <f t="shared" si="6"/>
        <v/>
      </c>
      <c r="P29" s="53" t="str">
        <f t="shared" si="7"/>
        <v/>
      </c>
      <c r="R29" s="43" t="str">
        <f t="shared" si="11"/>
        <v/>
      </c>
      <c r="S29" s="43" t="str">
        <f t="shared" si="12"/>
        <v/>
      </c>
      <c r="T29" s="45" t="str">
        <f t="shared" si="13"/>
        <v/>
      </c>
      <c r="V29" s="43" t="str">
        <f t="shared" si="14"/>
        <v>GUERIN</v>
      </c>
      <c r="W29" s="43" t="str">
        <f t="shared" si="15"/>
        <v>Fabien</v>
      </c>
      <c r="X29" s="45">
        <f t="shared" si="18"/>
        <v>0</v>
      </c>
      <c r="Z29" s="43" t="s">
        <v>27</v>
      </c>
      <c r="AA29" s="43" t="s">
        <v>27</v>
      </c>
      <c r="AB29" s="173" t="s">
        <v>27</v>
      </c>
      <c r="AD29" s="77" t="s">
        <v>27</v>
      </c>
      <c r="AE29" s="77" t="s">
        <v>27</v>
      </c>
      <c r="AF29" s="172" t="s">
        <v>27</v>
      </c>
      <c r="AG29" s="116"/>
      <c r="AH29" s="118" t="s">
        <v>27</v>
      </c>
      <c r="AI29" s="77" t="s">
        <v>27</v>
      </c>
      <c r="AJ29" s="172" t="s">
        <v>27</v>
      </c>
      <c r="AK29" s="116"/>
      <c r="AL29" s="79" t="s">
        <v>93</v>
      </c>
      <c r="AM29" s="77" t="s">
        <v>94</v>
      </c>
      <c r="AN29" s="172">
        <v>100</v>
      </c>
      <c r="AO29" s="116">
        <f t="shared" si="4"/>
        <v>1</v>
      </c>
      <c r="AQ29" s="43">
        <f t="shared" si="17"/>
        <v>0</v>
      </c>
      <c r="AR29" s="43">
        <f t="shared" si="1"/>
        <v>0</v>
      </c>
      <c r="AS29" s="43">
        <f t="shared" si="2"/>
        <v>2</v>
      </c>
    </row>
    <row r="30" spans="2:45" ht="21" customHeight="1">
      <c r="B30" s="43">
        <v>26</v>
      </c>
      <c r="C30" s="44">
        <f>'Course 1'!C30</f>
        <v>24</v>
      </c>
      <c r="D30" s="46" t="str">
        <f>IF(C30="","",HLOOKUP(C30,'Règles et points'!$D$5:$Y$7,3))</f>
        <v>H21</v>
      </c>
      <c r="E30" s="46" t="str">
        <f>IF(C30="","",HLOOKUP(C30,'Règles et points'!$D$5:$AG$7,2))</f>
        <v>H</v>
      </c>
      <c r="F30" s="43" t="str">
        <f>IF('Course 1'!E30="","",'Course 1'!E30)</f>
        <v>BIARD</v>
      </c>
      <c r="G30" s="43" t="str">
        <f>IF('Course 1'!F30="","",'Course 1'!F30)</f>
        <v>Michael</v>
      </c>
      <c r="H30" s="56">
        <f>'Course 1'!M30+'Course 2'!M30+'Course 3'!M30+'Course 4'!M30+'Course 4'!M30</f>
        <v>76.016666666666652</v>
      </c>
      <c r="J30" s="43" t="str">
        <f t="shared" si="8"/>
        <v/>
      </c>
      <c r="K30" s="43" t="str">
        <f t="shared" si="9"/>
        <v/>
      </c>
      <c r="L30" s="53" t="str">
        <f t="shared" si="10"/>
        <v/>
      </c>
      <c r="N30" s="43" t="str">
        <f t="shared" si="5"/>
        <v/>
      </c>
      <c r="O30" s="43" t="str">
        <f t="shared" si="6"/>
        <v/>
      </c>
      <c r="P30" s="53" t="str">
        <f t="shared" si="7"/>
        <v/>
      </c>
      <c r="R30" s="43" t="str">
        <f t="shared" si="11"/>
        <v/>
      </c>
      <c r="S30" s="43" t="str">
        <f t="shared" si="12"/>
        <v/>
      </c>
      <c r="T30" s="45" t="str">
        <f t="shared" si="13"/>
        <v/>
      </c>
      <c r="V30" s="43" t="str">
        <f t="shared" si="14"/>
        <v>BIARD</v>
      </c>
      <c r="W30" s="43" t="str">
        <f t="shared" si="15"/>
        <v>Michael</v>
      </c>
      <c r="X30" s="45">
        <f t="shared" si="18"/>
        <v>76.016666666666652</v>
      </c>
      <c r="Z30" s="43" t="s">
        <v>27</v>
      </c>
      <c r="AA30" s="43" t="s">
        <v>27</v>
      </c>
      <c r="AB30" s="173" t="s">
        <v>27</v>
      </c>
      <c r="AD30" s="77" t="s">
        <v>27</v>
      </c>
      <c r="AE30" s="77" t="s">
        <v>27</v>
      </c>
      <c r="AF30" s="172" t="s">
        <v>27</v>
      </c>
      <c r="AG30" s="116"/>
      <c r="AH30" s="118" t="s">
        <v>27</v>
      </c>
      <c r="AI30" s="77" t="s">
        <v>27</v>
      </c>
      <c r="AJ30" s="172" t="s">
        <v>27</v>
      </c>
      <c r="AK30" s="116"/>
      <c r="AL30" s="79" t="s">
        <v>104</v>
      </c>
      <c r="AM30" s="77" t="s">
        <v>105</v>
      </c>
      <c r="AN30" s="172">
        <v>100</v>
      </c>
      <c r="AO30" s="116">
        <f t="shared" si="4"/>
        <v>1</v>
      </c>
      <c r="AQ30" s="43">
        <f t="shared" si="17"/>
        <v>0</v>
      </c>
      <c r="AR30" s="43">
        <f t="shared" si="1"/>
        <v>0</v>
      </c>
      <c r="AS30" s="43">
        <f t="shared" si="2"/>
        <v>1</v>
      </c>
    </row>
    <row r="31" spans="2:45" ht="21" customHeight="1">
      <c r="B31" s="43">
        <v>27</v>
      </c>
      <c r="C31" s="44">
        <f>'Course 1'!C31</f>
        <v>18</v>
      </c>
      <c r="D31" s="46" t="str">
        <f>IF(C31="","",HLOOKUP(C31,'Règles et points'!$D$5:$Y$7,3))</f>
        <v>H14</v>
      </c>
      <c r="E31" s="46" t="str">
        <f>IF(C31="","",HLOOKUP(C31,'Règles et points'!$D$5:$AG$7,2))</f>
        <v>G</v>
      </c>
      <c r="F31" s="43" t="str">
        <f>IF('Course 1'!E31="","",'Course 1'!E31)</f>
        <v>GUERINI</v>
      </c>
      <c r="G31" s="43" t="str">
        <f>IF('Course 1'!F31="","",'Course 1'!F31)</f>
        <v>Robin</v>
      </c>
      <c r="H31" s="56">
        <f>'Course 1'!M31+'Course 2'!M31+'Course 3'!M31+'Course 4'!M31+'Course 4'!M31</f>
        <v>86.933333333333337</v>
      </c>
      <c r="J31" s="43" t="str">
        <f t="shared" si="8"/>
        <v/>
      </c>
      <c r="K31" s="43" t="str">
        <f t="shared" si="9"/>
        <v/>
      </c>
      <c r="L31" s="53" t="str">
        <f t="shared" si="10"/>
        <v/>
      </c>
      <c r="N31" s="43" t="str">
        <f t="shared" si="5"/>
        <v>GUERINI</v>
      </c>
      <c r="O31" s="43" t="str">
        <f t="shared" si="6"/>
        <v>Robin</v>
      </c>
      <c r="P31" s="53">
        <f t="shared" si="7"/>
        <v>86.933333333333337</v>
      </c>
      <c r="R31" s="43" t="str">
        <f t="shared" si="11"/>
        <v/>
      </c>
      <c r="S31" s="43" t="str">
        <f t="shared" si="12"/>
        <v/>
      </c>
      <c r="T31" s="45" t="str">
        <f t="shared" si="13"/>
        <v/>
      </c>
      <c r="V31" s="43" t="str">
        <f t="shared" si="14"/>
        <v/>
      </c>
      <c r="W31" s="43" t="str">
        <f t="shared" si="15"/>
        <v/>
      </c>
      <c r="X31" s="45" t="str">
        <f t="shared" si="18"/>
        <v/>
      </c>
      <c r="AB31" s="173"/>
      <c r="AD31" s="77"/>
      <c r="AE31" s="77"/>
      <c r="AF31" s="172"/>
      <c r="AG31" s="116"/>
      <c r="AH31" s="118"/>
      <c r="AI31" s="77"/>
      <c r="AJ31" s="172"/>
      <c r="AK31" s="116"/>
      <c r="AL31" s="79"/>
      <c r="AM31" s="77"/>
      <c r="AN31" s="172"/>
      <c r="AO31" s="116"/>
      <c r="AQ31" s="43">
        <f t="shared" si="17"/>
        <v>0</v>
      </c>
      <c r="AR31" s="43">
        <f t="shared" si="1"/>
        <v>0</v>
      </c>
      <c r="AS31" s="43">
        <f t="shared" si="2"/>
        <v>0</v>
      </c>
    </row>
    <row r="32" spans="2:45" ht="21" customHeight="1">
      <c r="B32" s="43">
        <v>28</v>
      </c>
      <c r="C32" s="44">
        <f>'Course 1'!C32</f>
        <v>4</v>
      </c>
      <c r="D32" s="46" t="str">
        <f>IF(C32="","",HLOOKUP(C32,'Règles et points'!$D$5:$Y$7,3))</f>
        <v>D16</v>
      </c>
      <c r="E32" s="46" t="str">
        <f>IF(C32="","",HLOOKUP(C32,'Règles et points'!$D$5:$AG$7,2))</f>
        <v>F</v>
      </c>
      <c r="F32" s="43" t="str">
        <f>IF('Course 1'!E32="","",'Course 1'!E32)</f>
        <v>GUERINI</v>
      </c>
      <c r="G32" s="43" t="str">
        <f>IF('Course 1'!F32="","",'Course 1'!F32)</f>
        <v>Alice</v>
      </c>
      <c r="H32" s="56">
        <f>'Course 1'!M32+'Course 2'!M32+'Course 3'!M32+'Course 4'!M32+'Course 4'!M32</f>
        <v>65.349999999999994</v>
      </c>
      <c r="J32" s="43" t="str">
        <f t="shared" si="8"/>
        <v>GUERINI</v>
      </c>
      <c r="K32" s="43" t="str">
        <f t="shared" si="9"/>
        <v>Alice</v>
      </c>
      <c r="L32" s="53">
        <f t="shared" si="10"/>
        <v>65.349999999999994</v>
      </c>
      <c r="N32" s="43" t="str">
        <f t="shared" si="5"/>
        <v/>
      </c>
      <c r="O32" s="43" t="str">
        <f t="shared" si="6"/>
        <v/>
      </c>
      <c r="P32" s="53" t="str">
        <f t="shared" si="7"/>
        <v/>
      </c>
      <c r="R32" s="43" t="str">
        <f t="shared" si="11"/>
        <v/>
      </c>
      <c r="S32" s="43" t="str">
        <f t="shared" si="12"/>
        <v/>
      </c>
      <c r="T32" s="45" t="str">
        <f t="shared" si="13"/>
        <v/>
      </c>
      <c r="V32" s="43" t="str">
        <f t="shared" si="14"/>
        <v/>
      </c>
      <c r="W32" s="43" t="str">
        <f t="shared" si="15"/>
        <v/>
      </c>
      <c r="X32" s="45" t="str">
        <f t="shared" si="18"/>
        <v/>
      </c>
      <c r="AB32" s="173"/>
      <c r="AD32" s="77"/>
      <c r="AE32" s="77"/>
      <c r="AF32" s="172"/>
      <c r="AG32" s="116"/>
      <c r="AH32" s="118"/>
      <c r="AI32" s="77"/>
      <c r="AJ32" s="172"/>
      <c r="AK32" s="116"/>
      <c r="AL32" s="79"/>
      <c r="AM32" s="77"/>
      <c r="AN32" s="172"/>
      <c r="AO32" s="116"/>
      <c r="AQ32" s="43">
        <f>IF(AF33="",0,1+AQ33)</f>
        <v>0</v>
      </c>
      <c r="AR32" s="43">
        <f t="shared" si="1"/>
        <v>0</v>
      </c>
      <c r="AS32" s="43">
        <f t="shared" si="2"/>
        <v>0</v>
      </c>
    </row>
    <row r="33" spans="2:45" ht="21" customHeight="1">
      <c r="B33" s="43">
        <v>29</v>
      </c>
      <c r="C33" s="44">
        <f>'Course 1'!C33</f>
        <v>9</v>
      </c>
      <c r="D33" s="46" t="str">
        <f>IF(C33="","",HLOOKUP(C33,'Règles et points'!$D$5:$Y$7,3))</f>
        <v>D40</v>
      </c>
      <c r="E33" s="46" t="str">
        <f>IF(C33="","",HLOOKUP(C33,'Règles et points'!$D$5:$AG$7,2))</f>
        <v>D</v>
      </c>
      <c r="F33" s="43" t="str">
        <f>IF('Course 1'!E33="","",'Course 1'!E33)</f>
        <v>RINTJEMA</v>
      </c>
      <c r="G33" s="43" t="str">
        <f>IF('Course 1'!F33="","",'Course 1'!F33)</f>
        <v>Carole</v>
      </c>
      <c r="H33" s="56">
        <f>'Course 1'!M33+'Course 2'!M33+'Course 3'!M33+'Course 4'!M33+'Course 4'!M33</f>
        <v>59.083333333333329</v>
      </c>
      <c r="J33" s="43" t="str">
        <f t="shared" si="8"/>
        <v/>
      </c>
      <c r="K33" s="43" t="str">
        <f t="shared" si="9"/>
        <v/>
      </c>
      <c r="L33" s="53" t="str">
        <f t="shared" si="10"/>
        <v/>
      </c>
      <c r="N33" s="43" t="str">
        <f t="shared" si="5"/>
        <v/>
      </c>
      <c r="O33" s="43" t="str">
        <f t="shared" si="6"/>
        <v/>
      </c>
      <c r="P33" s="53" t="str">
        <f t="shared" si="7"/>
        <v/>
      </c>
      <c r="R33" s="43" t="str">
        <f t="shared" si="11"/>
        <v>RINTJEMA</v>
      </c>
      <c r="S33" s="43" t="str">
        <f t="shared" si="12"/>
        <v>Carole</v>
      </c>
      <c r="T33" s="45">
        <f t="shared" si="13"/>
        <v>59.083333333333329</v>
      </c>
      <c r="V33" s="43" t="str">
        <f t="shared" si="14"/>
        <v/>
      </c>
      <c r="W33" s="43" t="str">
        <f t="shared" si="15"/>
        <v/>
      </c>
      <c r="X33" s="45" t="str">
        <f t="shared" si="18"/>
        <v/>
      </c>
      <c r="AB33" s="173"/>
      <c r="AD33" s="77"/>
      <c r="AE33" s="77"/>
      <c r="AF33" s="172"/>
      <c r="AG33" s="116"/>
      <c r="AH33" s="118"/>
      <c r="AI33" s="77"/>
      <c r="AJ33" s="172"/>
      <c r="AK33" s="116"/>
      <c r="AL33" s="79"/>
      <c r="AM33" s="77"/>
      <c r="AN33" s="172"/>
      <c r="AO33" s="116"/>
      <c r="AQ33" s="43">
        <f t="shared" si="17"/>
        <v>0</v>
      </c>
      <c r="AR33" s="43">
        <f t="shared" si="1"/>
        <v>0</v>
      </c>
      <c r="AS33" s="43">
        <f t="shared" si="2"/>
        <v>0</v>
      </c>
    </row>
    <row r="34" spans="2:45" ht="21" customHeight="1">
      <c r="B34" s="43">
        <v>30</v>
      </c>
      <c r="C34" s="44">
        <f>'Course 1'!C34</f>
        <v>19</v>
      </c>
      <c r="D34" s="46" t="str">
        <f>IF(C34="","",HLOOKUP(C34,'Règles et points'!$D$5:$Y$7,3))</f>
        <v>H16</v>
      </c>
      <c r="E34" s="46" t="str">
        <f>IF(C34="","",HLOOKUP(C34,'Règles et points'!$D$5:$AG$7,2))</f>
        <v>G</v>
      </c>
      <c r="F34" s="43" t="str">
        <f>IF('Course 1'!E34="","",'Course 1'!E34)</f>
        <v>GARDETTE-POIRIER</v>
      </c>
      <c r="G34" s="43" t="str">
        <f>IF('Course 1'!F34="","",'Course 1'!F34)</f>
        <v>Théodore</v>
      </c>
      <c r="H34" s="56">
        <f>'Course 1'!M34+'Course 2'!M34+'Course 3'!M34+'Course 4'!M34+'Course 4'!M34</f>
        <v>30</v>
      </c>
      <c r="J34" s="43" t="str">
        <f t="shared" si="8"/>
        <v/>
      </c>
      <c r="K34" s="43" t="str">
        <f t="shared" si="9"/>
        <v/>
      </c>
      <c r="L34" s="53" t="str">
        <f t="shared" si="10"/>
        <v/>
      </c>
      <c r="N34" s="43" t="str">
        <f t="shared" si="5"/>
        <v>GARDETTE-POIRIER</v>
      </c>
      <c r="O34" s="43" t="str">
        <f t="shared" si="6"/>
        <v>Théodore</v>
      </c>
      <c r="P34" s="53">
        <f t="shared" si="7"/>
        <v>30</v>
      </c>
      <c r="R34" s="43" t="str">
        <f t="shared" si="11"/>
        <v/>
      </c>
      <c r="S34" s="43" t="str">
        <f t="shared" si="12"/>
        <v/>
      </c>
      <c r="T34" s="45" t="str">
        <f t="shared" si="13"/>
        <v/>
      </c>
      <c r="V34" s="43" t="str">
        <f t="shared" si="14"/>
        <v/>
      </c>
      <c r="W34" s="43" t="str">
        <f t="shared" si="15"/>
        <v/>
      </c>
      <c r="X34" s="45" t="str">
        <f t="shared" si="18"/>
        <v/>
      </c>
      <c r="AB34" s="173"/>
      <c r="AD34" s="77"/>
      <c r="AE34" s="77"/>
      <c r="AF34" s="172"/>
      <c r="AG34" s="116"/>
      <c r="AH34" s="118"/>
      <c r="AI34" s="77"/>
      <c r="AJ34" s="172"/>
      <c r="AK34" s="116"/>
      <c r="AL34" s="79"/>
      <c r="AM34" s="77"/>
      <c r="AN34" s="172"/>
      <c r="AO34" s="116"/>
      <c r="AQ34" s="43">
        <f t="shared" si="17"/>
        <v>0</v>
      </c>
      <c r="AR34" s="43">
        <f t="shared" si="1"/>
        <v>0</v>
      </c>
      <c r="AS34" s="43">
        <f t="shared" si="2"/>
        <v>0</v>
      </c>
    </row>
    <row r="35" spans="2:45" ht="21" customHeight="1">
      <c r="B35" s="43">
        <v>31</v>
      </c>
      <c r="C35" s="44">
        <f>'Course 1'!C35</f>
        <v>27</v>
      </c>
      <c r="D35" s="46" t="str">
        <f>IF(C35="","",HLOOKUP(C35,'Règles et points'!$D$5:$Y$7,3))</f>
        <v>H21</v>
      </c>
      <c r="E35" s="46" t="str">
        <f>IF(C35="","",HLOOKUP(C35,'Règles et points'!$D$5:$AG$7,2))</f>
        <v>H</v>
      </c>
      <c r="F35" s="43" t="str">
        <f>IF('Course 1'!E35="","",'Course 1'!E35)</f>
        <v>ALBERT</v>
      </c>
      <c r="G35" s="43" t="str">
        <f>IF('Course 1'!F35="","",'Course 1'!F35)</f>
        <v>Arnault</v>
      </c>
      <c r="H35" s="56">
        <f>'Course 1'!M35+'Course 2'!M35+'Course 3'!M35+'Course 4'!M35+'Course 4'!M35</f>
        <v>69.166666666666657</v>
      </c>
      <c r="J35" s="43" t="str">
        <f t="shared" si="8"/>
        <v/>
      </c>
      <c r="K35" s="43" t="str">
        <f t="shared" si="9"/>
        <v/>
      </c>
      <c r="L35" s="53" t="str">
        <f t="shared" si="10"/>
        <v/>
      </c>
      <c r="N35" s="43" t="str">
        <f t="shared" si="5"/>
        <v/>
      </c>
      <c r="O35" s="43" t="str">
        <f t="shared" si="6"/>
        <v/>
      </c>
      <c r="P35" s="53" t="str">
        <f t="shared" si="7"/>
        <v/>
      </c>
      <c r="R35" s="43" t="str">
        <f t="shared" si="11"/>
        <v/>
      </c>
      <c r="S35" s="43" t="str">
        <f t="shared" si="12"/>
        <v/>
      </c>
      <c r="T35" s="45" t="str">
        <f t="shared" si="13"/>
        <v/>
      </c>
      <c r="V35" s="43" t="str">
        <f t="shared" si="14"/>
        <v>ALBERT</v>
      </c>
      <c r="W35" s="43" t="str">
        <f t="shared" si="15"/>
        <v>Arnault</v>
      </c>
      <c r="X35" s="45">
        <f t="shared" si="18"/>
        <v>69.166666666666657</v>
      </c>
      <c r="AB35" s="173"/>
      <c r="AD35" s="77"/>
      <c r="AE35" s="77"/>
      <c r="AF35" s="172"/>
      <c r="AG35" s="116"/>
      <c r="AH35" s="118"/>
      <c r="AI35" s="77"/>
      <c r="AJ35" s="172"/>
      <c r="AK35" s="116"/>
      <c r="AL35" s="79"/>
      <c r="AM35" s="77"/>
      <c r="AN35" s="172"/>
      <c r="AO35" s="116"/>
      <c r="AQ35" s="43">
        <f t="shared" si="17"/>
        <v>0</v>
      </c>
      <c r="AR35" s="43">
        <f t="shared" si="1"/>
        <v>0</v>
      </c>
      <c r="AS35" s="43">
        <f t="shared" si="2"/>
        <v>0</v>
      </c>
    </row>
    <row r="36" spans="2:45" ht="21" customHeight="1">
      <c r="B36" s="43">
        <v>32</v>
      </c>
      <c r="C36" s="44">
        <f>'Course 1'!C36</f>
        <v>7</v>
      </c>
      <c r="D36" s="46" t="str">
        <f>IF(C36="","",HLOOKUP(C36,'Règles et points'!$D$5:$Y$7,3))</f>
        <v>D21</v>
      </c>
      <c r="E36" s="46" t="str">
        <f>IF(C36="","",HLOOKUP(C36,'Règles et points'!$D$5:$AG$7,2))</f>
        <v>D</v>
      </c>
      <c r="F36" s="43" t="str">
        <f>IF('Course 1'!E36="","",'Course 1'!E36)</f>
        <v>AUDEFROY</v>
      </c>
      <c r="G36" s="43" t="str">
        <f>IF('Course 1'!F36="","",'Course 1'!F36)</f>
        <v>Elsa</v>
      </c>
      <c r="H36" s="56">
        <f>'Course 1'!M36+'Course 2'!M36+'Course 3'!M36+'Course 4'!M36+'Course 4'!M36</f>
        <v>0</v>
      </c>
      <c r="J36" s="43" t="str">
        <f t="shared" si="8"/>
        <v/>
      </c>
      <c r="K36" s="43" t="str">
        <f t="shared" si="9"/>
        <v/>
      </c>
      <c r="L36" s="53" t="str">
        <f t="shared" si="10"/>
        <v/>
      </c>
      <c r="N36" s="43" t="str">
        <f t="shared" si="5"/>
        <v/>
      </c>
      <c r="O36" s="43" t="str">
        <f t="shared" si="6"/>
        <v/>
      </c>
      <c r="P36" s="53" t="str">
        <f t="shared" si="7"/>
        <v/>
      </c>
      <c r="R36" s="43" t="str">
        <f t="shared" si="11"/>
        <v>AUDEFROY</v>
      </c>
      <c r="S36" s="43" t="str">
        <f t="shared" si="12"/>
        <v>Elsa</v>
      </c>
      <c r="T36" s="45">
        <f t="shared" si="13"/>
        <v>0</v>
      </c>
      <c r="V36" s="43" t="str">
        <f t="shared" si="14"/>
        <v/>
      </c>
      <c r="W36" s="43" t="str">
        <f t="shared" si="15"/>
        <v/>
      </c>
      <c r="X36" s="45" t="str">
        <f t="shared" si="18"/>
        <v/>
      </c>
      <c r="AB36" s="173"/>
      <c r="AD36" s="77"/>
      <c r="AE36" s="77"/>
      <c r="AF36" s="172"/>
      <c r="AG36" s="116"/>
      <c r="AH36" s="118"/>
      <c r="AI36" s="77"/>
      <c r="AJ36" s="172"/>
      <c r="AK36" s="116"/>
      <c r="AL36" s="79"/>
      <c r="AM36" s="77"/>
      <c r="AN36" s="172"/>
      <c r="AO36" s="116"/>
      <c r="AQ36" s="43">
        <f t="shared" si="17"/>
        <v>0</v>
      </c>
      <c r="AR36" s="43">
        <f t="shared" si="1"/>
        <v>0</v>
      </c>
      <c r="AS36" s="43">
        <f t="shared" si="2"/>
        <v>0</v>
      </c>
    </row>
    <row r="37" spans="2:45" ht="21" customHeight="1">
      <c r="B37" s="43">
        <v>33</v>
      </c>
      <c r="C37" s="44">
        <f>'Course 1'!C37</f>
        <v>25</v>
      </c>
      <c r="D37" s="46" t="str">
        <f>IF(C37="","",HLOOKUP(C37,'Règles et points'!$D$5:$Y$7,3))</f>
        <v>H21</v>
      </c>
      <c r="E37" s="46" t="str">
        <f>IF(C37="","",HLOOKUP(C37,'Règles et points'!$D$5:$AG$7,2))</f>
        <v>H</v>
      </c>
      <c r="F37" s="43" t="str">
        <f>IF('Course 1'!E37="","",'Course 1'!E37)</f>
        <v>COIFFIER</v>
      </c>
      <c r="G37" s="43" t="str">
        <f>IF('Course 1'!F37="","",'Course 1'!F37)</f>
        <v>Laurent</v>
      </c>
      <c r="H37" s="56">
        <f>'Course 1'!M37+'Course 2'!M37+'Course 3'!M37+'Course 4'!M37+'Course 4'!M37</f>
        <v>37.366666666666646</v>
      </c>
      <c r="J37" s="43" t="str">
        <f t="shared" si="8"/>
        <v/>
      </c>
      <c r="K37" s="43" t="str">
        <f t="shared" si="9"/>
        <v/>
      </c>
      <c r="L37" s="53" t="str">
        <f t="shared" si="10"/>
        <v/>
      </c>
      <c r="N37" s="43" t="str">
        <f t="shared" si="5"/>
        <v/>
      </c>
      <c r="O37" s="43" t="str">
        <f t="shared" si="6"/>
        <v/>
      </c>
      <c r="P37" s="53" t="str">
        <f t="shared" si="7"/>
        <v/>
      </c>
      <c r="R37" s="43" t="str">
        <f t="shared" si="11"/>
        <v/>
      </c>
      <c r="S37" s="43" t="str">
        <f t="shared" si="12"/>
        <v/>
      </c>
      <c r="T37" s="45" t="str">
        <f t="shared" si="13"/>
        <v/>
      </c>
      <c r="V37" s="43" t="str">
        <f t="shared" si="14"/>
        <v>COIFFIER</v>
      </c>
      <c r="W37" s="43" t="str">
        <f t="shared" si="15"/>
        <v>Laurent</v>
      </c>
      <c r="X37" s="45">
        <f t="shared" si="18"/>
        <v>37.366666666666646</v>
      </c>
      <c r="AB37" s="173"/>
      <c r="AD37" s="77"/>
      <c r="AE37" s="77"/>
      <c r="AF37" s="172"/>
      <c r="AG37" s="116"/>
      <c r="AH37" s="118"/>
      <c r="AI37" s="77"/>
      <c r="AJ37" s="172"/>
      <c r="AK37" s="116"/>
      <c r="AL37" s="79"/>
      <c r="AM37" s="77"/>
      <c r="AN37" s="172"/>
      <c r="AO37" s="116"/>
      <c r="AQ37" s="43">
        <f t="shared" ref="AQ37:AQ100" si="19">IF(AF38="",0,1+AQ38)</f>
        <v>0</v>
      </c>
      <c r="AR37" s="43">
        <f t="shared" ref="AR37:AR100" si="20">IF(AJ37="",0,1+AR38)</f>
        <v>0</v>
      </c>
      <c r="AS37" s="43">
        <f t="shared" ref="AS37:AS100" si="21">IF(AN37="",0,1+AS38)</f>
        <v>0</v>
      </c>
    </row>
    <row r="38" spans="2:45" ht="21" customHeight="1">
      <c r="B38" s="43">
        <v>34</v>
      </c>
      <c r="C38" s="44">
        <f>'Course 1'!C38</f>
        <v>18</v>
      </c>
      <c r="D38" s="46" t="str">
        <f>IF(C38="","",HLOOKUP(C38,'Règles et points'!$D$5:$Y$7,3))</f>
        <v>H14</v>
      </c>
      <c r="E38" s="46" t="str">
        <f>IF(C38="","",HLOOKUP(C38,'Règles et points'!$D$5:$AG$7,2))</f>
        <v>G</v>
      </c>
      <c r="F38" s="43" t="str">
        <f>IF('Course 1'!E38="","",'Course 1'!E38)</f>
        <v>ANDRIEU-PHELEP</v>
      </c>
      <c r="G38" s="43" t="str">
        <f>IF('Course 1'!F38="","",'Course 1'!F38)</f>
        <v>Titouan</v>
      </c>
      <c r="H38" s="56">
        <f>'Course 1'!M38+'Course 2'!M38+'Course 3'!M38+'Course 4'!M38+'Course 4'!M38</f>
        <v>67.366666666666674</v>
      </c>
      <c r="J38" s="43" t="str">
        <f t="shared" si="8"/>
        <v/>
      </c>
      <c r="K38" s="43" t="str">
        <f t="shared" si="9"/>
        <v/>
      </c>
      <c r="L38" s="53" t="str">
        <f t="shared" si="10"/>
        <v/>
      </c>
      <c r="N38" s="43" t="str">
        <f t="shared" si="5"/>
        <v>ANDRIEU-PHELEP</v>
      </c>
      <c r="O38" s="43" t="str">
        <f t="shared" si="6"/>
        <v>Titouan</v>
      </c>
      <c r="P38" s="53">
        <f t="shared" si="7"/>
        <v>67.366666666666674</v>
      </c>
      <c r="R38" s="43" t="str">
        <f t="shared" si="11"/>
        <v/>
      </c>
      <c r="S38" s="43" t="str">
        <f t="shared" si="12"/>
        <v/>
      </c>
      <c r="T38" s="45" t="str">
        <f t="shared" si="13"/>
        <v/>
      </c>
      <c r="V38" s="43" t="str">
        <f t="shared" si="14"/>
        <v/>
      </c>
      <c r="W38" s="43" t="str">
        <f t="shared" si="15"/>
        <v/>
      </c>
      <c r="X38" s="45" t="str">
        <f t="shared" si="18"/>
        <v/>
      </c>
      <c r="AB38" s="173"/>
      <c r="AD38" s="77"/>
      <c r="AE38" s="77"/>
      <c r="AF38" s="172"/>
      <c r="AG38" s="116"/>
      <c r="AH38" s="118"/>
      <c r="AI38" s="77"/>
      <c r="AJ38" s="172"/>
      <c r="AK38" s="116"/>
      <c r="AL38" s="79"/>
      <c r="AM38" s="77"/>
      <c r="AN38" s="172"/>
      <c r="AO38" s="116"/>
      <c r="AQ38" s="43">
        <f t="shared" si="19"/>
        <v>0</v>
      </c>
      <c r="AR38" s="43">
        <f t="shared" si="20"/>
        <v>0</v>
      </c>
      <c r="AS38" s="43">
        <f t="shared" si="21"/>
        <v>0</v>
      </c>
    </row>
    <row r="39" spans="2:45" ht="21" customHeight="1">
      <c r="B39" s="43">
        <v>35</v>
      </c>
      <c r="C39" s="44">
        <f>'Course 1'!C39</f>
        <v>19</v>
      </c>
      <c r="D39" s="46" t="str">
        <f>IF(C39="","",HLOOKUP(C39,'Règles et points'!$D$5:$Y$7,3))</f>
        <v>H16</v>
      </c>
      <c r="E39" s="46" t="str">
        <f>IF(C39="","",HLOOKUP(C39,'Règles et points'!$D$5:$AG$7,2))</f>
        <v>G</v>
      </c>
      <c r="F39" s="43" t="str">
        <f>IF('Course 1'!E39="","",'Course 1'!E39)</f>
        <v>TONDU</v>
      </c>
      <c r="G39" s="43" t="str">
        <f>IF('Course 1'!F39="","",'Course 1'!F39)</f>
        <v>maxime</v>
      </c>
      <c r="H39" s="56">
        <f>'Course 1'!M39+'Course 2'!M39+'Course 3'!M39+'Course 4'!M39+'Course 4'!M39</f>
        <v>87.483333333333334</v>
      </c>
      <c r="J39" s="43" t="str">
        <f t="shared" si="8"/>
        <v/>
      </c>
      <c r="K39" s="43" t="str">
        <f t="shared" si="9"/>
        <v/>
      </c>
      <c r="L39" s="53" t="str">
        <f t="shared" si="10"/>
        <v/>
      </c>
      <c r="N39" s="43" t="str">
        <f t="shared" si="5"/>
        <v>TONDU</v>
      </c>
      <c r="O39" s="43" t="str">
        <f t="shared" si="6"/>
        <v>maxime</v>
      </c>
      <c r="P39" s="53">
        <f t="shared" si="7"/>
        <v>87.483333333333334</v>
      </c>
      <c r="R39" s="43" t="str">
        <f t="shared" si="11"/>
        <v/>
      </c>
      <c r="S39" s="43" t="str">
        <f t="shared" si="12"/>
        <v/>
      </c>
      <c r="T39" s="45" t="str">
        <f t="shared" si="13"/>
        <v/>
      </c>
      <c r="V39" s="43" t="str">
        <f t="shared" si="14"/>
        <v/>
      </c>
      <c r="W39" s="43" t="str">
        <f t="shared" si="15"/>
        <v/>
      </c>
      <c r="X39" s="45" t="str">
        <f t="shared" si="18"/>
        <v/>
      </c>
      <c r="AB39" s="173"/>
      <c r="AD39" s="77"/>
      <c r="AE39" s="77"/>
      <c r="AF39" s="172"/>
      <c r="AG39" s="116"/>
      <c r="AH39" s="118"/>
      <c r="AI39" s="77"/>
      <c r="AJ39" s="78"/>
      <c r="AK39" s="116"/>
      <c r="AL39" s="79"/>
      <c r="AM39" s="77"/>
      <c r="AN39" s="172"/>
      <c r="AO39" s="116"/>
      <c r="AQ39" s="43">
        <f t="shared" si="19"/>
        <v>0</v>
      </c>
      <c r="AR39" s="43">
        <f t="shared" si="20"/>
        <v>0</v>
      </c>
      <c r="AS39" s="43">
        <f t="shared" si="21"/>
        <v>0</v>
      </c>
    </row>
    <row r="40" spans="2:45" ht="21" customHeight="1">
      <c r="B40" s="43">
        <v>36</v>
      </c>
      <c r="C40" s="44">
        <f>'Course 1'!C40</f>
        <v>19</v>
      </c>
      <c r="D40" s="46" t="str">
        <f>IF(C40="","",HLOOKUP(C40,'Règles et points'!$D$5:$Y$7,3))</f>
        <v>H16</v>
      </c>
      <c r="E40" s="46" t="str">
        <f>IF(C40="","",HLOOKUP(C40,'Règles et points'!$D$5:$AG$7,2))</f>
        <v>G</v>
      </c>
      <c r="F40" s="43" t="str">
        <f>IF('Course 1'!E40="","",'Course 1'!E40)</f>
        <v>SNELLMAN</v>
      </c>
      <c r="G40" s="43" t="str">
        <f>IF('Course 1'!F40="","",'Course 1'!F40)</f>
        <v>Max</v>
      </c>
      <c r="H40" s="56">
        <f>'Course 1'!M40+'Course 2'!M40+'Course 3'!M40+'Course 4'!M40+'Course 4'!M40</f>
        <v>98.61666666666666</v>
      </c>
      <c r="J40" s="43" t="str">
        <f t="shared" si="8"/>
        <v/>
      </c>
      <c r="K40" s="43" t="str">
        <f t="shared" si="9"/>
        <v/>
      </c>
      <c r="L40" s="53" t="str">
        <f t="shared" si="10"/>
        <v/>
      </c>
      <c r="N40" s="43" t="str">
        <f t="shared" si="5"/>
        <v>SNELLMAN</v>
      </c>
      <c r="O40" s="43" t="str">
        <f t="shared" si="6"/>
        <v>Max</v>
      </c>
      <c r="P40" s="53">
        <f t="shared" si="7"/>
        <v>98.61666666666666</v>
      </c>
      <c r="R40" s="43" t="str">
        <f t="shared" si="11"/>
        <v/>
      </c>
      <c r="S40" s="43" t="str">
        <f t="shared" si="12"/>
        <v/>
      </c>
      <c r="T40" s="45" t="str">
        <f t="shared" si="13"/>
        <v/>
      </c>
      <c r="V40" s="43" t="str">
        <f t="shared" si="14"/>
        <v/>
      </c>
      <c r="W40" s="43" t="str">
        <f t="shared" si="15"/>
        <v/>
      </c>
      <c r="X40" s="45" t="str">
        <f t="shared" si="18"/>
        <v/>
      </c>
      <c r="AB40" s="173"/>
      <c r="AD40" s="77"/>
      <c r="AE40" s="77"/>
      <c r="AF40" s="172"/>
      <c r="AG40" s="116"/>
      <c r="AH40" s="118"/>
      <c r="AI40" s="77"/>
      <c r="AJ40" s="172"/>
      <c r="AK40" s="116"/>
      <c r="AL40" s="79"/>
      <c r="AM40" s="77"/>
      <c r="AN40" s="172"/>
      <c r="AO40" s="116"/>
      <c r="AQ40" s="43">
        <f t="shared" si="19"/>
        <v>0</v>
      </c>
      <c r="AR40" s="43">
        <f t="shared" si="20"/>
        <v>0</v>
      </c>
      <c r="AS40" s="43">
        <f t="shared" si="21"/>
        <v>0</v>
      </c>
    </row>
    <row r="41" spans="2:45" ht="21" customHeight="1">
      <c r="B41" s="43">
        <v>37</v>
      </c>
      <c r="C41" s="44">
        <f>'Course 1'!C41</f>
        <v>17</v>
      </c>
      <c r="D41" s="46" t="str">
        <f>IF(C41="","",HLOOKUP(C41,'Règles et points'!$D$5:$Y$7,3))</f>
        <v>H12</v>
      </c>
      <c r="E41" s="46" t="str">
        <f>IF(C41="","",HLOOKUP(C41,'Règles et points'!$D$5:$Y$7,2))</f>
        <v>G</v>
      </c>
      <c r="F41" s="43" t="str">
        <f>IF('Course 1'!E41="","",'Course 1'!E41)</f>
        <v>GARDETTE -POIRIER</v>
      </c>
      <c r="G41" s="43" t="str">
        <f>IF('Course 1'!F41="","",'Course 1'!F41)</f>
        <v>Arthur</v>
      </c>
      <c r="H41" s="56">
        <f>'Course 1'!M41+'Course 2'!M41+'Course 3'!M41+'Course 4'!M41+'Course 4'!M41</f>
        <v>30</v>
      </c>
      <c r="J41" s="43" t="str">
        <f t="shared" si="8"/>
        <v/>
      </c>
      <c r="K41" s="43" t="str">
        <f t="shared" si="9"/>
        <v/>
      </c>
      <c r="L41" s="53" t="str">
        <f t="shared" si="10"/>
        <v/>
      </c>
      <c r="N41" s="43" t="str">
        <f t="shared" si="5"/>
        <v>GARDETTE -POIRIER</v>
      </c>
      <c r="O41" s="43" t="str">
        <f t="shared" si="6"/>
        <v>Arthur</v>
      </c>
      <c r="P41" s="53">
        <f t="shared" si="7"/>
        <v>30</v>
      </c>
      <c r="R41" s="43" t="str">
        <f t="shared" si="11"/>
        <v/>
      </c>
      <c r="S41" s="43" t="str">
        <f t="shared" si="12"/>
        <v/>
      </c>
      <c r="T41" s="45" t="str">
        <f t="shared" si="13"/>
        <v/>
      </c>
      <c r="V41" s="43" t="str">
        <f t="shared" si="14"/>
        <v/>
      </c>
      <c r="W41" s="43" t="str">
        <f t="shared" si="15"/>
        <v/>
      </c>
      <c r="X41" s="45" t="str">
        <f t="shared" si="18"/>
        <v/>
      </c>
      <c r="AB41" s="173"/>
      <c r="AD41" s="77"/>
      <c r="AE41" s="77"/>
      <c r="AF41" s="172"/>
      <c r="AG41" s="116"/>
      <c r="AH41" s="118"/>
      <c r="AI41" s="77"/>
      <c r="AJ41" s="172"/>
      <c r="AK41" s="116"/>
      <c r="AL41" s="79"/>
      <c r="AM41" s="77"/>
      <c r="AN41" s="172"/>
      <c r="AO41" s="116"/>
      <c r="AQ41" s="43">
        <f t="shared" si="19"/>
        <v>0</v>
      </c>
      <c r="AR41" s="43">
        <f t="shared" si="20"/>
        <v>0</v>
      </c>
      <c r="AS41" s="43">
        <f t="shared" si="21"/>
        <v>0</v>
      </c>
    </row>
    <row r="42" spans="2:45" ht="21" customHeight="1">
      <c r="B42" s="43">
        <v>38</v>
      </c>
      <c r="C42" s="44">
        <f>'Course 1'!C42</f>
        <v>3</v>
      </c>
      <c r="D42" s="46" t="str">
        <f>IF(C42="","",HLOOKUP(C42,'Règles et points'!$D$5:$Y$7,3))</f>
        <v>D14</v>
      </c>
      <c r="E42" s="46" t="str">
        <f>IF(C42="","",HLOOKUP(C42,'Règles et points'!$D$5:$Y$7,2))</f>
        <v>F</v>
      </c>
      <c r="F42" s="43" t="str">
        <f>IF('Course 1'!E42="","",'Course 1'!E42)</f>
        <v>BIARD</v>
      </c>
      <c r="G42" s="43" t="str">
        <f>IF('Course 1'!F42="","",'Course 1'!F42)</f>
        <v>Loïza</v>
      </c>
      <c r="H42" s="56">
        <f>'Course 1'!M42+'Course 2'!M42+'Course 3'!M42+'Course 4'!M42+'Course 4'!M42</f>
        <v>72.766666666666666</v>
      </c>
      <c r="J42" s="43" t="str">
        <f t="shared" si="8"/>
        <v>BIARD</v>
      </c>
      <c r="K42" s="43" t="str">
        <f t="shared" si="9"/>
        <v>Loïza</v>
      </c>
      <c r="L42" s="53">
        <f t="shared" si="10"/>
        <v>72.766666666666666</v>
      </c>
      <c r="N42" s="43" t="str">
        <f t="shared" si="5"/>
        <v/>
      </c>
      <c r="O42" s="43" t="str">
        <f t="shared" si="6"/>
        <v/>
      </c>
      <c r="P42" s="53" t="str">
        <f t="shared" si="7"/>
        <v/>
      </c>
      <c r="R42" s="43" t="str">
        <f t="shared" si="11"/>
        <v/>
      </c>
      <c r="S42" s="43" t="str">
        <f t="shared" si="12"/>
        <v/>
      </c>
      <c r="T42" s="45" t="str">
        <f t="shared" si="13"/>
        <v/>
      </c>
      <c r="V42" s="43" t="str">
        <f t="shared" si="14"/>
        <v/>
      </c>
      <c r="W42" s="43" t="str">
        <f t="shared" si="15"/>
        <v/>
      </c>
      <c r="X42" s="45" t="str">
        <f t="shared" si="18"/>
        <v/>
      </c>
      <c r="AB42" s="173"/>
      <c r="AD42" s="77"/>
      <c r="AE42" s="77"/>
      <c r="AF42" s="172"/>
      <c r="AG42" s="116"/>
      <c r="AH42" s="118"/>
      <c r="AI42" s="77"/>
      <c r="AJ42" s="172"/>
      <c r="AK42" s="116"/>
      <c r="AL42" s="79"/>
      <c r="AM42" s="77"/>
      <c r="AN42" s="172"/>
      <c r="AO42" s="116"/>
      <c r="AQ42" s="43">
        <f t="shared" si="19"/>
        <v>0</v>
      </c>
      <c r="AR42" s="43">
        <f t="shared" si="20"/>
        <v>0</v>
      </c>
      <c r="AS42" s="43">
        <f t="shared" si="21"/>
        <v>0</v>
      </c>
    </row>
    <row r="43" spans="2:45" ht="21" customHeight="1">
      <c r="B43" s="43">
        <v>39</v>
      </c>
      <c r="C43" s="44">
        <f>'Course 1'!C43</f>
        <v>10</v>
      </c>
      <c r="D43" s="46" t="str">
        <f>IF(C43="","",HLOOKUP(C43,'Règles et points'!$D$5:$Y$7,3))</f>
        <v>D45</v>
      </c>
      <c r="E43" s="46" t="str">
        <f>IF(C43="","",HLOOKUP(C43,'Règles et points'!$D$5:$Y$7,2))</f>
        <v>D</v>
      </c>
      <c r="F43" s="43" t="str">
        <f>IF('Course 1'!E43="","",'Course 1'!E43)</f>
        <v>DERLOT</v>
      </c>
      <c r="G43" s="43" t="str">
        <f>IF('Course 1'!F43="","",'Course 1'!F43)</f>
        <v>Stéphanie</v>
      </c>
      <c r="H43" s="56">
        <f>'Course 1'!M43+'Course 2'!M43+'Course 3'!M43+'Course 4'!M43+'Course 4'!M43</f>
        <v>56.73333333333332</v>
      </c>
      <c r="J43" s="43" t="str">
        <f t="shared" si="8"/>
        <v/>
      </c>
      <c r="K43" s="43" t="str">
        <f t="shared" si="9"/>
        <v/>
      </c>
      <c r="L43" s="53" t="str">
        <f t="shared" si="10"/>
        <v/>
      </c>
      <c r="N43" s="43" t="str">
        <f t="shared" si="5"/>
        <v/>
      </c>
      <c r="O43" s="43" t="str">
        <f t="shared" si="6"/>
        <v/>
      </c>
      <c r="P43" s="53" t="str">
        <f t="shared" si="7"/>
        <v/>
      </c>
      <c r="R43" s="43" t="str">
        <f t="shared" si="11"/>
        <v>DERLOT</v>
      </c>
      <c r="S43" s="43" t="str">
        <f t="shared" si="12"/>
        <v>Stéphanie</v>
      </c>
      <c r="T43" s="45">
        <f t="shared" si="13"/>
        <v>56.73333333333332</v>
      </c>
      <c r="V43" s="43" t="str">
        <f t="shared" si="14"/>
        <v/>
      </c>
      <c r="W43" s="43" t="str">
        <f t="shared" si="15"/>
        <v/>
      </c>
      <c r="X43" s="45" t="str">
        <f t="shared" si="18"/>
        <v/>
      </c>
      <c r="AB43" s="173"/>
      <c r="AD43" s="77"/>
      <c r="AE43" s="77"/>
      <c r="AF43" s="172"/>
      <c r="AG43" s="116"/>
      <c r="AH43" s="118"/>
      <c r="AI43" s="77"/>
      <c r="AJ43" s="172"/>
      <c r="AK43" s="116"/>
      <c r="AL43" s="79"/>
      <c r="AM43" s="77"/>
      <c r="AN43" s="172"/>
      <c r="AO43" s="116"/>
      <c r="AQ43" s="43">
        <f t="shared" si="19"/>
        <v>0</v>
      </c>
      <c r="AR43" s="43">
        <f t="shared" si="20"/>
        <v>0</v>
      </c>
      <c r="AS43" s="43">
        <f t="shared" si="21"/>
        <v>0</v>
      </c>
    </row>
    <row r="44" spans="2:45" ht="21" customHeight="1">
      <c r="B44" s="43">
        <v>40</v>
      </c>
      <c r="C44" s="44">
        <f>'Course 1'!C44</f>
        <v>25</v>
      </c>
      <c r="D44" s="46" t="str">
        <f>IF(C44="","",HLOOKUP(C44,'Règles et points'!$D$5:$Y$7,3))</f>
        <v>H21</v>
      </c>
      <c r="E44" s="46" t="str">
        <f>IF(C44="","",HLOOKUP(C44,'Règles et points'!$D$5:$Y$7,2))</f>
        <v>H</v>
      </c>
      <c r="F44" s="43" t="str">
        <f>IF('Course 1'!E44="","",'Course 1'!E44)</f>
        <v>DERLOT</v>
      </c>
      <c r="G44" s="43" t="str">
        <f>IF('Course 1'!F44="","",'Course 1'!F44)</f>
        <v>Damien</v>
      </c>
      <c r="H44" s="56">
        <f>'Course 1'!M44+'Course 2'!M44+'Course 3'!M44+'Course 4'!M44+'Course 4'!M44</f>
        <v>49.083333333333321</v>
      </c>
      <c r="J44" s="43" t="str">
        <f t="shared" si="8"/>
        <v/>
      </c>
      <c r="K44" s="43" t="str">
        <f t="shared" si="9"/>
        <v/>
      </c>
      <c r="L44" s="53" t="str">
        <f t="shared" si="10"/>
        <v/>
      </c>
      <c r="N44" s="43" t="str">
        <f t="shared" si="5"/>
        <v/>
      </c>
      <c r="O44" s="43" t="str">
        <f t="shared" si="6"/>
        <v/>
      </c>
      <c r="P44" s="53" t="str">
        <f t="shared" si="7"/>
        <v/>
      </c>
      <c r="R44" s="43" t="str">
        <f t="shared" si="11"/>
        <v/>
      </c>
      <c r="S44" s="43" t="str">
        <f t="shared" si="12"/>
        <v/>
      </c>
      <c r="T44" s="45" t="str">
        <f t="shared" si="13"/>
        <v/>
      </c>
      <c r="V44" s="43" t="str">
        <f t="shared" si="14"/>
        <v>DERLOT</v>
      </c>
      <c r="W44" s="43" t="str">
        <f t="shared" si="15"/>
        <v>Damien</v>
      </c>
      <c r="X44" s="45">
        <f t="shared" si="18"/>
        <v>49.083333333333321</v>
      </c>
      <c r="AB44" s="173"/>
      <c r="AD44" s="77"/>
      <c r="AE44" s="77"/>
      <c r="AF44" s="172"/>
      <c r="AG44" s="116"/>
      <c r="AH44" s="118"/>
      <c r="AI44" s="77"/>
      <c r="AJ44" s="172"/>
      <c r="AK44" s="116"/>
      <c r="AL44" s="79"/>
      <c r="AM44" s="77"/>
      <c r="AN44" s="172"/>
      <c r="AO44" s="116"/>
      <c r="AQ44" s="43">
        <f t="shared" si="19"/>
        <v>0</v>
      </c>
      <c r="AR44" s="43">
        <f t="shared" si="20"/>
        <v>0</v>
      </c>
      <c r="AS44" s="43">
        <f t="shared" si="21"/>
        <v>0</v>
      </c>
    </row>
    <row r="45" spans="2:45" ht="21" customHeight="1">
      <c r="B45" s="43">
        <v>41</v>
      </c>
      <c r="C45" s="44">
        <f>'Course 1'!C45</f>
        <v>3</v>
      </c>
      <c r="D45" s="46" t="str">
        <f>IF(C45="","",HLOOKUP(C45,'Règles et points'!$D$5:$Y$7,3))</f>
        <v>D14</v>
      </c>
      <c r="E45" s="46" t="str">
        <f>IF(C45="","",HLOOKUP(C45,'Règles et points'!$D$5:$Y$7,2))</f>
        <v>F</v>
      </c>
      <c r="F45" s="43" t="str">
        <f>IF('Course 1'!E45="","",'Course 1'!E45)</f>
        <v>DERLOT</v>
      </c>
      <c r="G45" s="43" t="str">
        <f>IF('Course 1'!F45="","",'Course 1'!F45)</f>
        <v>Lise</v>
      </c>
      <c r="H45" s="56">
        <f>'Course 1'!M45+'Course 2'!M45+'Course 3'!M45+'Course 4'!M45+'Course 4'!M45</f>
        <v>94.05</v>
      </c>
      <c r="J45" s="43" t="str">
        <f t="shared" si="8"/>
        <v>DERLOT</v>
      </c>
      <c r="K45" s="43" t="str">
        <f t="shared" si="9"/>
        <v>Lise</v>
      </c>
      <c r="L45" s="53">
        <f t="shared" si="10"/>
        <v>94.05</v>
      </c>
      <c r="N45" s="43" t="str">
        <f t="shared" si="5"/>
        <v/>
      </c>
      <c r="O45" s="43" t="str">
        <f t="shared" si="6"/>
        <v/>
      </c>
      <c r="P45" s="53" t="str">
        <f t="shared" si="7"/>
        <v/>
      </c>
      <c r="R45" s="43" t="str">
        <f t="shared" si="11"/>
        <v/>
      </c>
      <c r="S45" s="43" t="str">
        <f t="shared" si="12"/>
        <v/>
      </c>
      <c r="T45" s="45" t="str">
        <f t="shared" si="13"/>
        <v/>
      </c>
      <c r="V45" s="43" t="str">
        <f t="shared" si="14"/>
        <v/>
      </c>
      <c r="W45" s="43" t="str">
        <f t="shared" si="15"/>
        <v/>
      </c>
      <c r="X45" s="45" t="str">
        <f t="shared" si="18"/>
        <v/>
      </c>
      <c r="AB45" s="173"/>
      <c r="AD45" s="77"/>
      <c r="AE45" s="77"/>
      <c r="AF45" s="172"/>
      <c r="AG45" s="116"/>
      <c r="AH45" s="118"/>
      <c r="AI45" s="77"/>
      <c r="AJ45" s="78"/>
      <c r="AK45" s="116"/>
      <c r="AL45" s="79"/>
      <c r="AM45" s="77"/>
      <c r="AN45" s="172"/>
      <c r="AO45" s="116"/>
      <c r="AQ45" s="43">
        <f t="shared" si="19"/>
        <v>0</v>
      </c>
      <c r="AR45" s="43">
        <f t="shared" si="20"/>
        <v>0</v>
      </c>
      <c r="AS45" s="43">
        <f t="shared" si="21"/>
        <v>0</v>
      </c>
    </row>
    <row r="46" spans="2:45" ht="21" customHeight="1">
      <c r="B46" s="43">
        <v>42</v>
      </c>
      <c r="C46" s="44">
        <f>'Course 1'!C46</f>
        <v>27</v>
      </c>
      <c r="D46" s="46" t="str">
        <f>IF(C46="","",HLOOKUP(C46,'Règles et points'!$D$5:$Y$7,3))</f>
        <v>H21</v>
      </c>
      <c r="E46" s="46" t="str">
        <f>IF(C46="","",HLOOKUP(C46,'Règles et points'!$D$5:$Y$7,2))</f>
        <v>H</v>
      </c>
      <c r="F46" s="43" t="str">
        <f>IF('Course 1'!E46="","",'Course 1'!E46)</f>
        <v>DE LAMINNE</v>
      </c>
      <c r="G46" s="43" t="str">
        <f>IF('Course 1'!F46="","",'Course 1'!F46)</f>
        <v>Gilles</v>
      </c>
      <c r="H46" s="56">
        <f>'Course 1'!M46+'Course 2'!M46+'Course 3'!M46+'Course 4'!M46+'Course 4'!M46</f>
        <v>52.783333333333324</v>
      </c>
      <c r="J46" s="43" t="str">
        <f t="shared" si="8"/>
        <v/>
      </c>
      <c r="K46" s="43" t="str">
        <f t="shared" si="9"/>
        <v/>
      </c>
      <c r="L46" s="53" t="str">
        <f t="shared" si="10"/>
        <v/>
      </c>
      <c r="N46" s="43" t="str">
        <f t="shared" si="5"/>
        <v/>
      </c>
      <c r="O46" s="43" t="str">
        <f t="shared" si="6"/>
        <v/>
      </c>
      <c r="P46" s="53" t="str">
        <f t="shared" si="7"/>
        <v/>
      </c>
      <c r="R46" s="43" t="str">
        <f t="shared" si="11"/>
        <v/>
      </c>
      <c r="S46" s="43" t="str">
        <f t="shared" si="12"/>
        <v/>
      </c>
      <c r="T46" s="45" t="str">
        <f t="shared" si="13"/>
        <v/>
      </c>
      <c r="V46" s="43" t="str">
        <f t="shared" si="14"/>
        <v>DE LAMINNE</v>
      </c>
      <c r="W46" s="43" t="str">
        <f t="shared" si="15"/>
        <v>Gilles</v>
      </c>
      <c r="X46" s="45">
        <f t="shared" si="18"/>
        <v>52.783333333333324</v>
      </c>
      <c r="AB46" s="173"/>
      <c r="AD46" s="77"/>
      <c r="AE46" s="77"/>
      <c r="AF46" s="172"/>
      <c r="AG46" s="116"/>
      <c r="AH46" s="118"/>
      <c r="AI46" s="77"/>
      <c r="AJ46" s="172"/>
      <c r="AK46" s="116"/>
      <c r="AL46" s="79"/>
      <c r="AM46" s="77"/>
      <c r="AN46" s="172"/>
      <c r="AO46" s="116"/>
      <c r="AQ46" s="43">
        <f t="shared" si="19"/>
        <v>0</v>
      </c>
      <c r="AR46" s="43">
        <f t="shared" si="20"/>
        <v>0</v>
      </c>
      <c r="AS46" s="43">
        <f t="shared" si="21"/>
        <v>0</v>
      </c>
    </row>
    <row r="47" spans="2:45" ht="21" customHeight="1">
      <c r="B47" s="43">
        <v>43</v>
      </c>
      <c r="C47" s="44">
        <f>'Course 1'!C47</f>
        <v>2</v>
      </c>
      <c r="D47" s="46" t="str">
        <f>IF(C47="","",HLOOKUP(C47,'Règles et points'!$D$5:$Y$7,3))</f>
        <v>D12</v>
      </c>
      <c r="E47" s="46" t="str">
        <f>IF(C47="","",HLOOKUP(C47,'Règles et points'!$D$5:$Y$7,2))</f>
        <v>F</v>
      </c>
      <c r="F47" s="43" t="str">
        <f>IF('Course 1'!E47="","",'Course 1'!E47)</f>
        <v>LUCAS-VIOU</v>
      </c>
      <c r="G47" s="43" t="str">
        <f>IF('Course 1'!F47="","",'Course 1'!F47)</f>
        <v>Charlotte</v>
      </c>
      <c r="H47" s="56">
        <f>'Course 1'!M47+'Course 2'!M47+'Course 3'!M47+'Course 4'!M47+'Course 4'!M47</f>
        <v>30</v>
      </c>
      <c r="J47" s="43" t="str">
        <f t="shared" si="8"/>
        <v>LUCAS-VIOU</v>
      </c>
      <c r="K47" s="43" t="str">
        <f t="shared" si="9"/>
        <v>Charlotte</v>
      </c>
      <c r="L47" s="53">
        <f t="shared" si="10"/>
        <v>30</v>
      </c>
      <c r="N47" s="43" t="str">
        <f t="shared" si="5"/>
        <v/>
      </c>
      <c r="O47" s="43" t="str">
        <f t="shared" si="6"/>
        <v/>
      </c>
      <c r="P47" s="53" t="str">
        <f t="shared" si="7"/>
        <v/>
      </c>
      <c r="R47" s="43" t="str">
        <f t="shared" si="11"/>
        <v/>
      </c>
      <c r="S47" s="43" t="str">
        <f t="shared" si="12"/>
        <v/>
      </c>
      <c r="T47" s="45" t="str">
        <f t="shared" si="13"/>
        <v/>
      </c>
      <c r="V47" s="43" t="str">
        <f t="shared" si="14"/>
        <v/>
      </c>
      <c r="W47" s="43" t="str">
        <f t="shared" si="15"/>
        <v/>
      </c>
      <c r="X47" s="45" t="str">
        <f t="shared" si="18"/>
        <v/>
      </c>
      <c r="AB47" s="173"/>
      <c r="AD47" s="77"/>
      <c r="AE47" s="77"/>
      <c r="AF47" s="172"/>
      <c r="AG47" s="116"/>
      <c r="AH47" s="118"/>
      <c r="AI47" s="77"/>
      <c r="AJ47" s="172"/>
      <c r="AK47" s="116"/>
      <c r="AL47" s="79"/>
      <c r="AM47" s="77"/>
      <c r="AN47" s="172"/>
      <c r="AO47" s="116"/>
      <c r="AQ47" s="43">
        <f t="shared" si="19"/>
        <v>0</v>
      </c>
      <c r="AR47" s="43">
        <f t="shared" si="20"/>
        <v>0</v>
      </c>
      <c r="AS47" s="43">
        <f t="shared" si="21"/>
        <v>0</v>
      </c>
    </row>
    <row r="48" spans="2:45" ht="21" customHeight="1">
      <c r="B48" s="43">
        <v>44</v>
      </c>
      <c r="C48" s="44">
        <f>'Course 1'!C48</f>
        <v>18</v>
      </c>
      <c r="D48" s="46" t="str">
        <f>IF(C48="","",HLOOKUP(C48,'Règles et points'!$D$5:$Y$7,3))</f>
        <v>H14</v>
      </c>
      <c r="E48" s="46" t="str">
        <f>IF(C48="","",HLOOKUP(C48,'Règles et points'!$D$5:$Y$7,2))</f>
        <v>G</v>
      </c>
      <c r="F48" s="43" t="str">
        <f>IF('Course 1'!E48="","",'Course 1'!E48)</f>
        <v>CHAFI</v>
      </c>
      <c r="G48" s="43" t="str">
        <f>IF('Course 1'!F48="","",'Course 1'!F48)</f>
        <v>Yanis</v>
      </c>
      <c r="H48" s="56">
        <f>'Course 1'!M48+'Course 2'!M48+'Course 3'!M48+'Course 4'!M48+'Course 4'!M48</f>
        <v>84.666666666666671</v>
      </c>
      <c r="J48" s="43" t="str">
        <f t="shared" si="8"/>
        <v/>
      </c>
      <c r="K48" s="43" t="str">
        <f t="shared" si="9"/>
        <v/>
      </c>
      <c r="L48" s="53" t="str">
        <f t="shared" si="10"/>
        <v/>
      </c>
      <c r="N48" s="43" t="str">
        <f t="shared" si="5"/>
        <v>CHAFI</v>
      </c>
      <c r="O48" s="43" t="str">
        <f t="shared" si="6"/>
        <v>Yanis</v>
      </c>
      <c r="P48" s="53">
        <f t="shared" si="7"/>
        <v>84.666666666666671</v>
      </c>
      <c r="R48" s="43" t="str">
        <f t="shared" si="11"/>
        <v/>
      </c>
      <c r="S48" s="43" t="str">
        <f t="shared" si="12"/>
        <v/>
      </c>
      <c r="T48" s="45" t="str">
        <f t="shared" si="13"/>
        <v/>
      </c>
      <c r="V48" s="43" t="str">
        <f t="shared" si="14"/>
        <v/>
      </c>
      <c r="W48" s="43" t="str">
        <f t="shared" si="15"/>
        <v/>
      </c>
      <c r="X48" s="45" t="str">
        <f t="shared" si="18"/>
        <v/>
      </c>
      <c r="AB48" s="173"/>
      <c r="AD48" s="77"/>
      <c r="AE48" s="77"/>
      <c r="AF48" s="172"/>
      <c r="AG48" s="116"/>
      <c r="AH48" s="118"/>
      <c r="AI48" s="77"/>
      <c r="AJ48" s="172"/>
      <c r="AK48" s="116"/>
      <c r="AL48" s="79"/>
      <c r="AM48" s="77"/>
      <c r="AN48" s="172"/>
      <c r="AO48" s="116"/>
      <c r="AQ48" s="43">
        <f t="shared" si="19"/>
        <v>0</v>
      </c>
      <c r="AR48" s="43">
        <f t="shared" si="20"/>
        <v>0</v>
      </c>
      <c r="AS48" s="43">
        <f t="shared" si="21"/>
        <v>0</v>
      </c>
    </row>
    <row r="49" spans="2:45" ht="21" customHeight="1">
      <c r="B49" s="43">
        <v>45</v>
      </c>
      <c r="C49" s="44">
        <f>'Course 1'!C49</f>
        <v>17</v>
      </c>
      <c r="D49" s="46" t="str">
        <f>IF(C49="","",HLOOKUP(C49,'Règles et points'!$D$5:$Y$7,3))</f>
        <v>H12</v>
      </c>
      <c r="E49" s="46" t="str">
        <f>IF(C49="","",HLOOKUP(C49,'Règles et points'!$D$5:$Y$7,2))</f>
        <v>G</v>
      </c>
      <c r="F49" s="43" t="str">
        <f>IF('Course 1'!E49="","",'Course 1'!E49)</f>
        <v>NONDEDEO</v>
      </c>
      <c r="G49" s="43" t="str">
        <f>IF('Course 1'!F49="","",'Course 1'!F49)</f>
        <v>Baptiste</v>
      </c>
      <c r="H49" s="56">
        <f>'Course 1'!M49+'Course 2'!M49+'Course 3'!M49+'Course 4'!M49+'Course 4'!M49</f>
        <v>100</v>
      </c>
      <c r="J49" s="43" t="str">
        <f t="shared" si="8"/>
        <v/>
      </c>
      <c r="K49" s="43" t="str">
        <f t="shared" si="9"/>
        <v/>
      </c>
      <c r="L49" s="53" t="str">
        <f t="shared" si="10"/>
        <v/>
      </c>
      <c r="N49" s="43" t="str">
        <f t="shared" si="5"/>
        <v>NONDEDEO</v>
      </c>
      <c r="O49" s="43" t="str">
        <f t="shared" si="6"/>
        <v>Baptiste</v>
      </c>
      <c r="P49" s="53">
        <f t="shared" si="7"/>
        <v>100</v>
      </c>
      <c r="R49" s="43" t="str">
        <f t="shared" si="11"/>
        <v/>
      </c>
      <c r="S49" s="43" t="str">
        <f t="shared" si="12"/>
        <v/>
      </c>
      <c r="T49" s="45" t="str">
        <f t="shared" si="13"/>
        <v/>
      </c>
      <c r="V49" s="43" t="str">
        <f t="shared" si="14"/>
        <v/>
      </c>
      <c r="W49" s="43" t="str">
        <f t="shared" si="15"/>
        <v/>
      </c>
      <c r="X49" s="45" t="str">
        <f t="shared" si="18"/>
        <v/>
      </c>
      <c r="AB49" s="173"/>
      <c r="AD49" s="77"/>
      <c r="AE49" s="77"/>
      <c r="AF49" s="172"/>
      <c r="AG49" s="116"/>
      <c r="AH49" s="118"/>
      <c r="AI49" s="77"/>
      <c r="AJ49" s="172"/>
      <c r="AK49" s="116"/>
      <c r="AL49" s="79"/>
      <c r="AM49" s="77"/>
      <c r="AN49" s="172"/>
      <c r="AO49" s="116"/>
      <c r="AQ49" s="43">
        <f t="shared" si="19"/>
        <v>0</v>
      </c>
      <c r="AR49" s="43">
        <f t="shared" si="20"/>
        <v>0</v>
      </c>
      <c r="AS49" s="43">
        <f t="shared" si="21"/>
        <v>0</v>
      </c>
    </row>
    <row r="50" spans="2:45" ht="21" customHeight="1">
      <c r="B50" s="43">
        <v>46</v>
      </c>
      <c r="C50" s="44">
        <f>'Course 1'!C50</f>
        <v>3</v>
      </c>
      <c r="D50" s="46" t="str">
        <f>IF(C50="","",HLOOKUP(C50,'Règles et points'!$D$5:$Y$7,3))</f>
        <v>D14</v>
      </c>
      <c r="E50" s="46" t="str">
        <f>IF(C50="","",HLOOKUP(C50,'Règles et points'!$D$5:$Y$7,2))</f>
        <v>F</v>
      </c>
      <c r="F50" s="43" t="str">
        <f>IF('Course 1'!E50="","",'Course 1'!E50)</f>
        <v>LANFRANCHI</v>
      </c>
      <c r="G50" s="43" t="str">
        <f>IF('Course 1'!F50="","",'Course 1'!F50)</f>
        <v>lucine</v>
      </c>
      <c r="H50" s="56">
        <f>'Course 1'!M50+'Course 2'!M50+'Course 3'!M50+'Course 4'!M50+'Course 4'!M50</f>
        <v>0</v>
      </c>
      <c r="J50" s="43" t="str">
        <f t="shared" si="8"/>
        <v>LANFRANCHI</v>
      </c>
      <c r="K50" s="43" t="str">
        <f t="shared" si="9"/>
        <v>lucine</v>
      </c>
      <c r="L50" s="53">
        <f t="shared" si="10"/>
        <v>0</v>
      </c>
      <c r="N50" s="43" t="str">
        <f t="shared" si="5"/>
        <v/>
      </c>
      <c r="O50" s="43" t="str">
        <f t="shared" si="6"/>
        <v/>
      </c>
      <c r="P50" s="53" t="str">
        <f t="shared" si="7"/>
        <v/>
      </c>
      <c r="R50" s="43" t="str">
        <f t="shared" si="11"/>
        <v/>
      </c>
      <c r="S50" s="43" t="str">
        <f t="shared" si="12"/>
        <v/>
      </c>
      <c r="T50" s="45" t="str">
        <f t="shared" si="13"/>
        <v/>
      </c>
      <c r="V50" s="43" t="str">
        <f t="shared" si="14"/>
        <v/>
      </c>
      <c r="W50" s="43" t="str">
        <f t="shared" si="15"/>
        <v/>
      </c>
      <c r="X50" s="45" t="str">
        <f t="shared" si="18"/>
        <v/>
      </c>
      <c r="AB50" s="173"/>
      <c r="AD50" s="77"/>
      <c r="AE50" s="77"/>
      <c r="AF50" s="172"/>
      <c r="AG50" s="116"/>
      <c r="AH50" s="118"/>
      <c r="AI50" s="77"/>
      <c r="AJ50" s="172"/>
      <c r="AK50" s="116"/>
      <c r="AL50" s="79"/>
      <c r="AM50" s="77"/>
      <c r="AN50" s="172"/>
      <c r="AO50" s="116"/>
      <c r="AQ50" s="43">
        <f t="shared" si="19"/>
        <v>0</v>
      </c>
      <c r="AR50" s="43">
        <f t="shared" si="20"/>
        <v>0</v>
      </c>
      <c r="AS50" s="43">
        <f t="shared" si="21"/>
        <v>0</v>
      </c>
    </row>
    <row r="51" spans="2:45" ht="21" customHeight="1">
      <c r="B51" s="43">
        <v>47</v>
      </c>
      <c r="C51" s="44">
        <f>'Course 1'!C51</f>
        <v>25</v>
      </c>
      <c r="D51" s="46" t="str">
        <f>IF(C51="","",HLOOKUP(C51,'Règles et points'!$D$5:$Y$7,3))</f>
        <v>H21</v>
      </c>
      <c r="E51" s="46" t="str">
        <f>IF(C51="","",HLOOKUP(C51,'Règles et points'!$D$5:$Y$7,2))</f>
        <v>H</v>
      </c>
      <c r="F51" s="43" t="str">
        <f>IF('Course 1'!E51="","",'Course 1'!E51)</f>
        <v>PACHER</v>
      </c>
      <c r="G51" s="43" t="str">
        <f>IF('Course 1'!F51="","",'Course 1'!F51)</f>
        <v>Vincent</v>
      </c>
      <c r="H51" s="56">
        <f>'Course 1'!M51+'Course 2'!M51+'Course 3'!M51+'Course 4'!M51+'Course 4'!M51</f>
        <v>0</v>
      </c>
      <c r="J51" s="43" t="str">
        <f t="shared" si="8"/>
        <v/>
      </c>
      <c r="K51" s="43" t="str">
        <f t="shared" si="9"/>
        <v/>
      </c>
      <c r="L51" s="53" t="str">
        <f t="shared" si="10"/>
        <v/>
      </c>
      <c r="N51" s="43" t="str">
        <f t="shared" si="5"/>
        <v/>
      </c>
      <c r="O51" s="43" t="str">
        <f t="shared" si="6"/>
        <v/>
      </c>
      <c r="P51" s="53" t="str">
        <f t="shared" si="7"/>
        <v/>
      </c>
      <c r="R51" s="43" t="str">
        <f t="shared" si="11"/>
        <v/>
      </c>
      <c r="S51" s="43" t="str">
        <f t="shared" si="12"/>
        <v/>
      </c>
      <c r="T51" s="45" t="str">
        <f t="shared" si="13"/>
        <v/>
      </c>
      <c r="V51" s="43" t="str">
        <f t="shared" si="14"/>
        <v>PACHER</v>
      </c>
      <c r="W51" s="43" t="str">
        <f t="shared" si="15"/>
        <v>Vincent</v>
      </c>
      <c r="X51" s="45">
        <f t="shared" si="18"/>
        <v>0</v>
      </c>
      <c r="AB51" s="173"/>
      <c r="AD51" s="77"/>
      <c r="AE51" s="77"/>
      <c r="AF51" s="172"/>
      <c r="AG51" s="116"/>
      <c r="AH51" s="118"/>
      <c r="AI51" s="77"/>
      <c r="AJ51" s="172"/>
      <c r="AK51" s="116"/>
      <c r="AL51" s="79"/>
      <c r="AM51" s="77"/>
      <c r="AN51" s="172"/>
      <c r="AO51" s="116"/>
      <c r="AQ51" s="43">
        <f>IF(AF51="",0,1+AQ52)</f>
        <v>0</v>
      </c>
      <c r="AR51" s="43">
        <f t="shared" si="20"/>
        <v>0</v>
      </c>
      <c r="AS51" s="43">
        <f t="shared" si="21"/>
        <v>0</v>
      </c>
    </row>
    <row r="52" spans="2:45" ht="21" customHeight="1">
      <c r="B52" s="43">
        <v>48</v>
      </c>
      <c r="C52" s="44">
        <f>'Course 1'!C52</f>
        <v>3</v>
      </c>
      <c r="D52" s="46" t="str">
        <f>IF(C52="","",HLOOKUP(C52,'Règles et points'!$D$5:$Y$7,3))</f>
        <v>D14</v>
      </c>
      <c r="E52" s="46" t="str">
        <f>IF(C52="","",HLOOKUP(C52,'Règles et points'!$D$5:$Y$7,2))</f>
        <v>F</v>
      </c>
      <c r="F52" s="43" t="str">
        <f>IF('Course 1'!E52="","",'Course 1'!E52)</f>
        <v>PACHER</v>
      </c>
      <c r="G52" s="43" t="str">
        <f>IF('Course 1'!F52="","",'Course 1'!F52)</f>
        <v>Laetitia</v>
      </c>
      <c r="H52" s="56">
        <f>'Course 1'!M52+'Course 2'!M52+'Course 3'!M52+'Course 4'!M52+'Course 4'!M52</f>
        <v>0</v>
      </c>
      <c r="J52" s="43" t="str">
        <f t="shared" si="8"/>
        <v>PACHER</v>
      </c>
      <c r="K52" s="43" t="str">
        <f t="shared" si="9"/>
        <v>Laetitia</v>
      </c>
      <c r="L52" s="53">
        <f t="shared" si="10"/>
        <v>0</v>
      </c>
      <c r="N52" s="43" t="str">
        <f t="shared" si="5"/>
        <v/>
      </c>
      <c r="O52" s="43" t="str">
        <f t="shared" si="6"/>
        <v/>
      </c>
      <c r="P52" s="53" t="str">
        <f t="shared" si="7"/>
        <v/>
      </c>
      <c r="R52" s="43" t="str">
        <f t="shared" si="11"/>
        <v/>
      </c>
      <c r="S52" s="43" t="str">
        <f t="shared" si="12"/>
        <v/>
      </c>
      <c r="T52" s="45" t="str">
        <f t="shared" si="13"/>
        <v/>
      </c>
      <c r="V52" s="43" t="str">
        <f t="shared" si="14"/>
        <v/>
      </c>
      <c r="W52" s="43" t="str">
        <f t="shared" si="15"/>
        <v/>
      </c>
      <c r="X52" s="45" t="str">
        <f t="shared" si="18"/>
        <v/>
      </c>
      <c r="AB52" s="173"/>
      <c r="AD52" s="77"/>
      <c r="AE52" s="77"/>
      <c r="AF52" s="172"/>
      <c r="AG52" s="116"/>
      <c r="AH52" s="118"/>
      <c r="AI52" s="77"/>
      <c r="AJ52" s="172"/>
      <c r="AK52" s="116"/>
      <c r="AL52" s="79"/>
      <c r="AM52" s="77"/>
      <c r="AN52" s="172"/>
      <c r="AO52" s="116"/>
      <c r="AQ52" s="43">
        <f>IF(AF52="",0,1+AQ53)</f>
        <v>0</v>
      </c>
      <c r="AR52" s="43">
        <f t="shared" si="20"/>
        <v>0</v>
      </c>
      <c r="AS52" s="43">
        <f t="shared" si="21"/>
        <v>0</v>
      </c>
    </row>
    <row r="53" spans="2:45" ht="21" customHeight="1">
      <c r="B53" s="43">
        <v>49</v>
      </c>
      <c r="C53" s="44">
        <f>'Course 1'!C53</f>
        <v>17</v>
      </c>
      <c r="D53" s="46" t="str">
        <f>IF(C53="","",HLOOKUP(C53,'Règles et points'!$D$5:$Y$7,3))</f>
        <v>H12</v>
      </c>
      <c r="E53" s="46" t="str">
        <f>IF(C53="","",HLOOKUP(C53,'Règles et points'!$D$5:$Y$7,2))</f>
        <v>G</v>
      </c>
      <c r="F53" s="43" t="str">
        <f>IF('Course 1'!E53="","",'Course 1'!E53)</f>
        <v>PACHER</v>
      </c>
      <c r="G53" s="43" t="str">
        <f>IF('Course 1'!F53="","",'Course 1'!F53)</f>
        <v>Alexandre</v>
      </c>
      <c r="H53" s="56">
        <f>'Course 1'!M53+'Course 2'!M53+'Course 3'!M53+'Course 4'!M53+'Course 4'!M53</f>
        <v>0</v>
      </c>
      <c r="J53" s="43" t="str">
        <f t="shared" si="8"/>
        <v/>
      </c>
      <c r="K53" s="43" t="str">
        <f t="shared" si="9"/>
        <v/>
      </c>
      <c r="L53" s="53" t="str">
        <f t="shared" si="10"/>
        <v/>
      </c>
      <c r="N53" s="43" t="str">
        <f t="shared" si="5"/>
        <v>PACHER</v>
      </c>
      <c r="O53" s="43" t="str">
        <f t="shared" si="6"/>
        <v>Alexandre</v>
      </c>
      <c r="P53" s="53">
        <f t="shared" si="7"/>
        <v>0</v>
      </c>
      <c r="R53" s="43" t="str">
        <f t="shared" si="11"/>
        <v/>
      </c>
      <c r="S53" s="43" t="str">
        <f t="shared" si="12"/>
        <v/>
      </c>
      <c r="T53" s="45" t="str">
        <f t="shared" si="13"/>
        <v/>
      </c>
      <c r="V53" s="43" t="str">
        <f t="shared" si="14"/>
        <v/>
      </c>
      <c r="W53" s="43" t="str">
        <f t="shared" si="15"/>
        <v/>
      </c>
      <c r="X53" s="45" t="str">
        <f t="shared" si="18"/>
        <v/>
      </c>
      <c r="AB53" s="173"/>
      <c r="AD53" s="77"/>
      <c r="AE53" s="77"/>
      <c r="AF53" s="172"/>
      <c r="AG53" s="116"/>
      <c r="AH53" s="118"/>
      <c r="AI53" s="77"/>
      <c r="AJ53" s="172"/>
      <c r="AK53" s="116"/>
      <c r="AL53" s="79"/>
      <c r="AM53" s="77"/>
      <c r="AN53" s="172"/>
      <c r="AO53" s="116"/>
      <c r="AQ53" s="43">
        <f t="shared" si="19"/>
        <v>0</v>
      </c>
      <c r="AR53" s="43">
        <f t="shared" si="20"/>
        <v>0</v>
      </c>
      <c r="AS53" s="43">
        <f t="shared" si="21"/>
        <v>0</v>
      </c>
    </row>
    <row r="54" spans="2:45" ht="21" customHeight="1">
      <c r="B54" s="43">
        <v>50</v>
      </c>
      <c r="C54" s="44">
        <f>'Course 1'!C54</f>
        <v>4</v>
      </c>
      <c r="D54" s="46" t="str">
        <f>IF(C54="","",HLOOKUP(C54,'Règles et points'!$D$5:$Y$7,3))</f>
        <v>D16</v>
      </c>
      <c r="E54" s="46" t="str">
        <f>IF(C54="","",HLOOKUP(C54,'Règles et points'!$D$5:$Y$7,2))</f>
        <v>F</v>
      </c>
      <c r="F54" s="43" t="str">
        <f>IF('Course 1'!E54="","",'Course 1'!E54)</f>
        <v>PACHER</v>
      </c>
      <c r="G54" s="43" t="str">
        <f>IF('Course 1'!F54="","",'Course 1'!F54)</f>
        <v>Maeva</v>
      </c>
      <c r="H54" s="56">
        <f>'Course 1'!M54+'Course 2'!M54+'Course 3'!M54+'Course 4'!M54+'Course 4'!M54</f>
        <v>0</v>
      </c>
      <c r="J54" s="43" t="str">
        <f t="shared" si="8"/>
        <v>PACHER</v>
      </c>
      <c r="K54" s="43" t="str">
        <f t="shared" si="9"/>
        <v>Maeva</v>
      </c>
      <c r="L54" s="53">
        <f t="shared" si="10"/>
        <v>0</v>
      </c>
      <c r="N54" s="43" t="str">
        <f t="shared" si="5"/>
        <v/>
      </c>
      <c r="O54" s="43" t="str">
        <f t="shared" si="6"/>
        <v/>
      </c>
      <c r="P54" s="53" t="str">
        <f t="shared" si="7"/>
        <v/>
      </c>
      <c r="R54" s="43" t="str">
        <f t="shared" si="11"/>
        <v/>
      </c>
      <c r="S54" s="43" t="str">
        <f t="shared" si="12"/>
        <v/>
      </c>
      <c r="T54" s="45" t="str">
        <f t="shared" si="13"/>
        <v/>
      </c>
      <c r="V54" s="43" t="str">
        <f t="shared" si="14"/>
        <v/>
      </c>
      <c r="W54" s="43" t="str">
        <f t="shared" si="15"/>
        <v/>
      </c>
      <c r="X54" s="45" t="str">
        <f t="shared" si="18"/>
        <v/>
      </c>
      <c r="AB54" s="173"/>
      <c r="AD54" s="77"/>
      <c r="AE54" s="77"/>
      <c r="AF54" s="172"/>
      <c r="AG54" s="116"/>
      <c r="AH54" s="118"/>
      <c r="AI54" s="77"/>
      <c r="AJ54" s="172"/>
      <c r="AK54" s="116"/>
      <c r="AL54" s="79"/>
      <c r="AM54" s="77"/>
      <c r="AN54" s="172"/>
      <c r="AO54" s="116"/>
      <c r="AQ54" s="43">
        <f t="shared" si="19"/>
        <v>0</v>
      </c>
      <c r="AR54" s="43">
        <f t="shared" si="20"/>
        <v>0</v>
      </c>
      <c r="AS54" s="43">
        <f t="shared" si="21"/>
        <v>0</v>
      </c>
    </row>
    <row r="55" spans="2:45" ht="21" customHeight="1">
      <c r="B55" s="43">
        <v>51</v>
      </c>
      <c r="C55" s="44">
        <f>'Course 1'!C55</f>
        <v>9</v>
      </c>
      <c r="D55" s="46" t="str">
        <f>IF(C55="","",HLOOKUP(C55,'Règles et points'!$D$5:$Y$7,3))</f>
        <v>D40</v>
      </c>
      <c r="E55" s="46" t="str">
        <f>IF(C55="","",HLOOKUP(C55,'Règles et points'!$D$5:$Y$7,2))</f>
        <v>D</v>
      </c>
      <c r="F55" s="43" t="str">
        <f>IF('Course 1'!E55="","",'Course 1'!E55)</f>
        <v>MONTANDON VARODA</v>
      </c>
      <c r="G55" s="43" t="str">
        <f>IF('Course 1'!F55="","",'Course 1'!F55)</f>
        <v>Christine</v>
      </c>
      <c r="H55" s="56">
        <f>'Course 1'!M55+'Course 2'!M55+'Course 3'!M55+'Course 4'!M55+'Course 4'!M55</f>
        <v>0</v>
      </c>
      <c r="J55" s="43" t="str">
        <f t="shared" si="8"/>
        <v/>
      </c>
      <c r="K55" s="43" t="str">
        <f t="shared" si="9"/>
        <v/>
      </c>
      <c r="L55" s="53" t="str">
        <f t="shared" si="10"/>
        <v/>
      </c>
      <c r="N55" s="43" t="str">
        <f t="shared" si="5"/>
        <v/>
      </c>
      <c r="O55" s="43" t="str">
        <f t="shared" si="6"/>
        <v/>
      </c>
      <c r="P55" s="53" t="str">
        <f t="shared" si="7"/>
        <v/>
      </c>
      <c r="R55" s="43" t="str">
        <f t="shared" si="11"/>
        <v>MONTANDON VARODA</v>
      </c>
      <c r="S55" s="43" t="str">
        <f t="shared" si="12"/>
        <v>Christine</v>
      </c>
      <c r="T55" s="45">
        <f t="shared" si="13"/>
        <v>0</v>
      </c>
      <c r="V55" s="43" t="str">
        <f t="shared" si="14"/>
        <v/>
      </c>
      <c r="W55" s="43" t="str">
        <f t="shared" si="15"/>
        <v/>
      </c>
      <c r="X55" s="45" t="str">
        <f t="shared" si="18"/>
        <v/>
      </c>
      <c r="AB55" s="173"/>
      <c r="AD55" s="77"/>
      <c r="AE55" s="77"/>
      <c r="AF55" s="172"/>
      <c r="AG55" s="116"/>
      <c r="AH55" s="118"/>
      <c r="AI55" s="77"/>
      <c r="AJ55" s="172"/>
      <c r="AK55" s="116"/>
      <c r="AL55" s="79"/>
      <c r="AM55" s="77"/>
      <c r="AN55" s="172"/>
      <c r="AO55" s="116"/>
      <c r="AQ55" s="43">
        <f t="shared" si="19"/>
        <v>0</v>
      </c>
      <c r="AR55" s="43">
        <f t="shared" si="20"/>
        <v>0</v>
      </c>
      <c r="AS55" s="43">
        <f t="shared" si="21"/>
        <v>0</v>
      </c>
    </row>
    <row r="56" spans="2:45" ht="21" customHeight="1">
      <c r="B56" s="43">
        <v>52</v>
      </c>
      <c r="C56" s="44">
        <f>'Course 1'!C56</f>
        <v>2</v>
      </c>
      <c r="D56" s="46" t="str">
        <f>IF(C56="","",HLOOKUP(C56,'Règles et points'!$D$5:$Y$7,3))</f>
        <v>D12</v>
      </c>
      <c r="E56" s="46" t="str">
        <f>IF(C56="","",HLOOKUP(C56,'Règles et points'!$D$5:$Y$7,2))</f>
        <v>F</v>
      </c>
      <c r="F56" s="43" t="str">
        <f>IF('Course 1'!E56="","",'Course 1'!E56)</f>
        <v>TONDU</v>
      </c>
      <c r="G56" s="43" t="str">
        <f>IF('Course 1'!F56="","",'Course 1'!F56)</f>
        <v>Jeanne</v>
      </c>
      <c r="H56" s="56">
        <f>'Course 1'!M56+'Course 2'!M56+'Course 3'!M56+'Course 4'!M56+'Course 4'!M56</f>
        <v>90.816666666666663</v>
      </c>
      <c r="J56" s="43" t="str">
        <f t="shared" si="8"/>
        <v>TONDU</v>
      </c>
      <c r="K56" s="43" t="str">
        <f t="shared" si="9"/>
        <v>Jeanne</v>
      </c>
      <c r="L56" s="53">
        <f t="shared" si="10"/>
        <v>90.816666666666663</v>
      </c>
      <c r="N56" s="43" t="str">
        <f t="shared" si="5"/>
        <v/>
      </c>
      <c r="O56" s="43" t="str">
        <f t="shared" si="6"/>
        <v/>
      </c>
      <c r="P56" s="53" t="str">
        <f t="shared" si="7"/>
        <v/>
      </c>
      <c r="R56" s="43" t="str">
        <f t="shared" si="11"/>
        <v/>
      </c>
      <c r="S56" s="43" t="str">
        <f t="shared" si="12"/>
        <v/>
      </c>
      <c r="T56" s="45" t="str">
        <f t="shared" si="13"/>
        <v/>
      </c>
      <c r="V56" s="43" t="str">
        <f t="shared" si="14"/>
        <v/>
      </c>
      <c r="W56" s="43" t="str">
        <f t="shared" si="15"/>
        <v/>
      </c>
      <c r="X56" s="45" t="str">
        <f t="shared" si="18"/>
        <v/>
      </c>
      <c r="AB56" s="173"/>
      <c r="AD56" s="77"/>
      <c r="AE56" s="77"/>
      <c r="AF56" s="172"/>
      <c r="AG56" s="116"/>
      <c r="AH56" s="118"/>
      <c r="AI56" s="77"/>
      <c r="AJ56" s="172"/>
      <c r="AK56" s="116"/>
      <c r="AL56" s="79"/>
      <c r="AM56" s="77"/>
      <c r="AN56" s="172"/>
      <c r="AO56" s="116"/>
      <c r="AQ56" s="43">
        <f t="shared" si="19"/>
        <v>0</v>
      </c>
      <c r="AR56" s="43">
        <f t="shared" si="20"/>
        <v>0</v>
      </c>
      <c r="AS56" s="43">
        <f t="shared" si="21"/>
        <v>0</v>
      </c>
    </row>
    <row r="57" spans="2:45" ht="21" customHeight="1">
      <c r="B57" s="43">
        <v>53</v>
      </c>
      <c r="C57" s="44">
        <f>'Course 1'!C57</f>
        <v>10</v>
      </c>
      <c r="D57" s="46" t="str">
        <f>IF(C57="","",HLOOKUP(C57,'Règles et points'!$D$5:$Y$7,3))</f>
        <v>D45</v>
      </c>
      <c r="E57" s="46" t="str">
        <f>IF(C57="","",HLOOKUP(C57,'Règles et points'!$D$5:$Y$7,2))</f>
        <v>D</v>
      </c>
      <c r="F57" s="43" t="str">
        <f>IF('Course 1'!E57="","",'Course 1'!E57)</f>
        <v>TONDU</v>
      </c>
      <c r="G57" s="43" t="str">
        <f>IF('Course 1'!F57="","",'Course 1'!F57)</f>
        <v>Alexandra</v>
      </c>
      <c r="H57" s="56">
        <f>'Course 1'!M57+'Course 2'!M57+'Course 3'!M57+'Course 4'!M57+'Course 4'!M57</f>
        <v>30</v>
      </c>
      <c r="J57" s="43" t="str">
        <f t="shared" si="8"/>
        <v/>
      </c>
      <c r="K57" s="43" t="str">
        <f t="shared" si="9"/>
        <v/>
      </c>
      <c r="L57" s="53" t="str">
        <f t="shared" si="10"/>
        <v/>
      </c>
      <c r="N57" s="43" t="str">
        <f t="shared" si="5"/>
        <v/>
      </c>
      <c r="O57" s="43" t="str">
        <f t="shared" si="6"/>
        <v/>
      </c>
      <c r="P57" s="53" t="str">
        <f t="shared" si="7"/>
        <v/>
      </c>
      <c r="R57" s="43" t="str">
        <f t="shared" si="11"/>
        <v>TONDU</v>
      </c>
      <c r="S57" s="43" t="str">
        <f t="shared" si="12"/>
        <v>Alexandra</v>
      </c>
      <c r="T57" s="45">
        <f t="shared" si="13"/>
        <v>30</v>
      </c>
      <c r="V57" s="43" t="str">
        <f t="shared" si="14"/>
        <v/>
      </c>
      <c r="W57" s="43" t="str">
        <f t="shared" si="15"/>
        <v/>
      </c>
      <c r="X57" s="45" t="str">
        <f t="shared" si="18"/>
        <v/>
      </c>
      <c r="AB57" s="173"/>
      <c r="AD57" s="77"/>
      <c r="AE57" s="77"/>
      <c r="AF57" s="172"/>
      <c r="AG57" s="116"/>
      <c r="AH57" s="118"/>
      <c r="AI57" s="77"/>
      <c r="AJ57" s="78"/>
      <c r="AK57" s="116"/>
      <c r="AL57" s="79"/>
      <c r="AM57" s="77"/>
      <c r="AN57" s="172"/>
      <c r="AO57" s="116"/>
      <c r="AQ57" s="43">
        <f t="shared" si="19"/>
        <v>0</v>
      </c>
      <c r="AR57" s="43">
        <f t="shared" si="20"/>
        <v>0</v>
      </c>
      <c r="AS57" s="43">
        <f t="shared" si="21"/>
        <v>0</v>
      </c>
    </row>
    <row r="58" spans="2:45" ht="21" customHeight="1">
      <c r="B58" s="43">
        <v>54</v>
      </c>
      <c r="C58" s="44">
        <f>'Course 1'!C58</f>
        <v>5</v>
      </c>
      <c r="D58" s="46" t="str">
        <f>IF(C58="","",HLOOKUP(C58,'Règles et points'!$D$5:$Y$7,3))</f>
        <v>D18</v>
      </c>
      <c r="E58" s="46" t="str">
        <f>IF(C58="","",HLOOKUP(C58,'Règles et points'!$D$5:$Y$7,2))</f>
        <v>D</v>
      </c>
      <c r="F58" s="43" t="str">
        <f>IF('Course 1'!E58="","",'Course 1'!E58)</f>
        <v>CHATAIGNIER</v>
      </c>
      <c r="G58" s="43" t="str">
        <f>IF('Course 1'!F58="","",'Course 1'!F58)</f>
        <v>Louise</v>
      </c>
      <c r="H58" s="56">
        <f>'Course 1'!M58+'Course 2'!M58+'Course 3'!M58+'Course 4'!M58+'Course 4'!M58</f>
        <v>60.283333333333339</v>
      </c>
      <c r="J58" s="43" t="str">
        <f t="shared" si="8"/>
        <v/>
      </c>
      <c r="K58" s="43" t="str">
        <f t="shared" si="9"/>
        <v/>
      </c>
      <c r="L58" s="53" t="str">
        <f t="shared" si="10"/>
        <v/>
      </c>
      <c r="N58" s="43" t="str">
        <f t="shared" si="5"/>
        <v/>
      </c>
      <c r="O58" s="43" t="str">
        <f t="shared" si="6"/>
        <v/>
      </c>
      <c r="P58" s="53" t="str">
        <f t="shared" si="7"/>
        <v/>
      </c>
      <c r="R58" s="43" t="str">
        <f t="shared" si="11"/>
        <v>CHATAIGNIER</v>
      </c>
      <c r="S58" s="43" t="str">
        <f t="shared" si="12"/>
        <v>Louise</v>
      </c>
      <c r="T58" s="45">
        <f t="shared" si="13"/>
        <v>60.283333333333339</v>
      </c>
      <c r="V58" s="43" t="str">
        <f t="shared" si="14"/>
        <v/>
      </c>
      <c r="W58" s="43" t="str">
        <f t="shared" si="15"/>
        <v/>
      </c>
      <c r="X58" s="45" t="str">
        <f t="shared" si="18"/>
        <v/>
      </c>
      <c r="AB58" s="173"/>
      <c r="AD58" s="77"/>
      <c r="AE58" s="77"/>
      <c r="AF58" s="172"/>
      <c r="AG58" s="116"/>
      <c r="AH58" s="118"/>
      <c r="AI58" s="77"/>
      <c r="AJ58" s="172"/>
      <c r="AK58" s="116"/>
      <c r="AL58" s="79"/>
      <c r="AM58" s="77"/>
      <c r="AN58" s="172"/>
      <c r="AO58" s="116"/>
      <c r="AQ58" s="43">
        <f t="shared" si="19"/>
        <v>0</v>
      </c>
      <c r="AR58" s="43">
        <f t="shared" si="20"/>
        <v>0</v>
      </c>
      <c r="AS58" s="43">
        <f t="shared" si="21"/>
        <v>0</v>
      </c>
    </row>
    <row r="59" spans="2:45" ht="21" customHeight="1">
      <c r="B59" s="43">
        <v>55</v>
      </c>
      <c r="C59" s="44">
        <f>'Course 1'!C59</f>
        <v>3</v>
      </c>
      <c r="D59" s="46" t="str">
        <f>IF(C59="","",HLOOKUP(C59,'Règles et points'!$D$5:$Y$7,3))</f>
        <v>D14</v>
      </c>
      <c r="E59" s="46" t="str">
        <f>IF(C59="","",HLOOKUP(C59,'Règles et points'!$D$5:$Y$7,2))</f>
        <v>F</v>
      </c>
      <c r="F59" s="43" t="str">
        <f>IF('Course 1'!E59="","",'Course 1'!E59)</f>
        <v>KOEPP</v>
      </c>
      <c r="G59" s="43" t="str">
        <f>IF('Course 1'!F59="","",'Course 1'!F59)</f>
        <v>Sonora</v>
      </c>
      <c r="H59" s="56">
        <f>'Course 1'!M59+'Course 2'!M59+'Course 3'!M59+'Course 4'!M59+'Course 4'!M59</f>
        <v>0</v>
      </c>
      <c r="J59" s="43" t="str">
        <f t="shared" si="8"/>
        <v>KOEPP</v>
      </c>
      <c r="K59" s="43" t="str">
        <f t="shared" si="9"/>
        <v>Sonora</v>
      </c>
      <c r="L59" s="53">
        <f t="shared" si="10"/>
        <v>0</v>
      </c>
      <c r="N59" s="43" t="str">
        <f t="shared" si="5"/>
        <v/>
      </c>
      <c r="O59" s="43" t="str">
        <f t="shared" si="6"/>
        <v/>
      </c>
      <c r="P59" s="53" t="str">
        <f t="shared" si="7"/>
        <v/>
      </c>
      <c r="R59" s="43" t="str">
        <f t="shared" si="11"/>
        <v/>
      </c>
      <c r="S59" s="43" t="str">
        <f t="shared" si="12"/>
        <v/>
      </c>
      <c r="T59" s="45" t="str">
        <f t="shared" si="13"/>
        <v/>
      </c>
      <c r="V59" s="43" t="str">
        <f t="shared" si="14"/>
        <v/>
      </c>
      <c r="W59" s="43" t="str">
        <f t="shared" si="15"/>
        <v/>
      </c>
      <c r="X59" s="45" t="str">
        <f t="shared" si="18"/>
        <v/>
      </c>
      <c r="AB59" s="173"/>
      <c r="AD59" s="77"/>
      <c r="AE59" s="77"/>
      <c r="AF59" s="172"/>
      <c r="AG59" s="116"/>
      <c r="AH59" s="118"/>
      <c r="AI59" s="77"/>
      <c r="AJ59" s="172"/>
      <c r="AK59" s="116"/>
      <c r="AL59" s="79"/>
      <c r="AM59" s="77"/>
      <c r="AN59" s="172"/>
      <c r="AO59" s="116"/>
      <c r="AQ59" s="43">
        <f t="shared" si="19"/>
        <v>0</v>
      </c>
      <c r="AR59" s="43">
        <f t="shared" si="20"/>
        <v>0</v>
      </c>
      <c r="AS59" s="43">
        <f t="shared" si="21"/>
        <v>0</v>
      </c>
    </row>
    <row r="60" spans="2:45" ht="21" customHeight="1">
      <c r="B60" s="43">
        <v>56</v>
      </c>
      <c r="C60" s="44">
        <f>'Course 1'!C60</f>
        <v>18</v>
      </c>
      <c r="D60" s="46" t="str">
        <f>IF(C60="","",HLOOKUP(C60,'Règles et points'!$D$5:$Y$7,3))</f>
        <v>H14</v>
      </c>
      <c r="E60" s="46" t="str">
        <f>IF(C60="","",HLOOKUP(C60,'Règles et points'!$D$5:$Y$7,2))</f>
        <v>G</v>
      </c>
      <c r="F60" s="43" t="str">
        <f>IF('Course 1'!E60="","",'Course 1'!E60)</f>
        <v>FRENOY</v>
      </c>
      <c r="G60" s="43" t="str">
        <f>IF('Course 1'!F60="","",'Course 1'!F60)</f>
        <v>Anatole</v>
      </c>
      <c r="H60" s="56">
        <f>'Course 1'!M60+'Course 2'!M60+'Course 3'!M60+'Course 4'!M60+'Course 4'!M60</f>
        <v>92.25</v>
      </c>
      <c r="J60" s="43" t="str">
        <f t="shared" si="8"/>
        <v/>
      </c>
      <c r="K60" s="43" t="str">
        <f t="shared" si="9"/>
        <v/>
      </c>
      <c r="L60" s="53" t="str">
        <f t="shared" si="10"/>
        <v/>
      </c>
      <c r="N60" s="43" t="str">
        <f t="shared" si="5"/>
        <v>FRENOY</v>
      </c>
      <c r="O60" s="43" t="str">
        <f t="shared" si="6"/>
        <v>Anatole</v>
      </c>
      <c r="P60" s="53">
        <f t="shared" si="7"/>
        <v>92.25</v>
      </c>
      <c r="R60" s="43" t="str">
        <f t="shared" si="11"/>
        <v/>
      </c>
      <c r="S60" s="43" t="str">
        <f t="shared" si="12"/>
        <v/>
      </c>
      <c r="T60" s="45" t="str">
        <f t="shared" si="13"/>
        <v/>
      </c>
      <c r="V60" s="43" t="str">
        <f t="shared" si="14"/>
        <v/>
      </c>
      <c r="W60" s="43" t="str">
        <f t="shared" si="15"/>
        <v/>
      </c>
      <c r="X60" s="45" t="str">
        <f t="shared" si="18"/>
        <v/>
      </c>
      <c r="AB60" s="173"/>
      <c r="AD60" s="77"/>
      <c r="AE60" s="77"/>
      <c r="AF60" s="172"/>
      <c r="AG60" s="116"/>
      <c r="AH60" s="118"/>
      <c r="AI60" s="77"/>
      <c r="AJ60" s="78"/>
      <c r="AK60" s="116"/>
      <c r="AL60" s="79"/>
      <c r="AM60" s="77"/>
      <c r="AN60" s="172"/>
      <c r="AO60" s="116"/>
      <c r="AQ60" s="43">
        <f t="shared" si="19"/>
        <v>0</v>
      </c>
      <c r="AR60" s="43">
        <f t="shared" si="20"/>
        <v>0</v>
      </c>
      <c r="AS60" s="43">
        <f t="shared" si="21"/>
        <v>0</v>
      </c>
    </row>
    <row r="61" spans="2:45" ht="21" customHeight="1">
      <c r="B61" s="43">
        <v>57</v>
      </c>
      <c r="C61" s="44">
        <f>'Course 1'!C61</f>
        <v>18</v>
      </c>
      <c r="D61" s="46" t="str">
        <f>IF(C61="","",HLOOKUP(C61,'Règles et points'!$D$5:$Y$7,3))</f>
        <v>H14</v>
      </c>
      <c r="E61" s="46" t="str">
        <f>IF(C61="","",HLOOKUP(C61,'Règles et points'!$D$5:$Y$7,2))</f>
        <v>G</v>
      </c>
      <c r="F61" s="43" t="str">
        <f>IF('Course 1'!E61="","",'Course 1'!E61)</f>
        <v>BROCHOT</v>
      </c>
      <c r="G61" s="43" t="str">
        <f>IF('Course 1'!F61="","",'Course 1'!F61)</f>
        <v>Remi</v>
      </c>
      <c r="H61" s="56">
        <f>'Course 1'!M61+'Course 2'!M61+'Course 3'!M61+'Course 4'!M61+'Course 4'!M61</f>
        <v>100</v>
      </c>
      <c r="J61" s="43" t="str">
        <f t="shared" si="8"/>
        <v/>
      </c>
      <c r="K61" s="43" t="str">
        <f t="shared" si="9"/>
        <v/>
      </c>
      <c r="L61" s="53" t="str">
        <f t="shared" si="10"/>
        <v/>
      </c>
      <c r="N61" s="43" t="str">
        <f t="shared" si="5"/>
        <v>BROCHOT</v>
      </c>
      <c r="O61" s="43" t="str">
        <f t="shared" si="6"/>
        <v>Remi</v>
      </c>
      <c r="P61" s="53">
        <f t="shared" si="7"/>
        <v>100</v>
      </c>
      <c r="R61" s="43" t="str">
        <f t="shared" si="11"/>
        <v/>
      </c>
      <c r="S61" s="43" t="str">
        <f t="shared" si="12"/>
        <v/>
      </c>
      <c r="T61" s="45" t="str">
        <f t="shared" si="13"/>
        <v/>
      </c>
      <c r="V61" s="43" t="str">
        <f t="shared" si="14"/>
        <v/>
      </c>
      <c r="W61" s="43" t="str">
        <f t="shared" si="15"/>
        <v/>
      </c>
      <c r="X61" s="45" t="str">
        <f t="shared" si="18"/>
        <v/>
      </c>
      <c r="AB61" s="173"/>
      <c r="AD61" s="77"/>
      <c r="AE61" s="77"/>
      <c r="AF61" s="172"/>
      <c r="AG61" s="116"/>
      <c r="AH61" s="118"/>
      <c r="AI61" s="77"/>
      <c r="AJ61" s="172"/>
      <c r="AK61" s="116"/>
      <c r="AL61" s="79"/>
      <c r="AM61" s="77"/>
      <c r="AN61" s="172"/>
      <c r="AO61" s="116"/>
      <c r="AQ61" s="43">
        <f t="shared" si="19"/>
        <v>0</v>
      </c>
      <c r="AR61" s="43">
        <f t="shared" si="20"/>
        <v>0</v>
      </c>
      <c r="AS61" s="43">
        <f t="shared" si="21"/>
        <v>0</v>
      </c>
    </row>
    <row r="62" spans="2:45" ht="21" customHeight="1">
      <c r="B62" s="43">
        <v>58</v>
      </c>
      <c r="C62" s="44">
        <f>'Course 1'!C62</f>
        <v>10</v>
      </c>
      <c r="D62" s="46" t="str">
        <f>IF(C62="","",HLOOKUP(C62,'Règles et points'!$D$5:$Y$7,3))</f>
        <v>D45</v>
      </c>
      <c r="E62" s="46" t="str">
        <f>IF(C62="","",HLOOKUP(C62,'Règles et points'!$D$5:$Y$7,2))</f>
        <v>D</v>
      </c>
      <c r="F62" s="43" t="str">
        <f>IF('Course 1'!E62="","",'Course 1'!E62)</f>
        <v>KORZEC</v>
      </c>
      <c r="G62" s="43" t="str">
        <f>IF('Course 1'!F62="","",'Course 1'!F62)</f>
        <v>Patricia</v>
      </c>
      <c r="H62" s="56">
        <f>'Course 1'!M62+'Course 2'!M62+'Course 3'!M62+'Course 4'!M62+'Course 4'!M62</f>
        <v>54.483333333333313</v>
      </c>
      <c r="J62" s="43" t="str">
        <f t="shared" si="8"/>
        <v/>
      </c>
      <c r="K62" s="43" t="str">
        <f t="shared" si="9"/>
        <v/>
      </c>
      <c r="L62" s="53" t="str">
        <f t="shared" si="10"/>
        <v/>
      </c>
      <c r="N62" s="43" t="str">
        <f t="shared" si="5"/>
        <v/>
      </c>
      <c r="O62" s="43" t="str">
        <f t="shared" si="6"/>
        <v/>
      </c>
      <c r="P62" s="53" t="str">
        <f t="shared" si="7"/>
        <v/>
      </c>
      <c r="R62" s="43" t="str">
        <f t="shared" si="11"/>
        <v>KORZEC</v>
      </c>
      <c r="S62" s="43" t="str">
        <f t="shared" si="12"/>
        <v>Patricia</v>
      </c>
      <c r="T62" s="45">
        <f t="shared" si="13"/>
        <v>54.483333333333313</v>
      </c>
      <c r="V62" s="43" t="str">
        <f t="shared" si="14"/>
        <v/>
      </c>
      <c r="W62" s="43" t="str">
        <f t="shared" si="15"/>
        <v/>
      </c>
      <c r="X62" s="45" t="str">
        <f t="shared" si="18"/>
        <v/>
      </c>
      <c r="AB62" s="173"/>
      <c r="AD62" s="77"/>
      <c r="AE62" s="77"/>
      <c r="AF62" s="172"/>
      <c r="AG62" s="116"/>
      <c r="AH62" s="118"/>
      <c r="AI62" s="77"/>
      <c r="AJ62" s="172"/>
      <c r="AK62" s="116"/>
      <c r="AL62" s="79"/>
      <c r="AM62" s="77"/>
      <c r="AN62" s="172"/>
      <c r="AO62" s="116"/>
      <c r="AQ62" s="43">
        <f t="shared" si="19"/>
        <v>0</v>
      </c>
      <c r="AR62" s="43">
        <f t="shared" si="20"/>
        <v>0</v>
      </c>
      <c r="AS62" s="43">
        <f t="shared" si="21"/>
        <v>0</v>
      </c>
    </row>
    <row r="63" spans="2:45" ht="21" customHeight="1">
      <c r="B63" s="43">
        <v>59</v>
      </c>
      <c r="C63" s="44">
        <f>'Course 1'!C63</f>
        <v>4</v>
      </c>
      <c r="D63" s="46" t="str">
        <f>IF(C63="","",HLOOKUP(C63,'Règles et points'!$D$5:$Y$7,3))</f>
        <v>D16</v>
      </c>
      <c r="E63" s="46" t="str">
        <f>IF(C63="","",HLOOKUP(C63,'Règles et points'!$D$5:$Y$7,2))</f>
        <v>F</v>
      </c>
      <c r="F63" s="43" t="str">
        <f>IF('Course 1'!E63="","",'Course 1'!E63)</f>
        <v>BOUSQUET</v>
      </c>
      <c r="G63" s="43" t="str">
        <f>IF('Course 1'!F63="","",'Course 1'!F63)</f>
        <v>Claire</v>
      </c>
      <c r="H63" s="56">
        <f>'Course 1'!M63+'Course 2'!M63+'Course 3'!M63+'Course 4'!M63+'Course 4'!M63</f>
        <v>0</v>
      </c>
      <c r="J63" s="43" t="str">
        <f t="shared" si="8"/>
        <v>BOUSQUET</v>
      </c>
      <c r="K63" s="43" t="str">
        <f t="shared" si="9"/>
        <v>Claire</v>
      </c>
      <c r="L63" s="53">
        <f t="shared" si="10"/>
        <v>0</v>
      </c>
      <c r="N63" s="43" t="str">
        <f t="shared" si="5"/>
        <v/>
      </c>
      <c r="O63" s="43" t="str">
        <f t="shared" si="6"/>
        <v/>
      </c>
      <c r="P63" s="53" t="str">
        <f t="shared" si="7"/>
        <v/>
      </c>
      <c r="R63" s="43" t="str">
        <f t="shared" si="11"/>
        <v/>
      </c>
      <c r="S63" s="43" t="str">
        <f t="shared" si="12"/>
        <v/>
      </c>
      <c r="T63" s="45" t="str">
        <f t="shared" si="13"/>
        <v/>
      </c>
      <c r="V63" s="43" t="str">
        <f t="shared" si="14"/>
        <v/>
      </c>
      <c r="W63" s="43" t="str">
        <f t="shared" si="15"/>
        <v/>
      </c>
      <c r="X63" s="45" t="str">
        <f t="shared" si="18"/>
        <v/>
      </c>
      <c r="AB63" s="173"/>
      <c r="AD63" s="77"/>
      <c r="AE63" s="77"/>
      <c r="AF63" s="172"/>
      <c r="AG63" s="116"/>
      <c r="AH63" s="118"/>
      <c r="AI63" s="77"/>
      <c r="AJ63" s="172"/>
      <c r="AK63" s="116"/>
      <c r="AL63" s="79"/>
      <c r="AM63" s="77"/>
      <c r="AN63" s="172"/>
      <c r="AO63" s="116"/>
      <c r="AQ63" s="43">
        <f t="shared" si="19"/>
        <v>0</v>
      </c>
      <c r="AR63" s="43">
        <f t="shared" si="20"/>
        <v>0</v>
      </c>
      <c r="AS63" s="43">
        <f t="shared" si="21"/>
        <v>0</v>
      </c>
    </row>
    <row r="64" spans="2:45" ht="21" customHeight="1">
      <c r="B64" s="43">
        <v>60</v>
      </c>
      <c r="C64" s="44">
        <f>'Course 1'!C64</f>
        <v>18</v>
      </c>
      <c r="D64" s="46" t="str">
        <f>IF(C64="","",HLOOKUP(C64,'Règles et points'!$D$5:$Y$7,3))</f>
        <v>H14</v>
      </c>
      <c r="E64" s="46" t="str">
        <f>IF(C64="","",HLOOKUP(C64,'Règles et points'!$D$5:$Y$7,2))</f>
        <v>G</v>
      </c>
      <c r="F64" s="43" t="str">
        <f>IF('Course 1'!E64="","",'Course 1'!E64)</f>
        <v>ROGUIEZ</v>
      </c>
      <c r="G64" s="43" t="str">
        <f>IF('Course 1'!F64="","",'Course 1'!F64)</f>
        <v>Timéo</v>
      </c>
      <c r="H64" s="56">
        <f>'Course 1'!M64+'Course 2'!M64+'Course 3'!M64+'Course 4'!M64+'Course 4'!M64</f>
        <v>92.066666666666677</v>
      </c>
      <c r="J64" s="43" t="str">
        <f t="shared" si="8"/>
        <v/>
      </c>
      <c r="K64" s="43" t="str">
        <f t="shared" si="9"/>
        <v/>
      </c>
      <c r="L64" s="53" t="str">
        <f t="shared" si="10"/>
        <v/>
      </c>
      <c r="N64" s="43" t="str">
        <f t="shared" si="5"/>
        <v>ROGUIEZ</v>
      </c>
      <c r="O64" s="43" t="str">
        <f t="shared" si="6"/>
        <v>Timéo</v>
      </c>
      <c r="P64" s="53">
        <f t="shared" si="7"/>
        <v>92.066666666666677</v>
      </c>
      <c r="R64" s="43" t="str">
        <f t="shared" si="11"/>
        <v/>
      </c>
      <c r="S64" s="43" t="str">
        <f t="shared" si="12"/>
        <v/>
      </c>
      <c r="T64" s="45" t="str">
        <f t="shared" si="13"/>
        <v/>
      </c>
      <c r="V64" s="43" t="str">
        <f t="shared" si="14"/>
        <v/>
      </c>
      <c r="W64" s="43" t="str">
        <f t="shared" si="15"/>
        <v/>
      </c>
      <c r="X64" s="45" t="str">
        <f t="shared" si="18"/>
        <v/>
      </c>
      <c r="AB64" s="173"/>
      <c r="AD64" s="77"/>
      <c r="AE64" s="77"/>
      <c r="AF64" s="172"/>
      <c r="AG64" s="116"/>
      <c r="AH64" s="118"/>
      <c r="AI64" s="77"/>
      <c r="AJ64" s="78"/>
      <c r="AK64" s="116"/>
      <c r="AL64" s="79"/>
      <c r="AM64" s="77"/>
      <c r="AN64" s="172"/>
      <c r="AO64" s="116"/>
      <c r="AQ64" s="43">
        <f t="shared" si="19"/>
        <v>0</v>
      </c>
      <c r="AR64" s="43">
        <f t="shared" si="20"/>
        <v>0</v>
      </c>
      <c r="AS64" s="43">
        <f t="shared" si="21"/>
        <v>0</v>
      </c>
    </row>
    <row r="65" spans="2:45" ht="21" customHeight="1">
      <c r="B65" s="43">
        <v>61</v>
      </c>
      <c r="C65" s="44">
        <f>'Course 1'!C65</f>
        <v>1</v>
      </c>
      <c r="D65" s="46" t="str">
        <f>IF(C65="","",HLOOKUP(C65,'Règles et points'!$D$5:$Y$7,3))</f>
        <v>D10</v>
      </c>
      <c r="E65" s="46" t="str">
        <f>IF(C65="","",HLOOKUP(C65,'Règles et points'!$D$5:$Y$7,2))</f>
        <v>F</v>
      </c>
      <c r="F65" s="43" t="str">
        <f>IF('Course 1'!E65="","",'Course 1'!E65)</f>
        <v>DERLOT</v>
      </c>
      <c r="G65" s="43" t="str">
        <f>IF('Course 1'!F65="","",'Course 1'!F65)</f>
        <v>Alix</v>
      </c>
      <c r="H65" s="56">
        <f>'Course 1'!M65+'Course 2'!M65+'Course 3'!M65+'Course 4'!M65+'Course 4'!M65</f>
        <v>88.36666666666666</v>
      </c>
      <c r="J65" s="43" t="str">
        <f t="shared" si="8"/>
        <v>DERLOT</v>
      </c>
      <c r="K65" s="43" t="str">
        <f t="shared" si="9"/>
        <v>Alix</v>
      </c>
      <c r="L65" s="53">
        <f t="shared" si="10"/>
        <v>88.36666666666666</v>
      </c>
      <c r="N65" s="43" t="str">
        <f t="shared" si="5"/>
        <v/>
      </c>
      <c r="O65" s="43" t="str">
        <f t="shared" si="6"/>
        <v/>
      </c>
      <c r="P65" s="53" t="str">
        <f t="shared" si="7"/>
        <v/>
      </c>
      <c r="R65" s="43" t="str">
        <f t="shared" si="11"/>
        <v/>
      </c>
      <c r="S65" s="43" t="str">
        <f t="shared" si="12"/>
        <v/>
      </c>
      <c r="T65" s="45" t="str">
        <f t="shared" si="13"/>
        <v/>
      </c>
      <c r="V65" s="43" t="str">
        <f t="shared" si="14"/>
        <v/>
      </c>
      <c r="W65" s="43" t="str">
        <f t="shared" si="15"/>
        <v/>
      </c>
      <c r="X65" s="45" t="str">
        <f t="shared" si="18"/>
        <v/>
      </c>
      <c r="AB65" s="173"/>
      <c r="AD65" s="77"/>
      <c r="AE65" s="77"/>
      <c r="AF65" s="172"/>
      <c r="AG65" s="116"/>
      <c r="AH65" s="118"/>
      <c r="AI65" s="77"/>
      <c r="AJ65" s="172"/>
      <c r="AK65" s="116"/>
      <c r="AL65" s="79"/>
      <c r="AM65" s="77"/>
      <c r="AN65" s="172"/>
      <c r="AO65" s="116"/>
      <c r="AQ65" s="43">
        <f t="shared" si="19"/>
        <v>0</v>
      </c>
      <c r="AR65" s="43">
        <f t="shared" si="20"/>
        <v>0</v>
      </c>
      <c r="AS65" s="43">
        <f t="shared" si="21"/>
        <v>0</v>
      </c>
    </row>
    <row r="66" spans="2:45" ht="21" customHeight="1">
      <c r="B66" s="43">
        <v>62</v>
      </c>
      <c r="C66" s="44">
        <f>'Course 1'!C66</f>
        <v>17</v>
      </c>
      <c r="D66" s="46" t="str">
        <f>IF(C66="","",HLOOKUP(C66,'Règles et points'!$D$5:$Y$7,3))</f>
        <v>H12</v>
      </c>
      <c r="E66" s="46" t="str">
        <f>IF(C66="","",HLOOKUP(C66,'Règles et points'!$D$5:$Y$7,2))</f>
        <v>G</v>
      </c>
      <c r="F66" s="43" t="str">
        <f>IF('Course 1'!E66="","",'Course 1'!E66)</f>
        <v>BELLECOURT</v>
      </c>
      <c r="G66" s="43" t="str">
        <f>IF('Course 1'!F66="","",'Course 1'!F66)</f>
        <v>Loic</v>
      </c>
      <c r="H66" s="56">
        <f>'Course 1'!M66+'Course 2'!M66+'Course 3'!M66+'Course 4'!M66+'Course 4'!M66</f>
        <v>88.75</v>
      </c>
      <c r="J66" s="43" t="str">
        <f t="shared" si="8"/>
        <v/>
      </c>
      <c r="K66" s="43" t="str">
        <f t="shared" si="9"/>
        <v/>
      </c>
      <c r="L66" s="53" t="str">
        <f t="shared" si="10"/>
        <v/>
      </c>
      <c r="N66" s="43" t="str">
        <f t="shared" si="5"/>
        <v>BELLECOURT</v>
      </c>
      <c r="O66" s="43" t="str">
        <f t="shared" si="6"/>
        <v>Loic</v>
      </c>
      <c r="P66" s="53">
        <f t="shared" si="7"/>
        <v>88.75</v>
      </c>
      <c r="R66" s="43" t="str">
        <f t="shared" si="11"/>
        <v/>
      </c>
      <c r="S66" s="43" t="str">
        <f t="shared" si="12"/>
        <v/>
      </c>
      <c r="T66" s="45" t="str">
        <f t="shared" si="13"/>
        <v/>
      </c>
      <c r="V66" s="43" t="str">
        <f t="shared" si="14"/>
        <v/>
      </c>
      <c r="W66" s="43" t="str">
        <f t="shared" si="15"/>
        <v/>
      </c>
      <c r="X66" s="45" t="str">
        <f t="shared" si="18"/>
        <v/>
      </c>
      <c r="AB66" s="173"/>
      <c r="AD66" s="77"/>
      <c r="AE66" s="77"/>
      <c r="AF66" s="172"/>
      <c r="AG66" s="116"/>
      <c r="AH66" s="118"/>
      <c r="AI66" s="77"/>
      <c r="AJ66" s="172"/>
      <c r="AK66" s="116"/>
      <c r="AL66" s="79"/>
      <c r="AM66" s="77"/>
      <c r="AN66" s="172"/>
      <c r="AO66" s="116"/>
      <c r="AQ66" s="43">
        <f t="shared" si="19"/>
        <v>0</v>
      </c>
      <c r="AR66" s="43">
        <f t="shared" si="20"/>
        <v>0</v>
      </c>
      <c r="AS66" s="43">
        <f t="shared" si="21"/>
        <v>0</v>
      </c>
    </row>
    <row r="67" spans="2:45" ht="21" customHeight="1">
      <c r="B67" s="43">
        <v>63</v>
      </c>
      <c r="C67" s="44">
        <f>'Course 1'!C67</f>
        <v>24</v>
      </c>
      <c r="D67" s="46" t="str">
        <f>IF(C67="","",HLOOKUP(C67,'Règles et points'!$D$5:$Y$7,3))</f>
        <v>H21</v>
      </c>
      <c r="E67" s="46" t="str">
        <f>IF(C67="","",HLOOKUP(C67,'Règles et points'!$D$5:$Y$7,2))</f>
        <v>H</v>
      </c>
      <c r="F67" s="43" t="str">
        <f>IF('Course 1'!E67="","",'Course 1'!E67)</f>
        <v>KOEPP</v>
      </c>
      <c r="G67" s="43" t="str">
        <f>IF('Course 1'!F67="","",'Course 1'!F67)</f>
        <v>Aaron</v>
      </c>
      <c r="H67" s="56">
        <f>'Course 1'!M67+'Course 2'!M67+'Course 3'!M67+'Course 4'!M67+'Course 4'!M67</f>
        <v>0</v>
      </c>
      <c r="J67" s="43" t="str">
        <f t="shared" si="8"/>
        <v/>
      </c>
      <c r="K67" s="43" t="str">
        <f t="shared" si="9"/>
        <v/>
      </c>
      <c r="L67" s="53" t="str">
        <f t="shared" si="10"/>
        <v/>
      </c>
      <c r="N67" s="43" t="str">
        <f t="shared" si="5"/>
        <v/>
      </c>
      <c r="O67" s="43" t="str">
        <f t="shared" si="6"/>
        <v/>
      </c>
      <c r="P67" s="53" t="str">
        <f t="shared" si="7"/>
        <v/>
      </c>
      <c r="R67" s="43" t="str">
        <f t="shared" si="11"/>
        <v/>
      </c>
      <c r="S67" s="43" t="str">
        <f t="shared" si="12"/>
        <v/>
      </c>
      <c r="T67" s="45" t="str">
        <f t="shared" si="13"/>
        <v/>
      </c>
      <c r="V67" s="43" t="str">
        <f t="shared" si="14"/>
        <v>KOEPP</v>
      </c>
      <c r="W67" s="43" t="str">
        <f t="shared" si="15"/>
        <v>Aaron</v>
      </c>
      <c r="X67" s="45">
        <f t="shared" si="18"/>
        <v>0</v>
      </c>
      <c r="AB67" s="173"/>
      <c r="AD67" s="77"/>
      <c r="AE67" s="77"/>
      <c r="AF67" s="172"/>
      <c r="AG67" s="116"/>
      <c r="AH67" s="118"/>
      <c r="AI67" s="77"/>
      <c r="AJ67" s="172"/>
      <c r="AK67" s="116"/>
      <c r="AL67" s="79"/>
      <c r="AM67" s="77"/>
      <c r="AN67" s="172"/>
      <c r="AO67" s="116"/>
      <c r="AQ67" s="43">
        <f t="shared" si="19"/>
        <v>0</v>
      </c>
      <c r="AR67" s="43">
        <f t="shared" si="20"/>
        <v>0</v>
      </c>
      <c r="AS67" s="43">
        <f t="shared" si="21"/>
        <v>0</v>
      </c>
    </row>
    <row r="68" spans="2:45" ht="21" customHeight="1">
      <c r="B68" s="43">
        <v>64</v>
      </c>
      <c r="C68" s="44">
        <f>'Course 1'!C68</f>
        <v>9</v>
      </c>
      <c r="D68" s="46" t="str">
        <f>IF(C68="","",HLOOKUP(C68,'Règles et points'!$D$5:$Y$7,3))</f>
        <v>D40</v>
      </c>
      <c r="E68" s="46" t="str">
        <f>IF(C68="","",HLOOKUP(C68,'Règles et points'!$D$5:$Y$7,2))</f>
        <v>D</v>
      </c>
      <c r="F68" s="43" t="str">
        <f>IF('Course 1'!E68="","",'Course 1'!E68)</f>
        <v>KOEPP</v>
      </c>
      <c r="G68" s="43" t="str">
        <f>IF('Course 1'!F68="","",'Course 1'!F68)</f>
        <v>Nanette</v>
      </c>
      <c r="H68" s="56">
        <f>'Course 1'!M68+'Course 2'!M68+'Course 3'!M68+'Course 4'!M68+'Course 4'!M68</f>
        <v>0</v>
      </c>
      <c r="J68" s="43" t="str">
        <f t="shared" ref="J68:J131" si="22">IF($E68=$L$3,$F68,"")</f>
        <v/>
      </c>
      <c r="K68" s="43" t="str">
        <f t="shared" ref="K68:K131" si="23">IF($E68=$L$3,$G68,"")</f>
        <v/>
      </c>
      <c r="L68" s="53" t="str">
        <f t="shared" ref="L68:L131" si="24">IF($E68=$L$3,$H68,"")</f>
        <v/>
      </c>
      <c r="N68" s="43" t="str">
        <f t="shared" si="5"/>
        <v/>
      </c>
      <c r="O68" s="43" t="str">
        <f t="shared" si="6"/>
        <v/>
      </c>
      <c r="P68" s="53" t="str">
        <f t="shared" si="7"/>
        <v/>
      </c>
      <c r="R68" s="43" t="str">
        <f t="shared" si="11"/>
        <v>KOEPP</v>
      </c>
      <c r="S68" s="43" t="str">
        <f t="shared" si="12"/>
        <v>Nanette</v>
      </c>
      <c r="T68" s="45">
        <f t="shared" si="13"/>
        <v>0</v>
      </c>
      <c r="V68" s="43" t="str">
        <f t="shared" si="14"/>
        <v/>
      </c>
      <c r="W68" s="43" t="str">
        <f t="shared" si="15"/>
        <v/>
      </c>
      <c r="X68" s="45" t="str">
        <f t="shared" si="18"/>
        <v/>
      </c>
      <c r="AB68" s="173"/>
      <c r="AD68" s="77"/>
      <c r="AE68" s="77"/>
      <c r="AF68" s="172"/>
      <c r="AG68" s="116"/>
      <c r="AH68" s="118"/>
      <c r="AI68" s="77"/>
      <c r="AJ68" s="172"/>
      <c r="AK68" s="116"/>
      <c r="AL68" s="79"/>
      <c r="AM68" s="77"/>
      <c r="AN68" s="172"/>
      <c r="AO68" s="116"/>
      <c r="AQ68" s="43">
        <f t="shared" si="19"/>
        <v>0</v>
      </c>
      <c r="AR68" s="43">
        <f t="shared" si="20"/>
        <v>0</v>
      </c>
      <c r="AS68" s="43">
        <f t="shared" si="21"/>
        <v>0</v>
      </c>
    </row>
    <row r="69" spans="2:45" ht="21" customHeight="1">
      <c r="B69" s="43">
        <v>65</v>
      </c>
      <c r="C69" s="44">
        <f>'Course 1'!C69</f>
        <v>2</v>
      </c>
      <c r="D69" s="46" t="str">
        <f>IF(C69="","",HLOOKUP(C69,'Règles et points'!$D$5:$Y$7,3))</f>
        <v>D12</v>
      </c>
      <c r="E69" s="46" t="str">
        <f>IF(C69="","",HLOOKUP(C69,'Règles et points'!$D$5:$Y$7,2))</f>
        <v>F</v>
      </c>
      <c r="F69" s="43" t="str">
        <f>IF('Course 1'!E69="","",'Course 1'!E69)</f>
        <v>KOEPP</v>
      </c>
      <c r="G69" s="43" t="str">
        <f>IF('Course 1'!F69="","",'Course 1'!F69)</f>
        <v>Sahara</v>
      </c>
      <c r="H69" s="56">
        <f>'Course 1'!M69+'Course 2'!M69+'Course 3'!M69+'Course 4'!M69+'Course 4'!M69</f>
        <v>0</v>
      </c>
      <c r="J69" s="43" t="str">
        <f t="shared" si="22"/>
        <v>KOEPP</v>
      </c>
      <c r="K69" s="43" t="str">
        <f t="shared" si="23"/>
        <v>Sahara</v>
      </c>
      <c r="L69" s="53">
        <f t="shared" si="24"/>
        <v>0</v>
      </c>
      <c r="N69" s="43" t="str">
        <f t="shared" si="5"/>
        <v/>
      </c>
      <c r="O69" s="43" t="str">
        <f t="shared" si="6"/>
        <v/>
      </c>
      <c r="P69" s="53" t="str">
        <f t="shared" si="7"/>
        <v/>
      </c>
      <c r="R69" s="43" t="str">
        <f t="shared" ref="R69:R132" si="25">IF($E69=$T$3,$F69,"")</f>
        <v/>
      </c>
      <c r="S69" s="43" t="str">
        <f t="shared" ref="S69:S132" si="26">IF($E69=$T$3,$G69,"")</f>
        <v/>
      </c>
      <c r="T69" s="45" t="str">
        <f t="shared" ref="T69:T132" si="27">IF($E69=$T$3,$H69,"")</f>
        <v/>
      </c>
      <c r="V69" s="43" t="str">
        <f t="shared" ref="V69:V132" si="28">IF($E69=$X$3,$F69,"")</f>
        <v/>
      </c>
      <c r="W69" s="43" t="str">
        <f t="shared" ref="W69:W132" si="29">IF($E69=$X$3,$G69,"")</f>
        <v/>
      </c>
      <c r="X69" s="45" t="str">
        <f t="shared" ref="X69:X132" si="30">IF($E69=$X$3,$H69,"")</f>
        <v/>
      </c>
      <c r="AD69" s="77"/>
      <c r="AE69" s="77"/>
      <c r="AF69" s="172"/>
      <c r="AG69" s="116"/>
      <c r="AH69" s="118"/>
      <c r="AI69" s="77"/>
      <c r="AJ69" s="172"/>
      <c r="AK69" s="116"/>
      <c r="AL69" s="79"/>
      <c r="AM69" s="77"/>
      <c r="AN69" s="172"/>
      <c r="AO69" s="116"/>
      <c r="AQ69" s="43">
        <f t="shared" si="19"/>
        <v>0</v>
      </c>
      <c r="AR69" s="43">
        <f t="shared" si="20"/>
        <v>0</v>
      </c>
      <c r="AS69" s="43">
        <f t="shared" si="21"/>
        <v>0</v>
      </c>
    </row>
    <row r="70" spans="2:45" ht="21" customHeight="1">
      <c r="B70" s="43">
        <v>66</v>
      </c>
      <c r="C70" s="44">
        <f>'Course 1'!C70</f>
        <v>17</v>
      </c>
      <c r="D70" s="46" t="str">
        <f>IF(C70="","",HLOOKUP(C70,'Règles et points'!$D$5:$Y$7,3))</f>
        <v>H12</v>
      </c>
      <c r="E70" s="46" t="str">
        <f>IF(C70="","",HLOOKUP(C70,'Règles et points'!$D$5:$Y$7,2))</f>
        <v>G</v>
      </c>
      <c r="F70" s="43" t="str">
        <f>IF('Course 1'!E70="","",'Course 1'!E70)</f>
        <v>DE LA ROCHE</v>
      </c>
      <c r="G70" s="43" t="str">
        <f>IF('Course 1'!F70="","",'Course 1'!F70)</f>
        <v>Paul</v>
      </c>
      <c r="H70" s="56">
        <f>'Course 1'!M70+'Course 2'!M70+'Course 3'!M70+'Course 4'!M70+'Course 4'!M70</f>
        <v>0</v>
      </c>
      <c r="J70" s="43" t="str">
        <f t="shared" si="22"/>
        <v/>
      </c>
      <c r="K70" s="43" t="str">
        <f t="shared" si="23"/>
        <v/>
      </c>
      <c r="L70" s="53" t="str">
        <f t="shared" si="24"/>
        <v/>
      </c>
      <c r="N70" s="43" t="str">
        <f t="shared" ref="N70:N133" si="31">IF($E70=$P$3,$F70,"")</f>
        <v>DE LA ROCHE</v>
      </c>
      <c r="O70" s="43" t="str">
        <f t="shared" ref="O70:O133" si="32">IF($E70=$P$3,$G70,"")</f>
        <v>Paul</v>
      </c>
      <c r="P70" s="53">
        <f t="shared" ref="P70:P133" si="33">IF($E70=$P$3,$H70,"")</f>
        <v>0</v>
      </c>
      <c r="R70" s="43" t="str">
        <f t="shared" si="25"/>
        <v/>
      </c>
      <c r="S70" s="43" t="str">
        <f t="shared" si="26"/>
        <v/>
      </c>
      <c r="T70" s="45" t="str">
        <f t="shared" si="27"/>
        <v/>
      </c>
      <c r="V70" s="43" t="str">
        <f t="shared" si="28"/>
        <v/>
      </c>
      <c r="W70" s="43" t="str">
        <f t="shared" si="29"/>
        <v/>
      </c>
      <c r="X70" s="45" t="str">
        <f t="shared" si="30"/>
        <v/>
      </c>
      <c r="AD70" s="77"/>
      <c r="AE70" s="77"/>
      <c r="AF70" s="172"/>
      <c r="AG70" s="116"/>
      <c r="AH70" s="118"/>
      <c r="AI70" s="77"/>
      <c r="AJ70" s="78"/>
      <c r="AK70" s="116"/>
      <c r="AL70" s="79"/>
      <c r="AM70" s="77"/>
      <c r="AN70" s="172"/>
      <c r="AO70" s="116"/>
      <c r="AQ70" s="43">
        <f t="shared" si="19"/>
        <v>0</v>
      </c>
      <c r="AR70" s="43">
        <f t="shared" si="20"/>
        <v>0</v>
      </c>
      <c r="AS70" s="43">
        <f t="shared" si="21"/>
        <v>0</v>
      </c>
    </row>
    <row r="71" spans="2:45" ht="21" customHeight="1">
      <c r="B71" s="43">
        <v>67</v>
      </c>
      <c r="C71" s="44">
        <f>'Course 1'!C71</f>
        <v>18</v>
      </c>
      <c r="D71" s="46" t="str">
        <f>IF(C71="","",HLOOKUP(C71,'Règles et points'!$D$5:$Y$7,3))</f>
        <v>H14</v>
      </c>
      <c r="E71" s="46" t="str">
        <f>IF(C71="","",HLOOKUP(C71,'Règles et points'!$D$5:$Y$7,2))</f>
        <v>G</v>
      </c>
      <c r="F71" s="43" t="str">
        <f>IF('Course 1'!E71="","",'Course 1'!E71)</f>
        <v>DE LA ROCHE</v>
      </c>
      <c r="G71" s="43" t="str">
        <f>IF('Course 1'!F71="","",'Course 1'!F71)</f>
        <v>Raphael</v>
      </c>
      <c r="H71" s="56">
        <f>'Course 1'!M71+'Course 2'!M71+'Course 3'!M71+'Course 4'!M71+'Course 4'!M71</f>
        <v>0</v>
      </c>
      <c r="J71" s="43" t="str">
        <f t="shared" si="22"/>
        <v/>
      </c>
      <c r="K71" s="43" t="str">
        <f t="shared" si="23"/>
        <v/>
      </c>
      <c r="L71" s="53" t="str">
        <f t="shared" si="24"/>
        <v/>
      </c>
      <c r="N71" s="43" t="str">
        <f t="shared" si="31"/>
        <v>DE LA ROCHE</v>
      </c>
      <c r="O71" s="43" t="str">
        <f t="shared" si="32"/>
        <v>Raphael</v>
      </c>
      <c r="P71" s="53">
        <f t="shared" si="33"/>
        <v>0</v>
      </c>
      <c r="R71" s="43" t="str">
        <f t="shared" si="25"/>
        <v/>
      </c>
      <c r="S71" s="43" t="str">
        <f t="shared" si="26"/>
        <v/>
      </c>
      <c r="T71" s="45" t="str">
        <f t="shared" si="27"/>
        <v/>
      </c>
      <c r="V71" s="43" t="str">
        <f t="shared" si="28"/>
        <v/>
      </c>
      <c r="W71" s="43" t="str">
        <f t="shared" si="29"/>
        <v/>
      </c>
      <c r="X71" s="45" t="str">
        <f t="shared" si="30"/>
        <v/>
      </c>
      <c r="AD71" s="77"/>
      <c r="AE71" s="77"/>
      <c r="AF71" s="172"/>
      <c r="AG71" s="116"/>
      <c r="AH71" s="118"/>
      <c r="AI71" s="77"/>
      <c r="AJ71" s="172"/>
      <c r="AK71" s="116"/>
      <c r="AL71" s="79"/>
      <c r="AM71" s="77"/>
      <c r="AN71" s="172"/>
      <c r="AO71" s="116"/>
      <c r="AQ71" s="43">
        <f t="shared" si="19"/>
        <v>0</v>
      </c>
      <c r="AR71" s="43">
        <f t="shared" si="20"/>
        <v>0</v>
      </c>
      <c r="AS71" s="43">
        <f t="shared" si="21"/>
        <v>0</v>
      </c>
    </row>
    <row r="72" spans="2:45" ht="21" customHeight="1">
      <c r="B72" s="43">
        <v>68</v>
      </c>
      <c r="C72" s="44">
        <f>'Course 1'!C72</f>
        <v>2</v>
      </c>
      <c r="D72" s="46" t="str">
        <f>IF(C72="","",HLOOKUP(C72,'Règles et points'!$D$5:$Y$7,3))</f>
        <v>D12</v>
      </c>
      <c r="E72" s="46" t="str">
        <f>IF(C72="","",HLOOKUP(C72,'Règles et points'!$D$5:$Y$7,2))</f>
        <v>F</v>
      </c>
      <c r="F72" s="43" t="str">
        <f>IF('Course 1'!E72="","",'Course 1'!E72)</f>
        <v>LAGARDE</v>
      </c>
      <c r="G72" s="43" t="str">
        <f>IF('Course 1'!F72="","",'Course 1'!F72)</f>
        <v>Lilia</v>
      </c>
      <c r="H72" s="56">
        <f>'Course 1'!M72+'Course 2'!M72+'Course 3'!M72+'Course 4'!M72+'Course 4'!M72</f>
        <v>0</v>
      </c>
      <c r="J72" s="43" t="str">
        <f t="shared" si="22"/>
        <v>LAGARDE</v>
      </c>
      <c r="K72" s="43" t="str">
        <f t="shared" si="23"/>
        <v>Lilia</v>
      </c>
      <c r="L72" s="53">
        <f t="shared" si="24"/>
        <v>0</v>
      </c>
      <c r="N72" s="43" t="str">
        <f t="shared" si="31"/>
        <v/>
      </c>
      <c r="O72" s="43" t="str">
        <f t="shared" si="32"/>
        <v/>
      </c>
      <c r="P72" s="53" t="str">
        <f t="shared" si="33"/>
        <v/>
      </c>
      <c r="R72" s="43" t="str">
        <f t="shared" si="25"/>
        <v/>
      </c>
      <c r="S72" s="43" t="str">
        <f t="shared" si="26"/>
        <v/>
      </c>
      <c r="T72" s="45" t="str">
        <f t="shared" si="27"/>
        <v/>
      </c>
      <c r="V72" s="43" t="str">
        <f t="shared" si="28"/>
        <v/>
      </c>
      <c r="W72" s="43" t="str">
        <f t="shared" si="29"/>
        <v/>
      </c>
      <c r="X72" s="45" t="str">
        <f t="shared" si="30"/>
        <v/>
      </c>
      <c r="AD72" s="77"/>
      <c r="AE72" s="77"/>
      <c r="AF72" s="172"/>
      <c r="AG72" s="116"/>
      <c r="AH72" s="118"/>
      <c r="AI72" s="77"/>
      <c r="AJ72" s="172"/>
      <c r="AK72" s="116"/>
      <c r="AL72" s="79"/>
      <c r="AM72" s="77"/>
      <c r="AN72" s="172"/>
      <c r="AO72" s="116"/>
      <c r="AQ72" s="43">
        <f t="shared" si="19"/>
        <v>0</v>
      </c>
      <c r="AR72" s="43">
        <f t="shared" si="20"/>
        <v>0</v>
      </c>
      <c r="AS72" s="43">
        <f t="shared" si="21"/>
        <v>0</v>
      </c>
    </row>
    <row r="73" spans="2:45" ht="21" customHeight="1">
      <c r="B73" s="43">
        <v>69</v>
      </c>
      <c r="C73" s="44">
        <f>'Course 1'!C73</f>
        <v>24</v>
      </c>
      <c r="D73" s="46" t="str">
        <f>IF(C73="","",HLOOKUP(C73,'Règles et points'!$D$5:$Y$7,3))</f>
        <v>H21</v>
      </c>
      <c r="E73" s="46" t="str">
        <f>IF(C73="","",HLOOKUP(C73,'Règles et points'!$D$5:$Y$7,2))</f>
        <v>H</v>
      </c>
      <c r="F73" s="43" t="str">
        <f>IF('Course 1'!E73="","",'Course 1'!E73)</f>
        <v>BROCHOT</v>
      </c>
      <c r="G73" s="43" t="str">
        <f>IF('Course 1'!F73="","",'Course 1'!F73)</f>
        <v>Vincent</v>
      </c>
      <c r="H73" s="56">
        <f>'Course 1'!M73+'Course 2'!M73+'Course 3'!M73+'Course 4'!M73+'Course 4'!M73</f>
        <v>66.466666666666654</v>
      </c>
      <c r="J73" s="43" t="str">
        <f t="shared" si="22"/>
        <v/>
      </c>
      <c r="K73" s="43" t="str">
        <f t="shared" si="23"/>
        <v/>
      </c>
      <c r="L73" s="53" t="str">
        <f t="shared" si="24"/>
        <v/>
      </c>
      <c r="N73" s="43" t="str">
        <f t="shared" si="31"/>
        <v/>
      </c>
      <c r="O73" s="43" t="str">
        <f t="shared" si="32"/>
        <v/>
      </c>
      <c r="P73" s="53" t="str">
        <f t="shared" si="33"/>
        <v/>
      </c>
      <c r="R73" s="43" t="str">
        <f t="shared" si="25"/>
        <v/>
      </c>
      <c r="S73" s="43" t="str">
        <f t="shared" si="26"/>
        <v/>
      </c>
      <c r="T73" s="45" t="str">
        <f t="shared" si="27"/>
        <v/>
      </c>
      <c r="V73" s="43" t="str">
        <f t="shared" si="28"/>
        <v>BROCHOT</v>
      </c>
      <c r="W73" s="43" t="str">
        <f t="shared" si="29"/>
        <v>Vincent</v>
      </c>
      <c r="X73" s="45">
        <f t="shared" si="30"/>
        <v>66.466666666666654</v>
      </c>
      <c r="AD73" s="77"/>
      <c r="AE73" s="77"/>
      <c r="AF73" s="172"/>
      <c r="AG73" s="116"/>
      <c r="AH73" s="118"/>
      <c r="AI73" s="77"/>
      <c r="AJ73" s="172"/>
      <c r="AK73" s="116"/>
      <c r="AL73" s="79"/>
      <c r="AM73" s="77"/>
      <c r="AN73" s="172"/>
      <c r="AO73" s="116"/>
      <c r="AQ73" s="43">
        <f t="shared" si="19"/>
        <v>0</v>
      </c>
      <c r="AR73" s="43">
        <f t="shared" si="20"/>
        <v>0</v>
      </c>
      <c r="AS73" s="43">
        <f t="shared" si="21"/>
        <v>0</v>
      </c>
    </row>
    <row r="74" spans="2:45" ht="21" customHeight="1">
      <c r="B74" s="43">
        <v>70</v>
      </c>
      <c r="C74" s="44">
        <f>'Course 1'!C74</f>
        <v>4</v>
      </c>
      <c r="D74" s="46" t="str">
        <f>IF(C74="","",HLOOKUP(C74,'Règles et points'!$D$5:$Y$7,3))</f>
        <v>D16</v>
      </c>
      <c r="E74" s="46" t="str">
        <f>IF(C74="","",HLOOKUP(C74,'Règles et points'!$D$5:$Y$7,2))</f>
        <v>F</v>
      </c>
      <c r="F74" s="43" t="str">
        <f>IF('Course 1'!E74="","",'Course 1'!E74)</f>
        <v>PASQUALINI</v>
      </c>
      <c r="G74" s="43" t="str">
        <f>IF('Course 1'!F74="","",'Course 1'!F74)</f>
        <v>Hanna</v>
      </c>
      <c r="H74" s="56">
        <f>'Course 1'!M74+'Course 2'!M74+'Course 3'!M74+'Course 4'!M74+'Course 4'!M74</f>
        <v>88.066666666666663</v>
      </c>
      <c r="J74" s="43" t="str">
        <f t="shared" si="22"/>
        <v>PASQUALINI</v>
      </c>
      <c r="K74" s="43" t="str">
        <f t="shared" si="23"/>
        <v>Hanna</v>
      </c>
      <c r="L74" s="53">
        <f t="shared" si="24"/>
        <v>88.066666666666663</v>
      </c>
      <c r="N74" s="43" t="str">
        <f t="shared" si="31"/>
        <v/>
      </c>
      <c r="O74" s="43" t="str">
        <f t="shared" si="32"/>
        <v/>
      </c>
      <c r="P74" s="53" t="str">
        <f t="shared" si="33"/>
        <v/>
      </c>
      <c r="R74" s="43" t="str">
        <f t="shared" si="25"/>
        <v/>
      </c>
      <c r="S74" s="43" t="str">
        <f t="shared" si="26"/>
        <v/>
      </c>
      <c r="T74" s="45" t="str">
        <f t="shared" si="27"/>
        <v/>
      </c>
      <c r="V74" s="43" t="str">
        <f t="shared" si="28"/>
        <v/>
      </c>
      <c r="W74" s="43" t="str">
        <f t="shared" si="29"/>
        <v/>
      </c>
      <c r="X74" s="45" t="str">
        <f t="shared" si="30"/>
        <v/>
      </c>
      <c r="AD74" s="77"/>
      <c r="AE74" s="77"/>
      <c r="AF74" s="172"/>
      <c r="AG74" s="116"/>
      <c r="AH74" s="118"/>
      <c r="AI74" s="77"/>
      <c r="AJ74" s="172"/>
      <c r="AK74" s="116"/>
      <c r="AL74" s="79"/>
      <c r="AM74" s="77"/>
      <c r="AN74" s="172"/>
      <c r="AO74" s="116"/>
      <c r="AQ74" s="43">
        <f t="shared" si="19"/>
        <v>0</v>
      </c>
      <c r="AR74" s="43">
        <f t="shared" si="20"/>
        <v>0</v>
      </c>
      <c r="AS74" s="43">
        <f t="shared" si="21"/>
        <v>0</v>
      </c>
    </row>
    <row r="75" spans="2:45" ht="21" customHeight="1">
      <c r="B75" s="43">
        <v>71</v>
      </c>
      <c r="C75" s="44">
        <f>'Course 1'!C75</f>
        <v>17</v>
      </c>
      <c r="D75" s="46" t="str">
        <f>IF(C75="","",HLOOKUP(C75,'Règles et points'!$D$5:$Y$7,3))</f>
        <v>H12</v>
      </c>
      <c r="E75" s="46" t="str">
        <f>IF(C75="","",HLOOKUP(C75,'Règles et points'!$D$5:$Y$7,2))</f>
        <v>G</v>
      </c>
      <c r="F75" s="43" t="str">
        <f>IF('Course 1'!E75="","",'Course 1'!E75)</f>
        <v>LAUDET</v>
      </c>
      <c r="G75" s="43" t="str">
        <f>IF('Course 1'!F75="","",'Course 1'!F75)</f>
        <v>Sacha</v>
      </c>
      <c r="H75" s="56">
        <f>'Course 1'!M75+'Course 2'!M75+'Course 3'!M75+'Course 4'!M75+'Course 4'!M75</f>
        <v>89.066666666666663</v>
      </c>
      <c r="J75" s="43" t="str">
        <f t="shared" si="22"/>
        <v/>
      </c>
      <c r="K75" s="43" t="str">
        <f t="shared" si="23"/>
        <v/>
      </c>
      <c r="L75" s="53" t="str">
        <f t="shared" si="24"/>
        <v/>
      </c>
      <c r="N75" s="43" t="str">
        <f t="shared" si="31"/>
        <v>LAUDET</v>
      </c>
      <c r="O75" s="43" t="str">
        <f t="shared" si="32"/>
        <v>Sacha</v>
      </c>
      <c r="P75" s="53">
        <f t="shared" si="33"/>
        <v>89.066666666666663</v>
      </c>
      <c r="R75" s="43" t="str">
        <f t="shared" si="25"/>
        <v/>
      </c>
      <c r="S75" s="43" t="str">
        <f t="shared" si="26"/>
        <v/>
      </c>
      <c r="T75" s="45" t="str">
        <f t="shared" si="27"/>
        <v/>
      </c>
      <c r="V75" s="43" t="str">
        <f t="shared" si="28"/>
        <v/>
      </c>
      <c r="W75" s="43" t="str">
        <f t="shared" si="29"/>
        <v/>
      </c>
      <c r="X75" s="45" t="str">
        <f t="shared" si="30"/>
        <v/>
      </c>
      <c r="AD75" s="77"/>
      <c r="AE75" s="77"/>
      <c r="AF75" s="172"/>
      <c r="AG75" s="116"/>
      <c r="AH75" s="118"/>
      <c r="AI75" s="77"/>
      <c r="AJ75" s="172"/>
      <c r="AK75" s="116"/>
      <c r="AL75" s="79"/>
      <c r="AM75" s="77"/>
      <c r="AN75" s="172"/>
      <c r="AO75" s="116"/>
      <c r="AQ75" s="43">
        <f t="shared" si="19"/>
        <v>0</v>
      </c>
      <c r="AR75" s="43">
        <f t="shared" si="20"/>
        <v>0</v>
      </c>
      <c r="AS75" s="43">
        <f t="shared" si="21"/>
        <v>0</v>
      </c>
    </row>
    <row r="76" spans="2:45" ht="21" customHeight="1">
      <c r="B76" s="43">
        <v>72</v>
      </c>
      <c r="C76" s="44">
        <f>'Course 1'!C76</f>
        <v>18</v>
      </c>
      <c r="D76" s="46" t="str">
        <f>IF(C76="","",HLOOKUP(C76,'Règles et points'!$D$5:$Y$7,3))</f>
        <v>H14</v>
      </c>
      <c r="E76" s="46" t="str">
        <f>IF(C76="","",HLOOKUP(C76,'Règles et points'!$D$5:$Y$7,2))</f>
        <v>G</v>
      </c>
      <c r="F76" s="43" t="str">
        <f>IF('Course 1'!E76="","",'Course 1'!E76)</f>
        <v>LEFEVRE</v>
      </c>
      <c r="G76" s="43" t="str">
        <f>IF('Course 1'!F76="","",'Course 1'!F76)</f>
        <v>Gauthier</v>
      </c>
      <c r="H76" s="56">
        <f>'Course 1'!M76+'Course 2'!M76+'Course 3'!M76+'Course 4'!M76+'Course 4'!M76</f>
        <v>82.766666666666652</v>
      </c>
      <c r="J76" s="43" t="str">
        <f t="shared" si="22"/>
        <v/>
      </c>
      <c r="K76" s="43" t="str">
        <f t="shared" si="23"/>
        <v/>
      </c>
      <c r="L76" s="53" t="str">
        <f t="shared" si="24"/>
        <v/>
      </c>
      <c r="N76" s="43" t="str">
        <f t="shared" si="31"/>
        <v>LEFEVRE</v>
      </c>
      <c r="O76" s="43" t="str">
        <f t="shared" si="32"/>
        <v>Gauthier</v>
      </c>
      <c r="P76" s="53">
        <f t="shared" si="33"/>
        <v>82.766666666666652</v>
      </c>
      <c r="R76" s="43" t="str">
        <f t="shared" si="25"/>
        <v/>
      </c>
      <c r="S76" s="43" t="str">
        <f t="shared" si="26"/>
        <v/>
      </c>
      <c r="T76" s="45" t="str">
        <f t="shared" si="27"/>
        <v/>
      </c>
      <c r="V76" s="43" t="str">
        <f t="shared" si="28"/>
        <v/>
      </c>
      <c r="W76" s="43" t="str">
        <f t="shared" si="29"/>
        <v/>
      </c>
      <c r="X76" s="45" t="str">
        <f t="shared" si="30"/>
        <v/>
      </c>
      <c r="AD76" s="77"/>
      <c r="AE76" s="77"/>
      <c r="AF76" s="172"/>
      <c r="AG76" s="116"/>
      <c r="AH76" s="118"/>
      <c r="AI76" s="77"/>
      <c r="AJ76" s="172"/>
      <c r="AK76" s="116"/>
      <c r="AL76" s="79"/>
      <c r="AM76" s="77"/>
      <c r="AN76" s="172"/>
      <c r="AO76" s="116"/>
      <c r="AQ76" s="43">
        <f t="shared" si="19"/>
        <v>0</v>
      </c>
      <c r="AR76" s="43">
        <f t="shared" si="20"/>
        <v>0</v>
      </c>
      <c r="AS76" s="43">
        <f t="shared" si="21"/>
        <v>0</v>
      </c>
    </row>
    <row r="77" spans="2:45" ht="21" customHeight="1">
      <c r="B77" s="43">
        <v>73</v>
      </c>
      <c r="C77" s="44">
        <f>'Course 1'!C77</f>
        <v>3</v>
      </c>
      <c r="D77" s="46" t="str">
        <f>IF(C77="","",HLOOKUP(C77,'Règles et points'!$D$5:$Y$7,3))</f>
        <v>D14</v>
      </c>
      <c r="E77" s="46" t="str">
        <f>IF(C77="","",HLOOKUP(C77,'Règles et points'!$D$5:$Y$7,2))</f>
        <v>F</v>
      </c>
      <c r="F77" s="43" t="str">
        <f>IF('Course 1'!E77="","",'Course 1'!E77)</f>
        <v>BENSET</v>
      </c>
      <c r="G77" s="43" t="str">
        <f>IF('Course 1'!F77="","",'Course 1'!F77)</f>
        <v>Estelle</v>
      </c>
      <c r="H77" s="56">
        <f>'Course 1'!M77+'Course 2'!M77+'Course 3'!M77+'Course 4'!M77+'Course 4'!M77</f>
        <v>31.006666666666657</v>
      </c>
      <c r="J77" s="43" t="str">
        <f t="shared" si="22"/>
        <v>BENSET</v>
      </c>
      <c r="K77" s="43" t="str">
        <f t="shared" si="23"/>
        <v>Estelle</v>
      </c>
      <c r="L77" s="53">
        <f t="shared" si="24"/>
        <v>31.006666666666657</v>
      </c>
      <c r="N77" s="43" t="str">
        <f t="shared" si="31"/>
        <v/>
      </c>
      <c r="O77" s="43" t="str">
        <f t="shared" si="32"/>
        <v/>
      </c>
      <c r="P77" s="53" t="str">
        <f t="shared" si="33"/>
        <v/>
      </c>
      <c r="R77" s="43" t="str">
        <f t="shared" si="25"/>
        <v/>
      </c>
      <c r="S77" s="43" t="str">
        <f t="shared" si="26"/>
        <v/>
      </c>
      <c r="T77" s="45" t="str">
        <f t="shared" si="27"/>
        <v/>
      </c>
      <c r="V77" s="43" t="str">
        <f t="shared" si="28"/>
        <v/>
      </c>
      <c r="W77" s="43" t="str">
        <f t="shared" si="29"/>
        <v/>
      </c>
      <c r="X77" s="45" t="str">
        <f t="shared" si="30"/>
        <v/>
      </c>
      <c r="AD77" s="77"/>
      <c r="AE77" s="77"/>
      <c r="AF77" s="172"/>
      <c r="AG77" s="116"/>
      <c r="AH77" s="118"/>
      <c r="AI77" s="77"/>
      <c r="AJ77" s="172"/>
      <c r="AK77" s="116"/>
      <c r="AL77" s="79"/>
      <c r="AM77" s="77"/>
      <c r="AN77" s="172"/>
      <c r="AO77" s="116"/>
      <c r="AQ77" s="43">
        <f t="shared" si="19"/>
        <v>0</v>
      </c>
      <c r="AR77" s="43">
        <f t="shared" si="20"/>
        <v>0</v>
      </c>
      <c r="AS77" s="43">
        <f t="shared" si="21"/>
        <v>0</v>
      </c>
    </row>
    <row r="78" spans="2:45" ht="21" customHeight="1">
      <c r="B78" s="43">
        <v>74</v>
      </c>
      <c r="C78" s="44">
        <f>'Course 1'!C78</f>
        <v>27</v>
      </c>
      <c r="D78" s="46" t="str">
        <f>IF(C78="","",HLOOKUP(C78,'Règles et points'!$D$5:$Y$7,3))</f>
        <v>H21</v>
      </c>
      <c r="E78" s="46" t="str">
        <f>IF(C78="","",HLOOKUP(C78,'Règles et points'!$D$5:$Y$7,2))</f>
        <v>H</v>
      </c>
      <c r="F78" s="43" t="str">
        <f>IF('Course 1'!E78="","",'Course 1'!E78)</f>
        <v>BOUCHERIE</v>
      </c>
      <c r="G78" s="43" t="str">
        <f>IF('Course 1'!F78="","",'Course 1'!F78)</f>
        <v>Pascal</v>
      </c>
      <c r="H78" s="56">
        <f>'Course 1'!M78+'Course 2'!M78+'Course 3'!M78+'Course 4'!M78+'Course 4'!M78</f>
        <v>70.783333333333331</v>
      </c>
      <c r="J78" s="43" t="str">
        <f t="shared" si="22"/>
        <v/>
      </c>
      <c r="K78" s="43" t="str">
        <f t="shared" si="23"/>
        <v/>
      </c>
      <c r="L78" s="53" t="str">
        <f t="shared" si="24"/>
        <v/>
      </c>
      <c r="N78" s="43" t="str">
        <f t="shared" si="31"/>
        <v/>
      </c>
      <c r="O78" s="43" t="str">
        <f t="shared" si="32"/>
        <v/>
      </c>
      <c r="P78" s="53" t="str">
        <f t="shared" si="33"/>
        <v/>
      </c>
      <c r="R78" s="43" t="str">
        <f t="shared" si="25"/>
        <v/>
      </c>
      <c r="S78" s="43" t="str">
        <f t="shared" si="26"/>
        <v/>
      </c>
      <c r="T78" s="45" t="str">
        <f t="shared" si="27"/>
        <v/>
      </c>
      <c r="V78" s="43" t="str">
        <f t="shared" si="28"/>
        <v>BOUCHERIE</v>
      </c>
      <c r="W78" s="43" t="str">
        <f t="shared" si="29"/>
        <v>Pascal</v>
      </c>
      <c r="X78" s="45">
        <f t="shared" si="30"/>
        <v>70.783333333333331</v>
      </c>
      <c r="AD78" s="77"/>
      <c r="AE78" s="77"/>
      <c r="AF78" s="172"/>
      <c r="AG78" s="116"/>
      <c r="AH78" s="118"/>
      <c r="AI78" s="77"/>
      <c r="AJ78" s="172"/>
      <c r="AK78" s="116"/>
      <c r="AL78" s="79"/>
      <c r="AM78" s="77"/>
      <c r="AN78" s="172"/>
      <c r="AO78" s="116"/>
      <c r="AQ78" s="43">
        <f t="shared" si="19"/>
        <v>0</v>
      </c>
      <c r="AR78" s="43">
        <f t="shared" si="20"/>
        <v>0</v>
      </c>
      <c r="AS78" s="43">
        <f t="shared" si="21"/>
        <v>0</v>
      </c>
    </row>
    <row r="79" spans="2:45" ht="21" customHeight="1">
      <c r="B79" s="43">
        <v>75</v>
      </c>
      <c r="C79" s="44">
        <f>'Course 1'!C79</f>
        <v>12</v>
      </c>
      <c r="D79" s="46" t="str">
        <f>IF(C79="","",HLOOKUP(C79,'Règles et points'!$D$5:$Y$7,3))</f>
        <v>D55</v>
      </c>
      <c r="E79" s="46" t="str">
        <f>IF(C79="","",HLOOKUP(C79,'Règles et points'!$D$5:$Y$7,2))</f>
        <v>D</v>
      </c>
      <c r="F79" s="43" t="str">
        <f>IF('Course 1'!E79="","",'Course 1'!E79)</f>
        <v>BOUCHERIE</v>
      </c>
      <c r="G79" s="43" t="str">
        <f>IF('Course 1'!F79="","",'Course 1'!F79)</f>
        <v>caroline</v>
      </c>
      <c r="H79" s="56">
        <f>'Course 1'!M79+'Course 2'!M79+'Course 3'!M79+'Course 4'!M79+'Course 4'!M79</f>
        <v>33.483333333333327</v>
      </c>
      <c r="J79" s="43" t="str">
        <f t="shared" si="22"/>
        <v/>
      </c>
      <c r="K79" s="43" t="str">
        <f t="shared" si="23"/>
        <v/>
      </c>
      <c r="L79" s="53" t="str">
        <f t="shared" si="24"/>
        <v/>
      </c>
      <c r="N79" s="43" t="str">
        <f t="shared" si="31"/>
        <v/>
      </c>
      <c r="O79" s="43" t="str">
        <f t="shared" si="32"/>
        <v/>
      </c>
      <c r="P79" s="53" t="str">
        <f t="shared" si="33"/>
        <v/>
      </c>
      <c r="R79" s="43" t="str">
        <f t="shared" si="25"/>
        <v>BOUCHERIE</v>
      </c>
      <c r="S79" s="43" t="str">
        <f t="shared" si="26"/>
        <v>caroline</v>
      </c>
      <c r="T79" s="45">
        <f t="shared" si="27"/>
        <v>33.483333333333327</v>
      </c>
      <c r="V79" s="43" t="str">
        <f t="shared" si="28"/>
        <v/>
      </c>
      <c r="W79" s="43" t="str">
        <f t="shared" si="29"/>
        <v/>
      </c>
      <c r="X79" s="45" t="str">
        <f t="shared" si="30"/>
        <v/>
      </c>
      <c r="AD79" s="77"/>
      <c r="AE79" s="77"/>
      <c r="AF79" s="172"/>
      <c r="AG79" s="116"/>
      <c r="AH79" s="118"/>
      <c r="AI79" s="77"/>
      <c r="AJ79" s="172"/>
      <c r="AK79" s="116"/>
      <c r="AL79" s="79"/>
      <c r="AM79" s="77"/>
      <c r="AN79" s="172"/>
      <c r="AO79" s="116"/>
      <c r="AQ79" s="43">
        <f t="shared" si="19"/>
        <v>0</v>
      </c>
      <c r="AR79" s="43">
        <f t="shared" si="20"/>
        <v>0</v>
      </c>
      <c r="AS79" s="43">
        <f t="shared" si="21"/>
        <v>0</v>
      </c>
    </row>
    <row r="80" spans="2:45" ht="21" customHeight="1">
      <c r="B80" s="43">
        <v>76</v>
      </c>
      <c r="C80" s="44">
        <f>'Course 1'!C80</f>
        <v>17</v>
      </c>
      <c r="D80" s="46" t="str">
        <f>IF(C80="","",HLOOKUP(C80,'Règles et points'!$D$5:$Y$7,3))</f>
        <v>H12</v>
      </c>
      <c r="E80" s="46" t="str">
        <f>IF(C80="","",HLOOKUP(C80,'Règles et points'!$D$5:$Y$7,2))</f>
        <v>G</v>
      </c>
      <c r="F80" s="43" t="str">
        <f>IF('Course 1'!E80="","",'Course 1'!E80)</f>
        <v>BOUCHERIE</v>
      </c>
      <c r="G80" s="43" t="str">
        <f>IF('Course 1'!F80="","",'Course 1'!F80)</f>
        <v>Achille</v>
      </c>
      <c r="H80" s="56">
        <f>'Course 1'!M80+'Course 2'!M80+'Course 3'!M80+'Course 4'!M80+'Course 4'!M80</f>
        <v>0</v>
      </c>
      <c r="J80" s="43" t="str">
        <f t="shared" si="22"/>
        <v/>
      </c>
      <c r="K80" s="43" t="str">
        <f t="shared" si="23"/>
        <v/>
      </c>
      <c r="L80" s="53" t="str">
        <f t="shared" si="24"/>
        <v/>
      </c>
      <c r="N80" s="43" t="str">
        <f t="shared" si="31"/>
        <v>BOUCHERIE</v>
      </c>
      <c r="O80" s="43" t="str">
        <f t="shared" si="32"/>
        <v>Achille</v>
      </c>
      <c r="P80" s="53">
        <f t="shared" si="33"/>
        <v>0</v>
      </c>
      <c r="R80" s="43" t="str">
        <f t="shared" si="25"/>
        <v/>
      </c>
      <c r="S80" s="43" t="str">
        <f t="shared" si="26"/>
        <v/>
      </c>
      <c r="T80" s="45" t="str">
        <f t="shared" si="27"/>
        <v/>
      </c>
      <c r="V80" s="43" t="str">
        <f t="shared" si="28"/>
        <v/>
      </c>
      <c r="W80" s="43" t="str">
        <f t="shared" si="29"/>
        <v/>
      </c>
      <c r="X80" s="45" t="str">
        <f t="shared" si="30"/>
        <v/>
      </c>
      <c r="AD80" s="77"/>
      <c r="AE80" s="77"/>
      <c r="AF80" s="78"/>
      <c r="AG80" s="116"/>
      <c r="AH80" s="118"/>
      <c r="AI80" s="77"/>
      <c r="AJ80" s="172"/>
      <c r="AK80" s="116"/>
      <c r="AL80" s="79"/>
      <c r="AM80" s="77"/>
      <c r="AN80" s="172"/>
      <c r="AO80" s="116"/>
      <c r="AQ80" s="43">
        <f t="shared" si="19"/>
        <v>0</v>
      </c>
      <c r="AR80" s="43">
        <f t="shared" si="20"/>
        <v>0</v>
      </c>
      <c r="AS80" s="43">
        <f t="shared" si="21"/>
        <v>0</v>
      </c>
    </row>
    <row r="81" spans="2:45" ht="21" customHeight="1">
      <c r="B81" s="43">
        <v>77</v>
      </c>
      <c r="C81" s="44">
        <f>'Course 1'!C81</f>
        <v>22</v>
      </c>
      <c r="D81" s="46" t="str">
        <f>IF(C81="","",HLOOKUP(C81,'Règles et points'!$D$5:$Y$7,3))</f>
        <v>H21</v>
      </c>
      <c r="E81" s="46" t="str">
        <f>IF(C81="","",HLOOKUP(C81,'Règles et points'!$D$5:$Y$7,2))</f>
        <v>H</v>
      </c>
      <c r="F81" s="43" t="str">
        <f>IF('Course 1'!E81="","",'Course 1'!E81)</f>
        <v>BOUCHERIE</v>
      </c>
      <c r="G81" s="43" t="str">
        <f>IF('Course 1'!F81="","",'Course 1'!F81)</f>
        <v>jules</v>
      </c>
      <c r="H81" s="56">
        <f>'Course 1'!M81+'Course 2'!M81+'Course 3'!M81+'Course 4'!M81+'Course 4'!M81</f>
        <v>0</v>
      </c>
      <c r="J81" s="43" t="str">
        <f t="shared" si="22"/>
        <v/>
      </c>
      <c r="K81" s="43" t="str">
        <f t="shared" si="23"/>
        <v/>
      </c>
      <c r="L81" s="53" t="str">
        <f t="shared" si="24"/>
        <v/>
      </c>
      <c r="N81" s="43" t="str">
        <f t="shared" si="31"/>
        <v/>
      </c>
      <c r="O81" s="43" t="str">
        <f t="shared" si="32"/>
        <v/>
      </c>
      <c r="P81" s="53" t="str">
        <f t="shared" si="33"/>
        <v/>
      </c>
      <c r="R81" s="43" t="str">
        <f t="shared" si="25"/>
        <v/>
      </c>
      <c r="S81" s="43" t="str">
        <f t="shared" si="26"/>
        <v/>
      </c>
      <c r="T81" s="45" t="str">
        <f t="shared" si="27"/>
        <v/>
      </c>
      <c r="V81" s="43" t="str">
        <f t="shared" si="28"/>
        <v>BOUCHERIE</v>
      </c>
      <c r="W81" s="43" t="str">
        <f t="shared" si="29"/>
        <v>jules</v>
      </c>
      <c r="X81" s="45">
        <f t="shared" si="30"/>
        <v>0</v>
      </c>
      <c r="AD81" s="77"/>
      <c r="AE81" s="77"/>
      <c r="AF81" s="172"/>
      <c r="AG81" s="116"/>
      <c r="AH81" s="118"/>
      <c r="AI81" s="77"/>
      <c r="AJ81" s="172"/>
      <c r="AK81" s="116"/>
      <c r="AL81" s="79"/>
      <c r="AM81" s="77"/>
      <c r="AN81" s="172"/>
      <c r="AO81" s="116"/>
      <c r="AQ81" s="43">
        <f t="shared" si="19"/>
        <v>0</v>
      </c>
      <c r="AR81" s="43">
        <f t="shared" si="20"/>
        <v>0</v>
      </c>
      <c r="AS81" s="43">
        <f t="shared" si="21"/>
        <v>0</v>
      </c>
    </row>
    <row r="82" spans="2:45" ht="21" customHeight="1">
      <c r="B82" s="43">
        <v>78</v>
      </c>
      <c r="C82" s="44">
        <f>'Course 1'!C82</f>
        <v>22</v>
      </c>
      <c r="D82" s="46" t="str">
        <f>IF(C82="","",HLOOKUP(C82,'Règles et points'!$D$5:$Y$7,3))</f>
        <v>H21</v>
      </c>
      <c r="E82" s="46" t="str">
        <f>IF(C82="","",HLOOKUP(C82,'Règles et points'!$D$5:$Y$7,2))</f>
        <v>H</v>
      </c>
      <c r="F82" s="43" t="str">
        <f>IF('Course 1'!E82="","",'Course 1'!E82)</f>
        <v>BOUCHERIE</v>
      </c>
      <c r="G82" s="43" t="str">
        <f>IF('Course 1'!F82="","",'Course 1'!F82)</f>
        <v>louis</v>
      </c>
      <c r="H82" s="56">
        <f>'Course 1'!M82+'Course 2'!M82+'Course 3'!M82+'Course 4'!M82+'Course 4'!M82</f>
        <v>46.466666666666669</v>
      </c>
      <c r="J82" s="43" t="str">
        <f t="shared" si="22"/>
        <v/>
      </c>
      <c r="K82" s="43" t="str">
        <f t="shared" si="23"/>
        <v/>
      </c>
      <c r="L82" s="53" t="str">
        <f t="shared" si="24"/>
        <v/>
      </c>
      <c r="N82" s="43" t="str">
        <f t="shared" si="31"/>
        <v/>
      </c>
      <c r="O82" s="43" t="str">
        <f t="shared" si="32"/>
        <v/>
      </c>
      <c r="P82" s="53" t="str">
        <f t="shared" si="33"/>
        <v/>
      </c>
      <c r="R82" s="43" t="str">
        <f t="shared" si="25"/>
        <v/>
      </c>
      <c r="S82" s="43" t="str">
        <f t="shared" si="26"/>
        <v/>
      </c>
      <c r="T82" s="45" t="str">
        <f t="shared" si="27"/>
        <v/>
      </c>
      <c r="V82" s="43" t="str">
        <f t="shared" si="28"/>
        <v>BOUCHERIE</v>
      </c>
      <c r="W82" s="43" t="str">
        <f t="shared" si="29"/>
        <v>louis</v>
      </c>
      <c r="X82" s="45">
        <f t="shared" si="30"/>
        <v>46.466666666666669</v>
      </c>
      <c r="AD82" s="77"/>
      <c r="AE82" s="77"/>
      <c r="AF82" s="172"/>
      <c r="AG82" s="116"/>
      <c r="AH82" s="118"/>
      <c r="AI82" s="77"/>
      <c r="AJ82" s="172"/>
      <c r="AK82" s="116"/>
      <c r="AL82" s="79"/>
      <c r="AM82" s="77"/>
      <c r="AN82" s="172"/>
      <c r="AO82" s="116"/>
      <c r="AQ82" s="43">
        <f t="shared" si="19"/>
        <v>0</v>
      </c>
      <c r="AR82" s="43">
        <f t="shared" si="20"/>
        <v>0</v>
      </c>
      <c r="AS82" s="43">
        <f t="shared" si="21"/>
        <v>0</v>
      </c>
    </row>
    <row r="83" spans="2:45" ht="21" customHeight="1">
      <c r="B83" s="43">
        <v>79</v>
      </c>
      <c r="C83" s="44">
        <f>'Course 1'!C83</f>
        <v>18</v>
      </c>
      <c r="D83" s="46" t="str">
        <f>IF(C83="","",HLOOKUP(C83,'Règles et points'!$D$5:$Y$7,3))</f>
        <v>H14</v>
      </c>
      <c r="E83" s="46" t="str">
        <f>IF(C83="","",HLOOKUP(C83,'Règles et points'!$D$5:$Y$7,2))</f>
        <v>G</v>
      </c>
      <c r="F83" s="43" t="str">
        <f>IF('Course 1'!E83="","",'Course 1'!E83)</f>
        <v>ZHANG</v>
      </c>
      <c r="G83" s="43" t="str">
        <f>IF('Course 1'!F83="","",'Course 1'!F83)</f>
        <v>Felix</v>
      </c>
      <c r="H83" s="56">
        <f>'Course 1'!M83+'Course 2'!M83+'Course 3'!M83+'Course 4'!M83+'Course 4'!M83</f>
        <v>0</v>
      </c>
      <c r="J83" s="43" t="str">
        <f t="shared" si="22"/>
        <v/>
      </c>
      <c r="K83" s="43" t="str">
        <f t="shared" si="23"/>
        <v/>
      </c>
      <c r="L83" s="53" t="str">
        <f t="shared" si="24"/>
        <v/>
      </c>
      <c r="N83" s="43" t="str">
        <f t="shared" si="31"/>
        <v>ZHANG</v>
      </c>
      <c r="O83" s="43" t="str">
        <f t="shared" si="32"/>
        <v>Felix</v>
      </c>
      <c r="P83" s="53">
        <f t="shared" si="33"/>
        <v>0</v>
      </c>
      <c r="R83" s="43" t="str">
        <f t="shared" si="25"/>
        <v/>
      </c>
      <c r="S83" s="43" t="str">
        <f t="shared" si="26"/>
        <v/>
      </c>
      <c r="T83" s="45" t="str">
        <f t="shared" si="27"/>
        <v/>
      </c>
      <c r="V83" s="43" t="str">
        <f t="shared" si="28"/>
        <v/>
      </c>
      <c r="W83" s="43" t="str">
        <f t="shared" si="29"/>
        <v/>
      </c>
      <c r="X83" s="45" t="str">
        <f t="shared" si="30"/>
        <v/>
      </c>
      <c r="AD83" s="77"/>
      <c r="AE83" s="77"/>
      <c r="AF83" s="172"/>
      <c r="AG83" s="116"/>
      <c r="AH83" s="118"/>
      <c r="AI83" s="77"/>
      <c r="AJ83" s="78"/>
      <c r="AK83" s="116"/>
      <c r="AL83" s="79"/>
      <c r="AM83" s="77"/>
      <c r="AN83" s="172"/>
      <c r="AO83" s="116"/>
      <c r="AQ83" s="43">
        <f t="shared" si="19"/>
        <v>0</v>
      </c>
      <c r="AR83" s="43">
        <f t="shared" si="20"/>
        <v>0</v>
      </c>
      <c r="AS83" s="43">
        <f t="shared" si="21"/>
        <v>0</v>
      </c>
    </row>
    <row r="84" spans="2:45" ht="21" customHeight="1">
      <c r="B84" s="43">
        <v>80</v>
      </c>
      <c r="C84" s="44">
        <f>'Course 1'!C84</f>
        <v>2</v>
      </c>
      <c r="D84" s="46" t="str">
        <f>IF(C84="","",HLOOKUP(C84,'Règles et points'!$D$5:$Y$7,3))</f>
        <v>D12</v>
      </c>
      <c r="E84" s="46" t="str">
        <f>IF(C84="","",HLOOKUP(C84,'Règles et points'!$D$5:$Y$7,2))</f>
        <v>F</v>
      </c>
      <c r="F84" s="43" t="str">
        <f>IF('Course 1'!E84="","",'Course 1'!E84)</f>
        <v>DUSSAIX</v>
      </c>
      <c r="G84" s="43" t="str">
        <f>IF('Course 1'!F84="","",'Course 1'!F84)</f>
        <v>Margaux</v>
      </c>
      <c r="H84" s="56">
        <f>'Course 1'!M84+'Course 2'!M84+'Course 3'!M84+'Course 4'!M84+'Course 4'!M84</f>
        <v>30</v>
      </c>
      <c r="J84" s="43" t="str">
        <f t="shared" si="22"/>
        <v>DUSSAIX</v>
      </c>
      <c r="K84" s="43" t="str">
        <f t="shared" si="23"/>
        <v>Margaux</v>
      </c>
      <c r="L84" s="53">
        <f t="shared" si="24"/>
        <v>30</v>
      </c>
      <c r="N84" s="43" t="str">
        <f t="shared" si="31"/>
        <v/>
      </c>
      <c r="O84" s="43" t="str">
        <f t="shared" si="32"/>
        <v/>
      </c>
      <c r="P84" s="53" t="str">
        <f t="shared" si="33"/>
        <v/>
      </c>
      <c r="R84" s="43" t="str">
        <f t="shared" si="25"/>
        <v/>
      </c>
      <c r="S84" s="43" t="str">
        <f t="shared" si="26"/>
        <v/>
      </c>
      <c r="T84" s="45" t="str">
        <f t="shared" si="27"/>
        <v/>
      </c>
      <c r="V84" s="43" t="str">
        <f t="shared" si="28"/>
        <v/>
      </c>
      <c r="W84" s="43" t="str">
        <f t="shared" si="29"/>
        <v/>
      </c>
      <c r="X84" s="45" t="str">
        <f t="shared" si="30"/>
        <v/>
      </c>
      <c r="AD84" s="77"/>
      <c r="AE84" s="77"/>
      <c r="AF84" s="172"/>
      <c r="AG84" s="116"/>
      <c r="AH84" s="118"/>
      <c r="AI84" s="77"/>
      <c r="AJ84" s="172"/>
      <c r="AK84" s="116"/>
      <c r="AL84" s="79"/>
      <c r="AM84" s="77"/>
      <c r="AN84" s="172"/>
      <c r="AO84" s="116"/>
      <c r="AQ84" s="43">
        <f t="shared" si="19"/>
        <v>0</v>
      </c>
      <c r="AR84" s="43">
        <f t="shared" si="20"/>
        <v>0</v>
      </c>
      <c r="AS84" s="43">
        <f t="shared" si="21"/>
        <v>0</v>
      </c>
    </row>
    <row r="85" spans="2:45" ht="21" customHeight="1">
      <c r="B85" s="43">
        <v>81</v>
      </c>
      <c r="C85" s="44">
        <f>'Course 1'!C85</f>
        <v>26</v>
      </c>
      <c r="D85" s="46" t="str">
        <f>IF(C85="","",HLOOKUP(C85,'Règles et points'!$D$5:$Y$7,3))</f>
        <v>H21</v>
      </c>
      <c r="E85" s="46" t="str">
        <f>IF(C85="","",HLOOKUP(C85,'Règles et points'!$D$5:$Y$7,2))</f>
        <v>H</v>
      </c>
      <c r="F85" s="43" t="str">
        <f>IF('Course 1'!E85="","",'Course 1'!E85)</f>
        <v>DELABROYE DUCROQ</v>
      </c>
      <c r="G85" s="43" t="str">
        <f>IF('Course 1'!F85="","",'Course 1'!F85)</f>
        <v>Arnaud</v>
      </c>
      <c r="H85" s="56">
        <f>'Course 1'!M85+'Course 2'!M85+'Course 3'!M85+'Course 4'!M85+'Course 4'!M85</f>
        <v>0</v>
      </c>
      <c r="J85" s="43" t="str">
        <f t="shared" si="22"/>
        <v/>
      </c>
      <c r="K85" s="43" t="str">
        <f t="shared" si="23"/>
        <v/>
      </c>
      <c r="L85" s="53" t="str">
        <f t="shared" si="24"/>
        <v/>
      </c>
      <c r="N85" s="43" t="str">
        <f t="shared" si="31"/>
        <v/>
      </c>
      <c r="O85" s="43" t="str">
        <f t="shared" si="32"/>
        <v/>
      </c>
      <c r="P85" s="53" t="str">
        <f t="shared" si="33"/>
        <v/>
      </c>
      <c r="R85" s="43" t="str">
        <f t="shared" si="25"/>
        <v/>
      </c>
      <c r="S85" s="43" t="str">
        <f t="shared" si="26"/>
        <v/>
      </c>
      <c r="T85" s="45" t="str">
        <f t="shared" si="27"/>
        <v/>
      </c>
      <c r="V85" s="43" t="str">
        <f t="shared" si="28"/>
        <v>DELABROYE DUCROQ</v>
      </c>
      <c r="W85" s="43" t="str">
        <f t="shared" si="29"/>
        <v>Arnaud</v>
      </c>
      <c r="X85" s="45">
        <f t="shared" si="30"/>
        <v>0</v>
      </c>
      <c r="AD85" s="77"/>
      <c r="AE85" s="77"/>
      <c r="AF85" s="172"/>
      <c r="AG85" s="116"/>
      <c r="AH85" s="118"/>
      <c r="AI85" s="77"/>
      <c r="AJ85" s="172"/>
      <c r="AK85" s="116"/>
      <c r="AL85" s="79"/>
      <c r="AM85" s="77"/>
      <c r="AN85" s="172"/>
      <c r="AO85" s="116"/>
      <c r="AQ85" s="43">
        <f t="shared" si="19"/>
        <v>0</v>
      </c>
      <c r="AR85" s="43">
        <f t="shared" si="20"/>
        <v>0</v>
      </c>
      <c r="AS85" s="43">
        <f t="shared" si="21"/>
        <v>0</v>
      </c>
    </row>
    <row r="86" spans="2:45" ht="21" customHeight="1">
      <c r="B86" s="43">
        <v>82</v>
      </c>
      <c r="C86" s="44">
        <f>'Course 1'!C86</f>
        <v>16</v>
      </c>
      <c r="D86" s="46" t="str">
        <f>IF(C86="","",HLOOKUP(C86,'Règles et points'!$D$5:$Y$7,3))</f>
        <v>H10</v>
      </c>
      <c r="E86" s="46" t="str">
        <f>IF(C86="","",HLOOKUP(C86,'Règles et points'!$D$5:$Y$7,2))</f>
        <v>G</v>
      </c>
      <c r="F86" s="43" t="str">
        <f>IF('Course 1'!E86="","",'Course 1'!E86)</f>
        <v>DELABROYE DUCROQ</v>
      </c>
      <c r="G86" s="43" t="str">
        <f>IF('Course 1'!F86="","",'Course 1'!F86)</f>
        <v>Adam</v>
      </c>
      <c r="H86" s="56">
        <f>'Course 1'!M86+'Course 2'!M86+'Course 3'!M86+'Course 4'!M86+'Course 4'!M86</f>
        <v>0</v>
      </c>
      <c r="J86" s="43" t="str">
        <f t="shared" si="22"/>
        <v/>
      </c>
      <c r="K86" s="43" t="str">
        <f t="shared" si="23"/>
        <v/>
      </c>
      <c r="L86" s="53" t="str">
        <f t="shared" si="24"/>
        <v/>
      </c>
      <c r="N86" s="43" t="str">
        <f t="shared" si="31"/>
        <v>DELABROYE DUCROQ</v>
      </c>
      <c r="O86" s="43" t="str">
        <f t="shared" si="32"/>
        <v>Adam</v>
      </c>
      <c r="P86" s="53">
        <f t="shared" si="33"/>
        <v>0</v>
      </c>
      <c r="R86" s="43" t="str">
        <f t="shared" si="25"/>
        <v/>
      </c>
      <c r="S86" s="43" t="str">
        <f t="shared" si="26"/>
        <v/>
      </c>
      <c r="T86" s="45" t="str">
        <f t="shared" si="27"/>
        <v/>
      </c>
      <c r="V86" s="43" t="str">
        <f t="shared" si="28"/>
        <v/>
      </c>
      <c r="W86" s="43" t="str">
        <f t="shared" si="29"/>
        <v/>
      </c>
      <c r="X86" s="45" t="str">
        <f t="shared" si="30"/>
        <v/>
      </c>
      <c r="AF86" s="173"/>
      <c r="AG86" s="116"/>
      <c r="AH86" s="118"/>
      <c r="AI86" s="77"/>
      <c r="AJ86" s="172"/>
      <c r="AK86" s="116"/>
      <c r="AL86" s="79"/>
      <c r="AM86" s="77"/>
      <c r="AN86" s="172"/>
      <c r="AO86" s="116"/>
      <c r="AQ86" s="43">
        <f t="shared" si="19"/>
        <v>0</v>
      </c>
      <c r="AR86" s="43">
        <f t="shared" si="20"/>
        <v>0</v>
      </c>
      <c r="AS86" s="43">
        <f t="shared" si="21"/>
        <v>0</v>
      </c>
    </row>
    <row r="87" spans="2:45" ht="21" customHeight="1">
      <c r="B87" s="43">
        <v>83</v>
      </c>
      <c r="C87" s="44">
        <f>'Course 1'!C87</f>
        <v>18</v>
      </c>
      <c r="D87" s="46" t="str">
        <f>IF(C87="","",HLOOKUP(C87,'Règles et points'!$D$5:$Y$7,3))</f>
        <v>H14</v>
      </c>
      <c r="E87" s="46" t="str">
        <f>IF(C87="","",HLOOKUP(C87,'Règles et points'!$D$5:$Y$7,2))</f>
        <v>G</v>
      </c>
      <c r="F87" s="43" t="str">
        <f>IF('Course 1'!E87="","",'Course 1'!E87)</f>
        <v>RICHARD</v>
      </c>
      <c r="G87" s="43" t="str">
        <f>IF('Course 1'!F87="","",'Course 1'!F87)</f>
        <v>Mathis</v>
      </c>
      <c r="H87" s="56">
        <f>'Course 1'!M87+'Course 2'!M87+'Course 3'!M87+'Course 4'!M87+'Course 4'!M87</f>
        <v>84.716666666666669</v>
      </c>
      <c r="J87" s="43" t="str">
        <f t="shared" si="22"/>
        <v/>
      </c>
      <c r="K87" s="43" t="str">
        <f t="shared" si="23"/>
        <v/>
      </c>
      <c r="L87" s="53" t="str">
        <f t="shared" si="24"/>
        <v/>
      </c>
      <c r="N87" s="43" t="str">
        <f t="shared" si="31"/>
        <v>RICHARD</v>
      </c>
      <c r="O87" s="43" t="str">
        <f t="shared" si="32"/>
        <v>Mathis</v>
      </c>
      <c r="P87" s="53">
        <f t="shared" si="33"/>
        <v>84.716666666666669</v>
      </c>
      <c r="R87" s="43" t="str">
        <f t="shared" si="25"/>
        <v/>
      </c>
      <c r="S87" s="43" t="str">
        <f t="shared" si="26"/>
        <v/>
      </c>
      <c r="T87" s="45" t="str">
        <f t="shared" si="27"/>
        <v/>
      </c>
      <c r="V87" s="43" t="str">
        <f t="shared" si="28"/>
        <v/>
      </c>
      <c r="W87" s="43" t="str">
        <f t="shared" si="29"/>
        <v/>
      </c>
      <c r="X87" s="45" t="str">
        <f t="shared" si="30"/>
        <v/>
      </c>
      <c r="AD87" s="77"/>
      <c r="AE87" s="77"/>
      <c r="AF87" s="172"/>
      <c r="AG87" s="116"/>
      <c r="AH87" s="118"/>
      <c r="AI87" s="77"/>
      <c r="AJ87" s="172"/>
      <c r="AK87" s="116"/>
      <c r="AL87" s="79"/>
      <c r="AM87" s="77"/>
      <c r="AN87" s="172"/>
      <c r="AO87" s="116"/>
      <c r="AQ87" s="43">
        <f t="shared" si="19"/>
        <v>0</v>
      </c>
      <c r="AR87" s="43">
        <f t="shared" si="20"/>
        <v>0</v>
      </c>
      <c r="AS87" s="43">
        <f t="shared" si="21"/>
        <v>0</v>
      </c>
    </row>
    <row r="88" spans="2:45" ht="21" customHeight="1">
      <c r="B88" s="43">
        <v>84</v>
      </c>
      <c r="C88" s="44">
        <f>'Course 1'!C88</f>
        <v>9</v>
      </c>
      <c r="D88" s="46" t="str">
        <f>IF(C88="","",HLOOKUP(C88,'Règles et points'!$D$5:$Y$7,3))</f>
        <v>D40</v>
      </c>
      <c r="E88" s="46" t="str">
        <f>IF(C88="","",HLOOKUP(C88,'Règles et points'!$D$5:$Y$7,2))</f>
        <v>D</v>
      </c>
      <c r="F88" s="43" t="str">
        <f>IF('Course 1'!E88="","",'Course 1'!E88)</f>
        <v>COQUET</v>
      </c>
      <c r="G88" s="43" t="str">
        <f>IF('Course 1'!F88="","",'Course 1'!F88)</f>
        <v>Coralie</v>
      </c>
      <c r="H88" s="56">
        <f>'Course 1'!M88+'Course 2'!M88+'Course 3'!M88+'Course 4'!M88+'Course 4'!M88</f>
        <v>0</v>
      </c>
      <c r="J88" s="43" t="str">
        <f t="shared" si="22"/>
        <v/>
      </c>
      <c r="K88" s="43" t="str">
        <f t="shared" si="23"/>
        <v/>
      </c>
      <c r="L88" s="53" t="str">
        <f t="shared" si="24"/>
        <v/>
      </c>
      <c r="N88" s="43" t="str">
        <f t="shared" si="31"/>
        <v/>
      </c>
      <c r="O88" s="43" t="str">
        <f t="shared" si="32"/>
        <v/>
      </c>
      <c r="P88" s="53" t="str">
        <f t="shared" si="33"/>
        <v/>
      </c>
      <c r="R88" s="43" t="str">
        <f t="shared" si="25"/>
        <v>COQUET</v>
      </c>
      <c r="S88" s="43" t="str">
        <f t="shared" si="26"/>
        <v>Coralie</v>
      </c>
      <c r="T88" s="45">
        <f t="shared" si="27"/>
        <v>0</v>
      </c>
      <c r="V88" s="43" t="str">
        <f t="shared" si="28"/>
        <v/>
      </c>
      <c r="W88" s="43" t="str">
        <f t="shared" si="29"/>
        <v/>
      </c>
      <c r="X88" s="45" t="str">
        <f t="shared" si="30"/>
        <v/>
      </c>
      <c r="AD88" s="77"/>
      <c r="AE88" s="77"/>
      <c r="AF88" s="172"/>
      <c r="AG88" s="116"/>
      <c r="AH88" s="118"/>
      <c r="AI88" s="77"/>
      <c r="AJ88" s="172"/>
      <c r="AK88" s="116"/>
      <c r="AL88" s="79"/>
      <c r="AM88" s="77"/>
      <c r="AN88" s="172"/>
      <c r="AO88" s="116"/>
      <c r="AQ88" s="43">
        <f t="shared" si="19"/>
        <v>0</v>
      </c>
      <c r="AR88" s="43">
        <f t="shared" si="20"/>
        <v>0</v>
      </c>
      <c r="AS88" s="43">
        <f t="shared" si="21"/>
        <v>0</v>
      </c>
    </row>
    <row r="89" spans="2:45" ht="21" customHeight="1">
      <c r="B89" s="43">
        <v>85</v>
      </c>
      <c r="C89" s="44">
        <f>'Course 1'!C89</f>
        <v>17</v>
      </c>
      <c r="D89" s="46" t="str">
        <f>IF(C89="","",HLOOKUP(C89,'Règles et points'!$D$5:$Y$7,3))</f>
        <v>H12</v>
      </c>
      <c r="E89" s="46" t="str">
        <f>IF(C89="","",HLOOKUP(C89,'Règles et points'!$D$5:$Y$7,2))</f>
        <v>G</v>
      </c>
      <c r="F89" s="43" t="str">
        <f>IF('Course 1'!E89="","",'Course 1'!E89)</f>
        <v>MONTACIE</v>
      </c>
      <c r="G89" s="43" t="str">
        <f>IF('Course 1'!F89="","",'Course 1'!F89)</f>
        <v>Victor</v>
      </c>
      <c r="H89" s="56">
        <f>'Course 1'!M89+'Course 2'!M89+'Course 3'!M89+'Course 4'!M89+'Course 4'!M89</f>
        <v>48.150000000000006</v>
      </c>
      <c r="J89" s="43" t="str">
        <f t="shared" si="22"/>
        <v/>
      </c>
      <c r="K89" s="43" t="str">
        <f t="shared" si="23"/>
        <v/>
      </c>
      <c r="L89" s="53" t="str">
        <f t="shared" si="24"/>
        <v/>
      </c>
      <c r="N89" s="43" t="str">
        <f t="shared" si="31"/>
        <v>MONTACIE</v>
      </c>
      <c r="O89" s="43" t="str">
        <f t="shared" si="32"/>
        <v>Victor</v>
      </c>
      <c r="P89" s="53">
        <f t="shared" si="33"/>
        <v>48.150000000000006</v>
      </c>
      <c r="R89" s="43" t="str">
        <f t="shared" si="25"/>
        <v/>
      </c>
      <c r="S89" s="43" t="str">
        <f t="shared" si="26"/>
        <v/>
      </c>
      <c r="T89" s="45" t="str">
        <f t="shared" si="27"/>
        <v/>
      </c>
      <c r="V89" s="43" t="str">
        <f t="shared" si="28"/>
        <v/>
      </c>
      <c r="W89" s="43" t="str">
        <f t="shared" si="29"/>
        <v/>
      </c>
      <c r="X89" s="45" t="str">
        <f t="shared" si="30"/>
        <v/>
      </c>
      <c r="AD89" s="77"/>
      <c r="AE89" s="77"/>
      <c r="AF89" s="172"/>
      <c r="AG89" s="116"/>
      <c r="AH89" s="118"/>
      <c r="AI89" s="77"/>
      <c r="AJ89" s="172"/>
      <c r="AK89" s="116"/>
      <c r="AL89" s="79"/>
      <c r="AM89" s="77"/>
      <c r="AN89" s="172"/>
      <c r="AO89" s="116"/>
      <c r="AQ89" s="43">
        <f t="shared" si="19"/>
        <v>0</v>
      </c>
      <c r="AR89" s="43">
        <f t="shared" si="20"/>
        <v>0</v>
      </c>
      <c r="AS89" s="43">
        <f t="shared" si="21"/>
        <v>0</v>
      </c>
    </row>
    <row r="90" spans="2:45" ht="21" customHeight="1">
      <c r="B90" s="43">
        <v>86</v>
      </c>
      <c r="C90" s="44">
        <f>'Course 1'!C90</f>
        <v>19</v>
      </c>
      <c r="D90" s="46" t="str">
        <f>IF(C90="","",HLOOKUP(C90,'Règles et points'!$D$5:$Y$7,3))</f>
        <v>H16</v>
      </c>
      <c r="E90" s="46" t="str">
        <f>IF(C90="","",HLOOKUP(C90,'Règles et points'!$D$5:$Y$7,2))</f>
        <v>G</v>
      </c>
      <c r="F90" s="43" t="str">
        <f>IF('Course 1'!E90="","",'Course 1'!E90)</f>
        <v>MEUNIER</v>
      </c>
      <c r="G90" s="43" t="str">
        <f>IF('Course 1'!F90="","",'Course 1'!F90)</f>
        <v>Hadrien</v>
      </c>
      <c r="H90" s="56">
        <f>'Course 1'!M90+'Course 2'!M90+'Course 3'!M90+'Course 4'!M90+'Course 4'!M90</f>
        <v>0</v>
      </c>
      <c r="J90" s="43" t="str">
        <f t="shared" si="22"/>
        <v/>
      </c>
      <c r="K90" s="43" t="str">
        <f t="shared" si="23"/>
        <v/>
      </c>
      <c r="L90" s="53" t="str">
        <f t="shared" si="24"/>
        <v/>
      </c>
      <c r="N90" s="43" t="str">
        <f t="shared" si="31"/>
        <v>MEUNIER</v>
      </c>
      <c r="O90" s="43" t="str">
        <f t="shared" si="32"/>
        <v>Hadrien</v>
      </c>
      <c r="P90" s="53">
        <f t="shared" si="33"/>
        <v>0</v>
      </c>
      <c r="R90" s="43" t="str">
        <f t="shared" si="25"/>
        <v/>
      </c>
      <c r="S90" s="43" t="str">
        <f t="shared" si="26"/>
        <v/>
      </c>
      <c r="T90" s="45" t="str">
        <f t="shared" si="27"/>
        <v/>
      </c>
      <c r="V90" s="43" t="str">
        <f t="shared" si="28"/>
        <v/>
      </c>
      <c r="W90" s="43" t="str">
        <f t="shared" si="29"/>
        <v/>
      </c>
      <c r="X90" s="45" t="str">
        <f t="shared" si="30"/>
        <v/>
      </c>
      <c r="AD90" s="77"/>
      <c r="AE90" s="77"/>
      <c r="AF90" s="172"/>
      <c r="AG90" s="116"/>
      <c r="AH90" s="118"/>
      <c r="AI90" s="77"/>
      <c r="AJ90" s="172"/>
      <c r="AK90" s="116"/>
      <c r="AL90" s="79"/>
      <c r="AM90" s="77"/>
      <c r="AN90" s="172"/>
      <c r="AO90" s="116"/>
      <c r="AQ90" s="43">
        <f t="shared" si="19"/>
        <v>0</v>
      </c>
      <c r="AR90" s="43">
        <f t="shared" si="20"/>
        <v>0</v>
      </c>
      <c r="AS90" s="43">
        <f t="shared" si="21"/>
        <v>0</v>
      </c>
    </row>
    <row r="91" spans="2:45" ht="21" customHeight="1">
      <c r="B91" s="43">
        <v>87</v>
      </c>
      <c r="C91" s="44">
        <f>'Course 1'!C91</f>
        <v>10</v>
      </c>
      <c r="D91" s="46" t="str">
        <f>IF(C91="","",HLOOKUP(C91,'Règles et points'!$D$5:$Y$7,3))</f>
        <v>D45</v>
      </c>
      <c r="E91" s="46" t="str">
        <f>IF(C91="","",HLOOKUP(C91,'Règles et points'!$D$5:$Y$7,2))</f>
        <v>D</v>
      </c>
      <c r="F91" s="43" t="str">
        <f>IF('Course 1'!E91="","",'Course 1'!E91)</f>
        <v>SNELLMAN</v>
      </c>
      <c r="G91" s="43" t="str">
        <f>IF('Course 1'!F91="","",'Course 1'!F91)</f>
        <v>Kaisa</v>
      </c>
      <c r="H91" s="56">
        <f>'Course 1'!M91+'Course 2'!M91+'Course 3'!M91+'Course 4'!M91+'Course 4'!M91</f>
        <v>64.033333333333331</v>
      </c>
      <c r="J91" s="43" t="str">
        <f t="shared" si="22"/>
        <v/>
      </c>
      <c r="K91" s="43" t="str">
        <f t="shared" si="23"/>
        <v/>
      </c>
      <c r="L91" s="53" t="str">
        <f t="shared" si="24"/>
        <v/>
      </c>
      <c r="N91" s="43" t="str">
        <f t="shared" si="31"/>
        <v/>
      </c>
      <c r="O91" s="43" t="str">
        <f t="shared" si="32"/>
        <v/>
      </c>
      <c r="P91" s="53" t="str">
        <f t="shared" si="33"/>
        <v/>
      </c>
      <c r="R91" s="43" t="str">
        <f t="shared" si="25"/>
        <v>SNELLMAN</v>
      </c>
      <c r="S91" s="43" t="str">
        <f t="shared" si="26"/>
        <v>Kaisa</v>
      </c>
      <c r="T91" s="45">
        <f t="shared" si="27"/>
        <v>64.033333333333331</v>
      </c>
      <c r="V91" s="43" t="str">
        <f t="shared" si="28"/>
        <v/>
      </c>
      <c r="W91" s="43" t="str">
        <f t="shared" si="29"/>
        <v/>
      </c>
      <c r="X91" s="45" t="str">
        <f t="shared" si="30"/>
        <v/>
      </c>
      <c r="AD91" s="77"/>
      <c r="AE91" s="77"/>
      <c r="AF91" s="78"/>
      <c r="AG91" s="116"/>
      <c r="AH91" s="118"/>
      <c r="AI91" s="77"/>
      <c r="AJ91" s="78"/>
      <c r="AK91" s="116"/>
      <c r="AL91" s="79"/>
      <c r="AM91" s="77"/>
      <c r="AN91" s="172"/>
      <c r="AO91" s="116"/>
      <c r="AQ91" s="43">
        <f t="shared" si="19"/>
        <v>0</v>
      </c>
      <c r="AR91" s="43">
        <f t="shared" si="20"/>
        <v>0</v>
      </c>
      <c r="AS91" s="43">
        <f t="shared" si="21"/>
        <v>0</v>
      </c>
    </row>
    <row r="92" spans="2:45" ht="21" customHeight="1">
      <c r="B92" s="43">
        <v>88</v>
      </c>
      <c r="C92" s="44" t="e">
        <f>'Course 1'!C92</f>
        <v>#N/A</v>
      </c>
      <c r="D92" s="46" t="e">
        <f>IF(C92="","",HLOOKUP(C92,'Règles et points'!$D$5:$Y$7,3))</f>
        <v>#N/A</v>
      </c>
      <c r="E92" s="46" t="e">
        <f>IF(C92="","",HLOOKUP(C92,'Règles et points'!$D$5:$Y$7,2))</f>
        <v>#N/A</v>
      </c>
      <c r="F92" s="43" t="str">
        <f>IF('Course 1'!E92="","",'Course 1'!E92)</f>
        <v/>
      </c>
      <c r="G92" s="43" t="str">
        <f>IF('Course 1'!F92="","",'Course 1'!F92)</f>
        <v/>
      </c>
      <c r="H92" s="56">
        <f>'Course 1'!M92+'Course 2'!M92+'Course 3'!M92+'Course 4'!M92+'Course 4'!M92</f>
        <v>0</v>
      </c>
      <c r="J92" s="43" t="e">
        <f t="shared" si="22"/>
        <v>#N/A</v>
      </c>
      <c r="K92" s="43" t="e">
        <f t="shared" si="23"/>
        <v>#N/A</v>
      </c>
      <c r="L92" s="53" t="e">
        <f t="shared" si="24"/>
        <v>#N/A</v>
      </c>
      <c r="N92" s="43" t="e">
        <f t="shared" si="31"/>
        <v>#N/A</v>
      </c>
      <c r="O92" s="43" t="e">
        <f t="shared" si="32"/>
        <v>#N/A</v>
      </c>
      <c r="P92" s="53" t="e">
        <f t="shared" si="33"/>
        <v>#N/A</v>
      </c>
      <c r="R92" s="43" t="e">
        <f t="shared" si="25"/>
        <v>#N/A</v>
      </c>
      <c r="S92" s="43" t="e">
        <f t="shared" si="26"/>
        <v>#N/A</v>
      </c>
      <c r="T92" s="45" t="e">
        <f t="shared" si="27"/>
        <v>#N/A</v>
      </c>
      <c r="V92" s="43" t="e">
        <f t="shared" si="28"/>
        <v>#N/A</v>
      </c>
      <c r="W92" s="43" t="e">
        <f t="shared" si="29"/>
        <v>#N/A</v>
      </c>
      <c r="X92" s="45" t="e">
        <f t="shared" si="30"/>
        <v>#N/A</v>
      </c>
      <c r="AD92" s="77"/>
      <c r="AE92" s="77"/>
      <c r="AF92" s="78"/>
      <c r="AG92" s="116"/>
      <c r="AH92" s="118"/>
      <c r="AI92" s="77"/>
      <c r="AJ92" s="78"/>
      <c r="AK92" s="116"/>
      <c r="AL92" s="79"/>
      <c r="AM92" s="77"/>
      <c r="AN92" s="172"/>
      <c r="AO92" s="116"/>
      <c r="AQ92" s="43">
        <f t="shared" si="19"/>
        <v>0</v>
      </c>
      <c r="AR92" s="43">
        <f t="shared" si="20"/>
        <v>0</v>
      </c>
      <c r="AS92" s="43">
        <f t="shared" si="21"/>
        <v>0</v>
      </c>
    </row>
    <row r="93" spans="2:45" ht="21" customHeight="1">
      <c r="B93" s="43">
        <v>89</v>
      </c>
      <c r="C93" s="44" t="e">
        <f>'Course 1'!C93</f>
        <v>#N/A</v>
      </c>
      <c r="D93" s="46" t="e">
        <f>IF(C93="","",HLOOKUP(C93,'Règles et points'!$D$5:$Y$7,3))</f>
        <v>#N/A</v>
      </c>
      <c r="E93" s="46" t="e">
        <f>IF(C93="","",HLOOKUP(C93,'Règles et points'!$D$5:$Y$7,2))</f>
        <v>#N/A</v>
      </c>
      <c r="F93" s="43" t="str">
        <f>IF('Course 1'!E93="","",'Course 1'!E93)</f>
        <v/>
      </c>
      <c r="G93" s="43" t="str">
        <f>IF('Course 1'!F93="","",'Course 1'!F93)</f>
        <v/>
      </c>
      <c r="H93" s="56">
        <f>'Course 1'!M93+'Course 2'!M93+'Course 3'!M93+'Course 4'!M93+'Course 4'!M93</f>
        <v>0</v>
      </c>
      <c r="J93" s="43" t="e">
        <f t="shared" si="22"/>
        <v>#N/A</v>
      </c>
      <c r="K93" s="43" t="e">
        <f t="shared" si="23"/>
        <v>#N/A</v>
      </c>
      <c r="L93" s="53" t="e">
        <f t="shared" si="24"/>
        <v>#N/A</v>
      </c>
      <c r="N93" s="43" t="e">
        <f t="shared" si="31"/>
        <v>#N/A</v>
      </c>
      <c r="O93" s="43" t="e">
        <f t="shared" si="32"/>
        <v>#N/A</v>
      </c>
      <c r="P93" s="53" t="e">
        <f t="shared" si="33"/>
        <v>#N/A</v>
      </c>
      <c r="R93" s="43" t="e">
        <f t="shared" si="25"/>
        <v>#N/A</v>
      </c>
      <c r="S93" s="43" t="e">
        <f t="shared" si="26"/>
        <v>#N/A</v>
      </c>
      <c r="T93" s="45" t="e">
        <f t="shared" si="27"/>
        <v>#N/A</v>
      </c>
      <c r="V93" s="43" t="e">
        <f t="shared" si="28"/>
        <v>#N/A</v>
      </c>
      <c r="W93" s="43" t="e">
        <f t="shared" si="29"/>
        <v>#N/A</v>
      </c>
      <c r="X93" s="45" t="e">
        <f t="shared" si="30"/>
        <v>#N/A</v>
      </c>
      <c r="AD93" s="77"/>
      <c r="AE93" s="77"/>
      <c r="AF93" s="78"/>
      <c r="AG93" s="116"/>
      <c r="AH93" s="118"/>
      <c r="AI93" s="77"/>
      <c r="AJ93" s="78"/>
      <c r="AK93" s="116"/>
      <c r="AL93" s="79"/>
      <c r="AM93" s="77"/>
      <c r="AN93" s="172"/>
      <c r="AO93" s="116"/>
      <c r="AQ93" s="43">
        <f t="shared" si="19"/>
        <v>0</v>
      </c>
      <c r="AR93" s="43">
        <f t="shared" si="20"/>
        <v>0</v>
      </c>
      <c r="AS93" s="43">
        <f t="shared" si="21"/>
        <v>0</v>
      </c>
    </row>
    <row r="94" spans="2:45" ht="21" customHeight="1">
      <c r="B94" s="43">
        <v>90</v>
      </c>
      <c r="C94" s="44" t="e">
        <f>'Course 1'!C94</f>
        <v>#N/A</v>
      </c>
      <c r="D94" s="46" t="e">
        <f>IF(C94="","",HLOOKUP(C94,'Règles et points'!$D$5:$Y$7,3))</f>
        <v>#N/A</v>
      </c>
      <c r="E94" s="46" t="e">
        <f>IF(C94="","",HLOOKUP(C94,'Règles et points'!$D$5:$Y$7,2))</f>
        <v>#N/A</v>
      </c>
      <c r="F94" s="43" t="str">
        <f>IF('Course 1'!E94="","",'Course 1'!E94)</f>
        <v/>
      </c>
      <c r="G94" s="43" t="str">
        <f>IF('Course 1'!F94="","",'Course 1'!F94)</f>
        <v/>
      </c>
      <c r="H94" s="56">
        <f>'Course 1'!M94+'Course 2'!M94+'Course 3'!M94+'Course 4'!M94+'Course 4'!M94</f>
        <v>0</v>
      </c>
      <c r="J94" s="43" t="e">
        <f t="shared" si="22"/>
        <v>#N/A</v>
      </c>
      <c r="K94" s="43" t="e">
        <f t="shared" si="23"/>
        <v>#N/A</v>
      </c>
      <c r="L94" s="53" t="e">
        <f t="shared" si="24"/>
        <v>#N/A</v>
      </c>
      <c r="N94" s="43" t="e">
        <f t="shared" si="31"/>
        <v>#N/A</v>
      </c>
      <c r="O94" s="43" t="e">
        <f t="shared" si="32"/>
        <v>#N/A</v>
      </c>
      <c r="P94" s="53" t="e">
        <f t="shared" si="33"/>
        <v>#N/A</v>
      </c>
      <c r="R94" s="43" t="e">
        <f t="shared" si="25"/>
        <v>#N/A</v>
      </c>
      <c r="S94" s="43" t="e">
        <f t="shared" si="26"/>
        <v>#N/A</v>
      </c>
      <c r="T94" s="45" t="e">
        <f t="shared" si="27"/>
        <v>#N/A</v>
      </c>
      <c r="V94" s="43" t="e">
        <f t="shared" si="28"/>
        <v>#N/A</v>
      </c>
      <c r="W94" s="43" t="e">
        <f t="shared" si="29"/>
        <v>#N/A</v>
      </c>
      <c r="X94" s="45" t="e">
        <f t="shared" si="30"/>
        <v>#N/A</v>
      </c>
      <c r="AD94" s="77"/>
      <c r="AE94" s="77"/>
      <c r="AF94" s="78"/>
      <c r="AG94" s="116"/>
      <c r="AH94" s="118"/>
      <c r="AI94" s="77"/>
      <c r="AJ94" s="78"/>
      <c r="AK94" s="116"/>
      <c r="AL94" s="79"/>
      <c r="AM94" s="77"/>
      <c r="AN94" s="172"/>
      <c r="AO94" s="116"/>
      <c r="AQ94" s="43">
        <f t="shared" si="19"/>
        <v>0</v>
      </c>
      <c r="AR94" s="43">
        <f t="shared" si="20"/>
        <v>0</v>
      </c>
      <c r="AS94" s="43">
        <f t="shared" si="21"/>
        <v>0</v>
      </c>
    </row>
    <row r="95" spans="2:45" ht="21" customHeight="1">
      <c r="B95" s="43">
        <v>91</v>
      </c>
      <c r="C95" s="44" t="e">
        <f>'Course 1'!C95</f>
        <v>#N/A</v>
      </c>
      <c r="D95" s="46" t="e">
        <f>IF(C95="","",HLOOKUP(C95,'Règles et points'!$D$5:$Y$7,3))</f>
        <v>#N/A</v>
      </c>
      <c r="E95" s="46" t="e">
        <f>IF(C95="","",HLOOKUP(C95,'Règles et points'!$D$5:$Y$7,2))</f>
        <v>#N/A</v>
      </c>
      <c r="F95" s="43" t="str">
        <f>IF('Course 1'!E95="","",'Course 1'!E95)</f>
        <v/>
      </c>
      <c r="G95" s="43" t="str">
        <f>IF('Course 1'!F95="","",'Course 1'!F95)</f>
        <v/>
      </c>
      <c r="H95" s="56">
        <f>'Course 1'!M95+'Course 2'!M95+'Course 3'!M95+'Course 4'!M95+'Course 4'!M95</f>
        <v>0</v>
      </c>
      <c r="J95" s="43" t="e">
        <f t="shared" si="22"/>
        <v>#N/A</v>
      </c>
      <c r="K95" s="43" t="e">
        <f t="shared" si="23"/>
        <v>#N/A</v>
      </c>
      <c r="L95" s="53" t="e">
        <f t="shared" si="24"/>
        <v>#N/A</v>
      </c>
      <c r="N95" s="43" t="e">
        <f t="shared" si="31"/>
        <v>#N/A</v>
      </c>
      <c r="O95" s="43" t="e">
        <f t="shared" si="32"/>
        <v>#N/A</v>
      </c>
      <c r="P95" s="53" t="e">
        <f t="shared" si="33"/>
        <v>#N/A</v>
      </c>
      <c r="R95" s="43" t="e">
        <f t="shared" si="25"/>
        <v>#N/A</v>
      </c>
      <c r="S95" s="43" t="e">
        <f t="shared" si="26"/>
        <v>#N/A</v>
      </c>
      <c r="T95" s="45" t="e">
        <f t="shared" si="27"/>
        <v>#N/A</v>
      </c>
      <c r="V95" s="43" t="e">
        <f t="shared" si="28"/>
        <v>#N/A</v>
      </c>
      <c r="W95" s="43" t="e">
        <f t="shared" si="29"/>
        <v>#N/A</v>
      </c>
      <c r="X95" s="45" t="e">
        <f t="shared" si="30"/>
        <v>#N/A</v>
      </c>
      <c r="AD95" s="77"/>
      <c r="AE95" s="77"/>
      <c r="AF95" s="78"/>
      <c r="AG95" s="116"/>
      <c r="AH95" s="118"/>
      <c r="AI95" s="77"/>
      <c r="AJ95" s="78"/>
      <c r="AK95" s="116"/>
      <c r="AL95" s="79"/>
      <c r="AM95" s="77"/>
      <c r="AN95" s="172"/>
      <c r="AO95" s="116"/>
      <c r="AQ95" s="43">
        <f t="shared" si="19"/>
        <v>0</v>
      </c>
      <c r="AR95" s="43">
        <f t="shared" si="20"/>
        <v>0</v>
      </c>
      <c r="AS95" s="43">
        <f t="shared" si="21"/>
        <v>0</v>
      </c>
    </row>
    <row r="96" spans="2:45" ht="21" customHeight="1">
      <c r="B96" s="43">
        <v>92</v>
      </c>
      <c r="C96" s="44" t="e">
        <f>'Course 1'!C96</f>
        <v>#N/A</v>
      </c>
      <c r="D96" s="46" t="e">
        <f>IF(C96="","",HLOOKUP(C96,'Règles et points'!$D$5:$Y$7,3))</f>
        <v>#N/A</v>
      </c>
      <c r="E96" s="46" t="e">
        <f>IF(C96="","",HLOOKUP(C96,'Règles et points'!$D$5:$Y$7,2))</f>
        <v>#N/A</v>
      </c>
      <c r="F96" s="43" t="str">
        <f>IF('Course 1'!E96="","",'Course 1'!E96)</f>
        <v/>
      </c>
      <c r="G96" s="43" t="str">
        <f>IF('Course 1'!F96="","",'Course 1'!F96)</f>
        <v/>
      </c>
      <c r="H96" s="56">
        <f>'Course 1'!M96+'Course 2'!M96+'Course 3'!M96+'Course 4'!M96+'Course 4'!M96</f>
        <v>0</v>
      </c>
      <c r="J96" s="43" t="e">
        <f t="shared" si="22"/>
        <v>#N/A</v>
      </c>
      <c r="K96" s="43" t="e">
        <f t="shared" si="23"/>
        <v>#N/A</v>
      </c>
      <c r="L96" s="53" t="e">
        <f t="shared" si="24"/>
        <v>#N/A</v>
      </c>
      <c r="N96" s="43" t="e">
        <f t="shared" si="31"/>
        <v>#N/A</v>
      </c>
      <c r="O96" s="43" t="e">
        <f t="shared" si="32"/>
        <v>#N/A</v>
      </c>
      <c r="P96" s="53" t="e">
        <f t="shared" si="33"/>
        <v>#N/A</v>
      </c>
      <c r="R96" s="43" t="e">
        <f t="shared" si="25"/>
        <v>#N/A</v>
      </c>
      <c r="S96" s="43" t="e">
        <f t="shared" si="26"/>
        <v>#N/A</v>
      </c>
      <c r="T96" s="45" t="e">
        <f t="shared" si="27"/>
        <v>#N/A</v>
      </c>
      <c r="V96" s="43" t="e">
        <f t="shared" si="28"/>
        <v>#N/A</v>
      </c>
      <c r="W96" s="43" t="e">
        <f t="shared" si="29"/>
        <v>#N/A</v>
      </c>
      <c r="X96" s="45" t="e">
        <f t="shared" si="30"/>
        <v>#N/A</v>
      </c>
      <c r="AD96" s="77"/>
      <c r="AE96" s="77"/>
      <c r="AF96" s="78"/>
      <c r="AG96" s="116"/>
      <c r="AH96" s="118"/>
      <c r="AI96" s="77"/>
      <c r="AJ96" s="78"/>
      <c r="AK96" s="116"/>
      <c r="AL96" s="79"/>
      <c r="AM96" s="77"/>
      <c r="AN96" s="172"/>
      <c r="AO96" s="116"/>
      <c r="AQ96" s="43">
        <f t="shared" si="19"/>
        <v>0</v>
      </c>
      <c r="AR96" s="43">
        <f t="shared" si="20"/>
        <v>0</v>
      </c>
      <c r="AS96" s="43">
        <f t="shared" si="21"/>
        <v>0</v>
      </c>
    </row>
    <row r="97" spans="2:45" ht="21" customHeight="1">
      <c r="B97" s="43">
        <v>93</v>
      </c>
      <c r="C97" s="44" t="e">
        <f>'Course 1'!C97</f>
        <v>#N/A</v>
      </c>
      <c r="D97" s="46" t="e">
        <f>IF(C97="","",HLOOKUP(C97,'Règles et points'!$D$5:$Y$7,3))</f>
        <v>#N/A</v>
      </c>
      <c r="E97" s="46" t="e">
        <f>IF(C97="","",HLOOKUP(C97,'Règles et points'!$D$5:$Y$7,2))</f>
        <v>#N/A</v>
      </c>
      <c r="F97" s="43" t="str">
        <f>IF('Course 1'!E97="","",'Course 1'!E97)</f>
        <v/>
      </c>
      <c r="G97" s="43" t="str">
        <f>IF('Course 1'!F97="","",'Course 1'!F97)</f>
        <v/>
      </c>
      <c r="H97" s="56">
        <f>'Course 1'!M97+'Course 2'!M97+'Course 3'!M97+'Course 4'!M97+'Course 4'!M97</f>
        <v>0</v>
      </c>
      <c r="J97" s="43" t="e">
        <f t="shared" si="22"/>
        <v>#N/A</v>
      </c>
      <c r="K97" s="43" t="e">
        <f t="shared" si="23"/>
        <v>#N/A</v>
      </c>
      <c r="L97" s="53" t="e">
        <f t="shared" si="24"/>
        <v>#N/A</v>
      </c>
      <c r="N97" s="43" t="e">
        <f t="shared" si="31"/>
        <v>#N/A</v>
      </c>
      <c r="O97" s="43" t="e">
        <f t="shared" si="32"/>
        <v>#N/A</v>
      </c>
      <c r="P97" s="53" t="e">
        <f t="shared" si="33"/>
        <v>#N/A</v>
      </c>
      <c r="R97" s="43" t="e">
        <f t="shared" si="25"/>
        <v>#N/A</v>
      </c>
      <c r="S97" s="43" t="e">
        <f t="shared" si="26"/>
        <v>#N/A</v>
      </c>
      <c r="T97" s="45" t="e">
        <f t="shared" si="27"/>
        <v>#N/A</v>
      </c>
      <c r="V97" s="43" t="e">
        <f t="shared" si="28"/>
        <v>#N/A</v>
      </c>
      <c r="W97" s="43" t="e">
        <f t="shared" si="29"/>
        <v>#N/A</v>
      </c>
      <c r="X97" s="45" t="e">
        <f t="shared" si="30"/>
        <v>#N/A</v>
      </c>
      <c r="AD97" s="77"/>
      <c r="AE97" s="77"/>
      <c r="AF97" s="78"/>
      <c r="AG97" s="116"/>
      <c r="AH97" s="118"/>
      <c r="AI97" s="77"/>
      <c r="AJ97" s="78"/>
      <c r="AK97" s="116"/>
      <c r="AL97" s="79"/>
      <c r="AM97" s="77"/>
      <c r="AN97" s="172"/>
      <c r="AO97" s="116"/>
      <c r="AQ97" s="43">
        <f t="shared" si="19"/>
        <v>0</v>
      </c>
      <c r="AR97" s="43">
        <f t="shared" si="20"/>
        <v>0</v>
      </c>
      <c r="AS97" s="43">
        <f t="shared" si="21"/>
        <v>0</v>
      </c>
    </row>
    <row r="98" spans="2:45" ht="21" customHeight="1">
      <c r="B98" s="43">
        <v>94</v>
      </c>
      <c r="C98" s="44" t="e">
        <f>'Course 1'!C98</f>
        <v>#N/A</v>
      </c>
      <c r="D98" s="46" t="e">
        <f>IF(C98="","",HLOOKUP(C98,'Règles et points'!$D$5:$Y$7,3))</f>
        <v>#N/A</v>
      </c>
      <c r="E98" s="46" t="e">
        <f>IF(C98="","",HLOOKUP(C98,'Règles et points'!$D$5:$Y$7,2))</f>
        <v>#N/A</v>
      </c>
      <c r="F98" s="43" t="str">
        <f>IF('Course 1'!E98="","",'Course 1'!E98)</f>
        <v/>
      </c>
      <c r="G98" s="43" t="str">
        <f>IF('Course 1'!F98="","",'Course 1'!F98)</f>
        <v/>
      </c>
      <c r="H98" s="56">
        <f>'Course 1'!M98+'Course 2'!M98+'Course 3'!M98+'Course 4'!M98+'Course 4'!M98</f>
        <v>0</v>
      </c>
      <c r="J98" s="43" t="e">
        <f t="shared" si="22"/>
        <v>#N/A</v>
      </c>
      <c r="K98" s="43" t="e">
        <f t="shared" si="23"/>
        <v>#N/A</v>
      </c>
      <c r="L98" s="53" t="e">
        <f t="shared" si="24"/>
        <v>#N/A</v>
      </c>
      <c r="N98" s="43" t="e">
        <f t="shared" si="31"/>
        <v>#N/A</v>
      </c>
      <c r="O98" s="43" t="e">
        <f t="shared" si="32"/>
        <v>#N/A</v>
      </c>
      <c r="P98" s="53" t="e">
        <f t="shared" si="33"/>
        <v>#N/A</v>
      </c>
      <c r="R98" s="43" t="e">
        <f t="shared" si="25"/>
        <v>#N/A</v>
      </c>
      <c r="S98" s="43" t="e">
        <f t="shared" si="26"/>
        <v>#N/A</v>
      </c>
      <c r="T98" s="45" t="e">
        <f t="shared" si="27"/>
        <v>#N/A</v>
      </c>
      <c r="V98" s="43" t="e">
        <f t="shared" si="28"/>
        <v>#N/A</v>
      </c>
      <c r="W98" s="43" t="e">
        <f t="shared" si="29"/>
        <v>#N/A</v>
      </c>
      <c r="X98" s="45" t="e">
        <f t="shared" si="30"/>
        <v>#N/A</v>
      </c>
      <c r="AD98" s="77"/>
      <c r="AE98" s="77"/>
      <c r="AF98" s="78"/>
      <c r="AG98" s="116"/>
      <c r="AH98" s="118"/>
      <c r="AI98" s="77"/>
      <c r="AJ98" s="78"/>
      <c r="AK98" s="116"/>
      <c r="AL98" s="79"/>
      <c r="AM98" s="77"/>
      <c r="AN98" s="172"/>
      <c r="AO98" s="116"/>
      <c r="AQ98" s="43">
        <f t="shared" si="19"/>
        <v>0</v>
      </c>
      <c r="AR98" s="43">
        <f t="shared" si="20"/>
        <v>0</v>
      </c>
      <c r="AS98" s="43">
        <f t="shared" si="21"/>
        <v>0</v>
      </c>
    </row>
    <row r="99" spans="2:45" ht="21" customHeight="1">
      <c r="B99" s="43">
        <v>95</v>
      </c>
      <c r="C99" s="44" t="e">
        <f>'Course 1'!C99</f>
        <v>#N/A</v>
      </c>
      <c r="D99" s="46" t="e">
        <f>IF(C99="","",HLOOKUP(C99,'Règles et points'!$D$5:$Y$7,3))</f>
        <v>#N/A</v>
      </c>
      <c r="E99" s="46" t="e">
        <f>IF(C99="","",HLOOKUP(C99,'Règles et points'!$D$5:$Y$7,2))</f>
        <v>#N/A</v>
      </c>
      <c r="F99" s="43" t="str">
        <f>IF('Course 1'!E99="","",'Course 1'!E99)</f>
        <v/>
      </c>
      <c r="G99" s="43" t="str">
        <f>IF('Course 1'!F99="","",'Course 1'!F99)</f>
        <v/>
      </c>
      <c r="H99" s="56">
        <f>'Course 1'!M99+'Course 2'!M99+'Course 3'!M99+'Course 4'!M99+'Course 4'!M99</f>
        <v>0</v>
      </c>
      <c r="J99" s="43" t="e">
        <f t="shared" si="22"/>
        <v>#N/A</v>
      </c>
      <c r="K99" s="43" t="e">
        <f t="shared" si="23"/>
        <v>#N/A</v>
      </c>
      <c r="L99" s="53" t="e">
        <f t="shared" si="24"/>
        <v>#N/A</v>
      </c>
      <c r="N99" s="43" t="e">
        <f t="shared" si="31"/>
        <v>#N/A</v>
      </c>
      <c r="O99" s="43" t="e">
        <f t="shared" si="32"/>
        <v>#N/A</v>
      </c>
      <c r="P99" s="53" t="e">
        <f t="shared" si="33"/>
        <v>#N/A</v>
      </c>
      <c r="R99" s="43" t="e">
        <f t="shared" si="25"/>
        <v>#N/A</v>
      </c>
      <c r="S99" s="43" t="e">
        <f t="shared" si="26"/>
        <v>#N/A</v>
      </c>
      <c r="T99" s="45" t="e">
        <f t="shared" si="27"/>
        <v>#N/A</v>
      </c>
      <c r="V99" s="43" t="e">
        <f t="shared" si="28"/>
        <v>#N/A</v>
      </c>
      <c r="W99" s="43" t="e">
        <f t="shared" si="29"/>
        <v>#N/A</v>
      </c>
      <c r="X99" s="45" t="e">
        <f t="shared" si="30"/>
        <v>#N/A</v>
      </c>
      <c r="AD99" s="77"/>
      <c r="AE99" s="77"/>
      <c r="AF99" s="78"/>
      <c r="AG99" s="116"/>
      <c r="AH99" s="118"/>
      <c r="AI99" s="77"/>
      <c r="AJ99" s="78"/>
      <c r="AK99" s="116"/>
      <c r="AL99" s="79"/>
      <c r="AM99" s="77"/>
      <c r="AN99" s="172"/>
      <c r="AO99" s="116"/>
      <c r="AQ99" s="43">
        <f t="shared" si="19"/>
        <v>0</v>
      </c>
      <c r="AR99" s="43">
        <f t="shared" si="20"/>
        <v>0</v>
      </c>
      <c r="AS99" s="43">
        <f t="shared" si="21"/>
        <v>0</v>
      </c>
    </row>
    <row r="100" spans="2:45" ht="21" customHeight="1">
      <c r="B100" s="43">
        <v>96</v>
      </c>
      <c r="C100" s="44" t="e">
        <f>'Course 1'!C100</f>
        <v>#N/A</v>
      </c>
      <c r="D100" s="46" t="e">
        <f>IF(C100="","",HLOOKUP(C100,'Règles et points'!$D$5:$Y$7,3))</f>
        <v>#N/A</v>
      </c>
      <c r="E100" s="46" t="e">
        <f>IF(C100="","",HLOOKUP(C100,'Règles et points'!$D$5:$Y$7,2))</f>
        <v>#N/A</v>
      </c>
      <c r="F100" s="43" t="str">
        <f>IF('Course 1'!E100="","",'Course 1'!E100)</f>
        <v/>
      </c>
      <c r="G100" s="43" t="str">
        <f>IF('Course 1'!F100="","",'Course 1'!F100)</f>
        <v/>
      </c>
      <c r="H100" s="56">
        <f>'Course 1'!M100+'Course 2'!M100+'Course 3'!M100+'Course 4'!M100+'Course 4'!M100</f>
        <v>0</v>
      </c>
      <c r="J100" s="43" t="e">
        <f t="shared" si="22"/>
        <v>#N/A</v>
      </c>
      <c r="K100" s="43" t="e">
        <f t="shared" si="23"/>
        <v>#N/A</v>
      </c>
      <c r="L100" s="53" t="e">
        <f t="shared" si="24"/>
        <v>#N/A</v>
      </c>
      <c r="N100" s="43" t="e">
        <f t="shared" si="31"/>
        <v>#N/A</v>
      </c>
      <c r="O100" s="43" t="e">
        <f t="shared" si="32"/>
        <v>#N/A</v>
      </c>
      <c r="P100" s="53" t="e">
        <f t="shared" si="33"/>
        <v>#N/A</v>
      </c>
      <c r="R100" s="43" t="e">
        <f t="shared" si="25"/>
        <v>#N/A</v>
      </c>
      <c r="S100" s="43" t="e">
        <f t="shared" si="26"/>
        <v>#N/A</v>
      </c>
      <c r="T100" s="45" t="e">
        <f t="shared" si="27"/>
        <v>#N/A</v>
      </c>
      <c r="V100" s="43" t="e">
        <f t="shared" si="28"/>
        <v>#N/A</v>
      </c>
      <c r="W100" s="43" t="e">
        <f t="shared" si="29"/>
        <v>#N/A</v>
      </c>
      <c r="X100" s="45" t="e">
        <f t="shared" si="30"/>
        <v>#N/A</v>
      </c>
      <c r="AD100" s="77"/>
      <c r="AE100" s="77"/>
      <c r="AF100" s="78"/>
      <c r="AG100" s="116"/>
      <c r="AH100" s="118"/>
      <c r="AI100" s="77"/>
      <c r="AJ100" s="78"/>
      <c r="AK100" s="116"/>
      <c r="AL100" s="79"/>
      <c r="AM100" s="77"/>
      <c r="AN100" s="172"/>
      <c r="AO100" s="116"/>
      <c r="AQ100" s="43">
        <f t="shared" si="19"/>
        <v>0</v>
      </c>
      <c r="AR100" s="43">
        <f t="shared" si="20"/>
        <v>0</v>
      </c>
      <c r="AS100" s="43">
        <f t="shared" si="21"/>
        <v>0</v>
      </c>
    </row>
    <row r="101" spans="2:45" ht="21" customHeight="1">
      <c r="B101" s="43">
        <v>97</v>
      </c>
      <c r="C101" s="44" t="e">
        <f>'Course 1'!C101</f>
        <v>#N/A</v>
      </c>
      <c r="D101" s="46" t="e">
        <f>IF(C101="","",HLOOKUP(C101,'Règles et points'!$D$5:$Y$7,3))</f>
        <v>#N/A</v>
      </c>
      <c r="E101" s="46" t="e">
        <f>IF(C101="","",HLOOKUP(C101,'Règles et points'!$D$5:$Y$7,2))</f>
        <v>#N/A</v>
      </c>
      <c r="F101" s="43" t="str">
        <f>IF('Course 1'!E101="","",'Course 1'!E101)</f>
        <v/>
      </c>
      <c r="G101" s="43" t="str">
        <f>IF('Course 1'!F101="","",'Course 1'!F101)</f>
        <v/>
      </c>
      <c r="H101" s="56">
        <f>'Course 1'!M101+'Course 2'!M101+'Course 3'!M101+'Course 4'!M101+'Course 4'!M101</f>
        <v>0</v>
      </c>
      <c r="J101" s="43" t="e">
        <f t="shared" si="22"/>
        <v>#N/A</v>
      </c>
      <c r="K101" s="43" t="e">
        <f t="shared" si="23"/>
        <v>#N/A</v>
      </c>
      <c r="L101" s="53" t="e">
        <f t="shared" si="24"/>
        <v>#N/A</v>
      </c>
      <c r="N101" s="43" t="e">
        <f t="shared" si="31"/>
        <v>#N/A</v>
      </c>
      <c r="O101" s="43" t="e">
        <f t="shared" si="32"/>
        <v>#N/A</v>
      </c>
      <c r="P101" s="53" t="e">
        <f t="shared" si="33"/>
        <v>#N/A</v>
      </c>
      <c r="R101" s="43" t="e">
        <f t="shared" si="25"/>
        <v>#N/A</v>
      </c>
      <c r="S101" s="43" t="e">
        <f t="shared" si="26"/>
        <v>#N/A</v>
      </c>
      <c r="T101" s="45" t="e">
        <f t="shared" si="27"/>
        <v>#N/A</v>
      </c>
      <c r="V101" s="43" t="e">
        <f t="shared" si="28"/>
        <v>#N/A</v>
      </c>
      <c r="W101" s="43" t="e">
        <f t="shared" si="29"/>
        <v>#N/A</v>
      </c>
      <c r="X101" s="45" t="e">
        <f t="shared" si="30"/>
        <v>#N/A</v>
      </c>
      <c r="AD101" s="77"/>
      <c r="AE101" s="77"/>
      <c r="AF101" s="78"/>
      <c r="AG101" s="116"/>
      <c r="AH101" s="118"/>
      <c r="AI101" s="77"/>
      <c r="AJ101" s="78"/>
      <c r="AK101" s="116"/>
      <c r="AL101" s="79"/>
      <c r="AM101" s="77"/>
      <c r="AN101" s="172"/>
      <c r="AO101" s="116"/>
      <c r="AQ101" s="43">
        <f t="shared" ref="AQ101:AQ164" si="34">IF(AF102="",0,1+AQ102)</f>
        <v>0</v>
      </c>
      <c r="AR101" s="43">
        <f t="shared" ref="AR101:AR164" si="35">IF(AJ101="",0,1+AR102)</f>
        <v>0</v>
      </c>
      <c r="AS101" s="43">
        <f t="shared" ref="AS101:AS164" si="36">IF(AN101="",0,1+AS102)</f>
        <v>0</v>
      </c>
    </row>
    <row r="102" spans="2:45" ht="21" customHeight="1">
      <c r="B102" s="43">
        <v>98</v>
      </c>
      <c r="C102" s="44" t="e">
        <f>'Course 1'!C102</f>
        <v>#N/A</v>
      </c>
      <c r="D102" s="46" t="e">
        <f>IF(C102="","",HLOOKUP(C102,'Règles et points'!$D$5:$Y$7,3))</f>
        <v>#N/A</v>
      </c>
      <c r="E102" s="46" t="e">
        <f>IF(C102="","",HLOOKUP(C102,'Règles et points'!$D$5:$Y$7,2))</f>
        <v>#N/A</v>
      </c>
      <c r="F102" s="43" t="str">
        <f>IF('Course 1'!E102="","",'Course 1'!E102)</f>
        <v/>
      </c>
      <c r="G102" s="43" t="str">
        <f>IF('Course 1'!F102="","",'Course 1'!F102)</f>
        <v/>
      </c>
      <c r="H102" s="56">
        <f>'Course 1'!M102+'Course 2'!M102+'Course 3'!M102+'Course 4'!M102+'Course 4'!M102</f>
        <v>0</v>
      </c>
      <c r="J102" s="43" t="e">
        <f t="shared" si="22"/>
        <v>#N/A</v>
      </c>
      <c r="K102" s="43" t="e">
        <f t="shared" si="23"/>
        <v>#N/A</v>
      </c>
      <c r="L102" s="53" t="e">
        <f t="shared" si="24"/>
        <v>#N/A</v>
      </c>
      <c r="N102" s="43" t="e">
        <f t="shared" si="31"/>
        <v>#N/A</v>
      </c>
      <c r="O102" s="43" t="e">
        <f t="shared" si="32"/>
        <v>#N/A</v>
      </c>
      <c r="P102" s="53" t="e">
        <f t="shared" si="33"/>
        <v>#N/A</v>
      </c>
      <c r="R102" s="43" t="e">
        <f t="shared" si="25"/>
        <v>#N/A</v>
      </c>
      <c r="S102" s="43" t="e">
        <f t="shared" si="26"/>
        <v>#N/A</v>
      </c>
      <c r="T102" s="45" t="e">
        <f t="shared" si="27"/>
        <v>#N/A</v>
      </c>
      <c r="V102" s="43" t="e">
        <f t="shared" si="28"/>
        <v>#N/A</v>
      </c>
      <c r="W102" s="43" t="e">
        <f t="shared" si="29"/>
        <v>#N/A</v>
      </c>
      <c r="X102" s="45" t="e">
        <f t="shared" si="30"/>
        <v>#N/A</v>
      </c>
      <c r="AD102" s="77"/>
      <c r="AE102" s="77"/>
      <c r="AF102" s="78"/>
      <c r="AG102" s="116"/>
      <c r="AH102" s="118"/>
      <c r="AI102" s="77"/>
      <c r="AJ102" s="78"/>
      <c r="AK102" s="116"/>
      <c r="AL102" s="79"/>
      <c r="AM102" s="77"/>
      <c r="AN102" s="172"/>
      <c r="AO102" s="116"/>
      <c r="AQ102" s="43">
        <f t="shared" si="34"/>
        <v>0</v>
      </c>
      <c r="AR102" s="43">
        <f t="shared" si="35"/>
        <v>0</v>
      </c>
      <c r="AS102" s="43">
        <f t="shared" si="36"/>
        <v>0</v>
      </c>
    </row>
    <row r="103" spans="2:45" ht="21" customHeight="1">
      <c r="B103" s="43">
        <v>99</v>
      </c>
      <c r="C103" s="44" t="e">
        <f>'Course 1'!C103</f>
        <v>#N/A</v>
      </c>
      <c r="D103" s="46" t="e">
        <f>IF(C103="","",HLOOKUP(C103,'Règles et points'!$D$5:$Y$7,3))</f>
        <v>#N/A</v>
      </c>
      <c r="E103" s="46" t="e">
        <f>IF(C103="","",HLOOKUP(C103,'Règles et points'!$D$5:$Y$7,2))</f>
        <v>#N/A</v>
      </c>
      <c r="F103" s="43" t="str">
        <f>IF('Course 1'!E103="","",'Course 1'!E103)</f>
        <v/>
      </c>
      <c r="G103" s="43" t="str">
        <f>IF('Course 1'!F103="","",'Course 1'!F103)</f>
        <v/>
      </c>
      <c r="H103" s="56">
        <f>'Course 1'!M103+'Course 2'!M103+'Course 3'!M103+'Course 4'!M103+'Course 4'!M103</f>
        <v>0</v>
      </c>
      <c r="J103" s="43" t="e">
        <f t="shared" si="22"/>
        <v>#N/A</v>
      </c>
      <c r="K103" s="43" t="e">
        <f t="shared" si="23"/>
        <v>#N/A</v>
      </c>
      <c r="L103" s="53" t="e">
        <f t="shared" si="24"/>
        <v>#N/A</v>
      </c>
      <c r="N103" s="43" t="e">
        <f t="shared" si="31"/>
        <v>#N/A</v>
      </c>
      <c r="O103" s="43" t="e">
        <f t="shared" si="32"/>
        <v>#N/A</v>
      </c>
      <c r="P103" s="53" t="e">
        <f t="shared" si="33"/>
        <v>#N/A</v>
      </c>
      <c r="R103" s="43" t="e">
        <f t="shared" si="25"/>
        <v>#N/A</v>
      </c>
      <c r="S103" s="43" t="e">
        <f t="shared" si="26"/>
        <v>#N/A</v>
      </c>
      <c r="T103" s="45" t="e">
        <f t="shared" si="27"/>
        <v>#N/A</v>
      </c>
      <c r="V103" s="43" t="e">
        <f t="shared" si="28"/>
        <v>#N/A</v>
      </c>
      <c r="W103" s="43" t="e">
        <f t="shared" si="29"/>
        <v>#N/A</v>
      </c>
      <c r="X103" s="45" t="e">
        <f t="shared" si="30"/>
        <v>#N/A</v>
      </c>
      <c r="AD103" s="77"/>
      <c r="AE103" s="77"/>
      <c r="AF103" s="78"/>
      <c r="AG103" s="116"/>
      <c r="AH103" s="118"/>
      <c r="AI103" s="77"/>
      <c r="AJ103" s="78"/>
      <c r="AK103" s="116"/>
      <c r="AL103" s="79"/>
      <c r="AM103" s="77"/>
      <c r="AN103" s="172"/>
      <c r="AO103" s="116"/>
      <c r="AQ103" s="43">
        <f t="shared" si="34"/>
        <v>0</v>
      </c>
      <c r="AR103" s="43">
        <f t="shared" si="35"/>
        <v>0</v>
      </c>
      <c r="AS103" s="43">
        <f t="shared" si="36"/>
        <v>0</v>
      </c>
    </row>
    <row r="104" spans="2:45" ht="21" customHeight="1">
      <c r="B104" s="43">
        <v>100</v>
      </c>
      <c r="C104" s="44" t="e">
        <f>'Course 1'!C104</f>
        <v>#N/A</v>
      </c>
      <c r="D104" s="46" t="e">
        <f>IF(C104="","",HLOOKUP(C104,'Règles et points'!$D$5:$Y$7,3))</f>
        <v>#N/A</v>
      </c>
      <c r="E104" s="46" t="e">
        <f>IF(C104="","",HLOOKUP(C104,'Règles et points'!$D$5:$Y$7,2))</f>
        <v>#N/A</v>
      </c>
      <c r="F104" s="43" t="str">
        <f>IF('Course 1'!E104="","",'Course 1'!E104)</f>
        <v/>
      </c>
      <c r="G104" s="43" t="str">
        <f>IF('Course 1'!F104="","",'Course 1'!F104)</f>
        <v/>
      </c>
      <c r="H104" s="56">
        <f>'Course 1'!M104+'Course 2'!M104+'Course 3'!M104+'Course 4'!M104+'Course 4'!M104</f>
        <v>0</v>
      </c>
      <c r="J104" s="43" t="e">
        <f t="shared" si="22"/>
        <v>#N/A</v>
      </c>
      <c r="K104" s="43" t="e">
        <f t="shared" si="23"/>
        <v>#N/A</v>
      </c>
      <c r="L104" s="53" t="e">
        <f t="shared" si="24"/>
        <v>#N/A</v>
      </c>
      <c r="N104" s="43" t="e">
        <f t="shared" si="31"/>
        <v>#N/A</v>
      </c>
      <c r="O104" s="43" t="e">
        <f t="shared" si="32"/>
        <v>#N/A</v>
      </c>
      <c r="P104" s="53" t="e">
        <f t="shared" si="33"/>
        <v>#N/A</v>
      </c>
      <c r="R104" s="43" t="e">
        <f t="shared" si="25"/>
        <v>#N/A</v>
      </c>
      <c r="S104" s="43" t="e">
        <f t="shared" si="26"/>
        <v>#N/A</v>
      </c>
      <c r="T104" s="45" t="e">
        <f t="shared" si="27"/>
        <v>#N/A</v>
      </c>
      <c r="V104" s="43" t="e">
        <f t="shared" si="28"/>
        <v>#N/A</v>
      </c>
      <c r="W104" s="43" t="e">
        <f t="shared" si="29"/>
        <v>#N/A</v>
      </c>
      <c r="X104" s="45" t="e">
        <f t="shared" si="30"/>
        <v>#N/A</v>
      </c>
      <c r="AD104" s="77"/>
      <c r="AE104" s="77"/>
      <c r="AF104" s="78"/>
      <c r="AG104" s="116"/>
      <c r="AH104" s="118"/>
      <c r="AI104" s="77"/>
      <c r="AJ104" s="78"/>
      <c r="AK104" s="116"/>
      <c r="AL104" s="79"/>
      <c r="AM104" s="77"/>
      <c r="AN104" s="172"/>
      <c r="AO104" s="116"/>
      <c r="AQ104" s="43">
        <f t="shared" si="34"/>
        <v>0</v>
      </c>
      <c r="AR104" s="43">
        <f t="shared" si="35"/>
        <v>0</v>
      </c>
      <c r="AS104" s="43">
        <f t="shared" si="36"/>
        <v>0</v>
      </c>
    </row>
    <row r="105" spans="2:45" ht="21" customHeight="1">
      <c r="B105" s="43">
        <v>101</v>
      </c>
      <c r="C105" s="44" t="e">
        <f>'Course 1'!C105</f>
        <v>#N/A</v>
      </c>
      <c r="D105" s="46" t="e">
        <f>IF(C105="","",HLOOKUP(C105,'Règles et points'!$D$5:$Y$7,3))</f>
        <v>#N/A</v>
      </c>
      <c r="E105" s="46" t="e">
        <f>IF(C105="","",HLOOKUP(C105,'Règles et points'!$D$5:$Y$7,2))</f>
        <v>#N/A</v>
      </c>
      <c r="F105" s="43" t="str">
        <f>IF('Course 1'!E105="","",'Course 1'!E105)</f>
        <v/>
      </c>
      <c r="G105" s="43" t="str">
        <f>IF('Course 1'!F105="","",'Course 1'!F105)</f>
        <v/>
      </c>
      <c r="H105" s="56">
        <f>'Course 1'!M105+'Course 2'!M105+'Course 3'!M105+'Course 4'!M105+'Course 4'!M105</f>
        <v>0</v>
      </c>
      <c r="J105" s="43" t="e">
        <f t="shared" si="22"/>
        <v>#N/A</v>
      </c>
      <c r="K105" s="43" t="e">
        <f t="shared" si="23"/>
        <v>#N/A</v>
      </c>
      <c r="L105" s="53" t="e">
        <f t="shared" si="24"/>
        <v>#N/A</v>
      </c>
      <c r="N105" s="43" t="e">
        <f t="shared" si="31"/>
        <v>#N/A</v>
      </c>
      <c r="O105" s="43" t="e">
        <f t="shared" si="32"/>
        <v>#N/A</v>
      </c>
      <c r="P105" s="53" t="e">
        <f t="shared" si="33"/>
        <v>#N/A</v>
      </c>
      <c r="R105" s="43" t="e">
        <f t="shared" si="25"/>
        <v>#N/A</v>
      </c>
      <c r="S105" s="43" t="e">
        <f t="shared" si="26"/>
        <v>#N/A</v>
      </c>
      <c r="T105" s="45" t="e">
        <f t="shared" si="27"/>
        <v>#N/A</v>
      </c>
      <c r="V105" s="43" t="e">
        <f t="shared" si="28"/>
        <v>#N/A</v>
      </c>
      <c r="W105" s="43" t="e">
        <f t="shared" si="29"/>
        <v>#N/A</v>
      </c>
      <c r="X105" s="45" t="e">
        <f t="shared" si="30"/>
        <v>#N/A</v>
      </c>
      <c r="AD105" s="77"/>
      <c r="AE105" s="77"/>
      <c r="AF105" s="78"/>
      <c r="AG105" s="116"/>
      <c r="AH105" s="118"/>
      <c r="AI105" s="77"/>
      <c r="AJ105" s="78"/>
      <c r="AK105" s="116"/>
      <c r="AL105" s="79"/>
      <c r="AM105" s="77"/>
      <c r="AN105" s="172"/>
      <c r="AO105" s="116"/>
      <c r="AQ105" s="43">
        <f t="shared" si="34"/>
        <v>0</v>
      </c>
      <c r="AR105" s="43">
        <f t="shared" si="35"/>
        <v>0</v>
      </c>
      <c r="AS105" s="43">
        <f t="shared" si="36"/>
        <v>0</v>
      </c>
    </row>
    <row r="106" spans="2:45" ht="21" customHeight="1">
      <c r="B106" s="43">
        <v>102</v>
      </c>
      <c r="C106" s="44" t="e">
        <f>'Course 1'!C106</f>
        <v>#N/A</v>
      </c>
      <c r="D106" s="46" t="e">
        <f>IF(C106="","",HLOOKUP(C106,'Règles et points'!$D$5:$Y$7,3))</f>
        <v>#N/A</v>
      </c>
      <c r="E106" s="46" t="e">
        <f>IF(C106="","",HLOOKUP(C106,'Règles et points'!$D$5:$Y$7,2))</f>
        <v>#N/A</v>
      </c>
      <c r="F106" s="43" t="str">
        <f>IF('Course 1'!E106="","",'Course 1'!E106)</f>
        <v/>
      </c>
      <c r="G106" s="43" t="str">
        <f>IF('Course 1'!F106="","",'Course 1'!F106)</f>
        <v/>
      </c>
      <c r="H106" s="56">
        <f>'Course 1'!M106+'Course 2'!M106+'Course 3'!M106+'Course 4'!M106+'Course 4'!M106</f>
        <v>0</v>
      </c>
      <c r="J106" s="43" t="e">
        <f t="shared" si="22"/>
        <v>#N/A</v>
      </c>
      <c r="K106" s="43" t="e">
        <f t="shared" si="23"/>
        <v>#N/A</v>
      </c>
      <c r="L106" s="53" t="e">
        <f t="shared" si="24"/>
        <v>#N/A</v>
      </c>
      <c r="N106" s="43" t="e">
        <f t="shared" si="31"/>
        <v>#N/A</v>
      </c>
      <c r="O106" s="43" t="e">
        <f t="shared" si="32"/>
        <v>#N/A</v>
      </c>
      <c r="P106" s="53" t="e">
        <f t="shared" si="33"/>
        <v>#N/A</v>
      </c>
      <c r="R106" s="43" t="e">
        <f t="shared" si="25"/>
        <v>#N/A</v>
      </c>
      <c r="S106" s="43" t="e">
        <f t="shared" si="26"/>
        <v>#N/A</v>
      </c>
      <c r="T106" s="45" t="e">
        <f t="shared" si="27"/>
        <v>#N/A</v>
      </c>
      <c r="V106" s="43" t="e">
        <f t="shared" si="28"/>
        <v>#N/A</v>
      </c>
      <c r="W106" s="43" t="e">
        <f t="shared" si="29"/>
        <v>#N/A</v>
      </c>
      <c r="X106" s="45" t="e">
        <f t="shared" si="30"/>
        <v>#N/A</v>
      </c>
      <c r="AD106" s="77"/>
      <c r="AE106" s="77"/>
      <c r="AF106" s="78"/>
      <c r="AG106" s="116"/>
      <c r="AH106" s="118"/>
      <c r="AI106" s="77"/>
      <c r="AJ106" s="78"/>
      <c r="AK106" s="116"/>
      <c r="AL106" s="79"/>
      <c r="AM106" s="77"/>
      <c r="AN106" s="172"/>
      <c r="AO106" s="116"/>
      <c r="AQ106" s="43">
        <f t="shared" si="34"/>
        <v>0</v>
      </c>
      <c r="AR106" s="43">
        <f t="shared" si="35"/>
        <v>0</v>
      </c>
      <c r="AS106" s="43">
        <f t="shared" si="36"/>
        <v>0</v>
      </c>
    </row>
    <row r="107" spans="2:45" ht="21" customHeight="1">
      <c r="B107" s="43">
        <v>103</v>
      </c>
      <c r="C107" s="44" t="e">
        <f>'Course 1'!C107</f>
        <v>#N/A</v>
      </c>
      <c r="D107" s="46" t="e">
        <f>IF(C107="","",HLOOKUP(C107,'Règles et points'!$D$5:$Y$7,3))</f>
        <v>#N/A</v>
      </c>
      <c r="E107" s="46" t="e">
        <f>IF(C107="","",HLOOKUP(C107,'Règles et points'!$D$5:$Y$7,2))</f>
        <v>#N/A</v>
      </c>
      <c r="F107" s="43" t="str">
        <f>IF('Course 1'!E107="","",'Course 1'!E107)</f>
        <v/>
      </c>
      <c r="G107" s="43" t="str">
        <f>IF('Course 1'!F107="","",'Course 1'!F107)</f>
        <v/>
      </c>
      <c r="H107" s="56">
        <f>'Course 1'!M107+'Course 2'!M107+'Course 3'!M107+'Course 4'!M107+'Course 4'!M107</f>
        <v>0</v>
      </c>
      <c r="J107" s="43" t="e">
        <f t="shared" si="22"/>
        <v>#N/A</v>
      </c>
      <c r="K107" s="43" t="e">
        <f t="shared" si="23"/>
        <v>#N/A</v>
      </c>
      <c r="L107" s="53" t="e">
        <f t="shared" si="24"/>
        <v>#N/A</v>
      </c>
      <c r="N107" s="43" t="e">
        <f t="shared" si="31"/>
        <v>#N/A</v>
      </c>
      <c r="O107" s="43" t="e">
        <f t="shared" si="32"/>
        <v>#N/A</v>
      </c>
      <c r="P107" s="53" t="e">
        <f t="shared" si="33"/>
        <v>#N/A</v>
      </c>
      <c r="R107" s="43" t="e">
        <f t="shared" si="25"/>
        <v>#N/A</v>
      </c>
      <c r="S107" s="43" t="e">
        <f t="shared" si="26"/>
        <v>#N/A</v>
      </c>
      <c r="T107" s="45" t="e">
        <f t="shared" si="27"/>
        <v>#N/A</v>
      </c>
      <c r="V107" s="43" t="e">
        <f t="shared" si="28"/>
        <v>#N/A</v>
      </c>
      <c r="W107" s="43" t="e">
        <f t="shared" si="29"/>
        <v>#N/A</v>
      </c>
      <c r="X107" s="45" t="e">
        <f t="shared" si="30"/>
        <v>#N/A</v>
      </c>
      <c r="AD107" s="77"/>
      <c r="AE107" s="77"/>
      <c r="AF107" s="78"/>
      <c r="AG107" s="116"/>
      <c r="AH107" s="118"/>
      <c r="AI107" s="77"/>
      <c r="AJ107" s="172"/>
      <c r="AK107" s="116"/>
      <c r="AL107" s="79"/>
      <c r="AM107" s="77"/>
      <c r="AN107" s="172"/>
      <c r="AO107" s="116"/>
      <c r="AQ107" s="43">
        <f t="shared" si="34"/>
        <v>0</v>
      </c>
      <c r="AR107" s="43">
        <f t="shared" si="35"/>
        <v>0</v>
      </c>
      <c r="AS107" s="43">
        <f t="shared" si="36"/>
        <v>0</v>
      </c>
    </row>
    <row r="108" spans="2:45" ht="21" customHeight="1">
      <c r="B108" s="43">
        <v>104</v>
      </c>
      <c r="C108" s="44" t="e">
        <f>'Course 1'!C108</f>
        <v>#N/A</v>
      </c>
      <c r="D108" s="46" t="e">
        <f>IF(C108="","",HLOOKUP(C108,'Règles et points'!$D$5:$Y$7,3))</f>
        <v>#N/A</v>
      </c>
      <c r="E108" s="46" t="e">
        <f>IF(C108="","",HLOOKUP(C108,'Règles et points'!$D$5:$Y$7,2))</f>
        <v>#N/A</v>
      </c>
      <c r="F108" s="43" t="str">
        <f>IF('Course 1'!E108="","",'Course 1'!E108)</f>
        <v/>
      </c>
      <c r="G108" s="43" t="str">
        <f>IF('Course 1'!F108="","",'Course 1'!F108)</f>
        <v/>
      </c>
      <c r="H108" s="56">
        <f>'Course 1'!M108+'Course 2'!M108+'Course 3'!M108+'Course 4'!M108+'Course 4'!M108</f>
        <v>0</v>
      </c>
      <c r="J108" s="43" t="e">
        <f t="shared" si="22"/>
        <v>#N/A</v>
      </c>
      <c r="K108" s="43" t="e">
        <f t="shared" si="23"/>
        <v>#N/A</v>
      </c>
      <c r="L108" s="53" t="e">
        <f t="shared" si="24"/>
        <v>#N/A</v>
      </c>
      <c r="N108" s="43" t="e">
        <f t="shared" si="31"/>
        <v>#N/A</v>
      </c>
      <c r="O108" s="43" t="e">
        <f t="shared" si="32"/>
        <v>#N/A</v>
      </c>
      <c r="P108" s="53" t="e">
        <f t="shared" si="33"/>
        <v>#N/A</v>
      </c>
      <c r="R108" s="43" t="e">
        <f t="shared" si="25"/>
        <v>#N/A</v>
      </c>
      <c r="S108" s="43" t="e">
        <f t="shared" si="26"/>
        <v>#N/A</v>
      </c>
      <c r="T108" s="45" t="e">
        <f t="shared" si="27"/>
        <v>#N/A</v>
      </c>
      <c r="V108" s="43" t="e">
        <f t="shared" si="28"/>
        <v>#N/A</v>
      </c>
      <c r="W108" s="43" t="e">
        <f t="shared" si="29"/>
        <v>#N/A</v>
      </c>
      <c r="X108" s="45" t="e">
        <f t="shared" si="30"/>
        <v>#N/A</v>
      </c>
      <c r="AD108" s="77"/>
      <c r="AE108" s="77"/>
      <c r="AF108" s="78"/>
      <c r="AG108" s="116"/>
      <c r="AH108" s="118"/>
      <c r="AI108" s="77"/>
      <c r="AJ108" s="172"/>
      <c r="AK108" s="116"/>
      <c r="AL108" s="79"/>
      <c r="AM108" s="77"/>
      <c r="AN108" s="172"/>
      <c r="AO108" s="116"/>
      <c r="AQ108" s="43">
        <f t="shared" si="34"/>
        <v>0</v>
      </c>
      <c r="AR108" s="43">
        <f t="shared" si="35"/>
        <v>0</v>
      </c>
      <c r="AS108" s="43">
        <f t="shared" si="36"/>
        <v>0</v>
      </c>
    </row>
    <row r="109" spans="2:45" ht="21" customHeight="1">
      <c r="B109" s="43">
        <v>105</v>
      </c>
      <c r="C109" s="44" t="e">
        <f>'Course 1'!C109</f>
        <v>#N/A</v>
      </c>
      <c r="D109" s="46" t="e">
        <f>IF(C109="","",HLOOKUP(C109,'Règles et points'!$D$5:$Y$7,3))</f>
        <v>#N/A</v>
      </c>
      <c r="E109" s="46" t="e">
        <f>IF(C109="","",HLOOKUP(C109,'Règles et points'!$D$5:$Y$7,2))</f>
        <v>#N/A</v>
      </c>
      <c r="F109" s="43" t="str">
        <f>IF('Course 1'!E109="","",'Course 1'!E109)</f>
        <v/>
      </c>
      <c r="G109" s="43" t="str">
        <f>IF('Course 1'!F109="","",'Course 1'!F109)</f>
        <v/>
      </c>
      <c r="H109" s="56">
        <f>'Course 1'!M109+'Course 2'!M109+'Course 3'!M109+'Course 4'!M109+'Course 4'!M109</f>
        <v>0</v>
      </c>
      <c r="J109" s="43" t="e">
        <f t="shared" si="22"/>
        <v>#N/A</v>
      </c>
      <c r="K109" s="43" t="e">
        <f t="shared" si="23"/>
        <v>#N/A</v>
      </c>
      <c r="L109" s="53" t="e">
        <f t="shared" si="24"/>
        <v>#N/A</v>
      </c>
      <c r="N109" s="43" t="e">
        <f t="shared" si="31"/>
        <v>#N/A</v>
      </c>
      <c r="O109" s="43" t="e">
        <f t="shared" si="32"/>
        <v>#N/A</v>
      </c>
      <c r="P109" s="53" t="e">
        <f t="shared" si="33"/>
        <v>#N/A</v>
      </c>
      <c r="R109" s="43" t="e">
        <f t="shared" si="25"/>
        <v>#N/A</v>
      </c>
      <c r="S109" s="43" t="e">
        <f t="shared" si="26"/>
        <v>#N/A</v>
      </c>
      <c r="T109" s="45" t="e">
        <f t="shared" si="27"/>
        <v>#N/A</v>
      </c>
      <c r="V109" s="43" t="e">
        <f t="shared" si="28"/>
        <v>#N/A</v>
      </c>
      <c r="W109" s="43" t="e">
        <f t="shared" si="29"/>
        <v>#N/A</v>
      </c>
      <c r="X109" s="45" t="e">
        <f t="shared" si="30"/>
        <v>#N/A</v>
      </c>
      <c r="AD109" s="77"/>
      <c r="AE109" s="77"/>
      <c r="AF109" s="78"/>
      <c r="AG109" s="116"/>
      <c r="AH109" s="118"/>
      <c r="AI109" s="77"/>
      <c r="AJ109" s="172"/>
      <c r="AK109" s="116"/>
      <c r="AL109" s="79"/>
      <c r="AM109" s="77"/>
      <c r="AN109" s="172"/>
      <c r="AO109" s="116"/>
      <c r="AQ109" s="43">
        <f t="shared" si="34"/>
        <v>0</v>
      </c>
      <c r="AR109" s="43">
        <f t="shared" si="35"/>
        <v>0</v>
      </c>
      <c r="AS109" s="43">
        <f t="shared" si="36"/>
        <v>0</v>
      </c>
    </row>
    <row r="110" spans="2:45" ht="21" customHeight="1">
      <c r="B110" s="43">
        <v>106</v>
      </c>
      <c r="C110" s="44" t="e">
        <f>'Course 1'!C110</f>
        <v>#N/A</v>
      </c>
      <c r="D110" s="46" t="e">
        <f>IF(C110="","",HLOOKUP(C110,'Règles et points'!$D$5:$Y$7,3))</f>
        <v>#N/A</v>
      </c>
      <c r="E110" s="46" t="e">
        <f>IF(C110="","",HLOOKUP(C110,'Règles et points'!$D$5:$Y$7,2))</f>
        <v>#N/A</v>
      </c>
      <c r="F110" s="43" t="str">
        <f>IF('Course 1'!E110="","",'Course 1'!E110)</f>
        <v/>
      </c>
      <c r="G110" s="43" t="str">
        <f>IF('Course 1'!F110="","",'Course 1'!F110)</f>
        <v/>
      </c>
      <c r="H110" s="56">
        <f>'Course 1'!M110+'Course 2'!M110+'Course 3'!M110+'Course 4'!M110+'Course 4'!M110</f>
        <v>0</v>
      </c>
      <c r="J110" s="43" t="e">
        <f t="shared" si="22"/>
        <v>#N/A</v>
      </c>
      <c r="K110" s="43" t="e">
        <f t="shared" si="23"/>
        <v>#N/A</v>
      </c>
      <c r="L110" s="53" t="e">
        <f t="shared" si="24"/>
        <v>#N/A</v>
      </c>
      <c r="N110" s="43" t="e">
        <f t="shared" si="31"/>
        <v>#N/A</v>
      </c>
      <c r="O110" s="43" t="e">
        <f t="shared" si="32"/>
        <v>#N/A</v>
      </c>
      <c r="P110" s="53" t="e">
        <f t="shared" si="33"/>
        <v>#N/A</v>
      </c>
      <c r="R110" s="43" t="e">
        <f t="shared" si="25"/>
        <v>#N/A</v>
      </c>
      <c r="S110" s="43" t="e">
        <f t="shared" si="26"/>
        <v>#N/A</v>
      </c>
      <c r="T110" s="45" t="e">
        <f t="shared" si="27"/>
        <v>#N/A</v>
      </c>
      <c r="V110" s="43" t="e">
        <f t="shared" si="28"/>
        <v>#N/A</v>
      </c>
      <c r="W110" s="43" t="e">
        <f t="shared" si="29"/>
        <v>#N/A</v>
      </c>
      <c r="X110" s="45" t="e">
        <f t="shared" si="30"/>
        <v>#N/A</v>
      </c>
      <c r="AD110" s="77"/>
      <c r="AE110" s="77"/>
      <c r="AF110" s="78"/>
      <c r="AG110" s="116"/>
      <c r="AH110" s="118"/>
      <c r="AI110" s="77"/>
      <c r="AJ110" s="172"/>
      <c r="AK110" s="116"/>
      <c r="AL110" s="79"/>
      <c r="AM110" s="77"/>
      <c r="AN110" s="172"/>
      <c r="AO110" s="116"/>
      <c r="AQ110" s="43">
        <f t="shared" si="34"/>
        <v>0</v>
      </c>
      <c r="AR110" s="43">
        <f t="shared" si="35"/>
        <v>0</v>
      </c>
      <c r="AS110" s="43">
        <f t="shared" si="36"/>
        <v>0</v>
      </c>
    </row>
    <row r="111" spans="2:45" ht="21" customHeight="1">
      <c r="B111" s="43">
        <v>107</v>
      </c>
      <c r="C111" s="44" t="e">
        <f>'Course 1'!C111</f>
        <v>#N/A</v>
      </c>
      <c r="D111" s="46" t="e">
        <f>IF(C111="","",HLOOKUP(C111,'Règles et points'!$D$5:$Y$7,3))</f>
        <v>#N/A</v>
      </c>
      <c r="E111" s="46" t="e">
        <f>IF(C111="","",HLOOKUP(C111,'Règles et points'!$D$5:$Y$7,2))</f>
        <v>#N/A</v>
      </c>
      <c r="F111" s="43" t="str">
        <f>IF('Course 1'!E111="","",'Course 1'!E111)</f>
        <v/>
      </c>
      <c r="G111" s="43" t="str">
        <f>IF('Course 1'!F111="","",'Course 1'!F111)</f>
        <v/>
      </c>
      <c r="H111" s="56">
        <f>'Course 1'!M111+'Course 2'!M111+'Course 3'!M111+'Course 4'!M111+'Course 4'!M111</f>
        <v>0</v>
      </c>
      <c r="J111" s="43" t="e">
        <f t="shared" si="22"/>
        <v>#N/A</v>
      </c>
      <c r="K111" s="43" t="e">
        <f t="shared" si="23"/>
        <v>#N/A</v>
      </c>
      <c r="L111" s="53" t="e">
        <f t="shared" si="24"/>
        <v>#N/A</v>
      </c>
      <c r="N111" s="43" t="e">
        <f t="shared" si="31"/>
        <v>#N/A</v>
      </c>
      <c r="O111" s="43" t="e">
        <f t="shared" si="32"/>
        <v>#N/A</v>
      </c>
      <c r="P111" s="53" t="e">
        <f t="shared" si="33"/>
        <v>#N/A</v>
      </c>
      <c r="R111" s="43" t="e">
        <f t="shared" si="25"/>
        <v>#N/A</v>
      </c>
      <c r="S111" s="43" t="e">
        <f t="shared" si="26"/>
        <v>#N/A</v>
      </c>
      <c r="T111" s="45" t="e">
        <f t="shared" si="27"/>
        <v>#N/A</v>
      </c>
      <c r="V111" s="43" t="e">
        <f t="shared" si="28"/>
        <v>#N/A</v>
      </c>
      <c r="W111" s="43" t="e">
        <f t="shared" si="29"/>
        <v>#N/A</v>
      </c>
      <c r="X111" s="45" t="e">
        <f t="shared" si="30"/>
        <v>#N/A</v>
      </c>
      <c r="AD111" s="77"/>
      <c r="AE111" s="77"/>
      <c r="AF111" s="78"/>
      <c r="AG111" s="116"/>
      <c r="AH111" s="118"/>
      <c r="AI111" s="77"/>
      <c r="AJ111" s="172"/>
      <c r="AK111" s="116"/>
      <c r="AL111" s="79"/>
      <c r="AM111" s="77"/>
      <c r="AN111" s="172"/>
      <c r="AO111" s="116"/>
      <c r="AQ111" s="43">
        <f t="shared" si="34"/>
        <v>0</v>
      </c>
      <c r="AR111" s="43">
        <f t="shared" si="35"/>
        <v>0</v>
      </c>
      <c r="AS111" s="43">
        <f t="shared" si="36"/>
        <v>0</v>
      </c>
    </row>
    <row r="112" spans="2:45" ht="21" customHeight="1">
      <c r="B112" s="43">
        <v>108</v>
      </c>
      <c r="C112" s="44" t="e">
        <f>'Course 1'!C112</f>
        <v>#N/A</v>
      </c>
      <c r="D112" s="46" t="e">
        <f>IF(C112="","",HLOOKUP(C112,'Règles et points'!$D$5:$Y$7,3))</f>
        <v>#N/A</v>
      </c>
      <c r="E112" s="46" t="e">
        <f>IF(C112="","",HLOOKUP(C112,'Règles et points'!$D$5:$Y$7,2))</f>
        <v>#N/A</v>
      </c>
      <c r="F112" s="43" t="str">
        <f>IF('Course 1'!E112="","",'Course 1'!E112)</f>
        <v/>
      </c>
      <c r="G112" s="43" t="str">
        <f>IF('Course 1'!F112="","",'Course 1'!F112)</f>
        <v/>
      </c>
      <c r="H112" s="56">
        <f>'Course 1'!M112+'Course 2'!M112+'Course 3'!M112+'Course 4'!M112+'Course 4'!M112</f>
        <v>0</v>
      </c>
      <c r="J112" s="43" t="e">
        <f t="shared" si="22"/>
        <v>#N/A</v>
      </c>
      <c r="K112" s="43" t="e">
        <f t="shared" si="23"/>
        <v>#N/A</v>
      </c>
      <c r="L112" s="53" t="e">
        <f t="shared" si="24"/>
        <v>#N/A</v>
      </c>
      <c r="N112" s="43" t="e">
        <f t="shared" si="31"/>
        <v>#N/A</v>
      </c>
      <c r="O112" s="43" t="e">
        <f t="shared" si="32"/>
        <v>#N/A</v>
      </c>
      <c r="P112" s="53" t="e">
        <f t="shared" si="33"/>
        <v>#N/A</v>
      </c>
      <c r="R112" s="43" t="e">
        <f t="shared" si="25"/>
        <v>#N/A</v>
      </c>
      <c r="S112" s="43" t="e">
        <f t="shared" si="26"/>
        <v>#N/A</v>
      </c>
      <c r="T112" s="45" t="e">
        <f t="shared" si="27"/>
        <v>#N/A</v>
      </c>
      <c r="V112" s="43" t="e">
        <f t="shared" si="28"/>
        <v>#N/A</v>
      </c>
      <c r="W112" s="43" t="e">
        <f t="shared" si="29"/>
        <v>#N/A</v>
      </c>
      <c r="X112" s="45" t="e">
        <f t="shared" si="30"/>
        <v>#N/A</v>
      </c>
      <c r="AD112" s="77"/>
      <c r="AE112" s="77"/>
      <c r="AF112" s="172"/>
      <c r="AG112" s="116"/>
      <c r="AH112" s="118"/>
      <c r="AI112" s="77"/>
      <c r="AJ112" s="172"/>
      <c r="AK112" s="116"/>
      <c r="AL112" s="79"/>
      <c r="AM112" s="77"/>
      <c r="AN112" s="172"/>
      <c r="AO112" s="116"/>
      <c r="AQ112" s="43">
        <f t="shared" si="34"/>
        <v>0</v>
      </c>
      <c r="AR112" s="43">
        <f t="shared" si="35"/>
        <v>0</v>
      </c>
      <c r="AS112" s="43">
        <f t="shared" si="36"/>
        <v>0</v>
      </c>
    </row>
    <row r="113" spans="2:45" ht="21" customHeight="1">
      <c r="B113" s="43">
        <v>109</v>
      </c>
      <c r="C113" s="44" t="e">
        <f>'Course 1'!C113</f>
        <v>#N/A</v>
      </c>
      <c r="D113" s="46" t="e">
        <f>IF(C113="","",HLOOKUP(C113,'Règles et points'!$D$5:$Y$7,3))</f>
        <v>#N/A</v>
      </c>
      <c r="E113" s="46" t="e">
        <f>IF(C113="","",HLOOKUP(C113,'Règles et points'!$D$5:$Y$7,2))</f>
        <v>#N/A</v>
      </c>
      <c r="F113" s="43" t="str">
        <f>IF('Course 1'!E113="","",'Course 1'!E113)</f>
        <v/>
      </c>
      <c r="G113" s="43" t="str">
        <f>IF('Course 1'!F113="","",'Course 1'!F113)</f>
        <v/>
      </c>
      <c r="H113" s="56">
        <f>'Course 1'!M113+'Course 2'!M113+'Course 3'!M113+'Course 4'!M113+'Course 4'!M113</f>
        <v>0</v>
      </c>
      <c r="J113" s="43" t="e">
        <f t="shared" si="22"/>
        <v>#N/A</v>
      </c>
      <c r="K113" s="43" t="e">
        <f t="shared" si="23"/>
        <v>#N/A</v>
      </c>
      <c r="L113" s="53" t="e">
        <f t="shared" si="24"/>
        <v>#N/A</v>
      </c>
      <c r="N113" s="43" t="e">
        <f t="shared" si="31"/>
        <v>#N/A</v>
      </c>
      <c r="O113" s="43" t="e">
        <f t="shared" si="32"/>
        <v>#N/A</v>
      </c>
      <c r="P113" s="53" t="e">
        <f t="shared" si="33"/>
        <v>#N/A</v>
      </c>
      <c r="R113" s="43" t="e">
        <f t="shared" si="25"/>
        <v>#N/A</v>
      </c>
      <c r="S113" s="43" t="e">
        <f t="shared" si="26"/>
        <v>#N/A</v>
      </c>
      <c r="T113" s="45" t="e">
        <f t="shared" si="27"/>
        <v>#N/A</v>
      </c>
      <c r="V113" s="43" t="e">
        <f t="shared" si="28"/>
        <v>#N/A</v>
      </c>
      <c r="W113" s="43" t="e">
        <f t="shared" si="29"/>
        <v>#N/A</v>
      </c>
      <c r="X113" s="45" t="e">
        <f t="shared" si="30"/>
        <v>#N/A</v>
      </c>
      <c r="AD113" s="77"/>
      <c r="AE113" s="77"/>
      <c r="AF113" s="78"/>
      <c r="AG113" s="116"/>
      <c r="AH113" s="118"/>
      <c r="AI113" s="77"/>
      <c r="AJ113" s="172"/>
      <c r="AK113" s="116"/>
      <c r="AL113" s="79"/>
      <c r="AM113" s="77"/>
      <c r="AN113" s="172"/>
      <c r="AO113" s="116"/>
      <c r="AQ113" s="43">
        <f t="shared" si="34"/>
        <v>0</v>
      </c>
      <c r="AR113" s="43">
        <f t="shared" si="35"/>
        <v>0</v>
      </c>
      <c r="AS113" s="43">
        <f t="shared" si="36"/>
        <v>0</v>
      </c>
    </row>
    <row r="114" spans="2:45" ht="21" customHeight="1">
      <c r="B114" s="43">
        <v>110</v>
      </c>
      <c r="C114" s="44" t="e">
        <f>'Course 1'!C114</f>
        <v>#N/A</v>
      </c>
      <c r="D114" s="46" t="e">
        <f>IF(C114="","",HLOOKUP(C114,'Règles et points'!$D$5:$Y$7,3))</f>
        <v>#N/A</v>
      </c>
      <c r="E114" s="46" t="e">
        <f>IF(C114="","",HLOOKUP(C114,'Règles et points'!$D$5:$Y$7,2))</f>
        <v>#N/A</v>
      </c>
      <c r="F114" s="43" t="str">
        <f>IF('Course 1'!E114="","",'Course 1'!E114)</f>
        <v/>
      </c>
      <c r="G114" s="43" t="str">
        <f>IF('Course 1'!F114="","",'Course 1'!F114)</f>
        <v/>
      </c>
      <c r="H114" s="56">
        <f>'Course 1'!M114+'Course 2'!M114+'Course 3'!M114+'Course 4'!M114+'Course 4'!M114</f>
        <v>0</v>
      </c>
      <c r="J114" s="43" t="e">
        <f t="shared" si="22"/>
        <v>#N/A</v>
      </c>
      <c r="K114" s="43" t="e">
        <f t="shared" si="23"/>
        <v>#N/A</v>
      </c>
      <c r="L114" s="53" t="e">
        <f t="shared" si="24"/>
        <v>#N/A</v>
      </c>
      <c r="N114" s="43" t="e">
        <f t="shared" si="31"/>
        <v>#N/A</v>
      </c>
      <c r="O114" s="43" t="e">
        <f t="shared" si="32"/>
        <v>#N/A</v>
      </c>
      <c r="P114" s="53" t="e">
        <f t="shared" si="33"/>
        <v>#N/A</v>
      </c>
      <c r="R114" s="43" t="e">
        <f t="shared" si="25"/>
        <v>#N/A</v>
      </c>
      <c r="S114" s="43" t="e">
        <f t="shared" si="26"/>
        <v>#N/A</v>
      </c>
      <c r="T114" s="45" t="e">
        <f t="shared" si="27"/>
        <v>#N/A</v>
      </c>
      <c r="V114" s="43" t="e">
        <f t="shared" si="28"/>
        <v>#N/A</v>
      </c>
      <c r="W114" s="43" t="e">
        <f t="shared" si="29"/>
        <v>#N/A</v>
      </c>
      <c r="X114" s="45" t="e">
        <f t="shared" si="30"/>
        <v>#N/A</v>
      </c>
      <c r="AD114" s="77"/>
      <c r="AE114" s="77"/>
      <c r="AF114" s="78"/>
      <c r="AG114" s="116"/>
      <c r="AH114" s="118"/>
      <c r="AI114" s="77"/>
      <c r="AJ114" s="172"/>
      <c r="AK114" s="116"/>
      <c r="AL114" s="79"/>
      <c r="AM114" s="77"/>
      <c r="AN114" s="172"/>
      <c r="AO114" s="116"/>
      <c r="AQ114" s="43">
        <f t="shared" si="34"/>
        <v>0</v>
      </c>
      <c r="AR114" s="43">
        <f t="shared" si="35"/>
        <v>0</v>
      </c>
      <c r="AS114" s="43">
        <f t="shared" si="36"/>
        <v>0</v>
      </c>
    </row>
    <row r="115" spans="2:45" ht="21" customHeight="1">
      <c r="B115" s="43">
        <v>111</v>
      </c>
      <c r="C115" s="44" t="e">
        <f>'Course 1'!C115</f>
        <v>#N/A</v>
      </c>
      <c r="D115" s="46" t="e">
        <f>IF(C115="","",HLOOKUP(C115,'Règles et points'!$D$5:$Y$7,3))</f>
        <v>#N/A</v>
      </c>
      <c r="E115" s="46" t="e">
        <f>IF(C115="","",HLOOKUP(C115,'Règles et points'!$D$5:$Y$7,2))</f>
        <v>#N/A</v>
      </c>
      <c r="F115" s="43" t="str">
        <f>IF('Course 1'!E115="","",'Course 1'!E115)</f>
        <v/>
      </c>
      <c r="G115" s="43" t="str">
        <f>IF('Course 1'!F115="","",'Course 1'!F115)</f>
        <v/>
      </c>
      <c r="H115" s="56">
        <f>'Course 1'!M115+'Course 2'!M115+'Course 3'!M115+'Course 4'!M115+'Course 4'!M115</f>
        <v>0</v>
      </c>
      <c r="J115" s="43" t="e">
        <f t="shared" si="22"/>
        <v>#N/A</v>
      </c>
      <c r="K115" s="43" t="e">
        <f t="shared" si="23"/>
        <v>#N/A</v>
      </c>
      <c r="L115" s="53" t="e">
        <f t="shared" si="24"/>
        <v>#N/A</v>
      </c>
      <c r="N115" s="43" t="e">
        <f t="shared" si="31"/>
        <v>#N/A</v>
      </c>
      <c r="O115" s="43" t="e">
        <f t="shared" si="32"/>
        <v>#N/A</v>
      </c>
      <c r="P115" s="53" t="e">
        <f t="shared" si="33"/>
        <v>#N/A</v>
      </c>
      <c r="R115" s="43" t="e">
        <f t="shared" si="25"/>
        <v>#N/A</v>
      </c>
      <c r="S115" s="43" t="e">
        <f t="shared" si="26"/>
        <v>#N/A</v>
      </c>
      <c r="T115" s="45" t="e">
        <f t="shared" si="27"/>
        <v>#N/A</v>
      </c>
      <c r="V115" s="43" t="e">
        <f t="shared" si="28"/>
        <v>#N/A</v>
      </c>
      <c r="W115" s="43" t="e">
        <f t="shared" si="29"/>
        <v>#N/A</v>
      </c>
      <c r="X115" s="45" t="e">
        <f t="shared" si="30"/>
        <v>#N/A</v>
      </c>
      <c r="AD115" s="77"/>
      <c r="AE115" s="77"/>
      <c r="AF115" s="78"/>
      <c r="AG115" s="116"/>
      <c r="AH115" s="118"/>
      <c r="AI115" s="77"/>
      <c r="AJ115" s="172"/>
      <c r="AK115" s="116"/>
      <c r="AL115" s="79"/>
      <c r="AM115" s="77"/>
      <c r="AN115" s="172"/>
      <c r="AO115" s="116"/>
      <c r="AQ115" s="43">
        <f t="shared" si="34"/>
        <v>0</v>
      </c>
      <c r="AR115" s="43">
        <f t="shared" si="35"/>
        <v>0</v>
      </c>
      <c r="AS115" s="43">
        <f t="shared" si="36"/>
        <v>0</v>
      </c>
    </row>
    <row r="116" spans="2:45" ht="21" customHeight="1">
      <c r="B116" s="43">
        <v>112</v>
      </c>
      <c r="C116" s="44" t="e">
        <f>'Course 1'!C116</f>
        <v>#N/A</v>
      </c>
      <c r="D116" s="46" t="e">
        <f>IF(C116="","",HLOOKUP(C116,'Règles et points'!$D$5:$Y$7,3))</f>
        <v>#N/A</v>
      </c>
      <c r="E116" s="46" t="e">
        <f>IF(C116="","",HLOOKUP(C116,'Règles et points'!$D$5:$Y$7,2))</f>
        <v>#N/A</v>
      </c>
      <c r="F116" s="43" t="str">
        <f>IF('Course 1'!E116="","",'Course 1'!E116)</f>
        <v/>
      </c>
      <c r="G116" s="43" t="str">
        <f>IF('Course 1'!F116="","",'Course 1'!F116)</f>
        <v/>
      </c>
      <c r="H116" s="56">
        <f>'Course 1'!M116+'Course 2'!M116+'Course 3'!M116+'Course 4'!M116+'Course 4'!M116</f>
        <v>0</v>
      </c>
      <c r="J116" s="43" t="e">
        <f t="shared" si="22"/>
        <v>#N/A</v>
      </c>
      <c r="K116" s="43" t="e">
        <f t="shared" si="23"/>
        <v>#N/A</v>
      </c>
      <c r="L116" s="53" t="e">
        <f t="shared" si="24"/>
        <v>#N/A</v>
      </c>
      <c r="N116" s="43" t="e">
        <f t="shared" si="31"/>
        <v>#N/A</v>
      </c>
      <c r="O116" s="43" t="e">
        <f t="shared" si="32"/>
        <v>#N/A</v>
      </c>
      <c r="P116" s="53" t="e">
        <f t="shared" si="33"/>
        <v>#N/A</v>
      </c>
      <c r="R116" s="43" t="e">
        <f t="shared" si="25"/>
        <v>#N/A</v>
      </c>
      <c r="S116" s="43" t="e">
        <f t="shared" si="26"/>
        <v>#N/A</v>
      </c>
      <c r="T116" s="45" t="e">
        <f t="shared" si="27"/>
        <v>#N/A</v>
      </c>
      <c r="V116" s="43" t="e">
        <f t="shared" si="28"/>
        <v>#N/A</v>
      </c>
      <c r="W116" s="43" t="e">
        <f t="shared" si="29"/>
        <v>#N/A</v>
      </c>
      <c r="X116" s="45" t="e">
        <f t="shared" si="30"/>
        <v>#N/A</v>
      </c>
      <c r="AD116" s="77"/>
      <c r="AE116" s="77"/>
      <c r="AF116" s="78"/>
      <c r="AG116" s="116"/>
      <c r="AH116" s="118"/>
      <c r="AI116" s="77"/>
      <c r="AJ116" s="172"/>
      <c r="AK116" s="116"/>
      <c r="AL116" s="79"/>
      <c r="AM116" s="77"/>
      <c r="AN116" s="172"/>
      <c r="AO116" s="116"/>
      <c r="AQ116" s="43">
        <f t="shared" si="34"/>
        <v>0</v>
      </c>
      <c r="AR116" s="43">
        <f t="shared" si="35"/>
        <v>0</v>
      </c>
      <c r="AS116" s="43">
        <f t="shared" si="36"/>
        <v>0</v>
      </c>
    </row>
    <row r="117" spans="2:45" ht="21" customHeight="1">
      <c r="B117" s="43">
        <v>113</v>
      </c>
      <c r="C117" s="44" t="e">
        <f>'Course 1'!C117</f>
        <v>#N/A</v>
      </c>
      <c r="D117" s="46" t="e">
        <f>IF(C117="","",HLOOKUP(C117,'Règles et points'!$D$5:$Y$7,3))</f>
        <v>#N/A</v>
      </c>
      <c r="E117" s="46" t="e">
        <f>IF(C117="","",HLOOKUP(C117,'Règles et points'!$D$5:$Y$7,2))</f>
        <v>#N/A</v>
      </c>
      <c r="F117" s="43" t="str">
        <f>IF('Course 1'!E117="","",'Course 1'!E117)</f>
        <v/>
      </c>
      <c r="G117" s="43" t="str">
        <f>IF('Course 1'!F117="","",'Course 1'!F117)</f>
        <v/>
      </c>
      <c r="H117" s="56">
        <f>'Course 1'!M117+'Course 2'!M117+'Course 3'!M117+'Course 4'!M117+'Course 4'!M117</f>
        <v>0</v>
      </c>
      <c r="J117" s="43" t="e">
        <f t="shared" si="22"/>
        <v>#N/A</v>
      </c>
      <c r="K117" s="43" t="e">
        <f t="shared" si="23"/>
        <v>#N/A</v>
      </c>
      <c r="L117" s="53" t="e">
        <f t="shared" si="24"/>
        <v>#N/A</v>
      </c>
      <c r="N117" s="43" t="e">
        <f t="shared" si="31"/>
        <v>#N/A</v>
      </c>
      <c r="O117" s="43" t="e">
        <f t="shared" si="32"/>
        <v>#N/A</v>
      </c>
      <c r="P117" s="53" t="e">
        <f t="shared" si="33"/>
        <v>#N/A</v>
      </c>
      <c r="R117" s="43" t="e">
        <f t="shared" si="25"/>
        <v>#N/A</v>
      </c>
      <c r="S117" s="43" t="e">
        <f t="shared" si="26"/>
        <v>#N/A</v>
      </c>
      <c r="T117" s="45" t="e">
        <f t="shared" si="27"/>
        <v>#N/A</v>
      </c>
      <c r="V117" s="43" t="e">
        <f t="shared" si="28"/>
        <v>#N/A</v>
      </c>
      <c r="W117" s="43" t="e">
        <f t="shared" si="29"/>
        <v>#N/A</v>
      </c>
      <c r="X117" s="45" t="e">
        <f t="shared" si="30"/>
        <v>#N/A</v>
      </c>
      <c r="AD117" s="77"/>
      <c r="AE117" s="77"/>
      <c r="AF117" s="172"/>
      <c r="AG117" s="116"/>
      <c r="AH117" s="118"/>
      <c r="AI117" s="77"/>
      <c r="AJ117" s="172"/>
      <c r="AK117" s="116"/>
      <c r="AL117" s="79"/>
      <c r="AM117" s="77"/>
      <c r="AN117" s="172"/>
      <c r="AO117" s="116"/>
      <c r="AQ117" s="43">
        <f t="shared" si="34"/>
        <v>0</v>
      </c>
      <c r="AR117" s="43">
        <f t="shared" si="35"/>
        <v>0</v>
      </c>
      <c r="AS117" s="43">
        <f t="shared" si="36"/>
        <v>0</v>
      </c>
    </row>
    <row r="118" spans="2:45" ht="21" customHeight="1">
      <c r="B118" s="43">
        <v>114</v>
      </c>
      <c r="C118" s="44" t="e">
        <f>'Course 1'!C118</f>
        <v>#N/A</v>
      </c>
      <c r="D118" s="46" t="e">
        <f>IF(C118="","",HLOOKUP(C118,'Règles et points'!$D$5:$Y$7,3))</f>
        <v>#N/A</v>
      </c>
      <c r="E118" s="46" t="e">
        <f>IF(C118="","",HLOOKUP(C118,'Règles et points'!$D$5:$Y$7,2))</f>
        <v>#N/A</v>
      </c>
      <c r="F118" s="43" t="str">
        <f>IF('Course 1'!E118="","",'Course 1'!E118)</f>
        <v/>
      </c>
      <c r="G118" s="43" t="str">
        <f>IF('Course 1'!F118="","",'Course 1'!F118)</f>
        <v/>
      </c>
      <c r="H118" s="56">
        <f>'Course 1'!M118+'Course 2'!M118+'Course 3'!M118+'Course 4'!M118+'Course 4'!M118</f>
        <v>0</v>
      </c>
      <c r="J118" s="43" t="e">
        <f t="shared" si="22"/>
        <v>#N/A</v>
      </c>
      <c r="K118" s="43" t="e">
        <f t="shared" si="23"/>
        <v>#N/A</v>
      </c>
      <c r="L118" s="53" t="e">
        <f t="shared" si="24"/>
        <v>#N/A</v>
      </c>
      <c r="N118" s="43" t="e">
        <f t="shared" si="31"/>
        <v>#N/A</v>
      </c>
      <c r="O118" s="43" t="e">
        <f t="shared" si="32"/>
        <v>#N/A</v>
      </c>
      <c r="P118" s="53" t="e">
        <f t="shared" si="33"/>
        <v>#N/A</v>
      </c>
      <c r="R118" s="43" t="e">
        <f t="shared" si="25"/>
        <v>#N/A</v>
      </c>
      <c r="S118" s="43" t="e">
        <f t="shared" si="26"/>
        <v>#N/A</v>
      </c>
      <c r="T118" s="45" t="e">
        <f t="shared" si="27"/>
        <v>#N/A</v>
      </c>
      <c r="V118" s="43" t="e">
        <f t="shared" si="28"/>
        <v>#N/A</v>
      </c>
      <c r="W118" s="43" t="e">
        <f t="shared" si="29"/>
        <v>#N/A</v>
      </c>
      <c r="X118" s="45" t="e">
        <f t="shared" si="30"/>
        <v>#N/A</v>
      </c>
      <c r="AD118" s="77"/>
      <c r="AE118" s="77"/>
      <c r="AF118" s="78"/>
      <c r="AG118" s="116"/>
      <c r="AH118" s="118"/>
      <c r="AI118" s="77"/>
      <c r="AJ118" s="172"/>
      <c r="AK118" s="116"/>
      <c r="AL118" s="79"/>
      <c r="AM118" s="77"/>
      <c r="AN118" s="172"/>
      <c r="AO118" s="116"/>
      <c r="AQ118" s="43">
        <f t="shared" si="34"/>
        <v>0</v>
      </c>
      <c r="AR118" s="43">
        <f t="shared" si="35"/>
        <v>0</v>
      </c>
      <c r="AS118" s="43">
        <f t="shared" si="36"/>
        <v>0</v>
      </c>
    </row>
    <row r="119" spans="2:45" ht="21" customHeight="1">
      <c r="B119" s="43">
        <v>115</v>
      </c>
      <c r="C119" s="44" t="e">
        <f>'Course 1'!C119</f>
        <v>#N/A</v>
      </c>
      <c r="D119" s="46" t="e">
        <f>IF(C119="","",HLOOKUP(C119,'Règles et points'!$D$5:$Y$7,3))</f>
        <v>#N/A</v>
      </c>
      <c r="E119" s="46" t="e">
        <f>IF(C119="","",HLOOKUP(C119,'Règles et points'!$D$5:$Y$7,2))</f>
        <v>#N/A</v>
      </c>
      <c r="F119" s="43" t="str">
        <f>IF('Course 1'!E119="","",'Course 1'!E119)</f>
        <v/>
      </c>
      <c r="G119" s="43" t="str">
        <f>IF('Course 1'!F119="","",'Course 1'!F119)</f>
        <v/>
      </c>
      <c r="H119" s="56">
        <f>'Course 1'!M119+'Course 2'!M119+'Course 3'!M119+'Course 4'!M119+'Course 4'!M119</f>
        <v>0</v>
      </c>
      <c r="J119" s="43" t="e">
        <f t="shared" si="22"/>
        <v>#N/A</v>
      </c>
      <c r="K119" s="43" t="e">
        <f t="shared" si="23"/>
        <v>#N/A</v>
      </c>
      <c r="L119" s="53" t="e">
        <f t="shared" si="24"/>
        <v>#N/A</v>
      </c>
      <c r="N119" s="43" t="e">
        <f t="shared" si="31"/>
        <v>#N/A</v>
      </c>
      <c r="O119" s="43" t="e">
        <f t="shared" si="32"/>
        <v>#N/A</v>
      </c>
      <c r="P119" s="53" t="e">
        <f t="shared" si="33"/>
        <v>#N/A</v>
      </c>
      <c r="R119" s="43" t="e">
        <f t="shared" si="25"/>
        <v>#N/A</v>
      </c>
      <c r="S119" s="43" t="e">
        <f t="shared" si="26"/>
        <v>#N/A</v>
      </c>
      <c r="T119" s="45" t="e">
        <f t="shared" si="27"/>
        <v>#N/A</v>
      </c>
      <c r="V119" s="43" t="e">
        <f t="shared" si="28"/>
        <v>#N/A</v>
      </c>
      <c r="W119" s="43" t="e">
        <f t="shared" si="29"/>
        <v>#N/A</v>
      </c>
      <c r="X119" s="45" t="e">
        <f t="shared" si="30"/>
        <v>#N/A</v>
      </c>
      <c r="AD119" s="77"/>
      <c r="AE119" s="77"/>
      <c r="AF119" s="78"/>
      <c r="AG119" s="116"/>
      <c r="AH119" s="118"/>
      <c r="AI119" s="77"/>
      <c r="AJ119" s="172"/>
      <c r="AK119" s="116"/>
      <c r="AL119" s="79"/>
      <c r="AM119" s="77"/>
      <c r="AN119" s="172"/>
      <c r="AO119" s="116"/>
      <c r="AQ119" s="43">
        <f t="shared" si="34"/>
        <v>0</v>
      </c>
      <c r="AR119" s="43">
        <f t="shared" si="35"/>
        <v>0</v>
      </c>
      <c r="AS119" s="43">
        <f t="shared" si="36"/>
        <v>0</v>
      </c>
    </row>
    <row r="120" spans="2:45" ht="21" customHeight="1">
      <c r="B120" s="43">
        <v>116</v>
      </c>
      <c r="C120" s="44" t="e">
        <f>'Course 1'!C120</f>
        <v>#N/A</v>
      </c>
      <c r="D120" s="46" t="e">
        <f>IF(C120="","",HLOOKUP(C120,'Règles et points'!$D$5:$Y$7,3))</f>
        <v>#N/A</v>
      </c>
      <c r="E120" s="46" t="e">
        <f>IF(C120="","",HLOOKUP(C120,'Règles et points'!$D$5:$Y$7,2))</f>
        <v>#N/A</v>
      </c>
      <c r="F120" s="43" t="str">
        <f>IF('Course 1'!E120="","",'Course 1'!E120)</f>
        <v/>
      </c>
      <c r="G120" s="43" t="str">
        <f>IF('Course 1'!F120="","",'Course 1'!F120)</f>
        <v/>
      </c>
      <c r="H120" s="56">
        <f>'Course 1'!M120+'Course 2'!M120+'Course 3'!M120+'Course 4'!M120+'Course 4'!M120</f>
        <v>0</v>
      </c>
      <c r="J120" s="43" t="e">
        <f t="shared" si="22"/>
        <v>#N/A</v>
      </c>
      <c r="K120" s="43" t="e">
        <f t="shared" si="23"/>
        <v>#N/A</v>
      </c>
      <c r="L120" s="53" t="e">
        <f t="shared" si="24"/>
        <v>#N/A</v>
      </c>
      <c r="N120" s="43" t="e">
        <f t="shared" si="31"/>
        <v>#N/A</v>
      </c>
      <c r="O120" s="43" t="e">
        <f t="shared" si="32"/>
        <v>#N/A</v>
      </c>
      <c r="P120" s="53" t="e">
        <f t="shared" si="33"/>
        <v>#N/A</v>
      </c>
      <c r="R120" s="43" t="e">
        <f t="shared" si="25"/>
        <v>#N/A</v>
      </c>
      <c r="S120" s="43" t="e">
        <f t="shared" si="26"/>
        <v>#N/A</v>
      </c>
      <c r="T120" s="45" t="e">
        <f t="shared" si="27"/>
        <v>#N/A</v>
      </c>
      <c r="V120" s="43" t="e">
        <f t="shared" si="28"/>
        <v>#N/A</v>
      </c>
      <c r="W120" s="43" t="e">
        <f t="shared" si="29"/>
        <v>#N/A</v>
      </c>
      <c r="X120" s="45" t="e">
        <f t="shared" si="30"/>
        <v>#N/A</v>
      </c>
      <c r="AD120" s="77"/>
      <c r="AE120" s="77"/>
      <c r="AF120" s="78"/>
      <c r="AG120" s="116"/>
      <c r="AH120" s="118"/>
      <c r="AI120" s="77"/>
      <c r="AJ120" s="172"/>
      <c r="AK120" s="116"/>
      <c r="AL120" s="79"/>
      <c r="AM120" s="77"/>
      <c r="AN120" s="172"/>
      <c r="AO120" s="116"/>
      <c r="AQ120" s="43">
        <f t="shared" si="34"/>
        <v>0</v>
      </c>
      <c r="AR120" s="43">
        <f t="shared" si="35"/>
        <v>0</v>
      </c>
      <c r="AS120" s="43">
        <f t="shared" si="36"/>
        <v>0</v>
      </c>
    </row>
    <row r="121" spans="2:45" ht="21" customHeight="1">
      <c r="B121" s="43">
        <v>117</v>
      </c>
      <c r="C121" s="44" t="e">
        <f>'Course 1'!C121</f>
        <v>#N/A</v>
      </c>
      <c r="D121" s="46" t="e">
        <f>IF(C121="","",HLOOKUP(C121,'Règles et points'!$D$5:$Y$7,3))</f>
        <v>#N/A</v>
      </c>
      <c r="E121" s="46" t="e">
        <f>IF(C121="","",HLOOKUP(C121,'Règles et points'!$D$5:$Y$7,2))</f>
        <v>#N/A</v>
      </c>
      <c r="F121" s="43" t="str">
        <f>IF('Course 1'!E121="","",'Course 1'!E121)</f>
        <v/>
      </c>
      <c r="G121" s="43" t="str">
        <f>IF('Course 1'!F121="","",'Course 1'!F121)</f>
        <v/>
      </c>
      <c r="H121" s="56">
        <f>'Course 1'!M121+'Course 2'!M121+'Course 3'!M121+'Course 4'!M121+'Course 4'!M121</f>
        <v>0</v>
      </c>
      <c r="J121" s="43" t="e">
        <f t="shared" si="22"/>
        <v>#N/A</v>
      </c>
      <c r="K121" s="43" t="e">
        <f t="shared" si="23"/>
        <v>#N/A</v>
      </c>
      <c r="L121" s="53" t="e">
        <f t="shared" si="24"/>
        <v>#N/A</v>
      </c>
      <c r="N121" s="43" t="e">
        <f t="shared" si="31"/>
        <v>#N/A</v>
      </c>
      <c r="O121" s="43" t="e">
        <f t="shared" si="32"/>
        <v>#N/A</v>
      </c>
      <c r="P121" s="53" t="e">
        <f t="shared" si="33"/>
        <v>#N/A</v>
      </c>
      <c r="R121" s="43" t="e">
        <f t="shared" si="25"/>
        <v>#N/A</v>
      </c>
      <c r="S121" s="43" t="e">
        <f t="shared" si="26"/>
        <v>#N/A</v>
      </c>
      <c r="T121" s="45" t="e">
        <f t="shared" si="27"/>
        <v>#N/A</v>
      </c>
      <c r="V121" s="43" t="e">
        <f t="shared" si="28"/>
        <v>#N/A</v>
      </c>
      <c r="W121" s="43" t="e">
        <f t="shared" si="29"/>
        <v>#N/A</v>
      </c>
      <c r="X121" s="45" t="e">
        <f t="shared" si="30"/>
        <v>#N/A</v>
      </c>
      <c r="AD121" s="77"/>
      <c r="AE121" s="77"/>
      <c r="AF121" s="78"/>
      <c r="AG121" s="116"/>
      <c r="AH121" s="118"/>
      <c r="AI121" s="77"/>
      <c r="AJ121" s="172"/>
      <c r="AK121" s="116"/>
      <c r="AL121" s="79"/>
      <c r="AM121" s="77"/>
      <c r="AN121" s="172"/>
      <c r="AO121" s="116"/>
      <c r="AQ121" s="43">
        <f t="shared" si="34"/>
        <v>0</v>
      </c>
      <c r="AR121" s="43">
        <f t="shared" si="35"/>
        <v>0</v>
      </c>
      <c r="AS121" s="43">
        <f t="shared" si="36"/>
        <v>0</v>
      </c>
    </row>
    <row r="122" spans="2:45" ht="21" customHeight="1">
      <c r="B122" s="43">
        <v>118</v>
      </c>
      <c r="C122" s="44" t="str">
        <f>'Course 1'!C122</f>
        <v/>
      </c>
      <c r="D122" s="46" t="str">
        <f>IF(C122="","",HLOOKUP(C122,'Règles et points'!$D$5:$Y$7,3))</f>
        <v/>
      </c>
      <c r="E122" s="46" t="str">
        <f>IF(C122="","",HLOOKUP(C122,'Règles et points'!$D$5:$Y$7,2))</f>
        <v/>
      </c>
      <c r="F122" s="43" t="str">
        <f>IF('Course 1'!E122="","",'Course 1'!E122)</f>
        <v/>
      </c>
      <c r="G122" s="43" t="str">
        <f>IF('Course 1'!F122="","",'Course 1'!F122)</f>
        <v/>
      </c>
      <c r="H122" s="56">
        <f>'Course 1'!M122+'Course 2'!M122+'Course 3'!M122+'Course 4'!M122+'Course 4'!M122</f>
        <v>0</v>
      </c>
      <c r="J122" s="43" t="str">
        <f t="shared" si="22"/>
        <v/>
      </c>
      <c r="K122" s="43" t="str">
        <f t="shared" si="23"/>
        <v/>
      </c>
      <c r="L122" s="53" t="str">
        <f t="shared" si="24"/>
        <v/>
      </c>
      <c r="N122" s="43" t="str">
        <f t="shared" si="31"/>
        <v/>
      </c>
      <c r="O122" s="43" t="str">
        <f t="shared" si="32"/>
        <v/>
      </c>
      <c r="P122" s="53" t="str">
        <f t="shared" si="33"/>
        <v/>
      </c>
      <c r="R122" s="43" t="str">
        <f t="shared" si="25"/>
        <v/>
      </c>
      <c r="S122" s="43" t="str">
        <f t="shared" si="26"/>
        <v/>
      </c>
      <c r="T122" s="45" t="str">
        <f t="shared" si="27"/>
        <v/>
      </c>
      <c r="V122" s="43" t="str">
        <f t="shared" si="28"/>
        <v/>
      </c>
      <c r="W122" s="43" t="str">
        <f t="shared" si="29"/>
        <v/>
      </c>
      <c r="X122" s="45" t="str">
        <f t="shared" si="30"/>
        <v/>
      </c>
      <c r="AD122" s="77"/>
      <c r="AE122" s="77"/>
      <c r="AF122" s="78"/>
      <c r="AG122" s="116"/>
      <c r="AH122" s="118"/>
      <c r="AI122" s="77"/>
      <c r="AJ122" s="172"/>
      <c r="AK122" s="116"/>
      <c r="AL122" s="79"/>
      <c r="AM122" s="77"/>
      <c r="AN122" s="172"/>
      <c r="AO122" s="116"/>
      <c r="AQ122" s="43">
        <f t="shared" si="34"/>
        <v>0</v>
      </c>
      <c r="AR122" s="43">
        <f t="shared" si="35"/>
        <v>0</v>
      </c>
      <c r="AS122" s="43">
        <f t="shared" si="36"/>
        <v>0</v>
      </c>
    </row>
    <row r="123" spans="2:45" ht="21" customHeight="1">
      <c r="B123" s="43">
        <v>119</v>
      </c>
      <c r="C123" s="44" t="str">
        <f>'Course 1'!C123</f>
        <v/>
      </c>
      <c r="D123" s="46" t="str">
        <f>IF(C123="","",HLOOKUP(C123,'Règles et points'!$D$5:$Y$7,3))</f>
        <v/>
      </c>
      <c r="E123" s="46" t="str">
        <f>IF(C123="","",HLOOKUP(C123,'Règles et points'!$D$5:$Y$7,2))</f>
        <v/>
      </c>
      <c r="F123" s="43" t="str">
        <f>IF('Course 1'!E123="","",'Course 1'!E123)</f>
        <v/>
      </c>
      <c r="G123" s="43" t="str">
        <f>IF('Course 1'!F123="","",'Course 1'!F123)</f>
        <v/>
      </c>
      <c r="H123" s="56">
        <f>'Course 1'!M123+'Course 2'!M123+'Course 3'!M123+'Course 4'!M123+'Course 4'!M123</f>
        <v>0</v>
      </c>
      <c r="J123" s="43" t="str">
        <f t="shared" si="22"/>
        <v/>
      </c>
      <c r="K123" s="43" t="str">
        <f t="shared" si="23"/>
        <v/>
      </c>
      <c r="L123" s="53" t="str">
        <f t="shared" si="24"/>
        <v/>
      </c>
      <c r="N123" s="43" t="str">
        <f t="shared" si="31"/>
        <v/>
      </c>
      <c r="O123" s="43" t="str">
        <f t="shared" si="32"/>
        <v/>
      </c>
      <c r="P123" s="53" t="str">
        <f t="shared" si="33"/>
        <v/>
      </c>
      <c r="R123" s="43" t="str">
        <f t="shared" si="25"/>
        <v/>
      </c>
      <c r="S123" s="43" t="str">
        <f t="shared" si="26"/>
        <v/>
      </c>
      <c r="T123" s="45" t="str">
        <f t="shared" si="27"/>
        <v/>
      </c>
      <c r="V123" s="43" t="str">
        <f t="shared" si="28"/>
        <v/>
      </c>
      <c r="W123" s="43" t="str">
        <f t="shared" si="29"/>
        <v/>
      </c>
      <c r="X123" s="45" t="str">
        <f t="shared" si="30"/>
        <v/>
      </c>
      <c r="AD123" s="77"/>
      <c r="AE123" s="77"/>
      <c r="AF123" s="78"/>
      <c r="AG123" s="116"/>
      <c r="AH123" s="118"/>
      <c r="AI123" s="77"/>
      <c r="AJ123" s="172"/>
      <c r="AK123" s="116"/>
      <c r="AL123" s="79"/>
      <c r="AM123" s="77"/>
      <c r="AN123" s="172"/>
      <c r="AO123" s="116"/>
      <c r="AQ123" s="43">
        <f t="shared" si="34"/>
        <v>0</v>
      </c>
      <c r="AR123" s="43">
        <f t="shared" si="35"/>
        <v>0</v>
      </c>
      <c r="AS123" s="43">
        <f t="shared" si="36"/>
        <v>0</v>
      </c>
    </row>
    <row r="124" spans="2:45" ht="21" customHeight="1">
      <c r="B124" s="43">
        <v>120</v>
      </c>
      <c r="C124" s="44" t="str">
        <f>'Course 1'!C124</f>
        <v/>
      </c>
      <c r="D124" s="46" t="str">
        <f>IF(C124="","",HLOOKUP(C124,'Règles et points'!$D$5:$Y$7,3))</f>
        <v/>
      </c>
      <c r="E124" s="46" t="str">
        <f>IF(C124="","",HLOOKUP(C124,'Règles et points'!$D$5:$Y$7,2))</f>
        <v/>
      </c>
      <c r="F124" s="43" t="str">
        <f>IF('Course 1'!E124="","",'Course 1'!E124)</f>
        <v/>
      </c>
      <c r="G124" s="43" t="str">
        <f>IF('Course 1'!F124="","",'Course 1'!F124)</f>
        <v/>
      </c>
      <c r="H124" s="56">
        <f>'Course 1'!M124+'Course 2'!M124+'Course 3'!M124+'Course 4'!M124+'Course 4'!M124</f>
        <v>0</v>
      </c>
      <c r="J124" s="43" t="str">
        <f t="shared" si="22"/>
        <v/>
      </c>
      <c r="K124" s="43" t="str">
        <f t="shared" si="23"/>
        <v/>
      </c>
      <c r="L124" s="53" t="str">
        <f t="shared" si="24"/>
        <v/>
      </c>
      <c r="N124" s="43" t="str">
        <f t="shared" si="31"/>
        <v/>
      </c>
      <c r="O124" s="43" t="str">
        <f t="shared" si="32"/>
        <v/>
      </c>
      <c r="P124" s="53" t="str">
        <f t="shared" si="33"/>
        <v/>
      </c>
      <c r="R124" s="43" t="str">
        <f t="shared" si="25"/>
        <v/>
      </c>
      <c r="S124" s="43" t="str">
        <f t="shared" si="26"/>
        <v/>
      </c>
      <c r="T124" s="45" t="str">
        <f t="shared" si="27"/>
        <v/>
      </c>
      <c r="V124" s="43" t="str">
        <f t="shared" si="28"/>
        <v/>
      </c>
      <c r="W124" s="43" t="str">
        <f t="shared" si="29"/>
        <v/>
      </c>
      <c r="X124" s="45" t="str">
        <f t="shared" si="30"/>
        <v/>
      </c>
      <c r="AD124" s="77"/>
      <c r="AE124" s="77"/>
      <c r="AF124" s="78"/>
      <c r="AG124" s="116"/>
      <c r="AH124" s="118"/>
      <c r="AI124" s="77"/>
      <c r="AJ124" s="172"/>
      <c r="AK124" s="116"/>
      <c r="AL124" s="79"/>
      <c r="AM124" s="77"/>
      <c r="AN124" s="172"/>
      <c r="AO124" s="116"/>
      <c r="AQ124" s="43">
        <f t="shared" si="34"/>
        <v>0</v>
      </c>
      <c r="AR124" s="43">
        <f t="shared" si="35"/>
        <v>0</v>
      </c>
      <c r="AS124" s="43">
        <f t="shared" si="36"/>
        <v>0</v>
      </c>
    </row>
    <row r="125" spans="2:45" ht="21" customHeight="1">
      <c r="B125" s="43">
        <v>121</v>
      </c>
      <c r="C125" s="44" t="str">
        <f>'Course 1'!C125</f>
        <v/>
      </c>
      <c r="D125" s="46" t="str">
        <f>IF(C125="","",HLOOKUP(C125,'Règles et points'!$D$5:$Y$7,3))</f>
        <v/>
      </c>
      <c r="E125" s="46" t="str">
        <f>IF(C125="","",HLOOKUP(C125,'Règles et points'!$D$5:$Y$7,2))</f>
        <v/>
      </c>
      <c r="F125" s="43" t="str">
        <f>IF('Course 1'!E125="","",'Course 1'!E125)</f>
        <v/>
      </c>
      <c r="G125" s="43" t="str">
        <f>IF('Course 1'!F125="","",'Course 1'!F125)</f>
        <v/>
      </c>
      <c r="H125" s="56">
        <f>'Course 1'!M125+'Course 2'!M125+'Course 3'!M125+'Course 4'!M125+'Course 4'!M125</f>
        <v>0</v>
      </c>
      <c r="J125" s="43" t="str">
        <f t="shared" si="22"/>
        <v/>
      </c>
      <c r="K125" s="43" t="str">
        <f t="shared" si="23"/>
        <v/>
      </c>
      <c r="L125" s="53" t="str">
        <f t="shared" si="24"/>
        <v/>
      </c>
      <c r="N125" s="43" t="str">
        <f t="shared" si="31"/>
        <v/>
      </c>
      <c r="O125" s="43" t="str">
        <f t="shared" si="32"/>
        <v/>
      </c>
      <c r="P125" s="53" t="str">
        <f t="shared" si="33"/>
        <v/>
      </c>
      <c r="R125" s="43" t="str">
        <f t="shared" si="25"/>
        <v/>
      </c>
      <c r="S125" s="43" t="str">
        <f t="shared" si="26"/>
        <v/>
      </c>
      <c r="T125" s="45" t="str">
        <f t="shared" si="27"/>
        <v/>
      </c>
      <c r="V125" s="43" t="str">
        <f t="shared" si="28"/>
        <v/>
      </c>
      <c r="W125" s="43" t="str">
        <f t="shared" si="29"/>
        <v/>
      </c>
      <c r="X125" s="45" t="str">
        <f t="shared" si="30"/>
        <v/>
      </c>
      <c r="AD125" s="77"/>
      <c r="AE125" s="77"/>
      <c r="AF125" s="78"/>
      <c r="AG125" s="116"/>
      <c r="AH125" s="118"/>
      <c r="AI125" s="77"/>
      <c r="AJ125" s="172"/>
      <c r="AK125" s="116"/>
      <c r="AL125" s="79"/>
      <c r="AM125" s="77"/>
      <c r="AN125" s="172"/>
      <c r="AO125" s="116"/>
      <c r="AQ125" s="43">
        <f t="shared" si="34"/>
        <v>0</v>
      </c>
      <c r="AR125" s="43">
        <f t="shared" si="35"/>
        <v>0</v>
      </c>
      <c r="AS125" s="43">
        <f t="shared" si="36"/>
        <v>0</v>
      </c>
    </row>
    <row r="126" spans="2:45" ht="21" customHeight="1">
      <c r="B126" s="43">
        <v>122</v>
      </c>
      <c r="C126" s="44" t="str">
        <f>'Course 1'!C126</f>
        <v/>
      </c>
      <c r="D126" s="46" t="str">
        <f>IF(C126="","",HLOOKUP(C126,'Règles et points'!$D$5:$Y$7,3))</f>
        <v/>
      </c>
      <c r="E126" s="46" t="str">
        <f>IF(C126="","",HLOOKUP(C126,'Règles et points'!$D$5:$Y$7,2))</f>
        <v/>
      </c>
      <c r="F126" s="43" t="str">
        <f>IF('Course 1'!E126="","",'Course 1'!E126)</f>
        <v/>
      </c>
      <c r="G126" s="43" t="str">
        <f>IF('Course 1'!F126="","",'Course 1'!F126)</f>
        <v/>
      </c>
      <c r="H126" s="56">
        <f>'Course 1'!M126+'Course 2'!M126+'Course 3'!M126+'Course 4'!M126+'Course 4'!M126</f>
        <v>0</v>
      </c>
      <c r="J126" s="43" t="str">
        <f t="shared" si="22"/>
        <v/>
      </c>
      <c r="K126" s="43" t="str">
        <f t="shared" si="23"/>
        <v/>
      </c>
      <c r="L126" s="53" t="str">
        <f t="shared" si="24"/>
        <v/>
      </c>
      <c r="N126" s="43" t="str">
        <f t="shared" si="31"/>
        <v/>
      </c>
      <c r="O126" s="43" t="str">
        <f t="shared" si="32"/>
        <v/>
      </c>
      <c r="P126" s="53" t="str">
        <f t="shared" si="33"/>
        <v/>
      </c>
      <c r="R126" s="43" t="str">
        <f t="shared" si="25"/>
        <v/>
      </c>
      <c r="S126" s="43" t="str">
        <f t="shared" si="26"/>
        <v/>
      </c>
      <c r="T126" s="45" t="str">
        <f t="shared" si="27"/>
        <v/>
      </c>
      <c r="V126" s="43" t="str">
        <f t="shared" si="28"/>
        <v/>
      </c>
      <c r="W126" s="43" t="str">
        <f t="shared" si="29"/>
        <v/>
      </c>
      <c r="X126" s="45" t="str">
        <f t="shared" si="30"/>
        <v/>
      </c>
      <c r="AD126" s="77"/>
      <c r="AE126" s="77"/>
      <c r="AF126" s="78"/>
      <c r="AG126" s="116"/>
      <c r="AH126" s="118"/>
      <c r="AI126" s="77"/>
      <c r="AJ126" s="172"/>
      <c r="AK126" s="116"/>
      <c r="AL126" s="79"/>
      <c r="AM126" s="77"/>
      <c r="AN126" s="172"/>
      <c r="AO126" s="116"/>
      <c r="AQ126" s="43">
        <f t="shared" si="34"/>
        <v>0</v>
      </c>
      <c r="AR126" s="43">
        <f t="shared" si="35"/>
        <v>0</v>
      </c>
      <c r="AS126" s="43">
        <f t="shared" si="36"/>
        <v>0</v>
      </c>
    </row>
    <row r="127" spans="2:45" ht="21" customHeight="1">
      <c r="B127" s="43">
        <v>123</v>
      </c>
      <c r="C127" s="44" t="str">
        <f>'Course 1'!C127</f>
        <v/>
      </c>
      <c r="D127" s="46" t="str">
        <f>IF(C127="","",HLOOKUP(C127,'Règles et points'!$D$5:$Y$7,3))</f>
        <v/>
      </c>
      <c r="E127" s="46" t="str">
        <f>IF(C127="","",HLOOKUP(C127,'Règles et points'!$D$5:$Y$7,2))</f>
        <v/>
      </c>
      <c r="F127" s="43" t="str">
        <f>IF('Course 1'!E127="","",'Course 1'!E127)</f>
        <v/>
      </c>
      <c r="G127" s="43" t="str">
        <f>IF('Course 1'!F127="","",'Course 1'!F127)</f>
        <v/>
      </c>
      <c r="H127" s="56">
        <f>'Course 1'!M127+'Course 2'!M127+'Course 3'!M127+'Course 4'!M127+'Course 4'!M127</f>
        <v>0</v>
      </c>
      <c r="J127" s="43" t="str">
        <f t="shared" si="22"/>
        <v/>
      </c>
      <c r="K127" s="43" t="str">
        <f t="shared" si="23"/>
        <v/>
      </c>
      <c r="L127" s="53" t="str">
        <f t="shared" si="24"/>
        <v/>
      </c>
      <c r="N127" s="43" t="str">
        <f t="shared" si="31"/>
        <v/>
      </c>
      <c r="O127" s="43" t="str">
        <f t="shared" si="32"/>
        <v/>
      </c>
      <c r="P127" s="53" t="str">
        <f t="shared" si="33"/>
        <v/>
      </c>
      <c r="R127" s="43" t="str">
        <f t="shared" si="25"/>
        <v/>
      </c>
      <c r="S127" s="43" t="str">
        <f t="shared" si="26"/>
        <v/>
      </c>
      <c r="T127" s="45" t="str">
        <f t="shared" si="27"/>
        <v/>
      </c>
      <c r="V127" s="43" t="str">
        <f t="shared" si="28"/>
        <v/>
      </c>
      <c r="W127" s="43" t="str">
        <f t="shared" si="29"/>
        <v/>
      </c>
      <c r="X127" s="45" t="str">
        <f t="shared" si="30"/>
        <v/>
      </c>
      <c r="AD127" s="77"/>
      <c r="AE127" s="77"/>
      <c r="AF127" s="78"/>
      <c r="AG127" s="116"/>
      <c r="AH127" s="118"/>
      <c r="AI127" s="77"/>
      <c r="AJ127" s="172"/>
      <c r="AK127" s="116"/>
      <c r="AL127" s="79"/>
      <c r="AM127" s="77"/>
      <c r="AN127" s="172"/>
      <c r="AO127" s="116"/>
      <c r="AQ127" s="43">
        <f t="shared" si="34"/>
        <v>0</v>
      </c>
      <c r="AR127" s="43">
        <f t="shared" si="35"/>
        <v>0</v>
      </c>
      <c r="AS127" s="43">
        <f t="shared" si="36"/>
        <v>0</v>
      </c>
    </row>
    <row r="128" spans="2:45" ht="21" customHeight="1">
      <c r="B128" s="43">
        <v>124</v>
      </c>
      <c r="C128" s="44" t="str">
        <f>'Course 1'!C128</f>
        <v/>
      </c>
      <c r="D128" s="46" t="str">
        <f>IF(C128="","",HLOOKUP(C128,'Règles et points'!$D$5:$Y$7,3))</f>
        <v/>
      </c>
      <c r="E128" s="46" t="str">
        <f>IF(C128="","",HLOOKUP(C128,'Règles et points'!$D$5:$Y$7,2))</f>
        <v/>
      </c>
      <c r="F128" s="43" t="str">
        <f>IF('Course 1'!E128="","",'Course 1'!E128)</f>
        <v/>
      </c>
      <c r="G128" s="43" t="str">
        <f>IF('Course 1'!F128="","",'Course 1'!F128)</f>
        <v/>
      </c>
      <c r="H128" s="56">
        <f>'Course 1'!M128+'Course 2'!M128+'Course 3'!M128+'Course 4'!M128+'Course 4'!M128</f>
        <v>0</v>
      </c>
      <c r="J128" s="43" t="str">
        <f t="shared" si="22"/>
        <v/>
      </c>
      <c r="K128" s="43" t="str">
        <f t="shared" si="23"/>
        <v/>
      </c>
      <c r="L128" s="53" t="str">
        <f t="shared" si="24"/>
        <v/>
      </c>
      <c r="N128" s="43" t="str">
        <f t="shared" si="31"/>
        <v/>
      </c>
      <c r="O128" s="43" t="str">
        <f t="shared" si="32"/>
        <v/>
      </c>
      <c r="P128" s="53" t="str">
        <f t="shared" si="33"/>
        <v/>
      </c>
      <c r="R128" s="43" t="str">
        <f t="shared" si="25"/>
        <v/>
      </c>
      <c r="S128" s="43" t="str">
        <f t="shared" si="26"/>
        <v/>
      </c>
      <c r="T128" s="45" t="str">
        <f t="shared" si="27"/>
        <v/>
      </c>
      <c r="V128" s="43" t="str">
        <f t="shared" si="28"/>
        <v/>
      </c>
      <c r="W128" s="43" t="str">
        <f t="shared" si="29"/>
        <v/>
      </c>
      <c r="X128" s="45" t="str">
        <f t="shared" si="30"/>
        <v/>
      </c>
      <c r="AD128" s="77"/>
      <c r="AE128" s="77"/>
      <c r="AF128" s="78"/>
      <c r="AG128" s="116"/>
      <c r="AH128" s="118"/>
      <c r="AI128" s="77"/>
      <c r="AJ128" s="172"/>
      <c r="AK128" s="116"/>
      <c r="AL128" s="79"/>
      <c r="AM128" s="77"/>
      <c r="AN128" s="172"/>
      <c r="AO128" s="116"/>
      <c r="AQ128" s="43">
        <f t="shared" si="34"/>
        <v>0</v>
      </c>
      <c r="AR128" s="43">
        <f t="shared" si="35"/>
        <v>0</v>
      </c>
      <c r="AS128" s="43">
        <f t="shared" si="36"/>
        <v>0</v>
      </c>
    </row>
    <row r="129" spans="2:45" ht="21" customHeight="1">
      <c r="B129" s="43">
        <v>125</v>
      </c>
      <c r="C129" s="44" t="str">
        <f>'Course 1'!C129</f>
        <v/>
      </c>
      <c r="D129" s="46" t="str">
        <f>IF(C129="","",HLOOKUP(C129,'Règles et points'!$D$5:$Y$7,3))</f>
        <v/>
      </c>
      <c r="E129" s="46" t="str">
        <f>IF(C129="","",HLOOKUP(C129,'Règles et points'!$D$5:$Y$7,2))</f>
        <v/>
      </c>
      <c r="F129" s="43" t="str">
        <f>IF('Course 1'!E129="","",'Course 1'!E129)</f>
        <v/>
      </c>
      <c r="G129" s="43" t="str">
        <f>IF('Course 1'!F129="","",'Course 1'!F129)</f>
        <v/>
      </c>
      <c r="H129" s="56">
        <f>'Course 1'!M129+'Course 2'!M129+'Course 3'!M129+'Course 4'!M129+'Course 4'!M129</f>
        <v>0</v>
      </c>
      <c r="J129" s="43" t="str">
        <f t="shared" si="22"/>
        <v/>
      </c>
      <c r="K129" s="43" t="str">
        <f t="shared" si="23"/>
        <v/>
      </c>
      <c r="L129" s="53" t="str">
        <f t="shared" si="24"/>
        <v/>
      </c>
      <c r="N129" s="43" t="str">
        <f t="shared" si="31"/>
        <v/>
      </c>
      <c r="O129" s="43" t="str">
        <f t="shared" si="32"/>
        <v/>
      </c>
      <c r="P129" s="53" t="str">
        <f t="shared" si="33"/>
        <v/>
      </c>
      <c r="R129" s="43" t="str">
        <f t="shared" si="25"/>
        <v/>
      </c>
      <c r="S129" s="43" t="str">
        <f t="shared" si="26"/>
        <v/>
      </c>
      <c r="T129" s="45" t="str">
        <f t="shared" si="27"/>
        <v/>
      </c>
      <c r="V129" s="43" t="str">
        <f t="shared" si="28"/>
        <v/>
      </c>
      <c r="W129" s="43" t="str">
        <f t="shared" si="29"/>
        <v/>
      </c>
      <c r="X129" s="45" t="str">
        <f t="shared" si="30"/>
        <v/>
      </c>
      <c r="AD129" s="77"/>
      <c r="AE129" s="77"/>
      <c r="AF129" s="78"/>
      <c r="AG129" s="116"/>
      <c r="AH129" s="118"/>
      <c r="AI129" s="77"/>
      <c r="AJ129" s="172"/>
      <c r="AK129" s="116"/>
      <c r="AL129" s="79"/>
      <c r="AM129" s="77"/>
      <c r="AN129" s="172"/>
      <c r="AO129" s="116"/>
      <c r="AQ129" s="43">
        <f t="shared" si="34"/>
        <v>0</v>
      </c>
      <c r="AR129" s="43">
        <f t="shared" si="35"/>
        <v>0</v>
      </c>
      <c r="AS129" s="43">
        <f t="shared" si="36"/>
        <v>0</v>
      </c>
    </row>
    <row r="130" spans="2:45" ht="21" customHeight="1">
      <c r="B130" s="43">
        <v>126</v>
      </c>
      <c r="C130" s="44" t="str">
        <f>'Course 1'!C130</f>
        <v/>
      </c>
      <c r="D130" s="46" t="str">
        <f>IF(C130="","",HLOOKUP(C130,'Règles et points'!$D$5:$Y$7,3))</f>
        <v/>
      </c>
      <c r="E130" s="46" t="str">
        <f>IF(C130="","",HLOOKUP(C130,'Règles et points'!$D$5:$Y$7,2))</f>
        <v/>
      </c>
      <c r="F130" s="43" t="str">
        <f>IF('Course 1'!E130="","",'Course 1'!E130)</f>
        <v/>
      </c>
      <c r="G130" s="43" t="str">
        <f>IF('Course 1'!F130="","",'Course 1'!F130)</f>
        <v/>
      </c>
      <c r="H130" s="56">
        <f>'Course 1'!M130+'Course 2'!M130+'Course 3'!M130+'Course 4'!M130+'Course 4'!M130</f>
        <v>0</v>
      </c>
      <c r="J130" s="43" t="str">
        <f t="shared" si="22"/>
        <v/>
      </c>
      <c r="K130" s="43" t="str">
        <f t="shared" si="23"/>
        <v/>
      </c>
      <c r="L130" s="53" t="str">
        <f t="shared" si="24"/>
        <v/>
      </c>
      <c r="N130" s="43" t="str">
        <f t="shared" si="31"/>
        <v/>
      </c>
      <c r="O130" s="43" t="str">
        <f t="shared" si="32"/>
        <v/>
      </c>
      <c r="P130" s="53" t="str">
        <f t="shared" si="33"/>
        <v/>
      </c>
      <c r="R130" s="43" t="str">
        <f t="shared" si="25"/>
        <v/>
      </c>
      <c r="S130" s="43" t="str">
        <f t="shared" si="26"/>
        <v/>
      </c>
      <c r="T130" s="45" t="str">
        <f t="shared" si="27"/>
        <v/>
      </c>
      <c r="V130" s="43" t="str">
        <f t="shared" si="28"/>
        <v/>
      </c>
      <c r="W130" s="43" t="str">
        <f t="shared" si="29"/>
        <v/>
      </c>
      <c r="X130" s="45" t="str">
        <f t="shared" si="30"/>
        <v/>
      </c>
      <c r="AD130" s="77"/>
      <c r="AE130" s="77"/>
      <c r="AF130" s="78"/>
      <c r="AG130" s="116"/>
      <c r="AH130" s="118"/>
      <c r="AI130" s="77"/>
      <c r="AJ130" s="172"/>
      <c r="AK130" s="116"/>
      <c r="AL130" s="79"/>
      <c r="AM130" s="77"/>
      <c r="AN130" s="172"/>
      <c r="AO130" s="116"/>
      <c r="AQ130" s="43">
        <f t="shared" si="34"/>
        <v>0</v>
      </c>
      <c r="AR130" s="43">
        <f t="shared" si="35"/>
        <v>0</v>
      </c>
      <c r="AS130" s="43">
        <f t="shared" si="36"/>
        <v>0</v>
      </c>
    </row>
    <row r="131" spans="2:45" ht="21" customHeight="1">
      <c r="B131" s="43">
        <v>127</v>
      </c>
      <c r="C131" s="44" t="str">
        <f>'Course 1'!C131</f>
        <v/>
      </c>
      <c r="D131" s="46" t="str">
        <f>IF(C131="","",HLOOKUP(C131,'Règles et points'!$D$5:$Y$7,3))</f>
        <v/>
      </c>
      <c r="E131" s="46" t="str">
        <f>IF(C131="","",HLOOKUP(C131,'Règles et points'!$D$5:$Y$7,2))</f>
        <v/>
      </c>
      <c r="F131" s="43" t="str">
        <f>IF('Course 1'!E131="","",'Course 1'!E131)</f>
        <v/>
      </c>
      <c r="G131" s="43" t="str">
        <f>IF('Course 1'!F131="","",'Course 1'!F131)</f>
        <v/>
      </c>
      <c r="H131" s="56">
        <f>'Course 1'!M131+'Course 2'!M131+'Course 3'!M131+'Course 4'!M131+'Course 4'!M131</f>
        <v>0</v>
      </c>
      <c r="J131" s="43" t="str">
        <f t="shared" si="22"/>
        <v/>
      </c>
      <c r="K131" s="43" t="str">
        <f t="shared" si="23"/>
        <v/>
      </c>
      <c r="L131" s="53" t="str">
        <f t="shared" si="24"/>
        <v/>
      </c>
      <c r="N131" s="43" t="str">
        <f t="shared" si="31"/>
        <v/>
      </c>
      <c r="O131" s="43" t="str">
        <f t="shared" si="32"/>
        <v/>
      </c>
      <c r="P131" s="53" t="str">
        <f t="shared" si="33"/>
        <v/>
      </c>
      <c r="R131" s="43" t="str">
        <f t="shared" si="25"/>
        <v/>
      </c>
      <c r="S131" s="43" t="str">
        <f t="shared" si="26"/>
        <v/>
      </c>
      <c r="T131" s="45" t="str">
        <f t="shared" si="27"/>
        <v/>
      </c>
      <c r="V131" s="43" t="str">
        <f t="shared" si="28"/>
        <v/>
      </c>
      <c r="W131" s="43" t="str">
        <f t="shared" si="29"/>
        <v/>
      </c>
      <c r="X131" s="45" t="str">
        <f t="shared" si="30"/>
        <v/>
      </c>
      <c r="AD131" s="77"/>
      <c r="AE131" s="77"/>
      <c r="AF131" s="78"/>
      <c r="AG131" s="116"/>
      <c r="AH131" s="118"/>
      <c r="AI131" s="77"/>
      <c r="AJ131" s="172"/>
      <c r="AK131" s="116"/>
      <c r="AL131" s="79"/>
      <c r="AM131" s="77"/>
      <c r="AN131" s="172"/>
      <c r="AO131" s="116"/>
      <c r="AQ131" s="43">
        <f t="shared" si="34"/>
        <v>0</v>
      </c>
      <c r="AR131" s="43">
        <f t="shared" si="35"/>
        <v>0</v>
      </c>
      <c r="AS131" s="43">
        <f t="shared" si="36"/>
        <v>0</v>
      </c>
    </row>
    <row r="132" spans="2:45" ht="21" customHeight="1">
      <c r="B132" s="43">
        <v>128</v>
      </c>
      <c r="C132" s="44" t="str">
        <f>'Course 1'!C132</f>
        <v/>
      </c>
      <c r="D132" s="46" t="str">
        <f>IF(C132="","",HLOOKUP(C132,'Règles et points'!$D$5:$Y$7,3))</f>
        <v/>
      </c>
      <c r="E132" s="46" t="str">
        <f>IF(C132="","",HLOOKUP(C132,'Règles et points'!$D$5:$Y$7,2))</f>
        <v/>
      </c>
      <c r="F132" s="43" t="str">
        <f>IF('Course 1'!E132="","",'Course 1'!E132)</f>
        <v/>
      </c>
      <c r="G132" s="43" t="str">
        <f>IF('Course 1'!F132="","",'Course 1'!F132)</f>
        <v/>
      </c>
      <c r="H132" s="56">
        <f>'Course 1'!M132+'Course 2'!M132+'Course 3'!M132+'Course 4'!M132+'Course 4'!M132</f>
        <v>0</v>
      </c>
      <c r="J132" s="43" t="str">
        <f t="shared" ref="J132:J195" si="37">IF($E132=$L$3,$F132,"")</f>
        <v/>
      </c>
      <c r="K132" s="43" t="str">
        <f t="shared" ref="K132:K195" si="38">IF($E132=$L$3,$G132,"")</f>
        <v/>
      </c>
      <c r="L132" s="53" t="str">
        <f t="shared" ref="L132:L195" si="39">IF($E132=$L$3,$H132,"")</f>
        <v/>
      </c>
      <c r="N132" s="43" t="str">
        <f t="shared" si="31"/>
        <v/>
      </c>
      <c r="O132" s="43" t="str">
        <f t="shared" si="32"/>
        <v/>
      </c>
      <c r="P132" s="53" t="str">
        <f t="shared" si="33"/>
        <v/>
      </c>
      <c r="R132" s="43" t="str">
        <f t="shared" si="25"/>
        <v/>
      </c>
      <c r="S132" s="43" t="str">
        <f t="shared" si="26"/>
        <v/>
      </c>
      <c r="T132" s="45" t="str">
        <f t="shared" si="27"/>
        <v/>
      </c>
      <c r="V132" s="43" t="str">
        <f t="shared" si="28"/>
        <v/>
      </c>
      <c r="W132" s="43" t="str">
        <f t="shared" si="29"/>
        <v/>
      </c>
      <c r="X132" s="45" t="str">
        <f t="shared" si="30"/>
        <v/>
      </c>
      <c r="AD132" s="77"/>
      <c r="AE132" s="77"/>
      <c r="AF132" s="78"/>
      <c r="AG132" s="116"/>
      <c r="AH132" s="118"/>
      <c r="AI132" s="77"/>
      <c r="AJ132" s="172"/>
      <c r="AK132" s="116"/>
      <c r="AL132" s="79"/>
      <c r="AM132" s="77"/>
      <c r="AN132" s="172"/>
      <c r="AO132" s="116"/>
      <c r="AQ132" s="43">
        <f t="shared" si="34"/>
        <v>0</v>
      </c>
      <c r="AR132" s="43">
        <f t="shared" si="35"/>
        <v>0</v>
      </c>
      <c r="AS132" s="43">
        <f t="shared" si="36"/>
        <v>0</v>
      </c>
    </row>
    <row r="133" spans="2:45" ht="21" customHeight="1">
      <c r="B133" s="43">
        <v>129</v>
      </c>
      <c r="C133" s="44" t="str">
        <f>'Course 1'!C133</f>
        <v/>
      </c>
      <c r="D133" s="46" t="str">
        <f>IF(C133="","",HLOOKUP(C133,'Règles et points'!$D$5:$Y$7,3))</f>
        <v/>
      </c>
      <c r="E133" s="46" t="str">
        <f>IF(C133="","",HLOOKUP(C133,'Règles et points'!$D$5:$Y$7,2))</f>
        <v/>
      </c>
      <c r="F133" s="43" t="str">
        <f>IF('Course 1'!E133="","",'Course 1'!E133)</f>
        <v/>
      </c>
      <c r="G133" s="43" t="str">
        <f>IF('Course 1'!F133="","",'Course 1'!F133)</f>
        <v/>
      </c>
      <c r="H133" s="56">
        <f>'Course 1'!M133+'Course 2'!M133+'Course 3'!M133+'Course 4'!M133+'Course 4'!M133</f>
        <v>0</v>
      </c>
      <c r="J133" s="43" t="str">
        <f t="shared" si="37"/>
        <v/>
      </c>
      <c r="K133" s="43" t="str">
        <f t="shared" si="38"/>
        <v/>
      </c>
      <c r="L133" s="53" t="str">
        <f t="shared" si="39"/>
        <v/>
      </c>
      <c r="N133" s="43" t="str">
        <f t="shared" si="31"/>
        <v/>
      </c>
      <c r="O133" s="43" t="str">
        <f t="shared" si="32"/>
        <v/>
      </c>
      <c r="P133" s="53" t="str">
        <f t="shared" si="33"/>
        <v/>
      </c>
      <c r="R133" s="43" t="str">
        <f t="shared" ref="R133:R196" si="40">IF($E133=$T$3,$F133,"")</f>
        <v/>
      </c>
      <c r="S133" s="43" t="str">
        <f t="shared" ref="S133:S196" si="41">IF($E133=$T$3,$G133,"")</f>
        <v/>
      </c>
      <c r="T133" s="45" t="str">
        <f t="shared" ref="T133:T196" si="42">IF($E133=$T$3,$H133,"")</f>
        <v/>
      </c>
      <c r="V133" s="43" t="str">
        <f t="shared" ref="V133:V196" si="43">IF($E133=$X$3,$F133,"")</f>
        <v/>
      </c>
      <c r="W133" s="43" t="str">
        <f t="shared" ref="W133:W196" si="44">IF($E133=$X$3,$G133,"")</f>
        <v/>
      </c>
      <c r="X133" s="45" t="str">
        <f t="shared" ref="X133:X196" si="45">IF($E133=$X$3,$H133,"")</f>
        <v/>
      </c>
      <c r="AD133" s="77"/>
      <c r="AE133" s="77"/>
      <c r="AF133" s="78"/>
      <c r="AG133" s="116"/>
      <c r="AH133" s="118"/>
      <c r="AI133" s="77"/>
      <c r="AJ133" s="172"/>
      <c r="AK133" s="116"/>
      <c r="AL133" s="79"/>
      <c r="AM133" s="77"/>
      <c r="AN133" s="172"/>
      <c r="AO133" s="116"/>
      <c r="AQ133" s="43">
        <f t="shared" si="34"/>
        <v>0</v>
      </c>
      <c r="AR133" s="43">
        <f t="shared" si="35"/>
        <v>0</v>
      </c>
      <c r="AS133" s="43">
        <f t="shared" si="36"/>
        <v>0</v>
      </c>
    </row>
    <row r="134" spans="2:45" ht="21" customHeight="1">
      <c r="B134" s="43">
        <v>130</v>
      </c>
      <c r="C134" s="44" t="str">
        <f>'Course 1'!C134</f>
        <v/>
      </c>
      <c r="D134" s="46" t="str">
        <f>IF(C134="","",HLOOKUP(C134,'Règles et points'!$D$5:$Y$7,3))</f>
        <v/>
      </c>
      <c r="E134" s="46" t="str">
        <f>IF(C134="","",HLOOKUP(C134,'Règles et points'!$D$5:$Y$7,2))</f>
        <v/>
      </c>
      <c r="F134" s="43" t="str">
        <f>IF('Course 1'!E134="","",'Course 1'!E134)</f>
        <v/>
      </c>
      <c r="G134" s="43" t="str">
        <f>IF('Course 1'!F134="","",'Course 1'!F134)</f>
        <v/>
      </c>
      <c r="H134" s="56">
        <f>'Course 1'!M134+'Course 2'!M134+'Course 3'!M134+'Course 4'!M134+'Course 4'!M134</f>
        <v>0</v>
      </c>
      <c r="J134" s="43" t="str">
        <f t="shared" si="37"/>
        <v/>
      </c>
      <c r="K134" s="43" t="str">
        <f t="shared" si="38"/>
        <v/>
      </c>
      <c r="L134" s="53" t="str">
        <f t="shared" si="39"/>
        <v/>
      </c>
      <c r="N134" s="43" t="str">
        <f t="shared" ref="N134:N197" si="46">IF($E134=$P$3,$F134,"")</f>
        <v/>
      </c>
      <c r="O134" s="43" t="str">
        <f t="shared" ref="O134:O197" si="47">IF($E134=$P$3,$G134,"")</f>
        <v/>
      </c>
      <c r="P134" s="53" t="str">
        <f t="shared" ref="P134:P197" si="48">IF($E134=$P$3,$H134,"")</f>
        <v/>
      </c>
      <c r="R134" s="43" t="str">
        <f t="shared" si="40"/>
        <v/>
      </c>
      <c r="S134" s="43" t="str">
        <f t="shared" si="41"/>
        <v/>
      </c>
      <c r="T134" s="45" t="str">
        <f t="shared" si="42"/>
        <v/>
      </c>
      <c r="V134" s="43" t="str">
        <f t="shared" si="43"/>
        <v/>
      </c>
      <c r="W134" s="43" t="str">
        <f t="shared" si="44"/>
        <v/>
      </c>
      <c r="X134" s="45" t="str">
        <f t="shared" si="45"/>
        <v/>
      </c>
      <c r="AD134" s="77"/>
      <c r="AE134" s="77"/>
      <c r="AF134" s="78"/>
      <c r="AG134" s="116"/>
      <c r="AH134" s="118"/>
      <c r="AI134" s="77"/>
      <c r="AJ134" s="172"/>
      <c r="AK134" s="116"/>
      <c r="AL134" s="79"/>
      <c r="AM134" s="77"/>
      <c r="AN134" s="172"/>
      <c r="AO134" s="116"/>
      <c r="AQ134" s="43">
        <f t="shared" si="34"/>
        <v>0</v>
      </c>
      <c r="AR134" s="43">
        <f t="shared" si="35"/>
        <v>0</v>
      </c>
      <c r="AS134" s="43">
        <f t="shared" si="36"/>
        <v>0</v>
      </c>
    </row>
    <row r="135" spans="2:45" ht="21" customHeight="1">
      <c r="B135" s="43">
        <v>131</v>
      </c>
      <c r="C135" s="44" t="str">
        <f>'Course 1'!C135</f>
        <v/>
      </c>
      <c r="D135" s="46" t="str">
        <f>IF(C135="","",HLOOKUP(C135,'Règles et points'!$D$5:$Y$7,3))</f>
        <v/>
      </c>
      <c r="E135" s="46" t="str">
        <f>IF(C135="","",HLOOKUP(C135,'Règles et points'!$D$5:$Y$7,2))</f>
        <v/>
      </c>
      <c r="F135" s="43" t="str">
        <f>IF('Course 1'!E135="","",'Course 1'!E135)</f>
        <v/>
      </c>
      <c r="G135" s="43" t="str">
        <f>IF('Course 1'!F135="","",'Course 1'!F135)</f>
        <v/>
      </c>
      <c r="H135" s="56">
        <f>'Course 1'!M135+'Course 2'!M135+'Course 3'!M135+'Course 4'!M135+'Course 4'!M135</f>
        <v>0</v>
      </c>
      <c r="J135" s="43" t="str">
        <f t="shared" si="37"/>
        <v/>
      </c>
      <c r="K135" s="43" t="str">
        <f t="shared" si="38"/>
        <v/>
      </c>
      <c r="L135" s="53" t="str">
        <f t="shared" si="39"/>
        <v/>
      </c>
      <c r="N135" s="43" t="str">
        <f t="shared" si="46"/>
        <v/>
      </c>
      <c r="O135" s="43" t="str">
        <f t="shared" si="47"/>
        <v/>
      </c>
      <c r="P135" s="53" t="str">
        <f t="shared" si="48"/>
        <v/>
      </c>
      <c r="R135" s="43" t="str">
        <f t="shared" si="40"/>
        <v/>
      </c>
      <c r="S135" s="43" t="str">
        <f t="shared" si="41"/>
        <v/>
      </c>
      <c r="T135" s="45" t="str">
        <f t="shared" si="42"/>
        <v/>
      </c>
      <c r="V135" s="43" t="str">
        <f t="shared" si="43"/>
        <v/>
      </c>
      <c r="W135" s="43" t="str">
        <f t="shared" si="44"/>
        <v/>
      </c>
      <c r="X135" s="45" t="str">
        <f t="shared" si="45"/>
        <v/>
      </c>
      <c r="AD135" s="77"/>
      <c r="AE135" s="77"/>
      <c r="AF135" s="172"/>
      <c r="AG135" s="116"/>
      <c r="AH135" s="118"/>
      <c r="AI135" s="77"/>
      <c r="AJ135" s="172"/>
      <c r="AK135" s="116"/>
      <c r="AL135" s="79"/>
      <c r="AM135" s="77"/>
      <c r="AN135" s="172"/>
      <c r="AO135" s="116"/>
      <c r="AQ135" s="43">
        <f t="shared" si="34"/>
        <v>0</v>
      </c>
      <c r="AR135" s="43">
        <f t="shared" si="35"/>
        <v>0</v>
      </c>
      <c r="AS135" s="43">
        <f t="shared" si="36"/>
        <v>0</v>
      </c>
    </row>
    <row r="136" spans="2:45" ht="21" customHeight="1">
      <c r="B136" s="43">
        <v>132</v>
      </c>
      <c r="C136" s="44" t="str">
        <f>'Course 1'!C136</f>
        <v/>
      </c>
      <c r="D136" s="46" t="str">
        <f>IF(C136="","",HLOOKUP(C136,'Règles et points'!$D$5:$Y$7,3))</f>
        <v/>
      </c>
      <c r="E136" s="46" t="str">
        <f>IF(C136="","",HLOOKUP(C136,'Règles et points'!$D$5:$Y$7,2))</f>
        <v/>
      </c>
      <c r="F136" s="43" t="str">
        <f>IF('Course 1'!E136="","",'Course 1'!E136)</f>
        <v/>
      </c>
      <c r="G136" s="43" t="str">
        <f>IF('Course 1'!F136="","",'Course 1'!F136)</f>
        <v/>
      </c>
      <c r="H136" s="56">
        <f>'Course 1'!M136+'Course 2'!M136+'Course 3'!M136+'Course 4'!M136+'Course 4'!M136</f>
        <v>0</v>
      </c>
      <c r="J136" s="43" t="str">
        <f t="shared" si="37"/>
        <v/>
      </c>
      <c r="K136" s="43" t="str">
        <f t="shared" si="38"/>
        <v/>
      </c>
      <c r="L136" s="53" t="str">
        <f t="shared" si="39"/>
        <v/>
      </c>
      <c r="N136" s="43" t="str">
        <f t="shared" si="46"/>
        <v/>
      </c>
      <c r="O136" s="43" t="str">
        <f t="shared" si="47"/>
        <v/>
      </c>
      <c r="P136" s="53" t="str">
        <f t="shared" si="48"/>
        <v/>
      </c>
      <c r="R136" s="43" t="str">
        <f t="shared" si="40"/>
        <v/>
      </c>
      <c r="S136" s="43" t="str">
        <f t="shared" si="41"/>
        <v/>
      </c>
      <c r="T136" s="45" t="str">
        <f t="shared" si="42"/>
        <v/>
      </c>
      <c r="V136" s="43" t="str">
        <f t="shared" si="43"/>
        <v/>
      </c>
      <c r="W136" s="43" t="str">
        <f t="shared" si="44"/>
        <v/>
      </c>
      <c r="X136" s="45" t="str">
        <f t="shared" si="45"/>
        <v/>
      </c>
      <c r="AD136" s="77"/>
      <c r="AE136" s="77"/>
      <c r="AF136" s="172"/>
      <c r="AG136" s="116"/>
      <c r="AH136" s="118"/>
      <c r="AI136" s="77"/>
      <c r="AJ136" s="172"/>
      <c r="AK136" s="116"/>
      <c r="AL136" s="79"/>
      <c r="AM136" s="77"/>
      <c r="AN136" s="172"/>
      <c r="AO136" s="116"/>
      <c r="AQ136" s="43">
        <f t="shared" si="34"/>
        <v>0</v>
      </c>
      <c r="AR136" s="43">
        <f t="shared" si="35"/>
        <v>0</v>
      </c>
      <c r="AS136" s="43">
        <f t="shared" si="36"/>
        <v>0</v>
      </c>
    </row>
    <row r="137" spans="2:45" ht="21" customHeight="1">
      <c r="B137" s="43">
        <v>133</v>
      </c>
      <c r="C137" s="44" t="str">
        <f>'Course 1'!C137</f>
        <v/>
      </c>
      <c r="D137" s="46" t="str">
        <f>IF(C137="","",HLOOKUP(C137,'Règles et points'!$D$5:$Y$7,3))</f>
        <v/>
      </c>
      <c r="E137" s="46" t="str">
        <f>IF(C137="","",HLOOKUP(C137,'Règles et points'!$D$5:$Y$7,2))</f>
        <v/>
      </c>
      <c r="F137" s="43" t="str">
        <f>IF('Course 1'!E137="","",'Course 1'!E137)</f>
        <v/>
      </c>
      <c r="G137" s="43" t="str">
        <f>IF('Course 1'!F137="","",'Course 1'!F137)</f>
        <v/>
      </c>
      <c r="H137" s="56">
        <f>'Course 1'!M137+'Course 2'!M137+'Course 3'!M137+'Course 4'!M137+'Course 4'!M137</f>
        <v>0</v>
      </c>
      <c r="J137" s="43" t="str">
        <f t="shared" si="37"/>
        <v/>
      </c>
      <c r="K137" s="43" t="str">
        <f t="shared" si="38"/>
        <v/>
      </c>
      <c r="L137" s="53" t="str">
        <f t="shared" si="39"/>
        <v/>
      </c>
      <c r="N137" s="43" t="str">
        <f t="shared" si="46"/>
        <v/>
      </c>
      <c r="O137" s="43" t="str">
        <f t="shared" si="47"/>
        <v/>
      </c>
      <c r="P137" s="53" t="str">
        <f t="shared" si="48"/>
        <v/>
      </c>
      <c r="R137" s="43" t="str">
        <f t="shared" si="40"/>
        <v/>
      </c>
      <c r="S137" s="43" t="str">
        <f t="shared" si="41"/>
        <v/>
      </c>
      <c r="T137" s="45" t="str">
        <f t="shared" si="42"/>
        <v/>
      </c>
      <c r="V137" s="43" t="str">
        <f t="shared" si="43"/>
        <v/>
      </c>
      <c r="W137" s="43" t="str">
        <f t="shared" si="44"/>
        <v/>
      </c>
      <c r="X137" s="45" t="str">
        <f t="shared" si="45"/>
        <v/>
      </c>
      <c r="AD137" s="77"/>
      <c r="AE137" s="77"/>
      <c r="AF137" s="172"/>
      <c r="AG137" s="116"/>
      <c r="AH137" s="118"/>
      <c r="AI137" s="77"/>
      <c r="AJ137" s="172"/>
      <c r="AK137" s="116"/>
      <c r="AL137" s="79"/>
      <c r="AM137" s="77"/>
      <c r="AN137" s="172"/>
      <c r="AO137" s="116"/>
      <c r="AQ137" s="43">
        <f t="shared" si="34"/>
        <v>0</v>
      </c>
      <c r="AR137" s="43">
        <f t="shared" si="35"/>
        <v>0</v>
      </c>
      <c r="AS137" s="43">
        <f t="shared" si="36"/>
        <v>0</v>
      </c>
    </row>
    <row r="138" spans="2:45" ht="21" customHeight="1">
      <c r="B138" s="43">
        <v>134</v>
      </c>
      <c r="C138" s="44" t="str">
        <f>'Course 1'!C138</f>
        <v/>
      </c>
      <c r="D138" s="46" t="str">
        <f>IF(C138="","",HLOOKUP(C138,'Règles et points'!$D$5:$Y$7,3))</f>
        <v/>
      </c>
      <c r="E138" s="46" t="str">
        <f>IF(C138="","",HLOOKUP(C138,'Règles et points'!$D$5:$Y$7,2))</f>
        <v/>
      </c>
      <c r="F138" s="43" t="str">
        <f>IF('Course 1'!E138="","",'Course 1'!E138)</f>
        <v/>
      </c>
      <c r="G138" s="43" t="str">
        <f>IF('Course 1'!F138="","",'Course 1'!F138)</f>
        <v/>
      </c>
      <c r="H138" s="56">
        <f>'Course 1'!M138+'Course 2'!M138+'Course 3'!M138+'Course 4'!M138+'Course 4'!M138</f>
        <v>0</v>
      </c>
      <c r="J138" s="43" t="str">
        <f t="shared" si="37"/>
        <v/>
      </c>
      <c r="K138" s="43" t="str">
        <f t="shared" si="38"/>
        <v/>
      </c>
      <c r="L138" s="53" t="str">
        <f t="shared" si="39"/>
        <v/>
      </c>
      <c r="N138" s="43" t="str">
        <f t="shared" si="46"/>
        <v/>
      </c>
      <c r="O138" s="43" t="str">
        <f t="shared" si="47"/>
        <v/>
      </c>
      <c r="P138" s="53" t="str">
        <f t="shared" si="48"/>
        <v/>
      </c>
      <c r="R138" s="43" t="str">
        <f t="shared" si="40"/>
        <v/>
      </c>
      <c r="S138" s="43" t="str">
        <f t="shared" si="41"/>
        <v/>
      </c>
      <c r="T138" s="45" t="str">
        <f t="shared" si="42"/>
        <v/>
      </c>
      <c r="V138" s="43" t="str">
        <f t="shared" si="43"/>
        <v/>
      </c>
      <c r="W138" s="43" t="str">
        <f t="shared" si="44"/>
        <v/>
      </c>
      <c r="X138" s="45" t="str">
        <f t="shared" si="45"/>
        <v/>
      </c>
      <c r="AD138" s="77"/>
      <c r="AE138" s="77"/>
      <c r="AF138" s="172"/>
      <c r="AG138" s="116"/>
      <c r="AH138" s="118"/>
      <c r="AI138" s="77"/>
      <c r="AJ138" s="172"/>
      <c r="AK138" s="116"/>
      <c r="AL138" s="79"/>
      <c r="AM138" s="77"/>
      <c r="AN138" s="172"/>
      <c r="AO138" s="116"/>
      <c r="AQ138" s="43">
        <f t="shared" si="34"/>
        <v>0</v>
      </c>
      <c r="AR138" s="43">
        <f t="shared" si="35"/>
        <v>0</v>
      </c>
      <c r="AS138" s="43">
        <f t="shared" si="36"/>
        <v>0</v>
      </c>
    </row>
    <row r="139" spans="2:45" ht="21" customHeight="1">
      <c r="B139" s="43">
        <v>135</v>
      </c>
      <c r="C139" s="44" t="str">
        <f>'Course 1'!C139</f>
        <v/>
      </c>
      <c r="D139" s="46" t="str">
        <f>IF(C139="","",HLOOKUP(C139,'Règles et points'!$D$5:$Y$7,3))</f>
        <v/>
      </c>
      <c r="E139" s="46" t="str">
        <f>IF(C139="","",HLOOKUP(C139,'Règles et points'!$D$5:$Y$7,2))</f>
        <v/>
      </c>
      <c r="F139" s="43" t="str">
        <f>IF('Course 1'!E139="","",'Course 1'!E139)</f>
        <v/>
      </c>
      <c r="G139" s="43" t="str">
        <f>IF('Course 1'!F139="","",'Course 1'!F139)</f>
        <v/>
      </c>
      <c r="H139" s="56">
        <f>'Course 1'!M139+'Course 2'!M139+'Course 3'!M139+'Course 4'!M139+'Course 4'!M139</f>
        <v>0</v>
      </c>
      <c r="J139" s="43" t="str">
        <f t="shared" si="37"/>
        <v/>
      </c>
      <c r="K139" s="43" t="str">
        <f t="shared" si="38"/>
        <v/>
      </c>
      <c r="L139" s="53" t="str">
        <f t="shared" si="39"/>
        <v/>
      </c>
      <c r="N139" s="43" t="str">
        <f t="shared" si="46"/>
        <v/>
      </c>
      <c r="O139" s="43" t="str">
        <f t="shared" si="47"/>
        <v/>
      </c>
      <c r="P139" s="53" t="str">
        <f t="shared" si="48"/>
        <v/>
      </c>
      <c r="R139" s="43" t="str">
        <f t="shared" si="40"/>
        <v/>
      </c>
      <c r="S139" s="43" t="str">
        <f t="shared" si="41"/>
        <v/>
      </c>
      <c r="T139" s="45" t="str">
        <f t="shared" si="42"/>
        <v/>
      </c>
      <c r="V139" s="43" t="str">
        <f t="shared" si="43"/>
        <v/>
      </c>
      <c r="W139" s="43" t="str">
        <f t="shared" si="44"/>
        <v/>
      </c>
      <c r="X139" s="45" t="str">
        <f t="shared" si="45"/>
        <v/>
      </c>
      <c r="AD139" s="77"/>
      <c r="AE139" s="77"/>
      <c r="AF139" s="172"/>
      <c r="AG139" s="116"/>
      <c r="AH139" s="118"/>
      <c r="AI139" s="77"/>
      <c r="AJ139" s="172"/>
      <c r="AK139" s="116"/>
      <c r="AL139" s="79"/>
      <c r="AM139" s="77"/>
      <c r="AN139" s="172"/>
      <c r="AO139" s="116"/>
      <c r="AQ139" s="43">
        <f t="shared" si="34"/>
        <v>0</v>
      </c>
      <c r="AR139" s="43">
        <f t="shared" si="35"/>
        <v>0</v>
      </c>
      <c r="AS139" s="43">
        <f t="shared" si="36"/>
        <v>0</v>
      </c>
    </row>
    <row r="140" spans="2:45" ht="21" customHeight="1">
      <c r="B140" s="43">
        <v>136</v>
      </c>
      <c r="C140" s="44" t="str">
        <f>'Course 1'!C140</f>
        <v/>
      </c>
      <c r="D140" s="46" t="str">
        <f>IF(C140="","",HLOOKUP(C140,'Règles et points'!$D$5:$Y$7,3))</f>
        <v/>
      </c>
      <c r="E140" s="46" t="str">
        <f>IF(C140="","",HLOOKUP(C140,'Règles et points'!$D$5:$Y$7,2))</f>
        <v/>
      </c>
      <c r="F140" s="43" t="str">
        <f>IF('Course 1'!E140="","",'Course 1'!E140)</f>
        <v/>
      </c>
      <c r="G140" s="43" t="str">
        <f>IF('Course 1'!F140="","",'Course 1'!F140)</f>
        <v/>
      </c>
      <c r="H140" s="56">
        <f>'Course 1'!M140+'Course 2'!M140+'Course 3'!M140+'Course 4'!M140+'Course 4'!M140</f>
        <v>0</v>
      </c>
      <c r="J140" s="43" t="str">
        <f t="shared" si="37"/>
        <v/>
      </c>
      <c r="K140" s="43" t="str">
        <f t="shared" si="38"/>
        <v/>
      </c>
      <c r="L140" s="53" t="str">
        <f t="shared" si="39"/>
        <v/>
      </c>
      <c r="N140" s="43" t="str">
        <f t="shared" si="46"/>
        <v/>
      </c>
      <c r="O140" s="43" t="str">
        <f t="shared" si="47"/>
        <v/>
      </c>
      <c r="P140" s="53" t="str">
        <f t="shared" si="48"/>
        <v/>
      </c>
      <c r="R140" s="43" t="str">
        <f t="shared" si="40"/>
        <v/>
      </c>
      <c r="S140" s="43" t="str">
        <f t="shared" si="41"/>
        <v/>
      </c>
      <c r="T140" s="45" t="str">
        <f t="shared" si="42"/>
        <v/>
      </c>
      <c r="V140" s="43" t="str">
        <f t="shared" si="43"/>
        <v/>
      </c>
      <c r="W140" s="43" t="str">
        <f t="shared" si="44"/>
        <v/>
      </c>
      <c r="X140" s="45" t="str">
        <f t="shared" si="45"/>
        <v/>
      </c>
      <c r="AD140" s="77"/>
      <c r="AE140" s="77"/>
      <c r="AF140" s="172"/>
      <c r="AG140" s="116"/>
      <c r="AH140" s="118"/>
      <c r="AI140" s="77"/>
      <c r="AJ140" s="172"/>
      <c r="AK140" s="116"/>
      <c r="AL140" s="79"/>
      <c r="AM140" s="77"/>
      <c r="AN140" s="172"/>
      <c r="AO140" s="116"/>
      <c r="AQ140" s="43">
        <f t="shared" si="34"/>
        <v>0</v>
      </c>
      <c r="AR140" s="43">
        <f t="shared" si="35"/>
        <v>0</v>
      </c>
      <c r="AS140" s="43">
        <f t="shared" si="36"/>
        <v>0</v>
      </c>
    </row>
    <row r="141" spans="2:45" ht="21" customHeight="1">
      <c r="B141" s="43">
        <v>137</v>
      </c>
      <c r="C141" s="44" t="str">
        <f>'Course 1'!C141</f>
        <v/>
      </c>
      <c r="D141" s="46" t="str">
        <f>IF(C141="","",HLOOKUP(C141,'Règles et points'!$D$5:$Y$7,3))</f>
        <v/>
      </c>
      <c r="E141" s="46" t="str">
        <f>IF(C141="","",HLOOKUP(C141,'Règles et points'!$D$5:$Y$7,2))</f>
        <v/>
      </c>
      <c r="F141" s="43" t="str">
        <f>IF('Course 1'!E141="","",'Course 1'!E141)</f>
        <v/>
      </c>
      <c r="G141" s="43" t="str">
        <f>IF('Course 1'!F141="","",'Course 1'!F141)</f>
        <v/>
      </c>
      <c r="H141" s="56">
        <f>'Course 1'!M141+'Course 2'!M141+'Course 3'!M141+'Course 4'!M141+'Course 4'!M141</f>
        <v>0</v>
      </c>
      <c r="J141" s="43" t="str">
        <f t="shared" si="37"/>
        <v/>
      </c>
      <c r="K141" s="43" t="str">
        <f t="shared" si="38"/>
        <v/>
      </c>
      <c r="L141" s="53" t="str">
        <f t="shared" si="39"/>
        <v/>
      </c>
      <c r="N141" s="43" t="str">
        <f t="shared" si="46"/>
        <v/>
      </c>
      <c r="O141" s="43" t="str">
        <f t="shared" si="47"/>
        <v/>
      </c>
      <c r="P141" s="53" t="str">
        <f t="shared" si="48"/>
        <v/>
      </c>
      <c r="R141" s="43" t="str">
        <f t="shared" si="40"/>
        <v/>
      </c>
      <c r="S141" s="43" t="str">
        <f t="shared" si="41"/>
        <v/>
      </c>
      <c r="T141" s="45" t="str">
        <f t="shared" si="42"/>
        <v/>
      </c>
      <c r="V141" s="43" t="str">
        <f t="shared" si="43"/>
        <v/>
      </c>
      <c r="W141" s="43" t="str">
        <f t="shared" si="44"/>
        <v/>
      </c>
      <c r="X141" s="45" t="str">
        <f t="shared" si="45"/>
        <v/>
      </c>
      <c r="AD141" s="77"/>
      <c r="AE141" s="77"/>
      <c r="AF141" s="172"/>
      <c r="AG141" s="116"/>
      <c r="AH141" s="118"/>
      <c r="AI141" s="77"/>
      <c r="AJ141" s="172"/>
      <c r="AK141" s="116"/>
      <c r="AL141" s="79"/>
      <c r="AM141" s="77"/>
      <c r="AN141" s="172"/>
      <c r="AO141" s="116"/>
      <c r="AQ141" s="43">
        <f t="shared" si="34"/>
        <v>0</v>
      </c>
      <c r="AR141" s="43">
        <f t="shared" si="35"/>
        <v>0</v>
      </c>
      <c r="AS141" s="43">
        <f t="shared" si="36"/>
        <v>0</v>
      </c>
    </row>
    <row r="142" spans="2:45" ht="21" customHeight="1">
      <c r="B142" s="43">
        <v>138</v>
      </c>
      <c r="C142" s="44" t="str">
        <f>'Course 1'!C142</f>
        <v/>
      </c>
      <c r="D142" s="46" t="str">
        <f>IF(C142="","",HLOOKUP(C142,'Règles et points'!$D$5:$Y$7,3))</f>
        <v/>
      </c>
      <c r="E142" s="46" t="str">
        <f>IF(C142="","",HLOOKUP(C142,'Règles et points'!$D$5:$Y$7,2))</f>
        <v/>
      </c>
      <c r="F142" s="43" t="str">
        <f>IF('Course 1'!E142="","",'Course 1'!E142)</f>
        <v/>
      </c>
      <c r="G142" s="43" t="str">
        <f>IF('Course 1'!F142="","",'Course 1'!F142)</f>
        <v/>
      </c>
      <c r="H142" s="56">
        <f>'Course 1'!M142+'Course 2'!M142+'Course 3'!M142+'Course 4'!M142+'Course 4'!M142</f>
        <v>0</v>
      </c>
      <c r="J142" s="43" t="str">
        <f t="shared" si="37"/>
        <v/>
      </c>
      <c r="K142" s="43" t="str">
        <f t="shared" si="38"/>
        <v/>
      </c>
      <c r="L142" s="53" t="str">
        <f t="shared" si="39"/>
        <v/>
      </c>
      <c r="N142" s="43" t="str">
        <f t="shared" si="46"/>
        <v/>
      </c>
      <c r="O142" s="43" t="str">
        <f t="shared" si="47"/>
        <v/>
      </c>
      <c r="P142" s="53" t="str">
        <f t="shared" si="48"/>
        <v/>
      </c>
      <c r="R142" s="43" t="str">
        <f t="shared" si="40"/>
        <v/>
      </c>
      <c r="S142" s="43" t="str">
        <f t="shared" si="41"/>
        <v/>
      </c>
      <c r="T142" s="45" t="str">
        <f t="shared" si="42"/>
        <v/>
      </c>
      <c r="V142" s="43" t="str">
        <f t="shared" si="43"/>
        <v/>
      </c>
      <c r="W142" s="43" t="str">
        <f t="shared" si="44"/>
        <v/>
      </c>
      <c r="X142" s="45" t="str">
        <f t="shared" si="45"/>
        <v/>
      </c>
      <c r="AD142" s="77"/>
      <c r="AE142" s="77"/>
      <c r="AF142" s="172"/>
      <c r="AG142" s="116"/>
      <c r="AH142" s="118"/>
      <c r="AI142" s="77"/>
      <c r="AJ142" s="172"/>
      <c r="AK142" s="116"/>
      <c r="AL142" s="79"/>
      <c r="AM142" s="77"/>
      <c r="AN142" s="172"/>
      <c r="AO142" s="116"/>
      <c r="AQ142" s="43">
        <f t="shared" si="34"/>
        <v>0</v>
      </c>
      <c r="AR142" s="43">
        <f t="shared" si="35"/>
        <v>0</v>
      </c>
      <c r="AS142" s="43">
        <f t="shared" si="36"/>
        <v>0</v>
      </c>
    </row>
    <row r="143" spans="2:45" ht="21" customHeight="1">
      <c r="B143" s="43">
        <v>139</v>
      </c>
      <c r="C143" s="44" t="str">
        <f>'Course 1'!C143</f>
        <v/>
      </c>
      <c r="D143" s="46" t="str">
        <f>IF(C143="","",HLOOKUP(C143,'Règles et points'!$D$5:$Y$7,3))</f>
        <v/>
      </c>
      <c r="E143" s="46" t="str">
        <f>IF(C143="","",HLOOKUP(C143,'Règles et points'!$D$5:$Y$7,2))</f>
        <v/>
      </c>
      <c r="F143" s="43" t="str">
        <f>IF('Course 1'!E143="","",'Course 1'!E143)</f>
        <v/>
      </c>
      <c r="G143" s="43" t="str">
        <f>IF('Course 1'!F143="","",'Course 1'!F143)</f>
        <v/>
      </c>
      <c r="H143" s="56">
        <f>'Course 1'!M143+'Course 2'!M143+'Course 3'!M143+'Course 4'!M143+'Course 4'!M143</f>
        <v>0</v>
      </c>
      <c r="J143" s="43" t="str">
        <f t="shared" si="37"/>
        <v/>
      </c>
      <c r="K143" s="43" t="str">
        <f t="shared" si="38"/>
        <v/>
      </c>
      <c r="L143" s="53" t="str">
        <f t="shared" si="39"/>
        <v/>
      </c>
      <c r="N143" s="43" t="str">
        <f t="shared" si="46"/>
        <v/>
      </c>
      <c r="O143" s="43" t="str">
        <f t="shared" si="47"/>
        <v/>
      </c>
      <c r="P143" s="53" t="str">
        <f t="shared" si="48"/>
        <v/>
      </c>
      <c r="R143" s="43" t="str">
        <f t="shared" si="40"/>
        <v/>
      </c>
      <c r="S143" s="43" t="str">
        <f t="shared" si="41"/>
        <v/>
      </c>
      <c r="T143" s="45" t="str">
        <f t="shared" si="42"/>
        <v/>
      </c>
      <c r="V143" s="43" t="str">
        <f t="shared" si="43"/>
        <v/>
      </c>
      <c r="W143" s="43" t="str">
        <f t="shared" si="44"/>
        <v/>
      </c>
      <c r="X143" s="45" t="str">
        <f t="shared" si="45"/>
        <v/>
      </c>
      <c r="AD143" s="77"/>
      <c r="AE143" s="77"/>
      <c r="AF143" s="172"/>
      <c r="AG143" s="116"/>
      <c r="AH143" s="118"/>
      <c r="AI143" s="77"/>
      <c r="AJ143" s="172"/>
      <c r="AK143" s="116"/>
      <c r="AL143" s="79"/>
      <c r="AM143" s="77"/>
      <c r="AN143" s="172"/>
      <c r="AO143" s="116"/>
      <c r="AQ143" s="43">
        <f t="shared" si="34"/>
        <v>0</v>
      </c>
      <c r="AR143" s="43">
        <f t="shared" si="35"/>
        <v>0</v>
      </c>
      <c r="AS143" s="43">
        <f t="shared" si="36"/>
        <v>0</v>
      </c>
    </row>
    <row r="144" spans="2:45" ht="21" customHeight="1">
      <c r="B144" s="43">
        <v>140</v>
      </c>
      <c r="C144" s="44" t="str">
        <f>'Course 1'!C144</f>
        <v/>
      </c>
      <c r="D144" s="46" t="str">
        <f>IF(C144="","",HLOOKUP(C144,'Règles et points'!$D$5:$Y$7,3))</f>
        <v/>
      </c>
      <c r="E144" s="46" t="str">
        <f>IF(C144="","",HLOOKUP(C144,'Règles et points'!$D$5:$Y$7,2))</f>
        <v/>
      </c>
      <c r="F144" s="43" t="str">
        <f>IF('Course 1'!E144="","",'Course 1'!E144)</f>
        <v/>
      </c>
      <c r="G144" s="43" t="str">
        <f>IF('Course 1'!F144="","",'Course 1'!F144)</f>
        <v/>
      </c>
      <c r="H144" s="56">
        <f>'Course 1'!M144+'Course 2'!M144+'Course 3'!M144+'Course 4'!M144+'Course 4'!M144</f>
        <v>0</v>
      </c>
      <c r="J144" s="43" t="str">
        <f t="shared" si="37"/>
        <v/>
      </c>
      <c r="K144" s="43" t="str">
        <f t="shared" si="38"/>
        <v/>
      </c>
      <c r="L144" s="53" t="str">
        <f t="shared" si="39"/>
        <v/>
      </c>
      <c r="N144" s="43" t="str">
        <f t="shared" si="46"/>
        <v/>
      </c>
      <c r="O144" s="43" t="str">
        <f t="shared" si="47"/>
        <v/>
      </c>
      <c r="P144" s="53" t="str">
        <f t="shared" si="48"/>
        <v/>
      </c>
      <c r="R144" s="43" t="str">
        <f t="shared" si="40"/>
        <v/>
      </c>
      <c r="S144" s="43" t="str">
        <f t="shared" si="41"/>
        <v/>
      </c>
      <c r="T144" s="45" t="str">
        <f t="shared" si="42"/>
        <v/>
      </c>
      <c r="V144" s="43" t="str">
        <f t="shared" si="43"/>
        <v/>
      </c>
      <c r="W144" s="43" t="str">
        <f t="shared" si="44"/>
        <v/>
      </c>
      <c r="X144" s="45" t="str">
        <f t="shared" si="45"/>
        <v/>
      </c>
      <c r="AD144" s="77"/>
      <c r="AE144" s="77"/>
      <c r="AF144" s="172"/>
      <c r="AG144" s="116"/>
      <c r="AH144" s="118"/>
      <c r="AI144" s="77"/>
      <c r="AJ144" s="172"/>
      <c r="AK144" s="116"/>
      <c r="AL144" s="79"/>
      <c r="AM144" s="77"/>
      <c r="AN144" s="172"/>
      <c r="AO144" s="116"/>
      <c r="AQ144" s="43">
        <f t="shared" si="34"/>
        <v>0</v>
      </c>
      <c r="AR144" s="43">
        <f t="shared" si="35"/>
        <v>0</v>
      </c>
      <c r="AS144" s="43">
        <f t="shared" si="36"/>
        <v>0</v>
      </c>
    </row>
    <row r="145" spans="2:45" ht="21" customHeight="1">
      <c r="B145" s="43">
        <v>141</v>
      </c>
      <c r="C145" s="44" t="str">
        <f>'Course 1'!C145</f>
        <v/>
      </c>
      <c r="D145" s="46" t="str">
        <f>IF(C145="","",HLOOKUP(C145,'Règles et points'!$D$5:$Y$7,3))</f>
        <v/>
      </c>
      <c r="E145" s="46" t="str">
        <f>IF(C145="","",HLOOKUP(C145,'Règles et points'!$D$5:$Y$7,2))</f>
        <v/>
      </c>
      <c r="F145" s="43" t="str">
        <f>IF('Course 1'!E145="","",'Course 1'!E145)</f>
        <v/>
      </c>
      <c r="G145" s="43" t="str">
        <f>IF('Course 1'!F145="","",'Course 1'!F145)</f>
        <v/>
      </c>
      <c r="H145" s="56">
        <f>'Course 1'!M145+'Course 2'!M145+'Course 3'!M145+'Course 4'!M145+'Course 4'!M145</f>
        <v>0</v>
      </c>
      <c r="J145" s="43" t="str">
        <f t="shared" si="37"/>
        <v/>
      </c>
      <c r="K145" s="43" t="str">
        <f t="shared" si="38"/>
        <v/>
      </c>
      <c r="L145" s="53" t="str">
        <f t="shared" si="39"/>
        <v/>
      </c>
      <c r="N145" s="43" t="str">
        <f t="shared" si="46"/>
        <v/>
      </c>
      <c r="O145" s="43" t="str">
        <f t="shared" si="47"/>
        <v/>
      </c>
      <c r="P145" s="53" t="str">
        <f t="shared" si="48"/>
        <v/>
      </c>
      <c r="R145" s="43" t="str">
        <f t="shared" si="40"/>
        <v/>
      </c>
      <c r="S145" s="43" t="str">
        <f t="shared" si="41"/>
        <v/>
      </c>
      <c r="T145" s="45" t="str">
        <f t="shared" si="42"/>
        <v/>
      </c>
      <c r="V145" s="43" t="str">
        <f t="shared" si="43"/>
        <v/>
      </c>
      <c r="W145" s="43" t="str">
        <f t="shared" si="44"/>
        <v/>
      </c>
      <c r="X145" s="45" t="str">
        <f t="shared" si="45"/>
        <v/>
      </c>
      <c r="AD145" s="77"/>
      <c r="AE145" s="77"/>
      <c r="AF145" s="172"/>
      <c r="AG145" s="116"/>
      <c r="AH145" s="118"/>
      <c r="AI145" s="77"/>
      <c r="AJ145" s="172"/>
      <c r="AK145" s="116"/>
      <c r="AL145" s="79"/>
      <c r="AM145" s="77"/>
      <c r="AN145" s="172"/>
      <c r="AO145" s="116"/>
      <c r="AQ145" s="43">
        <f t="shared" si="34"/>
        <v>0</v>
      </c>
      <c r="AR145" s="43">
        <f t="shared" si="35"/>
        <v>0</v>
      </c>
      <c r="AS145" s="43">
        <f t="shared" si="36"/>
        <v>0</v>
      </c>
    </row>
    <row r="146" spans="2:45" ht="21" customHeight="1">
      <c r="B146" s="43">
        <v>142</v>
      </c>
      <c r="C146" s="44" t="str">
        <f>'Course 1'!C146</f>
        <v/>
      </c>
      <c r="D146" s="46" t="str">
        <f>IF(C146="","",HLOOKUP(C146,'Règles et points'!$D$5:$Y$7,3))</f>
        <v/>
      </c>
      <c r="E146" s="46" t="str">
        <f>IF(C146="","",HLOOKUP(C146,'Règles et points'!$D$5:$Y$7,2))</f>
        <v/>
      </c>
      <c r="F146" s="43" t="str">
        <f>IF('Course 1'!E146="","",'Course 1'!E146)</f>
        <v/>
      </c>
      <c r="G146" s="43" t="str">
        <f>IF('Course 1'!F146="","",'Course 1'!F146)</f>
        <v/>
      </c>
      <c r="H146" s="56">
        <f>'Course 1'!M146+'Course 2'!M146+'Course 3'!M146+'Course 4'!M146+'Course 4'!M146</f>
        <v>0</v>
      </c>
      <c r="J146" s="43" t="str">
        <f t="shared" si="37"/>
        <v/>
      </c>
      <c r="K146" s="43" t="str">
        <f t="shared" si="38"/>
        <v/>
      </c>
      <c r="L146" s="53" t="str">
        <f t="shared" si="39"/>
        <v/>
      </c>
      <c r="N146" s="43" t="str">
        <f t="shared" si="46"/>
        <v/>
      </c>
      <c r="O146" s="43" t="str">
        <f t="shared" si="47"/>
        <v/>
      </c>
      <c r="P146" s="53" t="str">
        <f t="shared" si="48"/>
        <v/>
      </c>
      <c r="R146" s="43" t="str">
        <f t="shared" si="40"/>
        <v/>
      </c>
      <c r="S146" s="43" t="str">
        <f t="shared" si="41"/>
        <v/>
      </c>
      <c r="T146" s="45" t="str">
        <f t="shared" si="42"/>
        <v/>
      </c>
      <c r="V146" s="43" t="str">
        <f t="shared" si="43"/>
        <v/>
      </c>
      <c r="W146" s="43" t="str">
        <f t="shared" si="44"/>
        <v/>
      </c>
      <c r="X146" s="45" t="str">
        <f t="shared" si="45"/>
        <v/>
      </c>
      <c r="AD146" s="77"/>
      <c r="AE146" s="77"/>
      <c r="AF146" s="172"/>
      <c r="AG146" s="116"/>
      <c r="AH146" s="118"/>
      <c r="AI146" s="77"/>
      <c r="AJ146" s="172"/>
      <c r="AK146" s="116"/>
      <c r="AL146" s="79"/>
      <c r="AM146" s="77"/>
      <c r="AN146" s="172"/>
      <c r="AO146" s="116"/>
      <c r="AQ146" s="43">
        <f t="shared" si="34"/>
        <v>0</v>
      </c>
      <c r="AR146" s="43">
        <f t="shared" si="35"/>
        <v>0</v>
      </c>
      <c r="AS146" s="43">
        <f t="shared" si="36"/>
        <v>0</v>
      </c>
    </row>
    <row r="147" spans="2:45" ht="21" customHeight="1">
      <c r="B147" s="43">
        <v>143</v>
      </c>
      <c r="C147" s="44" t="str">
        <f>'Course 1'!C147</f>
        <v/>
      </c>
      <c r="D147" s="46" t="str">
        <f>IF(C147="","",HLOOKUP(C147,'Règles et points'!$D$5:$Y$7,3))</f>
        <v/>
      </c>
      <c r="E147" s="46" t="str">
        <f>IF(C147="","",HLOOKUP(C147,'Règles et points'!$D$5:$Y$7,2))</f>
        <v/>
      </c>
      <c r="F147" s="43" t="str">
        <f>IF('Course 1'!E147="","",'Course 1'!E147)</f>
        <v/>
      </c>
      <c r="G147" s="43" t="str">
        <f>IF('Course 1'!F147="","",'Course 1'!F147)</f>
        <v/>
      </c>
      <c r="H147" s="56">
        <f>'Course 1'!M147+'Course 2'!M147+'Course 3'!M147+'Course 4'!M147+'Course 4'!M147</f>
        <v>0</v>
      </c>
      <c r="J147" s="43" t="str">
        <f t="shared" si="37"/>
        <v/>
      </c>
      <c r="K147" s="43" t="str">
        <f t="shared" si="38"/>
        <v/>
      </c>
      <c r="L147" s="53" t="str">
        <f t="shared" si="39"/>
        <v/>
      </c>
      <c r="N147" s="43" t="str">
        <f t="shared" si="46"/>
        <v/>
      </c>
      <c r="O147" s="43" t="str">
        <f t="shared" si="47"/>
        <v/>
      </c>
      <c r="P147" s="53" t="str">
        <f t="shared" si="48"/>
        <v/>
      </c>
      <c r="R147" s="43" t="str">
        <f t="shared" si="40"/>
        <v/>
      </c>
      <c r="S147" s="43" t="str">
        <f t="shared" si="41"/>
        <v/>
      </c>
      <c r="T147" s="45" t="str">
        <f t="shared" si="42"/>
        <v/>
      </c>
      <c r="V147" s="43" t="str">
        <f t="shared" si="43"/>
        <v/>
      </c>
      <c r="W147" s="43" t="str">
        <f t="shared" si="44"/>
        <v/>
      </c>
      <c r="X147" s="45" t="str">
        <f t="shared" si="45"/>
        <v/>
      </c>
      <c r="AD147" s="77"/>
      <c r="AE147" s="77"/>
      <c r="AF147" s="172"/>
      <c r="AG147" s="116"/>
      <c r="AH147" s="118"/>
      <c r="AI147" s="77"/>
      <c r="AJ147" s="172"/>
      <c r="AK147" s="116"/>
      <c r="AL147" s="79"/>
      <c r="AM147" s="77"/>
      <c r="AN147" s="172"/>
      <c r="AO147" s="116"/>
      <c r="AQ147" s="43">
        <f t="shared" si="34"/>
        <v>0</v>
      </c>
      <c r="AR147" s="43">
        <f t="shared" si="35"/>
        <v>0</v>
      </c>
      <c r="AS147" s="43">
        <f t="shared" si="36"/>
        <v>0</v>
      </c>
    </row>
    <row r="148" spans="2:45" ht="21" customHeight="1">
      <c r="B148" s="43">
        <v>144</v>
      </c>
      <c r="C148" s="44" t="str">
        <f>'Course 1'!C148</f>
        <v/>
      </c>
      <c r="D148" s="46" t="str">
        <f>IF(C148="","",HLOOKUP(C148,'Règles et points'!$D$5:$Y$7,3))</f>
        <v/>
      </c>
      <c r="E148" s="46" t="str">
        <f>IF(C148="","",HLOOKUP(C148,'Règles et points'!$D$5:$Y$7,2))</f>
        <v/>
      </c>
      <c r="F148" s="43" t="str">
        <f>IF('Course 1'!E148="","",'Course 1'!E148)</f>
        <v/>
      </c>
      <c r="G148" s="43" t="str">
        <f>IF('Course 1'!F148="","",'Course 1'!F148)</f>
        <v/>
      </c>
      <c r="H148" s="56">
        <f>'Course 1'!M148+'Course 2'!M148+'Course 3'!M148+'Course 4'!M148+'Course 4'!M148</f>
        <v>0</v>
      </c>
      <c r="J148" s="43" t="str">
        <f t="shared" si="37"/>
        <v/>
      </c>
      <c r="K148" s="43" t="str">
        <f t="shared" si="38"/>
        <v/>
      </c>
      <c r="L148" s="53" t="str">
        <f t="shared" si="39"/>
        <v/>
      </c>
      <c r="N148" s="43" t="str">
        <f t="shared" si="46"/>
        <v/>
      </c>
      <c r="O148" s="43" t="str">
        <f t="shared" si="47"/>
        <v/>
      </c>
      <c r="P148" s="53" t="str">
        <f t="shared" si="48"/>
        <v/>
      </c>
      <c r="R148" s="43" t="str">
        <f t="shared" si="40"/>
        <v/>
      </c>
      <c r="S148" s="43" t="str">
        <f t="shared" si="41"/>
        <v/>
      </c>
      <c r="T148" s="45" t="str">
        <f t="shared" si="42"/>
        <v/>
      </c>
      <c r="V148" s="43" t="str">
        <f t="shared" si="43"/>
        <v/>
      </c>
      <c r="W148" s="43" t="str">
        <f t="shared" si="44"/>
        <v/>
      </c>
      <c r="X148" s="45" t="str">
        <f t="shared" si="45"/>
        <v/>
      </c>
      <c r="AD148" s="77"/>
      <c r="AE148" s="77"/>
      <c r="AF148" s="172"/>
      <c r="AG148" s="116"/>
      <c r="AH148" s="118"/>
      <c r="AI148" s="77"/>
      <c r="AJ148" s="172"/>
      <c r="AK148" s="116"/>
      <c r="AL148" s="79"/>
      <c r="AM148" s="77"/>
      <c r="AN148" s="172"/>
      <c r="AO148" s="116"/>
      <c r="AQ148" s="43">
        <f t="shared" si="34"/>
        <v>0</v>
      </c>
      <c r="AR148" s="43">
        <f t="shared" si="35"/>
        <v>0</v>
      </c>
      <c r="AS148" s="43">
        <f t="shared" si="36"/>
        <v>0</v>
      </c>
    </row>
    <row r="149" spans="2:45" ht="21" customHeight="1">
      <c r="B149" s="43">
        <v>145</v>
      </c>
      <c r="C149" s="44" t="str">
        <f>'Course 1'!C149</f>
        <v/>
      </c>
      <c r="D149" s="46" t="str">
        <f>IF(C149="","",HLOOKUP(C149,'Règles et points'!$D$5:$Y$7,3))</f>
        <v/>
      </c>
      <c r="E149" s="46" t="str">
        <f>IF(C149="","",HLOOKUP(C149,'Règles et points'!$D$5:$Y$7,2))</f>
        <v/>
      </c>
      <c r="F149" s="43" t="str">
        <f>IF('Course 1'!E149="","",'Course 1'!E149)</f>
        <v/>
      </c>
      <c r="G149" s="43" t="str">
        <f>IF('Course 1'!F149="","",'Course 1'!F149)</f>
        <v/>
      </c>
      <c r="H149" s="56">
        <f>'Course 1'!M149+'Course 2'!M149+'Course 3'!M149+'Course 4'!M149+'Course 4'!M149</f>
        <v>0</v>
      </c>
      <c r="J149" s="43" t="str">
        <f t="shared" si="37"/>
        <v/>
      </c>
      <c r="K149" s="43" t="str">
        <f t="shared" si="38"/>
        <v/>
      </c>
      <c r="L149" s="53" t="str">
        <f t="shared" si="39"/>
        <v/>
      </c>
      <c r="N149" s="43" t="str">
        <f t="shared" si="46"/>
        <v/>
      </c>
      <c r="O149" s="43" t="str">
        <f t="shared" si="47"/>
        <v/>
      </c>
      <c r="P149" s="53" t="str">
        <f t="shared" si="48"/>
        <v/>
      </c>
      <c r="R149" s="43" t="str">
        <f t="shared" si="40"/>
        <v/>
      </c>
      <c r="S149" s="43" t="str">
        <f t="shared" si="41"/>
        <v/>
      </c>
      <c r="T149" s="45" t="str">
        <f t="shared" si="42"/>
        <v/>
      </c>
      <c r="V149" s="43" t="str">
        <f t="shared" si="43"/>
        <v/>
      </c>
      <c r="W149" s="43" t="str">
        <f t="shared" si="44"/>
        <v/>
      </c>
      <c r="X149" s="45" t="str">
        <f t="shared" si="45"/>
        <v/>
      </c>
      <c r="AD149" s="77"/>
      <c r="AE149" s="77"/>
      <c r="AF149" s="172"/>
      <c r="AG149" s="116"/>
      <c r="AH149" s="118"/>
      <c r="AI149" s="77"/>
      <c r="AJ149" s="172"/>
      <c r="AK149" s="116"/>
      <c r="AL149" s="79"/>
      <c r="AM149" s="77"/>
      <c r="AN149" s="172"/>
      <c r="AO149" s="116"/>
      <c r="AQ149" s="43">
        <f t="shared" si="34"/>
        <v>0</v>
      </c>
      <c r="AR149" s="43">
        <f t="shared" si="35"/>
        <v>0</v>
      </c>
      <c r="AS149" s="43">
        <f t="shared" si="36"/>
        <v>0</v>
      </c>
    </row>
    <row r="150" spans="2:45" ht="21" customHeight="1">
      <c r="B150" s="43">
        <v>146</v>
      </c>
      <c r="C150" s="44" t="str">
        <f>'Course 1'!C150</f>
        <v/>
      </c>
      <c r="D150" s="46" t="str">
        <f>IF(C150="","",HLOOKUP(C150,'Règles et points'!$D$5:$Y$7,3))</f>
        <v/>
      </c>
      <c r="E150" s="46" t="str">
        <f>IF(C150="","",HLOOKUP(C150,'Règles et points'!$D$5:$Y$7,2))</f>
        <v/>
      </c>
      <c r="F150" s="43" t="str">
        <f>IF('Course 1'!E150="","",'Course 1'!E150)</f>
        <v/>
      </c>
      <c r="G150" s="43" t="str">
        <f>IF('Course 1'!F150="","",'Course 1'!F150)</f>
        <v/>
      </c>
      <c r="H150" s="56">
        <f>'Course 1'!M150+'Course 2'!M150+'Course 3'!M150+'Course 4'!M150+'Course 4'!M150</f>
        <v>0</v>
      </c>
      <c r="J150" s="43" t="str">
        <f t="shared" si="37"/>
        <v/>
      </c>
      <c r="K150" s="43" t="str">
        <f t="shared" si="38"/>
        <v/>
      </c>
      <c r="L150" s="53" t="str">
        <f t="shared" si="39"/>
        <v/>
      </c>
      <c r="N150" s="43" t="str">
        <f t="shared" si="46"/>
        <v/>
      </c>
      <c r="O150" s="43" t="str">
        <f t="shared" si="47"/>
        <v/>
      </c>
      <c r="P150" s="53" t="str">
        <f t="shared" si="48"/>
        <v/>
      </c>
      <c r="R150" s="43" t="str">
        <f t="shared" si="40"/>
        <v/>
      </c>
      <c r="S150" s="43" t="str">
        <f t="shared" si="41"/>
        <v/>
      </c>
      <c r="T150" s="45" t="str">
        <f t="shared" si="42"/>
        <v/>
      </c>
      <c r="V150" s="43" t="str">
        <f t="shared" si="43"/>
        <v/>
      </c>
      <c r="W150" s="43" t="str">
        <f t="shared" si="44"/>
        <v/>
      </c>
      <c r="X150" s="45" t="str">
        <f t="shared" si="45"/>
        <v/>
      </c>
      <c r="AD150" s="77"/>
      <c r="AE150" s="77"/>
      <c r="AF150" s="172"/>
      <c r="AG150" s="116"/>
      <c r="AH150" s="118"/>
      <c r="AI150" s="77"/>
      <c r="AJ150" s="172"/>
      <c r="AK150" s="116"/>
      <c r="AL150" s="79"/>
      <c r="AM150" s="77"/>
      <c r="AN150" s="172"/>
      <c r="AO150" s="116"/>
      <c r="AQ150" s="43">
        <f t="shared" si="34"/>
        <v>0</v>
      </c>
      <c r="AR150" s="43">
        <f t="shared" si="35"/>
        <v>0</v>
      </c>
      <c r="AS150" s="43">
        <f t="shared" si="36"/>
        <v>0</v>
      </c>
    </row>
    <row r="151" spans="2:45" ht="21" customHeight="1">
      <c r="B151" s="43">
        <v>147</v>
      </c>
      <c r="C151" s="44" t="str">
        <f>'Course 1'!C151</f>
        <v/>
      </c>
      <c r="D151" s="46" t="str">
        <f>IF(C151="","",HLOOKUP(C151,'Règles et points'!$D$5:$Y$7,3))</f>
        <v/>
      </c>
      <c r="E151" s="46" t="str">
        <f>IF(C151="","",HLOOKUP(C151,'Règles et points'!$D$5:$Y$7,2))</f>
        <v/>
      </c>
      <c r="F151" s="43" t="str">
        <f>IF('Course 1'!E151="","",'Course 1'!E151)</f>
        <v/>
      </c>
      <c r="G151" s="43" t="str">
        <f>IF('Course 1'!F151="","",'Course 1'!F151)</f>
        <v/>
      </c>
      <c r="H151" s="56">
        <f>'Course 1'!M151+'Course 2'!M151+'Course 3'!M151+'Course 4'!M151+'Course 4'!M151</f>
        <v>0</v>
      </c>
      <c r="J151" s="43" t="str">
        <f t="shared" si="37"/>
        <v/>
      </c>
      <c r="K151" s="43" t="str">
        <f t="shared" si="38"/>
        <v/>
      </c>
      <c r="L151" s="53" t="str">
        <f t="shared" si="39"/>
        <v/>
      </c>
      <c r="N151" s="43" t="str">
        <f t="shared" si="46"/>
        <v/>
      </c>
      <c r="O151" s="43" t="str">
        <f t="shared" si="47"/>
        <v/>
      </c>
      <c r="P151" s="53" t="str">
        <f t="shared" si="48"/>
        <v/>
      </c>
      <c r="R151" s="43" t="str">
        <f t="shared" si="40"/>
        <v/>
      </c>
      <c r="S151" s="43" t="str">
        <f t="shared" si="41"/>
        <v/>
      </c>
      <c r="T151" s="45" t="str">
        <f t="shared" si="42"/>
        <v/>
      </c>
      <c r="V151" s="43" t="str">
        <f t="shared" si="43"/>
        <v/>
      </c>
      <c r="W151" s="43" t="str">
        <f t="shared" si="44"/>
        <v/>
      </c>
      <c r="X151" s="45" t="str">
        <f t="shared" si="45"/>
        <v/>
      </c>
      <c r="AD151" s="77"/>
      <c r="AE151" s="77"/>
      <c r="AF151" s="172"/>
      <c r="AG151" s="116"/>
      <c r="AH151" s="118"/>
      <c r="AI151" s="77"/>
      <c r="AJ151" s="172"/>
      <c r="AK151" s="116"/>
      <c r="AL151" s="79"/>
      <c r="AM151" s="77"/>
      <c r="AN151" s="172"/>
      <c r="AO151" s="116"/>
      <c r="AQ151" s="43">
        <f t="shared" si="34"/>
        <v>0</v>
      </c>
      <c r="AR151" s="43">
        <f t="shared" si="35"/>
        <v>0</v>
      </c>
      <c r="AS151" s="43">
        <f t="shared" si="36"/>
        <v>0</v>
      </c>
    </row>
    <row r="152" spans="2:45" ht="21" customHeight="1">
      <c r="B152" s="43">
        <v>148</v>
      </c>
      <c r="C152" s="44" t="str">
        <f>'Course 1'!C152</f>
        <v/>
      </c>
      <c r="D152" s="46" t="str">
        <f>IF(C152="","",HLOOKUP(C152,'Règles et points'!$D$5:$Y$7,3))</f>
        <v/>
      </c>
      <c r="E152" s="46" t="str">
        <f>IF(C152="","",HLOOKUP(C152,'Règles et points'!$D$5:$Y$7,2))</f>
        <v/>
      </c>
      <c r="F152" s="43" t="str">
        <f>IF('Course 1'!E152="","",'Course 1'!E152)</f>
        <v/>
      </c>
      <c r="G152" s="43" t="str">
        <f>IF('Course 1'!F152="","",'Course 1'!F152)</f>
        <v/>
      </c>
      <c r="H152" s="56">
        <f>'Course 1'!M152+'Course 2'!M152+'Course 3'!M152+'Course 4'!M152+'Course 4'!M152</f>
        <v>0</v>
      </c>
      <c r="J152" s="43" t="str">
        <f t="shared" si="37"/>
        <v/>
      </c>
      <c r="K152" s="43" t="str">
        <f t="shared" si="38"/>
        <v/>
      </c>
      <c r="L152" s="53" t="str">
        <f t="shared" si="39"/>
        <v/>
      </c>
      <c r="N152" s="43" t="str">
        <f t="shared" si="46"/>
        <v/>
      </c>
      <c r="O152" s="43" t="str">
        <f t="shared" si="47"/>
        <v/>
      </c>
      <c r="P152" s="53" t="str">
        <f t="shared" si="48"/>
        <v/>
      </c>
      <c r="R152" s="43" t="str">
        <f t="shared" si="40"/>
        <v/>
      </c>
      <c r="S152" s="43" t="str">
        <f t="shared" si="41"/>
        <v/>
      </c>
      <c r="T152" s="45" t="str">
        <f t="shared" si="42"/>
        <v/>
      </c>
      <c r="V152" s="43" t="str">
        <f t="shared" si="43"/>
        <v/>
      </c>
      <c r="W152" s="43" t="str">
        <f t="shared" si="44"/>
        <v/>
      </c>
      <c r="X152" s="45" t="str">
        <f t="shared" si="45"/>
        <v/>
      </c>
      <c r="AD152" s="77"/>
      <c r="AE152" s="77"/>
      <c r="AF152" s="172"/>
      <c r="AG152" s="116"/>
      <c r="AH152" s="118"/>
      <c r="AI152" s="77"/>
      <c r="AJ152" s="172"/>
      <c r="AK152" s="116"/>
      <c r="AL152" s="79"/>
      <c r="AM152" s="77"/>
      <c r="AN152" s="172"/>
      <c r="AO152" s="116"/>
      <c r="AQ152" s="43">
        <f t="shared" si="34"/>
        <v>0</v>
      </c>
      <c r="AR152" s="43">
        <f t="shared" si="35"/>
        <v>0</v>
      </c>
      <c r="AS152" s="43">
        <f t="shared" si="36"/>
        <v>0</v>
      </c>
    </row>
    <row r="153" spans="2:45" ht="21" customHeight="1">
      <c r="B153" s="43">
        <v>149</v>
      </c>
      <c r="C153" s="44" t="str">
        <f>'Course 1'!C153</f>
        <v/>
      </c>
      <c r="D153" s="46" t="str">
        <f>IF(C153="","",HLOOKUP(C153,'Règles et points'!$D$5:$Y$7,3))</f>
        <v/>
      </c>
      <c r="E153" s="46" t="str">
        <f>IF(C153="","",HLOOKUP(C153,'Règles et points'!$D$5:$Y$7,2))</f>
        <v/>
      </c>
      <c r="F153" s="43" t="str">
        <f>IF('Course 1'!E153="","",'Course 1'!E153)</f>
        <v/>
      </c>
      <c r="G153" s="43" t="str">
        <f>IF('Course 1'!F153="","",'Course 1'!F153)</f>
        <v/>
      </c>
      <c r="H153" s="56">
        <f>'Course 1'!M153+'Course 2'!M153+'Course 3'!M153+'Course 4'!M153+'Course 4'!M153</f>
        <v>0</v>
      </c>
      <c r="J153" s="43" t="str">
        <f t="shared" si="37"/>
        <v/>
      </c>
      <c r="K153" s="43" t="str">
        <f t="shared" si="38"/>
        <v/>
      </c>
      <c r="L153" s="53" t="str">
        <f t="shared" si="39"/>
        <v/>
      </c>
      <c r="N153" s="43" t="str">
        <f t="shared" si="46"/>
        <v/>
      </c>
      <c r="O153" s="43" t="str">
        <f t="shared" si="47"/>
        <v/>
      </c>
      <c r="P153" s="53" t="str">
        <f t="shared" si="48"/>
        <v/>
      </c>
      <c r="R153" s="43" t="str">
        <f t="shared" si="40"/>
        <v/>
      </c>
      <c r="S153" s="43" t="str">
        <f t="shared" si="41"/>
        <v/>
      </c>
      <c r="T153" s="45" t="str">
        <f t="shared" si="42"/>
        <v/>
      </c>
      <c r="V153" s="43" t="str">
        <f t="shared" si="43"/>
        <v/>
      </c>
      <c r="W153" s="43" t="str">
        <f t="shared" si="44"/>
        <v/>
      </c>
      <c r="X153" s="45" t="str">
        <f t="shared" si="45"/>
        <v/>
      </c>
      <c r="AD153" s="77"/>
      <c r="AE153" s="77"/>
      <c r="AF153" s="172"/>
      <c r="AG153" s="116"/>
      <c r="AH153" s="118"/>
      <c r="AI153" s="77"/>
      <c r="AJ153" s="172"/>
      <c r="AK153" s="116"/>
      <c r="AL153" s="79"/>
      <c r="AM153" s="77"/>
      <c r="AN153" s="172"/>
      <c r="AO153" s="116"/>
      <c r="AQ153" s="43">
        <f t="shared" si="34"/>
        <v>0</v>
      </c>
      <c r="AR153" s="43">
        <f t="shared" si="35"/>
        <v>0</v>
      </c>
      <c r="AS153" s="43">
        <f t="shared" si="36"/>
        <v>0</v>
      </c>
    </row>
    <row r="154" spans="2:45" ht="21" customHeight="1">
      <c r="B154" s="43">
        <v>150</v>
      </c>
      <c r="C154" s="44" t="str">
        <f>'Course 1'!C154</f>
        <v/>
      </c>
      <c r="D154" s="46" t="str">
        <f>IF(C154="","",HLOOKUP(C154,'Règles et points'!$D$5:$Y$7,3))</f>
        <v/>
      </c>
      <c r="E154" s="46" t="str">
        <f>IF(C154="","",HLOOKUP(C154,'Règles et points'!$D$5:$Y$7,2))</f>
        <v/>
      </c>
      <c r="F154" s="43" t="str">
        <f>IF('Course 1'!E154="","",'Course 1'!E154)</f>
        <v/>
      </c>
      <c r="G154" s="43" t="str">
        <f>IF('Course 1'!F154="","",'Course 1'!F154)</f>
        <v/>
      </c>
      <c r="H154" s="56">
        <f>'Course 1'!M154+'Course 2'!M154+'Course 3'!M154+'Course 4'!M154+'Course 4'!M154</f>
        <v>0</v>
      </c>
      <c r="J154" s="43" t="str">
        <f t="shared" si="37"/>
        <v/>
      </c>
      <c r="K154" s="43" t="str">
        <f t="shared" si="38"/>
        <v/>
      </c>
      <c r="L154" s="53" t="str">
        <f t="shared" si="39"/>
        <v/>
      </c>
      <c r="N154" s="43" t="str">
        <f t="shared" si="46"/>
        <v/>
      </c>
      <c r="O154" s="43" t="str">
        <f t="shared" si="47"/>
        <v/>
      </c>
      <c r="P154" s="53" t="str">
        <f t="shared" si="48"/>
        <v/>
      </c>
      <c r="R154" s="43" t="str">
        <f t="shared" si="40"/>
        <v/>
      </c>
      <c r="S154" s="43" t="str">
        <f t="shared" si="41"/>
        <v/>
      </c>
      <c r="T154" s="45" t="str">
        <f t="shared" si="42"/>
        <v/>
      </c>
      <c r="V154" s="43" t="str">
        <f t="shared" si="43"/>
        <v/>
      </c>
      <c r="W154" s="43" t="str">
        <f t="shared" si="44"/>
        <v/>
      </c>
      <c r="X154" s="45" t="str">
        <f t="shared" si="45"/>
        <v/>
      </c>
      <c r="AD154" s="77"/>
      <c r="AE154" s="77"/>
      <c r="AF154" s="172"/>
      <c r="AG154" s="116"/>
      <c r="AH154" s="118"/>
      <c r="AI154" s="77"/>
      <c r="AJ154" s="172"/>
      <c r="AK154" s="116"/>
      <c r="AL154" s="79"/>
      <c r="AM154" s="77"/>
      <c r="AN154" s="172"/>
      <c r="AO154" s="116"/>
      <c r="AQ154" s="43">
        <f t="shared" si="34"/>
        <v>0</v>
      </c>
      <c r="AR154" s="43">
        <f t="shared" si="35"/>
        <v>0</v>
      </c>
      <c r="AS154" s="43">
        <f t="shared" si="36"/>
        <v>0</v>
      </c>
    </row>
    <row r="155" spans="2:45" ht="21" customHeight="1">
      <c r="B155" s="43">
        <v>151</v>
      </c>
      <c r="C155" s="44" t="str">
        <f>'Course 1'!C155</f>
        <v/>
      </c>
      <c r="D155" s="46" t="str">
        <f>IF(C155="","",HLOOKUP(C155,'Règles et points'!$D$5:$Y$7,3))</f>
        <v/>
      </c>
      <c r="E155" s="46" t="str">
        <f>IF(C155="","",HLOOKUP(C155,'Règles et points'!$D$5:$Y$7,2))</f>
        <v/>
      </c>
      <c r="F155" s="43" t="str">
        <f>IF('Course 1'!E155="","",'Course 1'!E155)</f>
        <v/>
      </c>
      <c r="G155" s="43" t="str">
        <f>IF('Course 1'!F155="","",'Course 1'!F155)</f>
        <v/>
      </c>
      <c r="H155" s="56">
        <f>'Course 1'!M155+'Course 2'!M155+'Course 3'!M155+'Course 4'!M155+'Course 4'!M155</f>
        <v>0</v>
      </c>
      <c r="J155" s="43" t="str">
        <f t="shared" si="37"/>
        <v/>
      </c>
      <c r="K155" s="43" t="str">
        <f t="shared" si="38"/>
        <v/>
      </c>
      <c r="L155" s="53" t="str">
        <f t="shared" si="39"/>
        <v/>
      </c>
      <c r="N155" s="43" t="str">
        <f t="shared" si="46"/>
        <v/>
      </c>
      <c r="O155" s="43" t="str">
        <f t="shared" si="47"/>
        <v/>
      </c>
      <c r="P155" s="53" t="str">
        <f t="shared" si="48"/>
        <v/>
      </c>
      <c r="R155" s="43" t="str">
        <f t="shared" si="40"/>
        <v/>
      </c>
      <c r="S155" s="43" t="str">
        <f t="shared" si="41"/>
        <v/>
      </c>
      <c r="T155" s="45" t="str">
        <f t="shared" si="42"/>
        <v/>
      </c>
      <c r="V155" s="43" t="str">
        <f t="shared" si="43"/>
        <v/>
      </c>
      <c r="W155" s="43" t="str">
        <f t="shared" si="44"/>
        <v/>
      </c>
      <c r="X155" s="45" t="str">
        <f t="shared" si="45"/>
        <v/>
      </c>
      <c r="AD155" s="77"/>
      <c r="AE155" s="77"/>
      <c r="AF155" s="172"/>
      <c r="AG155" s="116"/>
      <c r="AH155" s="118"/>
      <c r="AI155" s="77"/>
      <c r="AJ155" s="172"/>
      <c r="AK155" s="116"/>
      <c r="AL155" s="79"/>
      <c r="AM155" s="77"/>
      <c r="AN155" s="172"/>
      <c r="AO155" s="116"/>
      <c r="AQ155" s="43">
        <f t="shared" si="34"/>
        <v>0</v>
      </c>
      <c r="AR155" s="43">
        <f t="shared" si="35"/>
        <v>0</v>
      </c>
      <c r="AS155" s="43">
        <f t="shared" si="36"/>
        <v>0</v>
      </c>
    </row>
    <row r="156" spans="2:45" ht="21" customHeight="1">
      <c r="B156" s="43">
        <v>152</v>
      </c>
      <c r="C156" s="44" t="str">
        <f>'Course 1'!C156</f>
        <v/>
      </c>
      <c r="D156" s="46" t="str">
        <f>IF(C156="","",HLOOKUP(C156,'Règles et points'!$D$5:$Y$7,3))</f>
        <v/>
      </c>
      <c r="E156" s="46" t="str">
        <f>IF(C156="","",HLOOKUP(C156,'Règles et points'!$D$5:$Y$7,2))</f>
        <v/>
      </c>
      <c r="F156" s="43" t="str">
        <f>IF('Course 1'!E156="","",'Course 1'!E156)</f>
        <v/>
      </c>
      <c r="G156" s="43" t="str">
        <f>IF('Course 1'!F156="","",'Course 1'!F156)</f>
        <v/>
      </c>
      <c r="H156" s="56">
        <f>'Course 1'!M156+'Course 2'!M156+'Course 3'!M156+'Course 4'!M156+'Course 4'!M156</f>
        <v>0</v>
      </c>
      <c r="J156" s="43" t="str">
        <f t="shared" si="37"/>
        <v/>
      </c>
      <c r="K156" s="43" t="str">
        <f t="shared" si="38"/>
        <v/>
      </c>
      <c r="L156" s="53" t="str">
        <f t="shared" si="39"/>
        <v/>
      </c>
      <c r="N156" s="43" t="str">
        <f t="shared" si="46"/>
        <v/>
      </c>
      <c r="O156" s="43" t="str">
        <f t="shared" si="47"/>
        <v/>
      </c>
      <c r="P156" s="53" t="str">
        <f t="shared" si="48"/>
        <v/>
      </c>
      <c r="R156" s="43" t="str">
        <f t="shared" si="40"/>
        <v/>
      </c>
      <c r="S156" s="43" t="str">
        <f t="shared" si="41"/>
        <v/>
      </c>
      <c r="T156" s="45" t="str">
        <f t="shared" si="42"/>
        <v/>
      </c>
      <c r="V156" s="43" t="str">
        <f t="shared" si="43"/>
        <v/>
      </c>
      <c r="W156" s="43" t="str">
        <f t="shared" si="44"/>
        <v/>
      </c>
      <c r="X156" s="45" t="str">
        <f t="shared" si="45"/>
        <v/>
      </c>
      <c r="AD156" s="77"/>
      <c r="AE156" s="77"/>
      <c r="AF156" s="172"/>
      <c r="AG156" s="116"/>
      <c r="AH156" s="118"/>
      <c r="AI156" s="77"/>
      <c r="AJ156" s="172"/>
      <c r="AK156" s="116"/>
      <c r="AL156" s="79"/>
      <c r="AM156" s="77"/>
      <c r="AN156" s="172"/>
      <c r="AO156" s="116"/>
      <c r="AQ156" s="43">
        <f t="shared" si="34"/>
        <v>0</v>
      </c>
      <c r="AR156" s="43">
        <f t="shared" si="35"/>
        <v>0</v>
      </c>
      <c r="AS156" s="43">
        <f t="shared" si="36"/>
        <v>0</v>
      </c>
    </row>
    <row r="157" spans="2:45" ht="21" customHeight="1">
      <c r="B157" s="43">
        <v>153</v>
      </c>
      <c r="C157" s="44" t="str">
        <f>'Course 1'!C157</f>
        <v/>
      </c>
      <c r="D157" s="46" t="str">
        <f>IF(C157="","",HLOOKUP(C157,'Règles et points'!$D$5:$Y$7,3))</f>
        <v/>
      </c>
      <c r="E157" s="46" t="str">
        <f>IF(C157="","",HLOOKUP(C157,'Règles et points'!$D$5:$Y$7,2))</f>
        <v/>
      </c>
      <c r="F157" s="43" t="str">
        <f>IF('Course 1'!E157="","",'Course 1'!E157)</f>
        <v/>
      </c>
      <c r="G157" s="43" t="str">
        <f>IF('Course 1'!F157="","",'Course 1'!F157)</f>
        <v/>
      </c>
      <c r="H157" s="56">
        <f>'Course 1'!M157+'Course 2'!M157+'Course 3'!M157+'Course 4'!M157+'Course 4'!M157</f>
        <v>0</v>
      </c>
      <c r="J157" s="43" t="str">
        <f t="shared" si="37"/>
        <v/>
      </c>
      <c r="K157" s="43" t="str">
        <f t="shared" si="38"/>
        <v/>
      </c>
      <c r="L157" s="53" t="str">
        <f t="shared" si="39"/>
        <v/>
      </c>
      <c r="N157" s="43" t="str">
        <f t="shared" si="46"/>
        <v/>
      </c>
      <c r="O157" s="43" t="str">
        <f t="shared" si="47"/>
        <v/>
      </c>
      <c r="P157" s="53" t="str">
        <f t="shared" si="48"/>
        <v/>
      </c>
      <c r="R157" s="43" t="str">
        <f t="shared" si="40"/>
        <v/>
      </c>
      <c r="S157" s="43" t="str">
        <f t="shared" si="41"/>
        <v/>
      </c>
      <c r="T157" s="45" t="str">
        <f t="shared" si="42"/>
        <v/>
      </c>
      <c r="V157" s="43" t="str">
        <f t="shared" si="43"/>
        <v/>
      </c>
      <c r="W157" s="43" t="str">
        <f t="shared" si="44"/>
        <v/>
      </c>
      <c r="X157" s="45" t="str">
        <f t="shared" si="45"/>
        <v/>
      </c>
      <c r="AD157" s="77"/>
      <c r="AE157" s="77"/>
      <c r="AF157" s="172"/>
      <c r="AG157" s="116"/>
      <c r="AH157" s="118"/>
      <c r="AI157" s="77"/>
      <c r="AJ157" s="172"/>
      <c r="AK157" s="116"/>
      <c r="AL157" s="79"/>
      <c r="AM157" s="77"/>
      <c r="AN157" s="172"/>
      <c r="AO157" s="116"/>
      <c r="AQ157" s="43">
        <f t="shared" si="34"/>
        <v>0</v>
      </c>
      <c r="AR157" s="43">
        <f t="shared" si="35"/>
        <v>0</v>
      </c>
      <c r="AS157" s="43">
        <f t="shared" si="36"/>
        <v>0</v>
      </c>
    </row>
    <row r="158" spans="2:45" ht="21" customHeight="1">
      <c r="B158" s="43">
        <v>154</v>
      </c>
      <c r="C158" s="44" t="str">
        <f>'Course 1'!C158</f>
        <v/>
      </c>
      <c r="D158" s="46" t="str">
        <f>IF(C158="","",HLOOKUP(C158,'Règles et points'!$D$5:$Y$7,3))</f>
        <v/>
      </c>
      <c r="E158" s="46" t="str">
        <f>IF(C158="","",HLOOKUP(C158,'Règles et points'!$D$5:$Y$7,2))</f>
        <v/>
      </c>
      <c r="F158" s="43" t="str">
        <f>IF('Course 1'!E158="","",'Course 1'!E158)</f>
        <v/>
      </c>
      <c r="G158" s="43" t="str">
        <f>IF('Course 1'!F158="","",'Course 1'!F158)</f>
        <v/>
      </c>
      <c r="H158" s="56">
        <f>'Course 1'!M158+'Course 2'!M158+'Course 3'!M158+'Course 4'!M158+'Course 4'!M158</f>
        <v>0</v>
      </c>
      <c r="J158" s="43" t="str">
        <f t="shared" si="37"/>
        <v/>
      </c>
      <c r="K158" s="43" t="str">
        <f t="shared" si="38"/>
        <v/>
      </c>
      <c r="L158" s="53" t="str">
        <f t="shared" si="39"/>
        <v/>
      </c>
      <c r="N158" s="43" t="str">
        <f t="shared" si="46"/>
        <v/>
      </c>
      <c r="O158" s="43" t="str">
        <f t="shared" si="47"/>
        <v/>
      </c>
      <c r="P158" s="53" t="str">
        <f t="shared" si="48"/>
        <v/>
      </c>
      <c r="R158" s="43" t="str">
        <f t="shared" si="40"/>
        <v/>
      </c>
      <c r="S158" s="43" t="str">
        <f t="shared" si="41"/>
        <v/>
      </c>
      <c r="T158" s="45" t="str">
        <f t="shared" si="42"/>
        <v/>
      </c>
      <c r="V158" s="43" t="str">
        <f t="shared" si="43"/>
        <v/>
      </c>
      <c r="W158" s="43" t="str">
        <f t="shared" si="44"/>
        <v/>
      </c>
      <c r="X158" s="45" t="str">
        <f t="shared" si="45"/>
        <v/>
      </c>
      <c r="AD158" s="77"/>
      <c r="AE158" s="77"/>
      <c r="AF158" s="172"/>
      <c r="AG158" s="116"/>
      <c r="AH158" s="118"/>
      <c r="AI158" s="77"/>
      <c r="AJ158" s="172"/>
      <c r="AK158" s="116"/>
      <c r="AL158" s="79"/>
      <c r="AM158" s="77"/>
      <c r="AN158" s="172"/>
      <c r="AO158" s="116"/>
      <c r="AQ158" s="43">
        <f t="shared" si="34"/>
        <v>0</v>
      </c>
      <c r="AR158" s="43">
        <f t="shared" si="35"/>
        <v>0</v>
      </c>
      <c r="AS158" s="43">
        <f t="shared" si="36"/>
        <v>0</v>
      </c>
    </row>
    <row r="159" spans="2:45" ht="21" customHeight="1">
      <c r="B159" s="43">
        <v>155</v>
      </c>
      <c r="C159" s="44" t="str">
        <f>'Course 1'!C159</f>
        <v/>
      </c>
      <c r="D159" s="46" t="str">
        <f>IF(C159="","",HLOOKUP(C159,'Règles et points'!$D$5:$Y$7,3))</f>
        <v/>
      </c>
      <c r="E159" s="46" t="str">
        <f>IF(C159="","",HLOOKUP(C159,'Règles et points'!$D$5:$Y$7,2))</f>
        <v/>
      </c>
      <c r="F159" s="43" t="str">
        <f>IF('Course 1'!E159="","",'Course 1'!E159)</f>
        <v/>
      </c>
      <c r="G159" s="43" t="str">
        <f>IF('Course 1'!F159="","",'Course 1'!F159)</f>
        <v/>
      </c>
      <c r="H159" s="56">
        <f>'Course 1'!M159+'Course 2'!M159+'Course 3'!M159+'Course 4'!M159+'Course 4'!M159</f>
        <v>0</v>
      </c>
      <c r="J159" s="43" t="str">
        <f t="shared" si="37"/>
        <v/>
      </c>
      <c r="K159" s="43" t="str">
        <f t="shared" si="38"/>
        <v/>
      </c>
      <c r="L159" s="53" t="str">
        <f t="shared" si="39"/>
        <v/>
      </c>
      <c r="N159" s="43" t="str">
        <f t="shared" si="46"/>
        <v/>
      </c>
      <c r="O159" s="43" t="str">
        <f t="shared" si="47"/>
        <v/>
      </c>
      <c r="P159" s="53" t="str">
        <f t="shared" si="48"/>
        <v/>
      </c>
      <c r="R159" s="43" t="str">
        <f t="shared" si="40"/>
        <v/>
      </c>
      <c r="S159" s="43" t="str">
        <f t="shared" si="41"/>
        <v/>
      </c>
      <c r="T159" s="45" t="str">
        <f t="shared" si="42"/>
        <v/>
      </c>
      <c r="V159" s="43" t="str">
        <f t="shared" si="43"/>
        <v/>
      </c>
      <c r="W159" s="43" t="str">
        <f t="shared" si="44"/>
        <v/>
      </c>
      <c r="X159" s="45" t="str">
        <f t="shared" si="45"/>
        <v/>
      </c>
      <c r="AD159" s="77"/>
      <c r="AE159" s="77"/>
      <c r="AF159" s="172"/>
      <c r="AG159" s="116"/>
      <c r="AH159" s="118"/>
      <c r="AI159" s="77"/>
      <c r="AJ159" s="172"/>
      <c r="AK159" s="116"/>
      <c r="AL159" s="79"/>
      <c r="AM159" s="77"/>
      <c r="AN159" s="172"/>
      <c r="AO159" s="116"/>
      <c r="AQ159" s="43">
        <f t="shared" si="34"/>
        <v>0</v>
      </c>
      <c r="AR159" s="43">
        <f t="shared" si="35"/>
        <v>0</v>
      </c>
      <c r="AS159" s="43">
        <f t="shared" si="36"/>
        <v>0</v>
      </c>
    </row>
    <row r="160" spans="2:45" ht="21" customHeight="1">
      <c r="B160" s="43">
        <v>156</v>
      </c>
      <c r="C160" s="44" t="str">
        <f>'Course 1'!C160</f>
        <v/>
      </c>
      <c r="D160" s="46" t="str">
        <f>IF(C160="","",HLOOKUP(C160,'Règles et points'!$D$5:$Y$7,3))</f>
        <v/>
      </c>
      <c r="E160" s="46" t="str">
        <f>IF(C160="","",HLOOKUP(C160,'Règles et points'!$D$5:$Y$7,2))</f>
        <v/>
      </c>
      <c r="F160" s="43" t="str">
        <f>IF('Course 1'!E160="","",'Course 1'!E160)</f>
        <v/>
      </c>
      <c r="G160" s="43" t="str">
        <f>IF('Course 1'!F160="","",'Course 1'!F160)</f>
        <v/>
      </c>
      <c r="H160" s="56">
        <f>'Course 1'!M160+'Course 2'!M160+'Course 3'!M160+'Course 4'!M160+'Course 4'!M160</f>
        <v>0</v>
      </c>
      <c r="J160" s="43" t="str">
        <f t="shared" si="37"/>
        <v/>
      </c>
      <c r="K160" s="43" t="str">
        <f t="shared" si="38"/>
        <v/>
      </c>
      <c r="L160" s="53" t="str">
        <f t="shared" si="39"/>
        <v/>
      </c>
      <c r="N160" s="43" t="str">
        <f t="shared" si="46"/>
        <v/>
      </c>
      <c r="O160" s="43" t="str">
        <f t="shared" si="47"/>
        <v/>
      </c>
      <c r="P160" s="53" t="str">
        <f t="shared" si="48"/>
        <v/>
      </c>
      <c r="R160" s="43" t="str">
        <f t="shared" si="40"/>
        <v/>
      </c>
      <c r="S160" s="43" t="str">
        <f t="shared" si="41"/>
        <v/>
      </c>
      <c r="T160" s="45" t="str">
        <f t="shared" si="42"/>
        <v/>
      </c>
      <c r="V160" s="43" t="str">
        <f t="shared" si="43"/>
        <v/>
      </c>
      <c r="W160" s="43" t="str">
        <f t="shared" si="44"/>
        <v/>
      </c>
      <c r="X160" s="45" t="str">
        <f t="shared" si="45"/>
        <v/>
      </c>
      <c r="AD160" s="77"/>
      <c r="AE160" s="77"/>
      <c r="AF160" s="172"/>
      <c r="AG160" s="116"/>
      <c r="AH160" s="118"/>
      <c r="AI160" s="77"/>
      <c r="AJ160" s="172"/>
      <c r="AK160" s="116"/>
      <c r="AL160" s="79"/>
      <c r="AM160" s="77"/>
      <c r="AN160" s="172"/>
      <c r="AO160" s="116"/>
      <c r="AQ160" s="43">
        <f t="shared" si="34"/>
        <v>0</v>
      </c>
      <c r="AR160" s="43">
        <f t="shared" si="35"/>
        <v>0</v>
      </c>
      <c r="AS160" s="43">
        <f t="shared" si="36"/>
        <v>0</v>
      </c>
    </row>
    <row r="161" spans="2:45" ht="21" customHeight="1">
      <c r="B161" s="43">
        <v>157</v>
      </c>
      <c r="C161" s="44" t="str">
        <f>'Course 1'!C161</f>
        <v/>
      </c>
      <c r="D161" s="46" t="str">
        <f>IF(C161="","",HLOOKUP(C161,'Règles et points'!$D$5:$Y$7,3))</f>
        <v/>
      </c>
      <c r="E161" s="46" t="str">
        <f>IF(C161="","",HLOOKUP(C161,'Règles et points'!$D$5:$Y$7,2))</f>
        <v/>
      </c>
      <c r="F161" s="43" t="str">
        <f>IF('Course 1'!E161="","",'Course 1'!E161)</f>
        <v/>
      </c>
      <c r="G161" s="43" t="str">
        <f>IF('Course 1'!F161="","",'Course 1'!F161)</f>
        <v/>
      </c>
      <c r="H161" s="56">
        <f>'Course 1'!M161+'Course 2'!M161+'Course 3'!M161+'Course 4'!M161+'Course 4'!M161</f>
        <v>0</v>
      </c>
      <c r="J161" s="43" t="str">
        <f t="shared" si="37"/>
        <v/>
      </c>
      <c r="K161" s="43" t="str">
        <f t="shared" si="38"/>
        <v/>
      </c>
      <c r="L161" s="53" t="str">
        <f t="shared" si="39"/>
        <v/>
      </c>
      <c r="N161" s="43" t="str">
        <f t="shared" si="46"/>
        <v/>
      </c>
      <c r="O161" s="43" t="str">
        <f t="shared" si="47"/>
        <v/>
      </c>
      <c r="P161" s="53" t="str">
        <f t="shared" si="48"/>
        <v/>
      </c>
      <c r="R161" s="43" t="str">
        <f t="shared" si="40"/>
        <v/>
      </c>
      <c r="S161" s="43" t="str">
        <f t="shared" si="41"/>
        <v/>
      </c>
      <c r="T161" s="45" t="str">
        <f t="shared" si="42"/>
        <v/>
      </c>
      <c r="V161" s="43" t="str">
        <f t="shared" si="43"/>
        <v/>
      </c>
      <c r="W161" s="43" t="str">
        <f t="shared" si="44"/>
        <v/>
      </c>
      <c r="X161" s="45" t="str">
        <f t="shared" si="45"/>
        <v/>
      </c>
      <c r="AD161" s="77"/>
      <c r="AE161" s="77"/>
      <c r="AF161" s="172"/>
      <c r="AG161" s="116"/>
      <c r="AH161" s="118"/>
      <c r="AI161" s="77"/>
      <c r="AJ161" s="172"/>
      <c r="AK161" s="116"/>
      <c r="AL161" s="79"/>
      <c r="AM161" s="77"/>
      <c r="AN161" s="172"/>
      <c r="AO161" s="116"/>
      <c r="AQ161" s="43">
        <f t="shared" si="34"/>
        <v>0</v>
      </c>
      <c r="AR161" s="43">
        <f t="shared" si="35"/>
        <v>0</v>
      </c>
      <c r="AS161" s="43">
        <f t="shared" si="36"/>
        <v>0</v>
      </c>
    </row>
    <row r="162" spans="2:45" ht="21" customHeight="1">
      <c r="B162" s="43">
        <v>158</v>
      </c>
      <c r="C162" s="44" t="str">
        <f>'Course 1'!C162</f>
        <v/>
      </c>
      <c r="D162" s="46" t="str">
        <f>IF(C162="","",HLOOKUP(C162,'Règles et points'!$D$5:$Y$7,3))</f>
        <v/>
      </c>
      <c r="E162" s="46" t="str">
        <f>IF(C162="","",HLOOKUP(C162,'Règles et points'!$D$5:$Y$7,2))</f>
        <v/>
      </c>
      <c r="F162" s="43" t="str">
        <f>IF('Course 1'!E162="","",'Course 1'!E162)</f>
        <v/>
      </c>
      <c r="G162" s="43" t="str">
        <f>IF('Course 1'!F162="","",'Course 1'!F162)</f>
        <v/>
      </c>
      <c r="H162" s="56">
        <f>'Course 1'!M162+'Course 2'!M162+'Course 3'!M162+'Course 4'!M162+'Course 4'!M162</f>
        <v>0</v>
      </c>
      <c r="J162" s="43" t="str">
        <f t="shared" si="37"/>
        <v/>
      </c>
      <c r="K162" s="43" t="str">
        <f t="shared" si="38"/>
        <v/>
      </c>
      <c r="L162" s="53" t="str">
        <f t="shared" si="39"/>
        <v/>
      </c>
      <c r="N162" s="43" t="str">
        <f t="shared" si="46"/>
        <v/>
      </c>
      <c r="O162" s="43" t="str">
        <f t="shared" si="47"/>
        <v/>
      </c>
      <c r="P162" s="53" t="str">
        <f t="shared" si="48"/>
        <v/>
      </c>
      <c r="R162" s="43" t="str">
        <f t="shared" si="40"/>
        <v/>
      </c>
      <c r="S162" s="43" t="str">
        <f t="shared" si="41"/>
        <v/>
      </c>
      <c r="T162" s="45" t="str">
        <f t="shared" si="42"/>
        <v/>
      </c>
      <c r="V162" s="43" t="str">
        <f t="shared" si="43"/>
        <v/>
      </c>
      <c r="W162" s="43" t="str">
        <f t="shared" si="44"/>
        <v/>
      </c>
      <c r="X162" s="45" t="str">
        <f t="shared" si="45"/>
        <v/>
      </c>
      <c r="AD162" s="77"/>
      <c r="AE162" s="77"/>
      <c r="AF162" s="172"/>
      <c r="AG162" s="116"/>
      <c r="AH162" s="118"/>
      <c r="AI162" s="77"/>
      <c r="AJ162" s="172"/>
      <c r="AK162" s="116"/>
      <c r="AL162" s="79"/>
      <c r="AM162" s="77"/>
      <c r="AN162" s="172"/>
      <c r="AO162" s="116"/>
      <c r="AQ162" s="43">
        <f t="shared" si="34"/>
        <v>0</v>
      </c>
      <c r="AR162" s="43">
        <f t="shared" si="35"/>
        <v>0</v>
      </c>
      <c r="AS162" s="43">
        <f t="shared" si="36"/>
        <v>0</v>
      </c>
    </row>
    <row r="163" spans="2:45" ht="21" customHeight="1">
      <c r="B163" s="43">
        <v>159</v>
      </c>
      <c r="C163" s="44" t="str">
        <f>'Course 1'!C163</f>
        <v/>
      </c>
      <c r="D163" s="46" t="str">
        <f>IF(C163="","",HLOOKUP(C163,'Règles et points'!$D$5:$Y$7,3))</f>
        <v/>
      </c>
      <c r="E163" s="46" t="str">
        <f>IF(C163="","",HLOOKUP(C163,'Règles et points'!$D$5:$Y$7,2))</f>
        <v/>
      </c>
      <c r="F163" s="43" t="str">
        <f>IF('Course 1'!E163="","",'Course 1'!E163)</f>
        <v/>
      </c>
      <c r="G163" s="43" t="str">
        <f>IF('Course 1'!F163="","",'Course 1'!F163)</f>
        <v/>
      </c>
      <c r="H163" s="56">
        <f>'Course 1'!M163+'Course 2'!M163+'Course 3'!M163+'Course 4'!M163+'Course 4'!M163</f>
        <v>0</v>
      </c>
      <c r="J163" s="43" t="str">
        <f t="shared" si="37"/>
        <v/>
      </c>
      <c r="K163" s="43" t="str">
        <f t="shared" si="38"/>
        <v/>
      </c>
      <c r="L163" s="53" t="str">
        <f t="shared" si="39"/>
        <v/>
      </c>
      <c r="N163" s="43" t="str">
        <f t="shared" si="46"/>
        <v/>
      </c>
      <c r="O163" s="43" t="str">
        <f t="shared" si="47"/>
        <v/>
      </c>
      <c r="P163" s="53" t="str">
        <f t="shared" si="48"/>
        <v/>
      </c>
      <c r="R163" s="43" t="str">
        <f t="shared" si="40"/>
        <v/>
      </c>
      <c r="S163" s="43" t="str">
        <f t="shared" si="41"/>
        <v/>
      </c>
      <c r="T163" s="45" t="str">
        <f t="shared" si="42"/>
        <v/>
      </c>
      <c r="V163" s="43" t="str">
        <f t="shared" si="43"/>
        <v/>
      </c>
      <c r="W163" s="43" t="str">
        <f t="shared" si="44"/>
        <v/>
      </c>
      <c r="X163" s="45" t="str">
        <f t="shared" si="45"/>
        <v/>
      </c>
      <c r="AD163" s="77"/>
      <c r="AE163" s="77"/>
      <c r="AF163" s="172"/>
      <c r="AG163" s="116"/>
      <c r="AH163" s="118"/>
      <c r="AI163" s="77"/>
      <c r="AJ163" s="172"/>
      <c r="AK163" s="116"/>
      <c r="AL163" s="79"/>
      <c r="AM163" s="77"/>
      <c r="AN163" s="172"/>
      <c r="AO163" s="116"/>
      <c r="AQ163" s="43">
        <f t="shared" si="34"/>
        <v>0</v>
      </c>
      <c r="AR163" s="43">
        <f t="shared" si="35"/>
        <v>0</v>
      </c>
      <c r="AS163" s="43">
        <f t="shared" si="36"/>
        <v>0</v>
      </c>
    </row>
    <row r="164" spans="2:45" ht="21" customHeight="1">
      <c r="B164" s="43">
        <v>160</v>
      </c>
      <c r="C164" s="44" t="str">
        <f>'Course 1'!C164</f>
        <v/>
      </c>
      <c r="D164" s="46" t="str">
        <f>IF(C164="","",HLOOKUP(C164,'Règles et points'!$D$5:$Y$7,3))</f>
        <v/>
      </c>
      <c r="E164" s="46" t="str">
        <f>IF(C164="","",HLOOKUP(C164,'Règles et points'!$D$5:$Y$7,2))</f>
        <v/>
      </c>
      <c r="F164" s="43" t="str">
        <f>IF('Course 1'!E164="","",'Course 1'!E164)</f>
        <v/>
      </c>
      <c r="G164" s="43" t="str">
        <f>IF('Course 1'!F164="","",'Course 1'!F164)</f>
        <v/>
      </c>
      <c r="H164" s="56">
        <f>'Course 1'!M164+'Course 2'!M164+'Course 3'!M164+'Course 4'!M164+'Course 4'!M164</f>
        <v>0</v>
      </c>
      <c r="J164" s="43" t="str">
        <f t="shared" si="37"/>
        <v/>
      </c>
      <c r="K164" s="43" t="str">
        <f t="shared" si="38"/>
        <v/>
      </c>
      <c r="L164" s="53" t="str">
        <f t="shared" si="39"/>
        <v/>
      </c>
      <c r="N164" s="43" t="str">
        <f t="shared" si="46"/>
        <v/>
      </c>
      <c r="O164" s="43" t="str">
        <f t="shared" si="47"/>
        <v/>
      </c>
      <c r="P164" s="53" t="str">
        <f t="shared" si="48"/>
        <v/>
      </c>
      <c r="R164" s="43" t="str">
        <f t="shared" si="40"/>
        <v/>
      </c>
      <c r="S164" s="43" t="str">
        <f t="shared" si="41"/>
        <v/>
      </c>
      <c r="T164" s="45" t="str">
        <f t="shared" si="42"/>
        <v/>
      </c>
      <c r="V164" s="43" t="str">
        <f t="shared" si="43"/>
        <v/>
      </c>
      <c r="W164" s="43" t="str">
        <f t="shared" si="44"/>
        <v/>
      </c>
      <c r="X164" s="45" t="str">
        <f t="shared" si="45"/>
        <v/>
      </c>
      <c r="AD164" s="77"/>
      <c r="AE164" s="77"/>
      <c r="AF164" s="172"/>
      <c r="AG164" s="116"/>
      <c r="AH164" s="118"/>
      <c r="AI164" s="77"/>
      <c r="AJ164" s="172"/>
      <c r="AK164" s="116"/>
      <c r="AL164" s="79"/>
      <c r="AM164" s="77"/>
      <c r="AN164" s="172"/>
      <c r="AO164" s="116"/>
      <c r="AQ164" s="43">
        <f t="shared" si="34"/>
        <v>0</v>
      </c>
      <c r="AR164" s="43">
        <f t="shared" si="35"/>
        <v>0</v>
      </c>
      <c r="AS164" s="43">
        <f t="shared" si="36"/>
        <v>0</v>
      </c>
    </row>
    <row r="165" spans="2:45" ht="21" customHeight="1">
      <c r="B165" s="43">
        <v>161</v>
      </c>
      <c r="C165" s="44" t="str">
        <f>'Course 1'!C165</f>
        <v/>
      </c>
      <c r="D165" s="46" t="str">
        <f>IF(C165="","",HLOOKUP(C165,'Règles et points'!$D$5:$Y$7,3))</f>
        <v/>
      </c>
      <c r="E165" s="46" t="str">
        <f>IF(C165="","",HLOOKUP(C165,'Règles et points'!$D$5:$Y$7,2))</f>
        <v/>
      </c>
      <c r="F165" s="43" t="str">
        <f>IF('Course 1'!E165="","",'Course 1'!E165)</f>
        <v/>
      </c>
      <c r="G165" s="43" t="str">
        <f>IF('Course 1'!F165="","",'Course 1'!F165)</f>
        <v/>
      </c>
      <c r="H165" s="56">
        <f>'Course 1'!M165+'Course 2'!M165+'Course 3'!M165+'Course 4'!M165+'Course 4'!M165</f>
        <v>0</v>
      </c>
      <c r="J165" s="43" t="str">
        <f t="shared" si="37"/>
        <v/>
      </c>
      <c r="K165" s="43" t="str">
        <f t="shared" si="38"/>
        <v/>
      </c>
      <c r="L165" s="53" t="str">
        <f t="shared" si="39"/>
        <v/>
      </c>
      <c r="N165" s="43" t="str">
        <f t="shared" si="46"/>
        <v/>
      </c>
      <c r="O165" s="43" t="str">
        <f t="shared" si="47"/>
        <v/>
      </c>
      <c r="P165" s="53" t="str">
        <f t="shared" si="48"/>
        <v/>
      </c>
      <c r="R165" s="43" t="str">
        <f t="shared" si="40"/>
        <v/>
      </c>
      <c r="S165" s="43" t="str">
        <f t="shared" si="41"/>
        <v/>
      </c>
      <c r="T165" s="45" t="str">
        <f t="shared" si="42"/>
        <v/>
      </c>
      <c r="V165" s="43" t="str">
        <f t="shared" si="43"/>
        <v/>
      </c>
      <c r="W165" s="43" t="str">
        <f t="shared" si="44"/>
        <v/>
      </c>
      <c r="X165" s="45" t="str">
        <f t="shared" si="45"/>
        <v/>
      </c>
      <c r="AD165" s="77"/>
      <c r="AE165" s="77"/>
      <c r="AF165" s="172"/>
      <c r="AG165" s="116"/>
      <c r="AH165" s="118"/>
      <c r="AI165" s="77"/>
      <c r="AJ165" s="172"/>
      <c r="AK165" s="116"/>
      <c r="AL165" s="79"/>
      <c r="AM165" s="77"/>
      <c r="AN165" s="172"/>
      <c r="AO165" s="116"/>
      <c r="AQ165" s="43">
        <f t="shared" ref="AQ165:AQ228" si="49">IF(AF166="",0,1+AQ166)</f>
        <v>0</v>
      </c>
      <c r="AR165" s="43">
        <f t="shared" ref="AR165:AR228" si="50">IF(AJ165="",0,1+AR166)</f>
        <v>0</v>
      </c>
      <c r="AS165" s="43">
        <f t="shared" ref="AS165:AS228" si="51">IF(AN165="",0,1+AS166)</f>
        <v>0</v>
      </c>
    </row>
    <row r="166" spans="2:45" ht="21" customHeight="1">
      <c r="B166" s="43">
        <v>162</v>
      </c>
      <c r="C166" s="44" t="str">
        <f>'Course 1'!C166</f>
        <v/>
      </c>
      <c r="D166" s="46" t="str">
        <f>IF(C166="","",HLOOKUP(C166,'Règles et points'!$D$5:$Y$7,3))</f>
        <v/>
      </c>
      <c r="E166" s="46" t="str">
        <f>IF(C166="","",HLOOKUP(C166,'Règles et points'!$D$5:$Y$7,2))</f>
        <v/>
      </c>
      <c r="F166" s="43" t="str">
        <f>IF('Course 1'!E166="","",'Course 1'!E166)</f>
        <v/>
      </c>
      <c r="G166" s="43" t="str">
        <f>IF('Course 1'!F166="","",'Course 1'!F166)</f>
        <v/>
      </c>
      <c r="H166" s="56">
        <f>'Course 1'!M166+'Course 2'!M166+'Course 3'!M166+'Course 4'!M166+'Course 4'!M166</f>
        <v>0</v>
      </c>
      <c r="J166" s="43" t="str">
        <f t="shared" si="37"/>
        <v/>
      </c>
      <c r="K166" s="43" t="str">
        <f t="shared" si="38"/>
        <v/>
      </c>
      <c r="L166" s="53" t="str">
        <f t="shared" si="39"/>
        <v/>
      </c>
      <c r="N166" s="43" t="str">
        <f t="shared" si="46"/>
        <v/>
      </c>
      <c r="O166" s="43" t="str">
        <f t="shared" si="47"/>
        <v/>
      </c>
      <c r="P166" s="53" t="str">
        <f t="shared" si="48"/>
        <v/>
      </c>
      <c r="R166" s="43" t="str">
        <f t="shared" si="40"/>
        <v/>
      </c>
      <c r="S166" s="43" t="str">
        <f t="shared" si="41"/>
        <v/>
      </c>
      <c r="T166" s="45" t="str">
        <f t="shared" si="42"/>
        <v/>
      </c>
      <c r="V166" s="43" t="str">
        <f t="shared" si="43"/>
        <v/>
      </c>
      <c r="W166" s="43" t="str">
        <f t="shared" si="44"/>
        <v/>
      </c>
      <c r="X166" s="45" t="str">
        <f t="shared" si="45"/>
        <v/>
      </c>
      <c r="AD166" s="77"/>
      <c r="AE166" s="77"/>
      <c r="AF166" s="172"/>
      <c r="AG166" s="116"/>
      <c r="AH166" s="118"/>
      <c r="AI166" s="77"/>
      <c r="AJ166" s="172"/>
      <c r="AK166" s="116"/>
      <c r="AL166" s="79"/>
      <c r="AM166" s="77"/>
      <c r="AN166" s="172"/>
      <c r="AO166" s="116"/>
      <c r="AQ166" s="43">
        <f t="shared" si="49"/>
        <v>0</v>
      </c>
      <c r="AR166" s="43">
        <f t="shared" si="50"/>
        <v>0</v>
      </c>
      <c r="AS166" s="43">
        <f t="shared" si="51"/>
        <v>0</v>
      </c>
    </row>
    <row r="167" spans="2:45" ht="21" customHeight="1">
      <c r="B167" s="43">
        <v>163</v>
      </c>
      <c r="C167" s="44" t="str">
        <f>'Course 1'!C167</f>
        <v/>
      </c>
      <c r="D167" s="46" t="str">
        <f>IF(C167="","",HLOOKUP(C167,'Règles et points'!$D$5:$Y$7,3))</f>
        <v/>
      </c>
      <c r="E167" s="46" t="str">
        <f>IF(C167="","",HLOOKUP(C167,'Règles et points'!$D$5:$Y$7,2))</f>
        <v/>
      </c>
      <c r="F167" s="43" t="str">
        <f>IF('Course 1'!E167="","",'Course 1'!E167)</f>
        <v/>
      </c>
      <c r="G167" s="43" t="str">
        <f>IF('Course 1'!F167="","",'Course 1'!F167)</f>
        <v/>
      </c>
      <c r="H167" s="56">
        <f>'Course 1'!M167+'Course 2'!M167+'Course 3'!M167+'Course 4'!M167+'Course 4'!M167</f>
        <v>0</v>
      </c>
      <c r="J167" s="43" t="str">
        <f t="shared" si="37"/>
        <v/>
      </c>
      <c r="K167" s="43" t="str">
        <f t="shared" si="38"/>
        <v/>
      </c>
      <c r="L167" s="53" t="str">
        <f t="shared" si="39"/>
        <v/>
      </c>
      <c r="N167" s="43" t="str">
        <f t="shared" si="46"/>
        <v/>
      </c>
      <c r="O167" s="43" t="str">
        <f t="shared" si="47"/>
        <v/>
      </c>
      <c r="P167" s="53" t="str">
        <f t="shared" si="48"/>
        <v/>
      </c>
      <c r="R167" s="43" t="str">
        <f t="shared" si="40"/>
        <v/>
      </c>
      <c r="S167" s="43" t="str">
        <f t="shared" si="41"/>
        <v/>
      </c>
      <c r="T167" s="45" t="str">
        <f t="shared" si="42"/>
        <v/>
      </c>
      <c r="V167" s="43" t="str">
        <f t="shared" si="43"/>
        <v/>
      </c>
      <c r="W167" s="43" t="str">
        <f t="shared" si="44"/>
        <v/>
      </c>
      <c r="X167" s="45" t="str">
        <f t="shared" si="45"/>
        <v/>
      </c>
      <c r="AD167" s="77"/>
      <c r="AE167" s="77"/>
      <c r="AF167" s="172"/>
      <c r="AG167" s="116"/>
      <c r="AH167" s="118"/>
      <c r="AI167" s="77"/>
      <c r="AJ167" s="172"/>
      <c r="AK167" s="116"/>
      <c r="AL167" s="79"/>
      <c r="AM167" s="77"/>
      <c r="AN167" s="172"/>
      <c r="AO167" s="116"/>
      <c r="AQ167" s="43">
        <f t="shared" si="49"/>
        <v>0</v>
      </c>
      <c r="AR167" s="43">
        <f t="shared" si="50"/>
        <v>0</v>
      </c>
      <c r="AS167" s="43">
        <f t="shared" si="51"/>
        <v>0</v>
      </c>
    </row>
    <row r="168" spans="2:45" ht="21" customHeight="1">
      <c r="B168" s="43">
        <v>164</v>
      </c>
      <c r="C168" s="44" t="str">
        <f>'Course 1'!C168</f>
        <v/>
      </c>
      <c r="D168" s="46" t="str">
        <f>IF(C168="","",HLOOKUP(C168,'Règles et points'!$D$5:$Y$7,3))</f>
        <v/>
      </c>
      <c r="E168" s="46" t="str">
        <f>IF(C168="","",HLOOKUP(C168,'Règles et points'!$D$5:$Y$7,2))</f>
        <v/>
      </c>
      <c r="F168" s="43" t="str">
        <f>IF('Course 1'!E168="","",'Course 1'!E168)</f>
        <v/>
      </c>
      <c r="G168" s="43" t="str">
        <f>IF('Course 1'!F168="","",'Course 1'!F168)</f>
        <v/>
      </c>
      <c r="H168" s="56">
        <f>'Course 1'!M168+'Course 2'!M168+'Course 3'!M168+'Course 4'!M168+'Course 4'!M168</f>
        <v>0</v>
      </c>
      <c r="J168" s="43" t="str">
        <f t="shared" si="37"/>
        <v/>
      </c>
      <c r="K168" s="43" t="str">
        <f t="shared" si="38"/>
        <v/>
      </c>
      <c r="L168" s="53" t="str">
        <f t="shared" si="39"/>
        <v/>
      </c>
      <c r="N168" s="43" t="str">
        <f t="shared" si="46"/>
        <v/>
      </c>
      <c r="O168" s="43" t="str">
        <f t="shared" si="47"/>
        <v/>
      </c>
      <c r="P168" s="53" t="str">
        <f t="shared" si="48"/>
        <v/>
      </c>
      <c r="R168" s="43" t="str">
        <f t="shared" si="40"/>
        <v/>
      </c>
      <c r="S168" s="43" t="str">
        <f t="shared" si="41"/>
        <v/>
      </c>
      <c r="T168" s="45" t="str">
        <f t="shared" si="42"/>
        <v/>
      </c>
      <c r="V168" s="43" t="str">
        <f t="shared" si="43"/>
        <v/>
      </c>
      <c r="W168" s="43" t="str">
        <f t="shared" si="44"/>
        <v/>
      </c>
      <c r="X168" s="45" t="str">
        <f t="shared" si="45"/>
        <v/>
      </c>
      <c r="AD168" s="77"/>
      <c r="AE168" s="77"/>
      <c r="AF168" s="172"/>
      <c r="AG168" s="116"/>
      <c r="AH168" s="118"/>
      <c r="AI168" s="77"/>
      <c r="AJ168" s="172"/>
      <c r="AK168" s="116"/>
      <c r="AL168" s="79"/>
      <c r="AM168" s="77"/>
      <c r="AN168" s="172"/>
      <c r="AO168" s="116"/>
      <c r="AQ168" s="43">
        <f t="shared" si="49"/>
        <v>0</v>
      </c>
      <c r="AR168" s="43">
        <f t="shared" si="50"/>
        <v>0</v>
      </c>
      <c r="AS168" s="43">
        <f t="shared" si="51"/>
        <v>0</v>
      </c>
    </row>
    <row r="169" spans="2:45" ht="21" customHeight="1">
      <c r="B169" s="43">
        <v>165</v>
      </c>
      <c r="C169" s="44" t="str">
        <f>'Course 1'!C169</f>
        <v/>
      </c>
      <c r="D169" s="46" t="str">
        <f>IF(C169="","",HLOOKUP(C169,'Règles et points'!$D$5:$Y$7,3))</f>
        <v/>
      </c>
      <c r="E169" s="46" t="str">
        <f>IF(C169="","",HLOOKUP(C169,'Règles et points'!$D$5:$Y$7,2))</f>
        <v/>
      </c>
      <c r="F169" s="43" t="str">
        <f>IF('Course 1'!E169="","",'Course 1'!E169)</f>
        <v/>
      </c>
      <c r="G169" s="43" t="str">
        <f>IF('Course 1'!F169="","",'Course 1'!F169)</f>
        <v/>
      </c>
      <c r="H169" s="56">
        <f>'Course 1'!M169+'Course 2'!M169+'Course 3'!M169+'Course 4'!M169+'Course 4'!M169</f>
        <v>0</v>
      </c>
      <c r="J169" s="43" t="str">
        <f t="shared" si="37"/>
        <v/>
      </c>
      <c r="K169" s="43" t="str">
        <f t="shared" si="38"/>
        <v/>
      </c>
      <c r="L169" s="53" t="str">
        <f t="shared" si="39"/>
        <v/>
      </c>
      <c r="N169" s="43" t="str">
        <f t="shared" si="46"/>
        <v/>
      </c>
      <c r="O169" s="43" t="str">
        <f t="shared" si="47"/>
        <v/>
      </c>
      <c r="P169" s="53" t="str">
        <f t="shared" si="48"/>
        <v/>
      </c>
      <c r="R169" s="43" t="str">
        <f t="shared" si="40"/>
        <v/>
      </c>
      <c r="S169" s="43" t="str">
        <f t="shared" si="41"/>
        <v/>
      </c>
      <c r="T169" s="45" t="str">
        <f t="shared" si="42"/>
        <v/>
      </c>
      <c r="V169" s="43" t="str">
        <f t="shared" si="43"/>
        <v/>
      </c>
      <c r="W169" s="43" t="str">
        <f t="shared" si="44"/>
        <v/>
      </c>
      <c r="X169" s="45" t="str">
        <f t="shared" si="45"/>
        <v/>
      </c>
      <c r="AD169" s="77"/>
      <c r="AE169" s="77"/>
      <c r="AF169" s="172"/>
      <c r="AG169" s="116"/>
      <c r="AH169" s="118"/>
      <c r="AI169" s="77"/>
      <c r="AJ169" s="172"/>
      <c r="AK169" s="116"/>
      <c r="AL169" s="79"/>
      <c r="AM169" s="77"/>
      <c r="AN169" s="172"/>
      <c r="AO169" s="116"/>
      <c r="AQ169" s="43">
        <f t="shared" si="49"/>
        <v>0</v>
      </c>
      <c r="AR169" s="43">
        <f t="shared" si="50"/>
        <v>0</v>
      </c>
      <c r="AS169" s="43">
        <f t="shared" si="51"/>
        <v>0</v>
      </c>
    </row>
    <row r="170" spans="2:45" ht="21" customHeight="1">
      <c r="B170" s="43">
        <v>166</v>
      </c>
      <c r="C170" s="44" t="str">
        <f>'Course 1'!C170</f>
        <v/>
      </c>
      <c r="D170" s="46" t="str">
        <f>IF(C170="","",HLOOKUP(C170,'Règles et points'!$D$5:$Y$7,3))</f>
        <v/>
      </c>
      <c r="E170" s="46" t="str">
        <f>IF(C170="","",HLOOKUP(C170,'Règles et points'!$D$5:$Y$7,2))</f>
        <v/>
      </c>
      <c r="F170" s="43" t="str">
        <f>IF('Course 1'!E170="","",'Course 1'!E170)</f>
        <v/>
      </c>
      <c r="G170" s="43" t="str">
        <f>IF('Course 1'!F170="","",'Course 1'!F170)</f>
        <v/>
      </c>
      <c r="H170" s="56">
        <f>'Course 1'!M170+'Course 2'!M170+'Course 3'!M170+'Course 4'!M170+'Course 4'!M170</f>
        <v>0</v>
      </c>
      <c r="J170" s="43" t="str">
        <f t="shared" si="37"/>
        <v/>
      </c>
      <c r="K170" s="43" t="str">
        <f t="shared" si="38"/>
        <v/>
      </c>
      <c r="L170" s="53" t="str">
        <f t="shared" si="39"/>
        <v/>
      </c>
      <c r="N170" s="43" t="str">
        <f t="shared" si="46"/>
        <v/>
      </c>
      <c r="O170" s="43" t="str">
        <f t="shared" si="47"/>
        <v/>
      </c>
      <c r="P170" s="53" t="str">
        <f t="shared" si="48"/>
        <v/>
      </c>
      <c r="R170" s="43" t="str">
        <f t="shared" si="40"/>
        <v/>
      </c>
      <c r="S170" s="43" t="str">
        <f t="shared" si="41"/>
        <v/>
      </c>
      <c r="T170" s="45" t="str">
        <f t="shared" si="42"/>
        <v/>
      </c>
      <c r="V170" s="43" t="str">
        <f t="shared" si="43"/>
        <v/>
      </c>
      <c r="W170" s="43" t="str">
        <f t="shared" si="44"/>
        <v/>
      </c>
      <c r="X170" s="45" t="str">
        <f t="shared" si="45"/>
        <v/>
      </c>
      <c r="AD170" s="77"/>
      <c r="AE170" s="77"/>
      <c r="AF170" s="172"/>
      <c r="AG170" s="116"/>
      <c r="AH170" s="118"/>
      <c r="AI170" s="77"/>
      <c r="AJ170" s="172"/>
      <c r="AK170" s="116"/>
      <c r="AL170" s="79"/>
      <c r="AM170" s="77"/>
      <c r="AN170" s="172"/>
      <c r="AO170" s="116"/>
      <c r="AQ170" s="43">
        <f t="shared" si="49"/>
        <v>0</v>
      </c>
      <c r="AR170" s="43">
        <f t="shared" si="50"/>
        <v>0</v>
      </c>
      <c r="AS170" s="43">
        <f t="shared" si="51"/>
        <v>0</v>
      </c>
    </row>
    <row r="171" spans="2:45" ht="21" customHeight="1">
      <c r="B171" s="43">
        <v>167</v>
      </c>
      <c r="C171" s="44" t="str">
        <f>'Course 1'!C171</f>
        <v/>
      </c>
      <c r="D171" s="46" t="str">
        <f>IF(C171="","",HLOOKUP(C171,'Règles et points'!$D$5:$Y$7,3))</f>
        <v/>
      </c>
      <c r="E171" s="46" t="str">
        <f>IF(C171="","",HLOOKUP(C171,'Règles et points'!$D$5:$Y$7,2))</f>
        <v/>
      </c>
      <c r="F171" s="43" t="str">
        <f>IF('Course 1'!E171="","",'Course 1'!E171)</f>
        <v/>
      </c>
      <c r="G171" s="43" t="str">
        <f>IF('Course 1'!F171="","",'Course 1'!F171)</f>
        <v/>
      </c>
      <c r="H171" s="56">
        <f>'Course 1'!M171+'Course 2'!M171+'Course 3'!M171+'Course 4'!M171+'Course 4'!M171</f>
        <v>0</v>
      </c>
      <c r="J171" s="43" t="str">
        <f t="shared" si="37"/>
        <v/>
      </c>
      <c r="K171" s="43" t="str">
        <f t="shared" si="38"/>
        <v/>
      </c>
      <c r="L171" s="53" t="str">
        <f t="shared" si="39"/>
        <v/>
      </c>
      <c r="N171" s="43" t="str">
        <f t="shared" si="46"/>
        <v/>
      </c>
      <c r="O171" s="43" t="str">
        <f t="shared" si="47"/>
        <v/>
      </c>
      <c r="P171" s="53" t="str">
        <f t="shared" si="48"/>
        <v/>
      </c>
      <c r="R171" s="43" t="str">
        <f t="shared" si="40"/>
        <v/>
      </c>
      <c r="S171" s="43" t="str">
        <f t="shared" si="41"/>
        <v/>
      </c>
      <c r="T171" s="45" t="str">
        <f t="shared" si="42"/>
        <v/>
      </c>
      <c r="V171" s="43" t="str">
        <f t="shared" si="43"/>
        <v/>
      </c>
      <c r="W171" s="43" t="str">
        <f t="shared" si="44"/>
        <v/>
      </c>
      <c r="X171" s="45" t="str">
        <f t="shared" si="45"/>
        <v/>
      </c>
      <c r="AD171" s="77"/>
      <c r="AE171" s="77"/>
      <c r="AF171" s="172"/>
      <c r="AG171" s="116"/>
      <c r="AH171" s="118"/>
      <c r="AI171" s="77"/>
      <c r="AJ171" s="172"/>
      <c r="AK171" s="116"/>
      <c r="AL171" s="79"/>
      <c r="AM171" s="77"/>
      <c r="AN171" s="172"/>
      <c r="AO171" s="116"/>
      <c r="AQ171" s="43">
        <f t="shared" si="49"/>
        <v>0</v>
      </c>
      <c r="AR171" s="43">
        <f t="shared" si="50"/>
        <v>0</v>
      </c>
      <c r="AS171" s="43">
        <f t="shared" si="51"/>
        <v>0</v>
      </c>
    </row>
    <row r="172" spans="2:45" ht="21" customHeight="1">
      <c r="B172" s="43">
        <v>168</v>
      </c>
      <c r="C172" s="44" t="str">
        <f>'Course 1'!C172</f>
        <v/>
      </c>
      <c r="D172" s="46" t="str">
        <f>IF(C172="","",HLOOKUP(C172,'Règles et points'!$D$5:$Y$7,3))</f>
        <v/>
      </c>
      <c r="E172" s="46" t="str">
        <f>IF(C172="","",HLOOKUP(C172,'Règles et points'!$D$5:$Y$7,2))</f>
        <v/>
      </c>
      <c r="F172" s="43" t="str">
        <f>IF('Course 1'!E172="","",'Course 1'!E172)</f>
        <v/>
      </c>
      <c r="G172" s="43" t="str">
        <f>IF('Course 1'!F172="","",'Course 1'!F172)</f>
        <v/>
      </c>
      <c r="H172" s="56">
        <f>'Course 1'!M172+'Course 2'!M172+'Course 3'!M172+'Course 4'!M172+'Course 4'!M172</f>
        <v>0</v>
      </c>
      <c r="J172" s="43" t="str">
        <f t="shared" si="37"/>
        <v/>
      </c>
      <c r="K172" s="43" t="str">
        <f t="shared" si="38"/>
        <v/>
      </c>
      <c r="L172" s="53" t="str">
        <f t="shared" si="39"/>
        <v/>
      </c>
      <c r="N172" s="43" t="str">
        <f t="shared" si="46"/>
        <v/>
      </c>
      <c r="O172" s="43" t="str">
        <f t="shared" si="47"/>
        <v/>
      </c>
      <c r="P172" s="53" t="str">
        <f t="shared" si="48"/>
        <v/>
      </c>
      <c r="R172" s="43" t="str">
        <f t="shared" si="40"/>
        <v/>
      </c>
      <c r="S172" s="43" t="str">
        <f t="shared" si="41"/>
        <v/>
      </c>
      <c r="T172" s="45" t="str">
        <f t="shared" si="42"/>
        <v/>
      </c>
      <c r="V172" s="43" t="str">
        <f t="shared" si="43"/>
        <v/>
      </c>
      <c r="W172" s="43" t="str">
        <f t="shared" si="44"/>
        <v/>
      </c>
      <c r="X172" s="45" t="str">
        <f t="shared" si="45"/>
        <v/>
      </c>
      <c r="AD172" s="77"/>
      <c r="AE172" s="77"/>
      <c r="AF172" s="172"/>
      <c r="AG172" s="116"/>
      <c r="AH172" s="118"/>
      <c r="AI172" s="77"/>
      <c r="AJ172" s="172"/>
      <c r="AK172" s="116"/>
      <c r="AL172" s="79"/>
      <c r="AM172" s="77"/>
      <c r="AN172" s="172"/>
      <c r="AO172" s="116"/>
      <c r="AQ172" s="43">
        <f t="shared" si="49"/>
        <v>0</v>
      </c>
      <c r="AR172" s="43">
        <f t="shared" si="50"/>
        <v>0</v>
      </c>
      <c r="AS172" s="43">
        <f t="shared" si="51"/>
        <v>0</v>
      </c>
    </row>
    <row r="173" spans="2:45" ht="21" customHeight="1">
      <c r="B173" s="43">
        <v>169</v>
      </c>
      <c r="C173" s="44" t="str">
        <f>'Course 1'!C173</f>
        <v/>
      </c>
      <c r="D173" s="46" t="str">
        <f>IF(C173="","",HLOOKUP(C173,'Règles et points'!$D$5:$Y$7,3))</f>
        <v/>
      </c>
      <c r="E173" s="46" t="str">
        <f>IF(C173="","",HLOOKUP(C173,'Règles et points'!$D$5:$Y$7,2))</f>
        <v/>
      </c>
      <c r="F173" s="43" t="str">
        <f>IF('Course 1'!E173="","",'Course 1'!E173)</f>
        <v/>
      </c>
      <c r="G173" s="43" t="str">
        <f>IF('Course 1'!F173="","",'Course 1'!F173)</f>
        <v/>
      </c>
      <c r="H173" s="56">
        <f>'Course 1'!M173+'Course 2'!M173+'Course 3'!M173+'Course 4'!M173+'Course 4'!M173</f>
        <v>0</v>
      </c>
      <c r="J173" s="43" t="str">
        <f t="shared" si="37"/>
        <v/>
      </c>
      <c r="K173" s="43" t="str">
        <f t="shared" si="38"/>
        <v/>
      </c>
      <c r="L173" s="53" t="str">
        <f t="shared" si="39"/>
        <v/>
      </c>
      <c r="N173" s="43" t="str">
        <f t="shared" si="46"/>
        <v/>
      </c>
      <c r="O173" s="43" t="str">
        <f t="shared" si="47"/>
        <v/>
      </c>
      <c r="P173" s="53" t="str">
        <f t="shared" si="48"/>
        <v/>
      </c>
      <c r="R173" s="43" t="str">
        <f t="shared" si="40"/>
        <v/>
      </c>
      <c r="S173" s="43" t="str">
        <f t="shared" si="41"/>
        <v/>
      </c>
      <c r="T173" s="45" t="str">
        <f t="shared" si="42"/>
        <v/>
      </c>
      <c r="V173" s="43" t="str">
        <f t="shared" si="43"/>
        <v/>
      </c>
      <c r="W173" s="43" t="str">
        <f t="shared" si="44"/>
        <v/>
      </c>
      <c r="X173" s="45" t="str">
        <f t="shared" si="45"/>
        <v/>
      </c>
      <c r="AD173" s="77"/>
      <c r="AE173" s="77"/>
      <c r="AF173" s="172"/>
      <c r="AG173" s="116"/>
      <c r="AH173" s="118"/>
      <c r="AI173" s="77"/>
      <c r="AJ173" s="172"/>
      <c r="AK173" s="116"/>
      <c r="AL173" s="79"/>
      <c r="AM173" s="77"/>
      <c r="AN173" s="172"/>
      <c r="AO173" s="116"/>
      <c r="AQ173" s="43">
        <f t="shared" si="49"/>
        <v>0</v>
      </c>
      <c r="AR173" s="43">
        <f t="shared" si="50"/>
        <v>0</v>
      </c>
      <c r="AS173" s="43">
        <f t="shared" si="51"/>
        <v>0</v>
      </c>
    </row>
    <row r="174" spans="2:45" ht="21" customHeight="1">
      <c r="B174" s="43">
        <v>170</v>
      </c>
      <c r="C174" s="44" t="str">
        <f>'Course 1'!C174</f>
        <v/>
      </c>
      <c r="D174" s="46" t="str">
        <f>IF(C174="","",HLOOKUP(C174,'Règles et points'!$D$5:$Y$7,3))</f>
        <v/>
      </c>
      <c r="E174" s="46" t="str">
        <f>IF(C174="","",HLOOKUP(C174,'Règles et points'!$D$5:$Y$7,2))</f>
        <v/>
      </c>
      <c r="F174" s="43" t="str">
        <f>IF('Course 1'!E174="","",'Course 1'!E174)</f>
        <v/>
      </c>
      <c r="G174" s="43" t="str">
        <f>IF('Course 1'!F174="","",'Course 1'!F174)</f>
        <v/>
      </c>
      <c r="H174" s="56">
        <f>'Course 1'!M174+'Course 2'!M174+'Course 3'!M174+'Course 4'!M174+'Course 4'!M174</f>
        <v>0</v>
      </c>
      <c r="J174" s="43" t="str">
        <f t="shared" si="37"/>
        <v/>
      </c>
      <c r="K174" s="43" t="str">
        <f t="shared" si="38"/>
        <v/>
      </c>
      <c r="L174" s="53" t="str">
        <f t="shared" si="39"/>
        <v/>
      </c>
      <c r="N174" s="43" t="str">
        <f t="shared" si="46"/>
        <v/>
      </c>
      <c r="O174" s="43" t="str">
        <f t="shared" si="47"/>
        <v/>
      </c>
      <c r="P174" s="53" t="str">
        <f t="shared" si="48"/>
        <v/>
      </c>
      <c r="R174" s="43" t="str">
        <f t="shared" si="40"/>
        <v/>
      </c>
      <c r="S174" s="43" t="str">
        <f t="shared" si="41"/>
        <v/>
      </c>
      <c r="T174" s="45" t="str">
        <f t="shared" si="42"/>
        <v/>
      </c>
      <c r="V174" s="43" t="str">
        <f t="shared" si="43"/>
        <v/>
      </c>
      <c r="W174" s="43" t="str">
        <f t="shared" si="44"/>
        <v/>
      </c>
      <c r="X174" s="45" t="str">
        <f t="shared" si="45"/>
        <v/>
      </c>
      <c r="AD174" s="77"/>
      <c r="AE174" s="77"/>
      <c r="AF174" s="172"/>
      <c r="AG174" s="116"/>
      <c r="AH174" s="118"/>
      <c r="AI174" s="77"/>
      <c r="AJ174" s="172"/>
      <c r="AK174" s="116"/>
      <c r="AL174" s="79"/>
      <c r="AM174" s="77"/>
      <c r="AN174" s="172"/>
      <c r="AO174" s="116"/>
      <c r="AQ174" s="43">
        <f t="shared" si="49"/>
        <v>0</v>
      </c>
      <c r="AR174" s="43">
        <f t="shared" si="50"/>
        <v>0</v>
      </c>
      <c r="AS174" s="43">
        <f t="shared" si="51"/>
        <v>0</v>
      </c>
    </row>
    <row r="175" spans="2:45" ht="21" customHeight="1">
      <c r="B175" s="43">
        <v>171</v>
      </c>
      <c r="C175" s="44" t="str">
        <f>'Course 1'!C175</f>
        <v/>
      </c>
      <c r="D175" s="46" t="str">
        <f>IF(C175="","",HLOOKUP(C175,'Règles et points'!$D$5:$Y$7,3))</f>
        <v/>
      </c>
      <c r="E175" s="46" t="str">
        <f>IF(C175="","",HLOOKUP(C175,'Règles et points'!$D$5:$Y$7,2))</f>
        <v/>
      </c>
      <c r="F175" s="43" t="str">
        <f>IF('Course 1'!E175="","",'Course 1'!E175)</f>
        <v/>
      </c>
      <c r="G175" s="43" t="str">
        <f>IF('Course 1'!F175="","",'Course 1'!F175)</f>
        <v/>
      </c>
      <c r="H175" s="56">
        <f>'Course 1'!M175+'Course 2'!M175+'Course 3'!M175+'Course 4'!M175+'Course 4'!M175</f>
        <v>0</v>
      </c>
      <c r="J175" s="43" t="str">
        <f t="shared" si="37"/>
        <v/>
      </c>
      <c r="K175" s="43" t="str">
        <f t="shared" si="38"/>
        <v/>
      </c>
      <c r="L175" s="53" t="str">
        <f t="shared" si="39"/>
        <v/>
      </c>
      <c r="N175" s="43" t="str">
        <f t="shared" si="46"/>
        <v/>
      </c>
      <c r="O175" s="43" t="str">
        <f t="shared" si="47"/>
        <v/>
      </c>
      <c r="P175" s="53" t="str">
        <f t="shared" si="48"/>
        <v/>
      </c>
      <c r="R175" s="43" t="str">
        <f t="shared" si="40"/>
        <v/>
      </c>
      <c r="S175" s="43" t="str">
        <f t="shared" si="41"/>
        <v/>
      </c>
      <c r="T175" s="45" t="str">
        <f t="shared" si="42"/>
        <v/>
      </c>
      <c r="V175" s="43" t="str">
        <f t="shared" si="43"/>
        <v/>
      </c>
      <c r="W175" s="43" t="str">
        <f t="shared" si="44"/>
        <v/>
      </c>
      <c r="X175" s="45" t="str">
        <f t="shared" si="45"/>
        <v/>
      </c>
      <c r="AD175" s="77"/>
      <c r="AE175" s="77"/>
      <c r="AF175" s="172"/>
      <c r="AG175" s="116"/>
      <c r="AH175" s="118"/>
      <c r="AI175" s="77"/>
      <c r="AJ175" s="172"/>
      <c r="AK175" s="116"/>
      <c r="AL175" s="79"/>
      <c r="AM175" s="77"/>
      <c r="AN175" s="172"/>
      <c r="AO175" s="116"/>
      <c r="AQ175" s="43">
        <f t="shared" si="49"/>
        <v>0</v>
      </c>
      <c r="AR175" s="43">
        <f t="shared" si="50"/>
        <v>0</v>
      </c>
      <c r="AS175" s="43">
        <f t="shared" si="51"/>
        <v>0</v>
      </c>
    </row>
    <row r="176" spans="2:45" ht="21" customHeight="1">
      <c r="B176" s="43">
        <v>172</v>
      </c>
      <c r="C176" s="44" t="str">
        <f>'Course 1'!C176</f>
        <v/>
      </c>
      <c r="D176" s="46" t="str">
        <f>IF(C176="","",HLOOKUP(C176,'Règles et points'!$D$5:$Y$7,3))</f>
        <v/>
      </c>
      <c r="E176" s="46" t="str">
        <f>IF(C176="","",HLOOKUP(C176,'Règles et points'!$D$5:$Y$7,2))</f>
        <v/>
      </c>
      <c r="F176" s="43" t="str">
        <f>IF('Course 1'!E176="","",'Course 1'!E176)</f>
        <v/>
      </c>
      <c r="G176" s="43" t="str">
        <f>IF('Course 1'!F176="","",'Course 1'!F176)</f>
        <v/>
      </c>
      <c r="H176" s="56">
        <f>'Course 1'!M176+'Course 2'!M176+'Course 3'!M176+'Course 4'!M176+'Course 4'!M176</f>
        <v>0</v>
      </c>
      <c r="J176" s="43" t="str">
        <f t="shared" si="37"/>
        <v/>
      </c>
      <c r="K176" s="43" t="str">
        <f t="shared" si="38"/>
        <v/>
      </c>
      <c r="L176" s="53" t="str">
        <f t="shared" si="39"/>
        <v/>
      </c>
      <c r="N176" s="43" t="str">
        <f t="shared" si="46"/>
        <v/>
      </c>
      <c r="O176" s="43" t="str">
        <f t="shared" si="47"/>
        <v/>
      </c>
      <c r="P176" s="53" t="str">
        <f t="shared" si="48"/>
        <v/>
      </c>
      <c r="R176" s="43" t="str">
        <f t="shared" si="40"/>
        <v/>
      </c>
      <c r="S176" s="43" t="str">
        <f t="shared" si="41"/>
        <v/>
      </c>
      <c r="T176" s="45" t="str">
        <f t="shared" si="42"/>
        <v/>
      </c>
      <c r="V176" s="43" t="str">
        <f t="shared" si="43"/>
        <v/>
      </c>
      <c r="W176" s="43" t="str">
        <f t="shared" si="44"/>
        <v/>
      </c>
      <c r="X176" s="45" t="str">
        <f t="shared" si="45"/>
        <v/>
      </c>
      <c r="AD176" s="77"/>
      <c r="AE176" s="77"/>
      <c r="AF176" s="172"/>
      <c r="AG176" s="116"/>
      <c r="AH176" s="118"/>
      <c r="AI176" s="77"/>
      <c r="AJ176" s="172"/>
      <c r="AK176" s="116"/>
      <c r="AL176" s="79"/>
      <c r="AM176" s="77"/>
      <c r="AN176" s="172"/>
      <c r="AO176" s="116"/>
      <c r="AQ176" s="43">
        <f t="shared" si="49"/>
        <v>0</v>
      </c>
      <c r="AR176" s="43">
        <f t="shared" si="50"/>
        <v>0</v>
      </c>
      <c r="AS176" s="43">
        <f t="shared" si="51"/>
        <v>0</v>
      </c>
    </row>
    <row r="177" spans="2:45" ht="21" customHeight="1">
      <c r="B177" s="43">
        <v>173</v>
      </c>
      <c r="C177" s="44" t="str">
        <f>'Course 1'!C177</f>
        <v/>
      </c>
      <c r="D177" s="46" t="str">
        <f>IF(C177="","",HLOOKUP(C177,'Règles et points'!$D$5:$Y$7,3))</f>
        <v/>
      </c>
      <c r="E177" s="46" t="str">
        <f>IF(C177="","",HLOOKUP(C177,'Règles et points'!$D$5:$Y$7,2))</f>
        <v/>
      </c>
      <c r="F177" s="43" t="str">
        <f>IF('Course 1'!E177="","",'Course 1'!E177)</f>
        <v/>
      </c>
      <c r="G177" s="43" t="str">
        <f>IF('Course 1'!F177="","",'Course 1'!F177)</f>
        <v/>
      </c>
      <c r="H177" s="56">
        <f>'Course 1'!M177+'Course 2'!M177+'Course 3'!M177+'Course 4'!M177+'Course 4'!M177</f>
        <v>0</v>
      </c>
      <c r="J177" s="43" t="str">
        <f t="shared" si="37"/>
        <v/>
      </c>
      <c r="K177" s="43" t="str">
        <f t="shared" si="38"/>
        <v/>
      </c>
      <c r="L177" s="53" t="str">
        <f t="shared" si="39"/>
        <v/>
      </c>
      <c r="N177" s="43" t="str">
        <f t="shared" si="46"/>
        <v/>
      </c>
      <c r="O177" s="43" t="str">
        <f t="shared" si="47"/>
        <v/>
      </c>
      <c r="P177" s="53" t="str">
        <f t="shared" si="48"/>
        <v/>
      </c>
      <c r="R177" s="43" t="str">
        <f t="shared" si="40"/>
        <v/>
      </c>
      <c r="S177" s="43" t="str">
        <f t="shared" si="41"/>
        <v/>
      </c>
      <c r="T177" s="45" t="str">
        <f t="shared" si="42"/>
        <v/>
      </c>
      <c r="V177" s="43" t="str">
        <f t="shared" si="43"/>
        <v/>
      </c>
      <c r="W177" s="43" t="str">
        <f t="shared" si="44"/>
        <v/>
      </c>
      <c r="X177" s="45" t="str">
        <f t="shared" si="45"/>
        <v/>
      </c>
      <c r="AD177" s="77"/>
      <c r="AE177" s="77"/>
      <c r="AF177" s="172"/>
      <c r="AG177" s="116"/>
      <c r="AH177" s="118"/>
      <c r="AI177" s="77"/>
      <c r="AJ177" s="172"/>
      <c r="AK177" s="116"/>
      <c r="AL177" s="79"/>
      <c r="AM177" s="77"/>
      <c r="AN177" s="172"/>
      <c r="AO177" s="116"/>
      <c r="AQ177" s="43">
        <f t="shared" si="49"/>
        <v>0</v>
      </c>
      <c r="AR177" s="43">
        <f t="shared" si="50"/>
        <v>0</v>
      </c>
      <c r="AS177" s="43">
        <f t="shared" si="51"/>
        <v>0</v>
      </c>
    </row>
    <row r="178" spans="2:45" ht="21" customHeight="1">
      <c r="B178" s="43">
        <v>174</v>
      </c>
      <c r="C178" s="44" t="str">
        <f>'Course 1'!C178</f>
        <v/>
      </c>
      <c r="D178" s="46" t="str">
        <f>IF(C178="","",HLOOKUP(C178,'Règles et points'!$D$5:$Y$7,3))</f>
        <v/>
      </c>
      <c r="E178" s="46" t="str">
        <f>IF(C178="","",HLOOKUP(C178,'Règles et points'!$D$5:$Y$7,2))</f>
        <v/>
      </c>
      <c r="F178" s="43" t="str">
        <f>IF('Course 1'!E178="","",'Course 1'!E178)</f>
        <v/>
      </c>
      <c r="G178" s="43" t="str">
        <f>IF('Course 1'!F178="","",'Course 1'!F178)</f>
        <v/>
      </c>
      <c r="H178" s="56">
        <f>'Course 1'!M178+'Course 2'!M178+'Course 3'!M178+'Course 4'!M178+'Course 4'!M178</f>
        <v>0</v>
      </c>
      <c r="J178" s="43" t="str">
        <f t="shared" si="37"/>
        <v/>
      </c>
      <c r="K178" s="43" t="str">
        <f t="shared" si="38"/>
        <v/>
      </c>
      <c r="L178" s="53" t="str">
        <f t="shared" si="39"/>
        <v/>
      </c>
      <c r="N178" s="43" t="str">
        <f t="shared" si="46"/>
        <v/>
      </c>
      <c r="O178" s="43" t="str">
        <f t="shared" si="47"/>
        <v/>
      </c>
      <c r="P178" s="53" t="str">
        <f t="shared" si="48"/>
        <v/>
      </c>
      <c r="R178" s="43" t="str">
        <f t="shared" si="40"/>
        <v/>
      </c>
      <c r="S178" s="43" t="str">
        <f t="shared" si="41"/>
        <v/>
      </c>
      <c r="T178" s="45" t="str">
        <f t="shared" si="42"/>
        <v/>
      </c>
      <c r="V178" s="43" t="str">
        <f t="shared" si="43"/>
        <v/>
      </c>
      <c r="W178" s="43" t="str">
        <f t="shared" si="44"/>
        <v/>
      </c>
      <c r="X178" s="45" t="str">
        <f t="shared" si="45"/>
        <v/>
      </c>
      <c r="AD178" s="77"/>
      <c r="AE178" s="77"/>
      <c r="AF178" s="172"/>
      <c r="AG178" s="116"/>
      <c r="AH178" s="118"/>
      <c r="AI178" s="77"/>
      <c r="AJ178" s="172"/>
      <c r="AK178" s="116"/>
      <c r="AL178" s="79"/>
      <c r="AM178" s="77"/>
      <c r="AN178" s="172"/>
      <c r="AO178" s="116"/>
      <c r="AQ178" s="43">
        <f t="shared" si="49"/>
        <v>0</v>
      </c>
      <c r="AR178" s="43">
        <f t="shared" si="50"/>
        <v>0</v>
      </c>
      <c r="AS178" s="43">
        <f t="shared" si="51"/>
        <v>0</v>
      </c>
    </row>
    <row r="179" spans="2:45" ht="21" customHeight="1">
      <c r="B179" s="43">
        <v>175</v>
      </c>
      <c r="C179" s="44" t="str">
        <f>'Course 1'!C179</f>
        <v/>
      </c>
      <c r="D179" s="46" t="str">
        <f>IF(C179="","",HLOOKUP(C179,'Règles et points'!$D$5:$Y$7,3))</f>
        <v/>
      </c>
      <c r="E179" s="46" t="str">
        <f>IF(C179="","",HLOOKUP(C179,'Règles et points'!$D$5:$Y$7,2))</f>
        <v/>
      </c>
      <c r="F179" s="43" t="str">
        <f>IF('Course 1'!E179="","",'Course 1'!E179)</f>
        <v/>
      </c>
      <c r="G179" s="43" t="str">
        <f>IF('Course 1'!F179="","",'Course 1'!F179)</f>
        <v/>
      </c>
      <c r="H179" s="56">
        <f>'Course 1'!M179+'Course 2'!M179+'Course 3'!M179+'Course 4'!M179+'Course 4'!M179</f>
        <v>0</v>
      </c>
      <c r="J179" s="43" t="str">
        <f t="shared" si="37"/>
        <v/>
      </c>
      <c r="K179" s="43" t="str">
        <f t="shared" si="38"/>
        <v/>
      </c>
      <c r="L179" s="53" t="str">
        <f t="shared" si="39"/>
        <v/>
      </c>
      <c r="N179" s="43" t="str">
        <f t="shared" si="46"/>
        <v/>
      </c>
      <c r="O179" s="43" t="str">
        <f t="shared" si="47"/>
        <v/>
      </c>
      <c r="P179" s="53" t="str">
        <f t="shared" si="48"/>
        <v/>
      </c>
      <c r="R179" s="43" t="str">
        <f t="shared" si="40"/>
        <v/>
      </c>
      <c r="S179" s="43" t="str">
        <f t="shared" si="41"/>
        <v/>
      </c>
      <c r="T179" s="45" t="str">
        <f t="shared" si="42"/>
        <v/>
      </c>
      <c r="V179" s="43" t="str">
        <f t="shared" si="43"/>
        <v/>
      </c>
      <c r="W179" s="43" t="str">
        <f t="shared" si="44"/>
        <v/>
      </c>
      <c r="X179" s="45" t="str">
        <f t="shared" si="45"/>
        <v/>
      </c>
      <c r="AD179" s="77"/>
      <c r="AE179" s="77"/>
      <c r="AF179" s="172"/>
      <c r="AG179" s="116"/>
      <c r="AH179" s="118"/>
      <c r="AI179" s="77"/>
      <c r="AJ179" s="172"/>
      <c r="AK179" s="116"/>
      <c r="AL179" s="79"/>
      <c r="AM179" s="77"/>
      <c r="AN179" s="172"/>
      <c r="AO179" s="116"/>
      <c r="AQ179" s="43">
        <f t="shared" si="49"/>
        <v>0</v>
      </c>
      <c r="AR179" s="43">
        <f t="shared" si="50"/>
        <v>0</v>
      </c>
      <c r="AS179" s="43">
        <f t="shared" si="51"/>
        <v>0</v>
      </c>
    </row>
    <row r="180" spans="2:45" ht="21" customHeight="1">
      <c r="B180" s="43">
        <v>176</v>
      </c>
      <c r="C180" s="44" t="str">
        <f>'Course 1'!C180</f>
        <v/>
      </c>
      <c r="D180" s="46" t="str">
        <f>IF(C180="","",HLOOKUP(C180,'Règles et points'!$D$5:$Y$7,3))</f>
        <v/>
      </c>
      <c r="E180" s="46" t="str">
        <f>IF(C180="","",HLOOKUP(C180,'Règles et points'!$D$5:$Y$7,2))</f>
        <v/>
      </c>
      <c r="F180" s="43" t="str">
        <f>IF('Course 1'!E180="","",'Course 1'!E180)</f>
        <v/>
      </c>
      <c r="G180" s="43" t="str">
        <f>IF('Course 1'!F180="","",'Course 1'!F180)</f>
        <v/>
      </c>
      <c r="H180" s="56">
        <f>'Course 1'!M180+'Course 2'!M180+'Course 3'!M180+'Course 4'!M180+'Course 4'!M180</f>
        <v>0</v>
      </c>
      <c r="J180" s="43" t="str">
        <f t="shared" si="37"/>
        <v/>
      </c>
      <c r="K180" s="43" t="str">
        <f t="shared" si="38"/>
        <v/>
      </c>
      <c r="L180" s="53" t="str">
        <f t="shared" si="39"/>
        <v/>
      </c>
      <c r="N180" s="43" t="str">
        <f t="shared" si="46"/>
        <v/>
      </c>
      <c r="O180" s="43" t="str">
        <f t="shared" si="47"/>
        <v/>
      </c>
      <c r="P180" s="53" t="str">
        <f t="shared" si="48"/>
        <v/>
      </c>
      <c r="R180" s="43" t="str">
        <f t="shared" si="40"/>
        <v/>
      </c>
      <c r="S180" s="43" t="str">
        <f t="shared" si="41"/>
        <v/>
      </c>
      <c r="T180" s="45" t="str">
        <f t="shared" si="42"/>
        <v/>
      </c>
      <c r="V180" s="43" t="str">
        <f t="shared" si="43"/>
        <v/>
      </c>
      <c r="W180" s="43" t="str">
        <f t="shared" si="44"/>
        <v/>
      </c>
      <c r="X180" s="45" t="str">
        <f t="shared" si="45"/>
        <v/>
      </c>
      <c r="AD180" s="77"/>
      <c r="AE180" s="77"/>
      <c r="AF180" s="172"/>
      <c r="AG180" s="116"/>
      <c r="AH180" s="118"/>
      <c r="AI180" s="77"/>
      <c r="AJ180" s="172"/>
      <c r="AK180" s="116"/>
      <c r="AL180" s="79"/>
      <c r="AM180" s="77"/>
      <c r="AN180" s="172"/>
      <c r="AO180" s="116"/>
      <c r="AQ180" s="43">
        <f t="shared" si="49"/>
        <v>0</v>
      </c>
      <c r="AR180" s="43">
        <f t="shared" si="50"/>
        <v>0</v>
      </c>
      <c r="AS180" s="43">
        <f t="shared" si="51"/>
        <v>0</v>
      </c>
    </row>
    <row r="181" spans="2:45" ht="21" customHeight="1">
      <c r="B181" s="43">
        <v>177</v>
      </c>
      <c r="C181" s="44" t="str">
        <f>'Course 1'!C181</f>
        <v/>
      </c>
      <c r="D181" s="46" t="str">
        <f>IF(C181="","",HLOOKUP(C181,'Règles et points'!$D$5:$Y$7,3))</f>
        <v/>
      </c>
      <c r="E181" s="46" t="str">
        <f>IF(C181="","",HLOOKUP(C181,'Règles et points'!$D$5:$Y$7,2))</f>
        <v/>
      </c>
      <c r="F181" s="43" t="str">
        <f>IF('Course 1'!E181="","",'Course 1'!E181)</f>
        <v/>
      </c>
      <c r="G181" s="43" t="str">
        <f>IF('Course 1'!F181="","",'Course 1'!F181)</f>
        <v/>
      </c>
      <c r="H181" s="56">
        <f>'Course 1'!M181+'Course 2'!M181+'Course 3'!M181+'Course 4'!M181+'Course 4'!M181</f>
        <v>0</v>
      </c>
      <c r="J181" s="43" t="str">
        <f t="shared" si="37"/>
        <v/>
      </c>
      <c r="K181" s="43" t="str">
        <f t="shared" si="38"/>
        <v/>
      </c>
      <c r="L181" s="53" t="str">
        <f t="shared" si="39"/>
        <v/>
      </c>
      <c r="N181" s="43" t="str">
        <f t="shared" si="46"/>
        <v/>
      </c>
      <c r="O181" s="43" t="str">
        <f t="shared" si="47"/>
        <v/>
      </c>
      <c r="P181" s="53" t="str">
        <f t="shared" si="48"/>
        <v/>
      </c>
      <c r="R181" s="43" t="str">
        <f t="shared" si="40"/>
        <v/>
      </c>
      <c r="S181" s="43" t="str">
        <f t="shared" si="41"/>
        <v/>
      </c>
      <c r="T181" s="45" t="str">
        <f t="shared" si="42"/>
        <v/>
      </c>
      <c r="V181" s="43" t="str">
        <f t="shared" si="43"/>
        <v/>
      </c>
      <c r="W181" s="43" t="str">
        <f t="shared" si="44"/>
        <v/>
      </c>
      <c r="X181" s="45" t="str">
        <f t="shared" si="45"/>
        <v/>
      </c>
      <c r="AD181" s="77"/>
      <c r="AE181" s="77"/>
      <c r="AF181" s="172"/>
      <c r="AG181" s="116"/>
      <c r="AH181" s="118"/>
      <c r="AI181" s="77"/>
      <c r="AJ181" s="172"/>
      <c r="AK181" s="116"/>
      <c r="AL181" s="79"/>
      <c r="AM181" s="77"/>
      <c r="AN181" s="172"/>
      <c r="AO181" s="116"/>
      <c r="AQ181" s="43">
        <f t="shared" si="49"/>
        <v>0</v>
      </c>
      <c r="AR181" s="43">
        <f t="shared" si="50"/>
        <v>0</v>
      </c>
      <c r="AS181" s="43">
        <f t="shared" si="51"/>
        <v>0</v>
      </c>
    </row>
    <row r="182" spans="2:45" ht="21" customHeight="1">
      <c r="B182" s="43">
        <v>178</v>
      </c>
      <c r="C182" s="44" t="str">
        <f>'Course 1'!C182</f>
        <v/>
      </c>
      <c r="D182" s="46" t="str">
        <f>IF(C182="","",HLOOKUP(C182,'Règles et points'!$D$5:$Y$7,3))</f>
        <v/>
      </c>
      <c r="E182" s="46" t="str">
        <f>IF(C182="","",HLOOKUP(C182,'Règles et points'!$D$5:$Y$7,2))</f>
        <v/>
      </c>
      <c r="F182" s="43" t="str">
        <f>IF('Course 1'!E182="","",'Course 1'!E182)</f>
        <v/>
      </c>
      <c r="G182" s="43" t="str">
        <f>IF('Course 1'!F182="","",'Course 1'!F182)</f>
        <v/>
      </c>
      <c r="H182" s="56">
        <f>'Course 1'!M182+'Course 2'!M182+'Course 3'!M182+'Course 4'!M182+'Course 4'!M182</f>
        <v>0</v>
      </c>
      <c r="J182" s="43" t="str">
        <f t="shared" si="37"/>
        <v/>
      </c>
      <c r="K182" s="43" t="str">
        <f t="shared" si="38"/>
        <v/>
      </c>
      <c r="L182" s="53" t="str">
        <f t="shared" si="39"/>
        <v/>
      </c>
      <c r="N182" s="43" t="str">
        <f t="shared" si="46"/>
        <v/>
      </c>
      <c r="O182" s="43" t="str">
        <f t="shared" si="47"/>
        <v/>
      </c>
      <c r="P182" s="53" t="str">
        <f t="shared" si="48"/>
        <v/>
      </c>
      <c r="R182" s="43" t="str">
        <f t="shared" si="40"/>
        <v/>
      </c>
      <c r="S182" s="43" t="str">
        <f t="shared" si="41"/>
        <v/>
      </c>
      <c r="T182" s="45" t="str">
        <f t="shared" si="42"/>
        <v/>
      </c>
      <c r="V182" s="43" t="str">
        <f t="shared" si="43"/>
        <v/>
      </c>
      <c r="W182" s="43" t="str">
        <f t="shared" si="44"/>
        <v/>
      </c>
      <c r="X182" s="45" t="str">
        <f t="shared" si="45"/>
        <v/>
      </c>
      <c r="AD182" s="77"/>
      <c r="AE182" s="77"/>
      <c r="AF182" s="172"/>
      <c r="AG182" s="116"/>
      <c r="AH182" s="118"/>
      <c r="AI182" s="77"/>
      <c r="AJ182" s="172"/>
      <c r="AK182" s="116"/>
      <c r="AL182" s="79"/>
      <c r="AM182" s="77"/>
      <c r="AN182" s="172"/>
      <c r="AO182" s="116"/>
      <c r="AQ182" s="43">
        <f t="shared" si="49"/>
        <v>0</v>
      </c>
      <c r="AR182" s="43">
        <f t="shared" si="50"/>
        <v>0</v>
      </c>
      <c r="AS182" s="43">
        <f t="shared" si="51"/>
        <v>0</v>
      </c>
    </row>
    <row r="183" spans="2:45" ht="21" customHeight="1">
      <c r="B183" s="43">
        <v>179</v>
      </c>
      <c r="C183" s="44" t="str">
        <f>'Course 1'!C183</f>
        <v/>
      </c>
      <c r="D183" s="46" t="str">
        <f>IF(C183="","",HLOOKUP(C183,'Règles et points'!$D$5:$Y$7,3))</f>
        <v/>
      </c>
      <c r="E183" s="46" t="str">
        <f>IF(C183="","",HLOOKUP(C183,'Règles et points'!$D$5:$Y$7,2))</f>
        <v/>
      </c>
      <c r="F183" s="43" t="str">
        <f>IF('Course 1'!E183="","",'Course 1'!E183)</f>
        <v/>
      </c>
      <c r="G183" s="43" t="str">
        <f>IF('Course 1'!F183="","",'Course 1'!F183)</f>
        <v/>
      </c>
      <c r="H183" s="56">
        <f>'Course 1'!M183+'Course 2'!M183+'Course 3'!M183+'Course 4'!M183+'Course 4'!M183</f>
        <v>0</v>
      </c>
      <c r="J183" s="43" t="str">
        <f t="shared" si="37"/>
        <v/>
      </c>
      <c r="K183" s="43" t="str">
        <f t="shared" si="38"/>
        <v/>
      </c>
      <c r="L183" s="53" t="str">
        <f t="shared" si="39"/>
        <v/>
      </c>
      <c r="N183" s="43" t="str">
        <f t="shared" si="46"/>
        <v/>
      </c>
      <c r="O183" s="43" t="str">
        <f t="shared" si="47"/>
        <v/>
      </c>
      <c r="P183" s="53" t="str">
        <f t="shared" si="48"/>
        <v/>
      </c>
      <c r="R183" s="43" t="str">
        <f t="shared" si="40"/>
        <v/>
      </c>
      <c r="S183" s="43" t="str">
        <f t="shared" si="41"/>
        <v/>
      </c>
      <c r="T183" s="45" t="str">
        <f t="shared" si="42"/>
        <v/>
      </c>
      <c r="V183" s="43" t="str">
        <f t="shared" si="43"/>
        <v/>
      </c>
      <c r="W183" s="43" t="str">
        <f t="shared" si="44"/>
        <v/>
      </c>
      <c r="X183" s="45" t="str">
        <f t="shared" si="45"/>
        <v/>
      </c>
      <c r="AD183" s="77"/>
      <c r="AE183" s="77"/>
      <c r="AF183" s="172"/>
      <c r="AG183" s="116"/>
      <c r="AH183" s="118"/>
      <c r="AI183" s="77"/>
      <c r="AJ183" s="172"/>
      <c r="AK183" s="116"/>
      <c r="AL183" s="79"/>
      <c r="AM183" s="77"/>
      <c r="AN183" s="172"/>
      <c r="AO183" s="116"/>
      <c r="AQ183" s="43">
        <f t="shared" si="49"/>
        <v>0</v>
      </c>
      <c r="AR183" s="43">
        <f t="shared" si="50"/>
        <v>0</v>
      </c>
      <c r="AS183" s="43">
        <f t="shared" si="51"/>
        <v>0</v>
      </c>
    </row>
    <row r="184" spans="2:45" ht="21" customHeight="1">
      <c r="B184" s="43">
        <v>180</v>
      </c>
      <c r="C184" s="44" t="str">
        <f>'Course 1'!C184</f>
        <v/>
      </c>
      <c r="D184" s="46" t="str">
        <f>IF(C184="","",HLOOKUP(C184,'Règles et points'!$D$5:$Y$7,3))</f>
        <v/>
      </c>
      <c r="E184" s="46" t="str">
        <f>IF(C184="","",HLOOKUP(C184,'Règles et points'!$D$5:$Y$7,2))</f>
        <v/>
      </c>
      <c r="F184" s="43" t="str">
        <f>IF('Course 1'!E184="","",'Course 1'!E184)</f>
        <v/>
      </c>
      <c r="G184" s="43" t="str">
        <f>IF('Course 1'!F184="","",'Course 1'!F184)</f>
        <v/>
      </c>
      <c r="H184" s="56">
        <f>'Course 1'!M184+'Course 2'!M184+'Course 3'!M184+'Course 4'!M184+'Course 4'!M184</f>
        <v>0</v>
      </c>
      <c r="J184" s="43" t="str">
        <f t="shared" si="37"/>
        <v/>
      </c>
      <c r="K184" s="43" t="str">
        <f t="shared" si="38"/>
        <v/>
      </c>
      <c r="L184" s="53" t="str">
        <f t="shared" si="39"/>
        <v/>
      </c>
      <c r="N184" s="43" t="str">
        <f t="shared" si="46"/>
        <v/>
      </c>
      <c r="O184" s="43" t="str">
        <f t="shared" si="47"/>
        <v/>
      </c>
      <c r="P184" s="53" t="str">
        <f t="shared" si="48"/>
        <v/>
      </c>
      <c r="R184" s="43" t="str">
        <f t="shared" si="40"/>
        <v/>
      </c>
      <c r="S184" s="43" t="str">
        <f t="shared" si="41"/>
        <v/>
      </c>
      <c r="T184" s="45" t="str">
        <f t="shared" si="42"/>
        <v/>
      </c>
      <c r="V184" s="43" t="str">
        <f t="shared" si="43"/>
        <v/>
      </c>
      <c r="W184" s="43" t="str">
        <f t="shared" si="44"/>
        <v/>
      </c>
      <c r="X184" s="45" t="str">
        <f t="shared" si="45"/>
        <v/>
      </c>
      <c r="AD184" s="77"/>
      <c r="AE184" s="77"/>
      <c r="AF184" s="172"/>
      <c r="AG184" s="116"/>
      <c r="AH184" s="118"/>
      <c r="AI184" s="77"/>
      <c r="AJ184" s="172"/>
      <c r="AK184" s="116"/>
      <c r="AL184" s="79"/>
      <c r="AM184" s="77"/>
      <c r="AN184" s="172"/>
      <c r="AO184" s="116"/>
      <c r="AQ184" s="43">
        <f t="shared" si="49"/>
        <v>0</v>
      </c>
      <c r="AR184" s="43">
        <f t="shared" si="50"/>
        <v>0</v>
      </c>
      <c r="AS184" s="43">
        <f t="shared" si="51"/>
        <v>0</v>
      </c>
    </row>
    <row r="185" spans="2:45" ht="21" customHeight="1">
      <c r="B185" s="43">
        <v>181</v>
      </c>
      <c r="C185" s="44" t="str">
        <f>'Course 1'!C185</f>
        <v/>
      </c>
      <c r="D185" s="46" t="str">
        <f>IF(C185="","",HLOOKUP(C185,'Règles et points'!$D$5:$Y$7,3))</f>
        <v/>
      </c>
      <c r="E185" s="46" t="str">
        <f>IF(C185="","",HLOOKUP(C185,'Règles et points'!$D$5:$Y$7,2))</f>
        <v/>
      </c>
      <c r="F185" s="43" t="str">
        <f>IF('Course 1'!E185="","",'Course 1'!E185)</f>
        <v/>
      </c>
      <c r="G185" s="43" t="str">
        <f>IF('Course 1'!F185="","",'Course 1'!F185)</f>
        <v/>
      </c>
      <c r="H185" s="56">
        <f>'Course 1'!M185+'Course 2'!M185+'Course 3'!M185+'Course 4'!M185+'Course 4'!M185</f>
        <v>0</v>
      </c>
      <c r="J185" s="43" t="str">
        <f t="shared" si="37"/>
        <v/>
      </c>
      <c r="K185" s="43" t="str">
        <f t="shared" si="38"/>
        <v/>
      </c>
      <c r="L185" s="53" t="str">
        <f t="shared" si="39"/>
        <v/>
      </c>
      <c r="N185" s="43" t="str">
        <f t="shared" si="46"/>
        <v/>
      </c>
      <c r="O185" s="43" t="str">
        <f t="shared" si="47"/>
        <v/>
      </c>
      <c r="P185" s="53" t="str">
        <f t="shared" si="48"/>
        <v/>
      </c>
      <c r="R185" s="43" t="str">
        <f t="shared" si="40"/>
        <v/>
      </c>
      <c r="S185" s="43" t="str">
        <f t="shared" si="41"/>
        <v/>
      </c>
      <c r="T185" s="45" t="str">
        <f t="shared" si="42"/>
        <v/>
      </c>
      <c r="V185" s="43" t="str">
        <f t="shared" si="43"/>
        <v/>
      </c>
      <c r="W185" s="43" t="str">
        <f t="shared" si="44"/>
        <v/>
      </c>
      <c r="X185" s="45" t="str">
        <f t="shared" si="45"/>
        <v/>
      </c>
      <c r="AD185" s="77"/>
      <c r="AE185" s="77"/>
      <c r="AF185" s="172"/>
      <c r="AG185" s="116"/>
      <c r="AH185" s="118"/>
      <c r="AI185" s="77"/>
      <c r="AJ185" s="172"/>
      <c r="AK185" s="116"/>
      <c r="AL185" s="79"/>
      <c r="AM185" s="77"/>
      <c r="AN185" s="172"/>
      <c r="AO185" s="116"/>
      <c r="AQ185" s="43">
        <f t="shared" si="49"/>
        <v>0</v>
      </c>
      <c r="AR185" s="43">
        <f t="shared" si="50"/>
        <v>0</v>
      </c>
      <c r="AS185" s="43">
        <f t="shared" si="51"/>
        <v>0</v>
      </c>
    </row>
    <row r="186" spans="2:45" ht="21" customHeight="1">
      <c r="B186" s="43">
        <v>182</v>
      </c>
      <c r="C186" s="44" t="str">
        <f>'Course 1'!C186</f>
        <v/>
      </c>
      <c r="D186" s="46" t="str">
        <f>IF(C186="","",HLOOKUP(C186,'Règles et points'!$D$5:$Y$7,3))</f>
        <v/>
      </c>
      <c r="E186" s="46" t="str">
        <f>IF(C186="","",HLOOKUP(C186,'Règles et points'!$D$5:$Y$7,2))</f>
        <v/>
      </c>
      <c r="F186" s="43" t="str">
        <f>IF('Course 1'!E186="","",'Course 1'!E186)</f>
        <v/>
      </c>
      <c r="G186" s="43" t="str">
        <f>IF('Course 1'!F186="","",'Course 1'!F186)</f>
        <v/>
      </c>
      <c r="H186" s="56">
        <f>'Course 1'!M186+'Course 2'!M186+'Course 3'!M186+'Course 4'!M186+'Course 4'!M186</f>
        <v>0</v>
      </c>
      <c r="J186" s="43" t="str">
        <f t="shared" si="37"/>
        <v/>
      </c>
      <c r="K186" s="43" t="str">
        <f t="shared" si="38"/>
        <v/>
      </c>
      <c r="L186" s="53" t="str">
        <f t="shared" si="39"/>
        <v/>
      </c>
      <c r="N186" s="43" t="str">
        <f t="shared" si="46"/>
        <v/>
      </c>
      <c r="O186" s="43" t="str">
        <f t="shared" si="47"/>
        <v/>
      </c>
      <c r="P186" s="53" t="str">
        <f t="shared" si="48"/>
        <v/>
      </c>
      <c r="R186" s="43" t="str">
        <f t="shared" si="40"/>
        <v/>
      </c>
      <c r="S186" s="43" t="str">
        <f t="shared" si="41"/>
        <v/>
      </c>
      <c r="T186" s="45" t="str">
        <f t="shared" si="42"/>
        <v/>
      </c>
      <c r="V186" s="43" t="str">
        <f t="shared" si="43"/>
        <v/>
      </c>
      <c r="W186" s="43" t="str">
        <f t="shared" si="44"/>
        <v/>
      </c>
      <c r="X186" s="45" t="str">
        <f t="shared" si="45"/>
        <v/>
      </c>
      <c r="AD186" s="77"/>
      <c r="AE186" s="77"/>
      <c r="AF186" s="172"/>
      <c r="AG186" s="116"/>
      <c r="AH186" s="118"/>
      <c r="AI186" s="77"/>
      <c r="AJ186" s="172"/>
      <c r="AK186" s="116"/>
      <c r="AL186" s="79"/>
      <c r="AM186" s="77"/>
      <c r="AN186" s="172"/>
      <c r="AO186" s="116"/>
      <c r="AQ186" s="43">
        <f t="shared" si="49"/>
        <v>0</v>
      </c>
      <c r="AR186" s="43">
        <f t="shared" si="50"/>
        <v>0</v>
      </c>
      <c r="AS186" s="43">
        <f t="shared" si="51"/>
        <v>0</v>
      </c>
    </row>
    <row r="187" spans="2:45" ht="21" customHeight="1">
      <c r="B187" s="43">
        <v>183</v>
      </c>
      <c r="C187" s="44" t="str">
        <f>'Course 1'!C187</f>
        <v/>
      </c>
      <c r="D187" s="46" t="str">
        <f>IF(C187="","",HLOOKUP(C187,'Règles et points'!$D$5:$Y$7,3))</f>
        <v/>
      </c>
      <c r="E187" s="46" t="str">
        <f>IF(C187="","",HLOOKUP(C187,'Règles et points'!$D$5:$Y$7,2))</f>
        <v/>
      </c>
      <c r="F187" s="43" t="str">
        <f>IF('Course 1'!E187="","",'Course 1'!E187)</f>
        <v/>
      </c>
      <c r="G187" s="43" t="str">
        <f>IF('Course 1'!F187="","",'Course 1'!F187)</f>
        <v/>
      </c>
      <c r="H187" s="56">
        <f>'Course 1'!M187+'Course 2'!M187+'Course 3'!M187+'Course 4'!M187+'Course 4'!M187</f>
        <v>0</v>
      </c>
      <c r="J187" s="43" t="str">
        <f t="shared" si="37"/>
        <v/>
      </c>
      <c r="K187" s="43" t="str">
        <f t="shared" si="38"/>
        <v/>
      </c>
      <c r="L187" s="53" t="str">
        <f t="shared" si="39"/>
        <v/>
      </c>
      <c r="N187" s="43" t="str">
        <f t="shared" si="46"/>
        <v/>
      </c>
      <c r="O187" s="43" t="str">
        <f t="shared" si="47"/>
        <v/>
      </c>
      <c r="P187" s="53" t="str">
        <f t="shared" si="48"/>
        <v/>
      </c>
      <c r="R187" s="43" t="str">
        <f t="shared" si="40"/>
        <v/>
      </c>
      <c r="S187" s="43" t="str">
        <f t="shared" si="41"/>
        <v/>
      </c>
      <c r="T187" s="45" t="str">
        <f t="shared" si="42"/>
        <v/>
      </c>
      <c r="V187" s="43" t="str">
        <f t="shared" si="43"/>
        <v/>
      </c>
      <c r="W187" s="43" t="str">
        <f t="shared" si="44"/>
        <v/>
      </c>
      <c r="X187" s="45" t="str">
        <f t="shared" si="45"/>
        <v/>
      </c>
      <c r="AD187" s="77"/>
      <c r="AE187" s="77"/>
      <c r="AF187" s="172"/>
      <c r="AG187" s="116"/>
      <c r="AH187" s="118"/>
      <c r="AI187" s="77"/>
      <c r="AJ187" s="172"/>
      <c r="AK187" s="116"/>
      <c r="AL187" s="79"/>
      <c r="AM187" s="77"/>
      <c r="AN187" s="172"/>
      <c r="AO187" s="116"/>
      <c r="AQ187" s="43">
        <f t="shared" si="49"/>
        <v>0</v>
      </c>
      <c r="AR187" s="43">
        <f t="shared" si="50"/>
        <v>0</v>
      </c>
      <c r="AS187" s="43">
        <f t="shared" si="51"/>
        <v>0</v>
      </c>
    </row>
    <row r="188" spans="2:45" ht="21" customHeight="1">
      <c r="B188" s="43">
        <v>184</v>
      </c>
      <c r="C188" s="44" t="str">
        <f>'Course 1'!C188</f>
        <v/>
      </c>
      <c r="D188" s="46" t="str">
        <f>IF(C188="","",HLOOKUP(C188,'Règles et points'!$D$5:$Y$7,3))</f>
        <v/>
      </c>
      <c r="E188" s="46" t="str">
        <f>IF(C188="","",HLOOKUP(C188,'Règles et points'!$D$5:$Y$7,2))</f>
        <v/>
      </c>
      <c r="F188" s="43" t="str">
        <f>IF('Course 1'!E188="","",'Course 1'!E188)</f>
        <v/>
      </c>
      <c r="G188" s="43" t="str">
        <f>IF('Course 1'!F188="","",'Course 1'!F188)</f>
        <v/>
      </c>
      <c r="H188" s="56">
        <f>'Course 1'!M188+'Course 2'!M188+'Course 3'!M188+'Course 4'!M188+'Course 4'!M188</f>
        <v>0</v>
      </c>
      <c r="J188" s="43" t="str">
        <f t="shared" si="37"/>
        <v/>
      </c>
      <c r="K188" s="43" t="str">
        <f t="shared" si="38"/>
        <v/>
      </c>
      <c r="L188" s="53" t="str">
        <f t="shared" si="39"/>
        <v/>
      </c>
      <c r="N188" s="43" t="str">
        <f t="shared" si="46"/>
        <v/>
      </c>
      <c r="O188" s="43" t="str">
        <f t="shared" si="47"/>
        <v/>
      </c>
      <c r="P188" s="53" t="str">
        <f t="shared" si="48"/>
        <v/>
      </c>
      <c r="R188" s="43" t="str">
        <f t="shared" si="40"/>
        <v/>
      </c>
      <c r="S188" s="43" t="str">
        <f t="shared" si="41"/>
        <v/>
      </c>
      <c r="T188" s="45" t="str">
        <f t="shared" si="42"/>
        <v/>
      </c>
      <c r="V188" s="43" t="str">
        <f t="shared" si="43"/>
        <v/>
      </c>
      <c r="W188" s="43" t="str">
        <f t="shared" si="44"/>
        <v/>
      </c>
      <c r="X188" s="45" t="str">
        <f t="shared" si="45"/>
        <v/>
      </c>
      <c r="AD188" s="77"/>
      <c r="AE188" s="77"/>
      <c r="AF188" s="172"/>
      <c r="AG188" s="116"/>
      <c r="AH188" s="118"/>
      <c r="AI188" s="77"/>
      <c r="AJ188" s="172"/>
      <c r="AK188" s="116"/>
      <c r="AL188" s="79"/>
      <c r="AM188" s="77"/>
      <c r="AN188" s="172"/>
      <c r="AO188" s="116"/>
      <c r="AQ188" s="43">
        <f t="shared" si="49"/>
        <v>0</v>
      </c>
      <c r="AR188" s="43">
        <f t="shared" si="50"/>
        <v>0</v>
      </c>
      <c r="AS188" s="43">
        <f t="shared" si="51"/>
        <v>0</v>
      </c>
    </row>
    <row r="189" spans="2:45" ht="21" customHeight="1">
      <c r="B189" s="43">
        <v>185</v>
      </c>
      <c r="C189" s="44" t="str">
        <f>'Course 1'!C189</f>
        <v/>
      </c>
      <c r="D189" s="46" t="str">
        <f>IF(C189="","",HLOOKUP(C189,'Règles et points'!$D$5:$Y$7,3))</f>
        <v/>
      </c>
      <c r="E189" s="46" t="str">
        <f>IF(C189="","",HLOOKUP(C189,'Règles et points'!$D$5:$Y$7,2))</f>
        <v/>
      </c>
      <c r="F189" s="43" t="str">
        <f>IF('Course 1'!E189="","",'Course 1'!E189)</f>
        <v/>
      </c>
      <c r="G189" s="43" t="str">
        <f>IF('Course 1'!F189="","",'Course 1'!F189)</f>
        <v/>
      </c>
      <c r="H189" s="56">
        <f>'Course 1'!M189+'Course 2'!M189+'Course 3'!M189+'Course 4'!M189+'Course 4'!M189</f>
        <v>0</v>
      </c>
      <c r="J189" s="43" t="str">
        <f t="shared" si="37"/>
        <v/>
      </c>
      <c r="K189" s="43" t="str">
        <f t="shared" si="38"/>
        <v/>
      </c>
      <c r="L189" s="53" t="str">
        <f t="shared" si="39"/>
        <v/>
      </c>
      <c r="N189" s="43" t="str">
        <f t="shared" si="46"/>
        <v/>
      </c>
      <c r="O189" s="43" t="str">
        <f t="shared" si="47"/>
        <v/>
      </c>
      <c r="P189" s="53" t="str">
        <f t="shared" si="48"/>
        <v/>
      </c>
      <c r="R189" s="43" t="str">
        <f t="shared" si="40"/>
        <v/>
      </c>
      <c r="S189" s="43" t="str">
        <f t="shared" si="41"/>
        <v/>
      </c>
      <c r="T189" s="45" t="str">
        <f t="shared" si="42"/>
        <v/>
      </c>
      <c r="V189" s="43" t="str">
        <f t="shared" si="43"/>
        <v/>
      </c>
      <c r="W189" s="43" t="str">
        <f t="shared" si="44"/>
        <v/>
      </c>
      <c r="X189" s="45" t="str">
        <f t="shared" si="45"/>
        <v/>
      </c>
      <c r="AD189" s="77"/>
      <c r="AE189" s="77"/>
      <c r="AF189" s="172"/>
      <c r="AG189" s="116"/>
      <c r="AH189" s="118"/>
      <c r="AI189" s="77"/>
      <c r="AJ189" s="172"/>
      <c r="AK189" s="116"/>
      <c r="AL189" s="79"/>
      <c r="AM189" s="77"/>
      <c r="AN189" s="172"/>
      <c r="AO189" s="116"/>
      <c r="AQ189" s="43">
        <f t="shared" si="49"/>
        <v>0</v>
      </c>
      <c r="AR189" s="43">
        <f t="shared" si="50"/>
        <v>0</v>
      </c>
      <c r="AS189" s="43">
        <f t="shared" si="51"/>
        <v>0</v>
      </c>
    </row>
    <row r="190" spans="2:45" ht="21" customHeight="1">
      <c r="B190" s="43">
        <v>186</v>
      </c>
      <c r="C190" s="44" t="str">
        <f>'Course 1'!C190</f>
        <v/>
      </c>
      <c r="D190" s="46" t="str">
        <f>IF(C190="","",HLOOKUP(C190,'Règles et points'!$D$5:$Y$7,3))</f>
        <v/>
      </c>
      <c r="E190" s="46" t="str">
        <f>IF(C190="","",HLOOKUP(C190,'Règles et points'!$D$5:$Y$7,2))</f>
        <v/>
      </c>
      <c r="F190" s="43" t="str">
        <f>IF('Course 1'!E190="","",'Course 1'!E190)</f>
        <v/>
      </c>
      <c r="G190" s="43" t="str">
        <f>IF('Course 1'!F190="","",'Course 1'!F190)</f>
        <v/>
      </c>
      <c r="H190" s="56">
        <f>'Course 1'!M190+'Course 2'!M190+'Course 3'!M190+'Course 4'!M190+'Course 4'!M190</f>
        <v>0</v>
      </c>
      <c r="J190" s="43" t="str">
        <f t="shared" si="37"/>
        <v/>
      </c>
      <c r="K190" s="43" t="str">
        <f t="shared" si="38"/>
        <v/>
      </c>
      <c r="L190" s="53" t="str">
        <f t="shared" si="39"/>
        <v/>
      </c>
      <c r="N190" s="43" t="str">
        <f t="shared" si="46"/>
        <v/>
      </c>
      <c r="O190" s="43" t="str">
        <f t="shared" si="47"/>
        <v/>
      </c>
      <c r="P190" s="53" t="str">
        <f t="shared" si="48"/>
        <v/>
      </c>
      <c r="R190" s="43" t="str">
        <f t="shared" si="40"/>
        <v/>
      </c>
      <c r="S190" s="43" t="str">
        <f t="shared" si="41"/>
        <v/>
      </c>
      <c r="T190" s="45" t="str">
        <f t="shared" si="42"/>
        <v/>
      </c>
      <c r="V190" s="43" t="str">
        <f t="shared" si="43"/>
        <v/>
      </c>
      <c r="W190" s="43" t="str">
        <f t="shared" si="44"/>
        <v/>
      </c>
      <c r="X190" s="45" t="str">
        <f t="shared" si="45"/>
        <v/>
      </c>
      <c r="AD190" s="77"/>
      <c r="AE190" s="77"/>
      <c r="AF190" s="172"/>
      <c r="AG190" s="116"/>
      <c r="AH190" s="118"/>
      <c r="AI190" s="77"/>
      <c r="AJ190" s="172"/>
      <c r="AK190" s="116"/>
      <c r="AL190" s="79"/>
      <c r="AM190" s="77"/>
      <c r="AN190" s="172"/>
      <c r="AO190" s="116"/>
      <c r="AQ190" s="43">
        <f t="shared" si="49"/>
        <v>0</v>
      </c>
      <c r="AR190" s="43">
        <f t="shared" si="50"/>
        <v>0</v>
      </c>
      <c r="AS190" s="43">
        <f t="shared" si="51"/>
        <v>0</v>
      </c>
    </row>
    <row r="191" spans="2:45" ht="21" customHeight="1">
      <c r="B191" s="43">
        <v>187</v>
      </c>
      <c r="C191" s="44" t="str">
        <f>'Course 1'!C191</f>
        <v/>
      </c>
      <c r="D191" s="46" t="str">
        <f>IF(C191="","",HLOOKUP(C191,'Règles et points'!$D$5:$Y$7,3))</f>
        <v/>
      </c>
      <c r="E191" s="46" t="str">
        <f>IF(C191="","",HLOOKUP(C191,'Règles et points'!$D$5:$Y$7,2))</f>
        <v/>
      </c>
      <c r="F191" s="43" t="str">
        <f>IF('Course 1'!E191="","",'Course 1'!E191)</f>
        <v/>
      </c>
      <c r="G191" s="43" t="str">
        <f>IF('Course 1'!F191="","",'Course 1'!F191)</f>
        <v/>
      </c>
      <c r="H191" s="56">
        <f>'Course 1'!M191+'Course 2'!M191+'Course 3'!M191+'Course 4'!M191+'Course 4'!M191</f>
        <v>0</v>
      </c>
      <c r="J191" s="43" t="str">
        <f t="shared" si="37"/>
        <v/>
      </c>
      <c r="K191" s="43" t="str">
        <f t="shared" si="38"/>
        <v/>
      </c>
      <c r="L191" s="53" t="str">
        <f t="shared" si="39"/>
        <v/>
      </c>
      <c r="N191" s="43" t="str">
        <f t="shared" si="46"/>
        <v/>
      </c>
      <c r="O191" s="43" t="str">
        <f t="shared" si="47"/>
        <v/>
      </c>
      <c r="P191" s="53" t="str">
        <f t="shared" si="48"/>
        <v/>
      </c>
      <c r="R191" s="43" t="str">
        <f t="shared" si="40"/>
        <v/>
      </c>
      <c r="S191" s="43" t="str">
        <f t="shared" si="41"/>
        <v/>
      </c>
      <c r="T191" s="45" t="str">
        <f t="shared" si="42"/>
        <v/>
      </c>
      <c r="V191" s="43" t="str">
        <f t="shared" si="43"/>
        <v/>
      </c>
      <c r="W191" s="43" t="str">
        <f t="shared" si="44"/>
        <v/>
      </c>
      <c r="X191" s="45" t="str">
        <f t="shared" si="45"/>
        <v/>
      </c>
      <c r="AD191" s="77"/>
      <c r="AE191" s="77"/>
      <c r="AF191" s="172"/>
      <c r="AG191" s="116"/>
      <c r="AH191" s="118"/>
      <c r="AI191" s="77"/>
      <c r="AJ191" s="172"/>
      <c r="AK191" s="116"/>
      <c r="AL191" s="79"/>
      <c r="AM191" s="77"/>
      <c r="AN191" s="172"/>
      <c r="AO191" s="116"/>
      <c r="AQ191" s="43">
        <f t="shared" si="49"/>
        <v>0</v>
      </c>
      <c r="AR191" s="43">
        <f t="shared" si="50"/>
        <v>0</v>
      </c>
      <c r="AS191" s="43">
        <f t="shared" si="51"/>
        <v>0</v>
      </c>
    </row>
    <row r="192" spans="2:45" ht="21" customHeight="1">
      <c r="B192" s="43">
        <v>188</v>
      </c>
      <c r="C192" s="44" t="str">
        <f>'Course 1'!C192</f>
        <v/>
      </c>
      <c r="D192" s="46" t="str">
        <f>IF(C192="","",HLOOKUP(C192,'Règles et points'!$D$5:$Y$7,3))</f>
        <v/>
      </c>
      <c r="E192" s="46" t="str">
        <f>IF(C192="","",HLOOKUP(C192,'Règles et points'!$D$5:$Y$7,2))</f>
        <v/>
      </c>
      <c r="F192" s="43" t="str">
        <f>IF('Course 1'!E192="","",'Course 1'!E192)</f>
        <v/>
      </c>
      <c r="G192" s="43" t="str">
        <f>IF('Course 1'!F192="","",'Course 1'!F192)</f>
        <v/>
      </c>
      <c r="H192" s="56">
        <f>'Course 1'!M192+'Course 2'!M192+'Course 3'!M192+'Course 4'!M192+'Course 4'!M192</f>
        <v>0</v>
      </c>
      <c r="J192" s="43" t="str">
        <f t="shared" si="37"/>
        <v/>
      </c>
      <c r="K192" s="43" t="str">
        <f t="shared" si="38"/>
        <v/>
      </c>
      <c r="L192" s="53" t="str">
        <f t="shared" si="39"/>
        <v/>
      </c>
      <c r="N192" s="43" t="str">
        <f t="shared" si="46"/>
        <v/>
      </c>
      <c r="O192" s="43" t="str">
        <f t="shared" si="47"/>
        <v/>
      </c>
      <c r="P192" s="53" t="str">
        <f t="shared" si="48"/>
        <v/>
      </c>
      <c r="R192" s="43" t="str">
        <f t="shared" si="40"/>
        <v/>
      </c>
      <c r="S192" s="43" t="str">
        <f t="shared" si="41"/>
        <v/>
      </c>
      <c r="T192" s="45" t="str">
        <f t="shared" si="42"/>
        <v/>
      </c>
      <c r="V192" s="43" t="str">
        <f t="shared" si="43"/>
        <v/>
      </c>
      <c r="W192" s="43" t="str">
        <f t="shared" si="44"/>
        <v/>
      </c>
      <c r="X192" s="45" t="str">
        <f t="shared" si="45"/>
        <v/>
      </c>
      <c r="AD192" s="77"/>
      <c r="AE192" s="77"/>
      <c r="AF192" s="172"/>
      <c r="AG192" s="116"/>
      <c r="AH192" s="118"/>
      <c r="AI192" s="77"/>
      <c r="AJ192" s="172"/>
      <c r="AK192" s="116"/>
      <c r="AL192" s="79"/>
      <c r="AM192" s="77"/>
      <c r="AN192" s="172"/>
      <c r="AO192" s="116"/>
      <c r="AQ192" s="43">
        <f t="shared" si="49"/>
        <v>0</v>
      </c>
      <c r="AR192" s="43">
        <f t="shared" si="50"/>
        <v>0</v>
      </c>
      <c r="AS192" s="43">
        <f t="shared" si="51"/>
        <v>0</v>
      </c>
    </row>
    <row r="193" spans="2:45" ht="21" customHeight="1">
      <c r="B193" s="43">
        <v>189</v>
      </c>
      <c r="C193" s="44" t="str">
        <f>'Course 1'!C193</f>
        <v/>
      </c>
      <c r="D193" s="46" t="str">
        <f>IF(C193="","",HLOOKUP(C193,'Règles et points'!$D$5:$Y$7,3))</f>
        <v/>
      </c>
      <c r="E193" s="46" t="str">
        <f>IF(C193="","",HLOOKUP(C193,'Règles et points'!$D$5:$Y$7,2))</f>
        <v/>
      </c>
      <c r="F193" s="43" t="str">
        <f>IF('Course 1'!E193="","",'Course 1'!E193)</f>
        <v/>
      </c>
      <c r="G193" s="43" t="str">
        <f>IF('Course 1'!F193="","",'Course 1'!F193)</f>
        <v/>
      </c>
      <c r="H193" s="56">
        <f>'Course 1'!M193+'Course 2'!M193+'Course 3'!M193+'Course 4'!M193+'Course 4'!M193</f>
        <v>0</v>
      </c>
      <c r="J193" s="43" t="str">
        <f t="shared" si="37"/>
        <v/>
      </c>
      <c r="K193" s="43" t="str">
        <f t="shared" si="38"/>
        <v/>
      </c>
      <c r="L193" s="53" t="str">
        <f t="shared" si="39"/>
        <v/>
      </c>
      <c r="N193" s="43" t="str">
        <f t="shared" si="46"/>
        <v/>
      </c>
      <c r="O193" s="43" t="str">
        <f t="shared" si="47"/>
        <v/>
      </c>
      <c r="P193" s="53" t="str">
        <f t="shared" si="48"/>
        <v/>
      </c>
      <c r="R193" s="43" t="str">
        <f t="shared" si="40"/>
        <v/>
      </c>
      <c r="S193" s="43" t="str">
        <f t="shared" si="41"/>
        <v/>
      </c>
      <c r="T193" s="45" t="str">
        <f t="shared" si="42"/>
        <v/>
      </c>
      <c r="V193" s="43" t="str">
        <f t="shared" si="43"/>
        <v/>
      </c>
      <c r="W193" s="43" t="str">
        <f t="shared" si="44"/>
        <v/>
      </c>
      <c r="X193" s="45" t="str">
        <f t="shared" si="45"/>
        <v/>
      </c>
      <c r="AD193" s="77"/>
      <c r="AE193" s="77"/>
      <c r="AF193" s="172"/>
      <c r="AG193" s="116"/>
      <c r="AH193" s="118"/>
      <c r="AI193" s="77"/>
      <c r="AJ193" s="172"/>
      <c r="AK193" s="116"/>
      <c r="AL193" s="79"/>
      <c r="AM193" s="77"/>
      <c r="AN193" s="172"/>
      <c r="AO193" s="116"/>
      <c r="AQ193" s="43">
        <f t="shared" si="49"/>
        <v>0</v>
      </c>
      <c r="AR193" s="43">
        <f t="shared" si="50"/>
        <v>0</v>
      </c>
      <c r="AS193" s="43">
        <f t="shared" si="51"/>
        <v>0</v>
      </c>
    </row>
    <row r="194" spans="2:45" ht="21" customHeight="1">
      <c r="B194" s="43">
        <v>190</v>
      </c>
      <c r="C194" s="44" t="str">
        <f>'Course 1'!C194</f>
        <v/>
      </c>
      <c r="D194" s="46" t="str">
        <f>IF(C194="","",HLOOKUP(C194,'Règles et points'!$D$5:$Y$7,3))</f>
        <v/>
      </c>
      <c r="E194" s="46" t="str">
        <f>IF(C194="","",HLOOKUP(C194,'Règles et points'!$D$5:$Y$7,2))</f>
        <v/>
      </c>
      <c r="F194" s="43" t="str">
        <f>IF('Course 1'!E194="","",'Course 1'!E194)</f>
        <v/>
      </c>
      <c r="G194" s="43" t="str">
        <f>IF('Course 1'!F194="","",'Course 1'!F194)</f>
        <v/>
      </c>
      <c r="H194" s="56">
        <f>'Course 1'!M194+'Course 2'!M194+'Course 3'!M194+'Course 4'!M194+'Course 4'!M194</f>
        <v>0</v>
      </c>
      <c r="J194" s="43" t="str">
        <f t="shared" si="37"/>
        <v/>
      </c>
      <c r="K194" s="43" t="str">
        <f t="shared" si="38"/>
        <v/>
      </c>
      <c r="L194" s="53" t="str">
        <f t="shared" si="39"/>
        <v/>
      </c>
      <c r="N194" s="43" t="str">
        <f t="shared" si="46"/>
        <v/>
      </c>
      <c r="O194" s="43" t="str">
        <f t="shared" si="47"/>
        <v/>
      </c>
      <c r="P194" s="53" t="str">
        <f t="shared" si="48"/>
        <v/>
      </c>
      <c r="R194" s="43" t="str">
        <f t="shared" si="40"/>
        <v/>
      </c>
      <c r="S194" s="43" t="str">
        <f t="shared" si="41"/>
        <v/>
      </c>
      <c r="T194" s="45" t="str">
        <f t="shared" si="42"/>
        <v/>
      </c>
      <c r="V194" s="43" t="str">
        <f t="shared" si="43"/>
        <v/>
      </c>
      <c r="W194" s="43" t="str">
        <f t="shared" si="44"/>
        <v/>
      </c>
      <c r="X194" s="45" t="str">
        <f t="shared" si="45"/>
        <v/>
      </c>
      <c r="AD194" s="77"/>
      <c r="AE194" s="77"/>
      <c r="AF194" s="172"/>
      <c r="AG194" s="116"/>
      <c r="AH194" s="118"/>
      <c r="AI194" s="77"/>
      <c r="AJ194" s="172"/>
      <c r="AK194" s="116"/>
      <c r="AL194" s="79"/>
      <c r="AM194" s="77"/>
      <c r="AN194" s="172"/>
      <c r="AO194" s="116"/>
      <c r="AQ194" s="43">
        <f t="shared" si="49"/>
        <v>0</v>
      </c>
      <c r="AR194" s="43">
        <f t="shared" si="50"/>
        <v>0</v>
      </c>
      <c r="AS194" s="43">
        <f t="shared" si="51"/>
        <v>0</v>
      </c>
    </row>
    <row r="195" spans="2:45" ht="21" customHeight="1">
      <c r="B195" s="43">
        <v>191</v>
      </c>
      <c r="C195" s="44" t="str">
        <f>'Course 1'!C195</f>
        <v/>
      </c>
      <c r="D195" s="46" t="str">
        <f>IF(C195="","",HLOOKUP(C195,'Règles et points'!$D$5:$Y$7,3))</f>
        <v/>
      </c>
      <c r="E195" s="46" t="str">
        <f>IF(C195="","",HLOOKUP(C195,'Règles et points'!$D$5:$Y$7,2))</f>
        <v/>
      </c>
      <c r="F195" s="43" t="str">
        <f>IF('Course 1'!E195="","",'Course 1'!E195)</f>
        <v/>
      </c>
      <c r="G195" s="43" t="str">
        <f>IF('Course 1'!F195="","",'Course 1'!F195)</f>
        <v/>
      </c>
      <c r="H195" s="56">
        <f>'Course 1'!M195+'Course 2'!M195+'Course 3'!M195+'Course 4'!M195+'Course 4'!M195</f>
        <v>0</v>
      </c>
      <c r="J195" s="43" t="str">
        <f t="shared" si="37"/>
        <v/>
      </c>
      <c r="K195" s="43" t="str">
        <f t="shared" si="38"/>
        <v/>
      </c>
      <c r="L195" s="53" t="str">
        <f t="shared" si="39"/>
        <v/>
      </c>
      <c r="N195" s="43" t="str">
        <f t="shared" si="46"/>
        <v/>
      </c>
      <c r="O195" s="43" t="str">
        <f t="shared" si="47"/>
        <v/>
      </c>
      <c r="P195" s="53" t="str">
        <f t="shared" si="48"/>
        <v/>
      </c>
      <c r="R195" s="43" t="str">
        <f t="shared" si="40"/>
        <v/>
      </c>
      <c r="S195" s="43" t="str">
        <f t="shared" si="41"/>
        <v/>
      </c>
      <c r="T195" s="45" t="str">
        <f t="shared" si="42"/>
        <v/>
      </c>
      <c r="V195" s="43" t="str">
        <f t="shared" si="43"/>
        <v/>
      </c>
      <c r="W195" s="43" t="str">
        <f t="shared" si="44"/>
        <v/>
      </c>
      <c r="X195" s="45" t="str">
        <f t="shared" si="45"/>
        <v/>
      </c>
      <c r="AD195" s="77"/>
      <c r="AE195" s="77"/>
      <c r="AF195" s="172"/>
      <c r="AG195" s="116"/>
      <c r="AH195" s="118"/>
      <c r="AI195" s="77"/>
      <c r="AJ195" s="172"/>
      <c r="AK195" s="116"/>
      <c r="AL195" s="79"/>
      <c r="AM195" s="77"/>
      <c r="AN195" s="172"/>
      <c r="AO195" s="116"/>
      <c r="AQ195" s="43">
        <f t="shared" si="49"/>
        <v>0</v>
      </c>
      <c r="AR195" s="43">
        <f t="shared" si="50"/>
        <v>0</v>
      </c>
      <c r="AS195" s="43">
        <f t="shared" si="51"/>
        <v>0</v>
      </c>
    </row>
    <row r="196" spans="2:45" ht="21" customHeight="1">
      <c r="B196" s="43">
        <v>192</v>
      </c>
      <c r="C196" s="44" t="str">
        <f>'Course 1'!C196</f>
        <v/>
      </c>
      <c r="D196" s="46" t="str">
        <f>IF(C196="","",HLOOKUP(C196,'Règles et points'!$D$5:$Y$7,3))</f>
        <v/>
      </c>
      <c r="E196" s="46" t="str">
        <f>IF(C196="","",HLOOKUP(C196,'Règles et points'!$D$5:$Y$7,2))</f>
        <v/>
      </c>
      <c r="F196" s="43" t="str">
        <f>IF('Course 1'!E196="","",'Course 1'!E196)</f>
        <v/>
      </c>
      <c r="G196" s="43" t="str">
        <f>IF('Course 1'!F196="","",'Course 1'!F196)</f>
        <v/>
      </c>
      <c r="H196" s="56">
        <f>'Course 1'!M196+'Course 2'!M196+'Course 3'!M196+'Course 4'!M196+'Course 4'!M196</f>
        <v>0</v>
      </c>
      <c r="J196" s="43" t="str">
        <f t="shared" ref="J196:J259" si="52">IF($E196=$L$3,$F196,"")</f>
        <v/>
      </c>
      <c r="K196" s="43" t="str">
        <f t="shared" ref="K196:K259" si="53">IF($E196=$L$3,$G196,"")</f>
        <v/>
      </c>
      <c r="L196" s="53" t="str">
        <f t="shared" ref="L196:L259" si="54">IF($E196=$L$3,$H196,"")</f>
        <v/>
      </c>
      <c r="N196" s="43" t="str">
        <f t="shared" si="46"/>
        <v/>
      </c>
      <c r="O196" s="43" t="str">
        <f t="shared" si="47"/>
        <v/>
      </c>
      <c r="P196" s="53" t="str">
        <f t="shared" si="48"/>
        <v/>
      </c>
      <c r="R196" s="43" t="str">
        <f t="shared" si="40"/>
        <v/>
      </c>
      <c r="S196" s="43" t="str">
        <f t="shared" si="41"/>
        <v/>
      </c>
      <c r="T196" s="45" t="str">
        <f t="shared" si="42"/>
        <v/>
      </c>
      <c r="V196" s="43" t="str">
        <f t="shared" si="43"/>
        <v/>
      </c>
      <c r="W196" s="43" t="str">
        <f t="shared" si="44"/>
        <v/>
      </c>
      <c r="X196" s="45" t="str">
        <f t="shared" si="45"/>
        <v/>
      </c>
      <c r="AD196" s="77"/>
      <c r="AE196" s="77"/>
      <c r="AF196" s="172"/>
      <c r="AG196" s="116"/>
      <c r="AH196" s="118"/>
      <c r="AI196" s="77"/>
      <c r="AJ196" s="172"/>
      <c r="AK196" s="116"/>
      <c r="AL196" s="79"/>
      <c r="AM196" s="77"/>
      <c r="AN196" s="172"/>
      <c r="AO196" s="116"/>
      <c r="AQ196" s="43">
        <f t="shared" si="49"/>
        <v>0</v>
      </c>
      <c r="AR196" s="43">
        <f t="shared" si="50"/>
        <v>0</v>
      </c>
      <c r="AS196" s="43">
        <f t="shared" si="51"/>
        <v>0</v>
      </c>
    </row>
    <row r="197" spans="2:45" ht="21" customHeight="1">
      <c r="B197" s="43">
        <v>193</v>
      </c>
      <c r="C197" s="44" t="str">
        <f>'Course 1'!C197</f>
        <v/>
      </c>
      <c r="D197" s="46" t="str">
        <f>IF(C197="","",HLOOKUP(C197,'Règles et points'!$D$5:$Y$7,3))</f>
        <v/>
      </c>
      <c r="E197" s="46" t="str">
        <f>IF(C197="","",HLOOKUP(C197,'Règles et points'!$D$5:$Y$7,2))</f>
        <v/>
      </c>
      <c r="F197" s="43" t="str">
        <f>IF('Course 1'!E197="","",'Course 1'!E197)</f>
        <v/>
      </c>
      <c r="G197" s="43" t="str">
        <f>IF('Course 1'!F197="","",'Course 1'!F197)</f>
        <v/>
      </c>
      <c r="H197" s="56">
        <f>'Course 1'!M197+'Course 2'!M197+'Course 3'!M197+'Course 4'!M197+'Course 4'!M197</f>
        <v>0</v>
      </c>
      <c r="J197" s="43" t="str">
        <f t="shared" si="52"/>
        <v/>
      </c>
      <c r="K197" s="43" t="str">
        <f t="shared" si="53"/>
        <v/>
      </c>
      <c r="L197" s="53" t="str">
        <f t="shared" si="54"/>
        <v/>
      </c>
      <c r="N197" s="43" t="str">
        <f t="shared" si="46"/>
        <v/>
      </c>
      <c r="O197" s="43" t="str">
        <f t="shared" si="47"/>
        <v/>
      </c>
      <c r="P197" s="53" t="str">
        <f t="shared" si="48"/>
        <v/>
      </c>
      <c r="R197" s="43" t="str">
        <f t="shared" ref="R197:R260" si="55">IF($E197=$T$3,$F197,"")</f>
        <v/>
      </c>
      <c r="S197" s="43" t="str">
        <f t="shared" ref="S197:S260" si="56">IF($E197=$T$3,$G197,"")</f>
        <v/>
      </c>
      <c r="T197" s="45" t="str">
        <f t="shared" ref="T197:T260" si="57">IF($E197=$T$3,$H197,"")</f>
        <v/>
      </c>
      <c r="V197" s="43" t="str">
        <f t="shared" ref="V197:V260" si="58">IF($E197=$X$3,$F197,"")</f>
        <v/>
      </c>
      <c r="W197" s="43" t="str">
        <f t="shared" ref="W197:W260" si="59">IF($E197=$X$3,$G197,"")</f>
        <v/>
      </c>
      <c r="X197" s="45" t="str">
        <f t="shared" ref="X197:X260" si="60">IF($E197=$X$3,$H197,"")</f>
        <v/>
      </c>
      <c r="AD197" s="77"/>
      <c r="AE197" s="77"/>
      <c r="AF197" s="172"/>
      <c r="AG197" s="116"/>
      <c r="AH197" s="118"/>
      <c r="AI197" s="77"/>
      <c r="AJ197" s="172"/>
      <c r="AK197" s="116"/>
      <c r="AL197" s="79"/>
      <c r="AM197" s="77"/>
      <c r="AN197" s="172"/>
      <c r="AO197" s="116"/>
      <c r="AQ197" s="43">
        <f t="shared" si="49"/>
        <v>0</v>
      </c>
      <c r="AR197" s="43">
        <f t="shared" si="50"/>
        <v>0</v>
      </c>
      <c r="AS197" s="43">
        <f t="shared" si="51"/>
        <v>0</v>
      </c>
    </row>
    <row r="198" spans="2:45" ht="21" customHeight="1">
      <c r="B198" s="43">
        <v>194</v>
      </c>
      <c r="C198" s="44" t="str">
        <f>'Course 1'!C198</f>
        <v/>
      </c>
      <c r="D198" s="46" t="str">
        <f>IF(C198="","",HLOOKUP(C198,'Règles et points'!$D$5:$Y$7,3))</f>
        <v/>
      </c>
      <c r="E198" s="46" t="str">
        <f>IF(C198="","",HLOOKUP(C198,'Règles et points'!$D$5:$Y$7,2))</f>
        <v/>
      </c>
      <c r="F198" s="43" t="str">
        <f>IF('Course 1'!E198="","",'Course 1'!E198)</f>
        <v/>
      </c>
      <c r="G198" s="43" t="str">
        <f>IF('Course 1'!F198="","",'Course 1'!F198)</f>
        <v/>
      </c>
      <c r="H198" s="56">
        <f>'Course 1'!M198+'Course 2'!M198+'Course 3'!M198+'Course 4'!M198+'Course 4'!M198</f>
        <v>0</v>
      </c>
      <c r="J198" s="43" t="str">
        <f t="shared" si="52"/>
        <v/>
      </c>
      <c r="K198" s="43" t="str">
        <f t="shared" si="53"/>
        <v/>
      </c>
      <c r="L198" s="53" t="str">
        <f t="shared" si="54"/>
        <v/>
      </c>
      <c r="N198" s="43" t="str">
        <f t="shared" ref="N198:N261" si="61">IF($E198=$P$3,$F198,"")</f>
        <v/>
      </c>
      <c r="O198" s="43" t="str">
        <f t="shared" ref="O198:O261" si="62">IF($E198=$P$3,$G198,"")</f>
        <v/>
      </c>
      <c r="P198" s="53" t="str">
        <f t="shared" ref="P198:P261" si="63">IF($E198=$P$3,$H198,"")</f>
        <v/>
      </c>
      <c r="R198" s="43" t="str">
        <f t="shared" si="55"/>
        <v/>
      </c>
      <c r="S198" s="43" t="str">
        <f t="shared" si="56"/>
        <v/>
      </c>
      <c r="T198" s="45" t="str">
        <f t="shared" si="57"/>
        <v/>
      </c>
      <c r="V198" s="43" t="str">
        <f t="shared" si="58"/>
        <v/>
      </c>
      <c r="W198" s="43" t="str">
        <f t="shared" si="59"/>
        <v/>
      </c>
      <c r="X198" s="45" t="str">
        <f t="shared" si="60"/>
        <v/>
      </c>
      <c r="AD198" s="77"/>
      <c r="AE198" s="77"/>
      <c r="AF198" s="172"/>
      <c r="AG198" s="116"/>
      <c r="AH198" s="118"/>
      <c r="AI198" s="77"/>
      <c r="AJ198" s="172"/>
      <c r="AK198" s="116"/>
      <c r="AL198" s="3"/>
      <c r="AM198" s="3"/>
      <c r="AN198" s="172"/>
      <c r="AO198" s="116"/>
      <c r="AQ198" s="43">
        <f t="shared" si="49"/>
        <v>0</v>
      </c>
      <c r="AR198" s="43">
        <f t="shared" si="50"/>
        <v>0</v>
      </c>
      <c r="AS198" s="43">
        <f t="shared" si="51"/>
        <v>0</v>
      </c>
    </row>
    <row r="199" spans="2:45" ht="21" customHeight="1">
      <c r="B199" s="43">
        <v>195</v>
      </c>
      <c r="C199" s="44" t="str">
        <f>'Course 1'!C199</f>
        <v/>
      </c>
      <c r="D199" s="46" t="str">
        <f>IF(C199="","",HLOOKUP(C199,'Règles et points'!$D$5:$Y$7,3))</f>
        <v/>
      </c>
      <c r="E199" s="46" t="str">
        <f>IF(C199="","",HLOOKUP(C199,'Règles et points'!$D$5:$Y$7,2))</f>
        <v/>
      </c>
      <c r="F199" s="43" t="str">
        <f>IF('Course 1'!E199="","",'Course 1'!E199)</f>
        <v/>
      </c>
      <c r="G199" s="43" t="str">
        <f>IF('Course 1'!F199="","",'Course 1'!F199)</f>
        <v/>
      </c>
      <c r="H199" s="56">
        <f>'Course 1'!M199+'Course 2'!M199+'Course 3'!M199+'Course 4'!M199+'Course 4'!M199</f>
        <v>0</v>
      </c>
      <c r="J199" s="43" t="str">
        <f t="shared" si="52"/>
        <v/>
      </c>
      <c r="K199" s="43" t="str">
        <f t="shared" si="53"/>
        <v/>
      </c>
      <c r="L199" s="53" t="str">
        <f t="shared" si="54"/>
        <v/>
      </c>
      <c r="N199" s="43" t="str">
        <f t="shared" si="61"/>
        <v/>
      </c>
      <c r="O199" s="43" t="str">
        <f t="shared" si="62"/>
        <v/>
      </c>
      <c r="P199" s="53" t="str">
        <f t="shared" si="63"/>
        <v/>
      </c>
      <c r="R199" s="43" t="str">
        <f t="shared" si="55"/>
        <v/>
      </c>
      <c r="S199" s="43" t="str">
        <f t="shared" si="56"/>
        <v/>
      </c>
      <c r="T199" s="45" t="str">
        <f t="shared" si="57"/>
        <v/>
      </c>
      <c r="V199" s="43" t="str">
        <f t="shared" si="58"/>
        <v/>
      </c>
      <c r="W199" s="43" t="str">
        <f t="shared" si="59"/>
        <v/>
      </c>
      <c r="X199" s="45" t="str">
        <f t="shared" si="60"/>
        <v/>
      </c>
      <c r="AD199" s="77"/>
      <c r="AE199" s="77"/>
      <c r="AF199" s="172"/>
      <c r="AG199" s="116"/>
      <c r="AH199" s="118"/>
      <c r="AI199" s="77"/>
      <c r="AJ199" s="172"/>
      <c r="AK199" s="116"/>
      <c r="AL199" s="79"/>
      <c r="AM199" s="77"/>
      <c r="AN199" s="172"/>
      <c r="AO199" s="116"/>
      <c r="AQ199" s="43">
        <f t="shared" si="49"/>
        <v>0</v>
      </c>
      <c r="AR199" s="43">
        <f t="shared" si="50"/>
        <v>0</v>
      </c>
      <c r="AS199" s="43">
        <f t="shared" si="51"/>
        <v>0</v>
      </c>
    </row>
    <row r="200" spans="2:45" ht="21" customHeight="1">
      <c r="B200" s="43">
        <v>196</v>
      </c>
      <c r="C200" s="44" t="str">
        <f>'Course 1'!C200</f>
        <v/>
      </c>
      <c r="D200" s="46" t="str">
        <f>IF(C200="","",HLOOKUP(C200,'Règles et points'!$D$5:$Y$7,3))</f>
        <v/>
      </c>
      <c r="E200" s="46" t="str">
        <f>IF(C200="","",HLOOKUP(C200,'Règles et points'!$D$5:$Y$7,2))</f>
        <v/>
      </c>
      <c r="F200" s="43" t="str">
        <f>IF('Course 1'!E200="","",'Course 1'!E200)</f>
        <v/>
      </c>
      <c r="G200" s="43" t="str">
        <f>IF('Course 1'!F200="","",'Course 1'!F200)</f>
        <v/>
      </c>
      <c r="H200" s="56">
        <f>'Course 1'!M200+'Course 2'!M200+'Course 3'!M200+'Course 4'!M200+'Course 4'!M200</f>
        <v>0</v>
      </c>
      <c r="J200" s="43" t="str">
        <f t="shared" si="52"/>
        <v/>
      </c>
      <c r="K200" s="43" t="str">
        <f t="shared" si="53"/>
        <v/>
      </c>
      <c r="L200" s="53" t="str">
        <f t="shared" si="54"/>
        <v/>
      </c>
      <c r="N200" s="43" t="str">
        <f t="shared" si="61"/>
        <v/>
      </c>
      <c r="O200" s="43" t="str">
        <f t="shared" si="62"/>
        <v/>
      </c>
      <c r="P200" s="53" t="str">
        <f t="shared" si="63"/>
        <v/>
      </c>
      <c r="R200" s="43" t="str">
        <f t="shared" si="55"/>
        <v/>
      </c>
      <c r="S200" s="43" t="str">
        <f t="shared" si="56"/>
        <v/>
      </c>
      <c r="T200" s="45" t="str">
        <f t="shared" si="57"/>
        <v/>
      </c>
      <c r="V200" s="43" t="str">
        <f t="shared" si="58"/>
        <v/>
      </c>
      <c r="W200" s="43" t="str">
        <f t="shared" si="59"/>
        <v/>
      </c>
      <c r="X200" s="45" t="str">
        <f t="shared" si="60"/>
        <v/>
      </c>
      <c r="AD200" s="77"/>
      <c r="AE200" s="77"/>
      <c r="AF200" s="172"/>
      <c r="AG200" s="116"/>
      <c r="AH200" s="118"/>
      <c r="AI200" s="77"/>
      <c r="AJ200" s="172"/>
      <c r="AK200" s="116"/>
      <c r="AL200" s="79"/>
      <c r="AM200" s="77"/>
      <c r="AN200" s="172"/>
      <c r="AO200" s="116"/>
      <c r="AQ200" s="43">
        <f t="shared" si="49"/>
        <v>0</v>
      </c>
      <c r="AR200" s="43">
        <f t="shared" si="50"/>
        <v>0</v>
      </c>
      <c r="AS200" s="43">
        <f t="shared" si="51"/>
        <v>0</v>
      </c>
    </row>
    <row r="201" spans="2:45" ht="21" customHeight="1">
      <c r="B201" s="43">
        <v>197</v>
      </c>
      <c r="C201" s="44" t="str">
        <f>'Course 1'!C201</f>
        <v/>
      </c>
      <c r="D201" s="46" t="str">
        <f>IF(C201="","",HLOOKUP(C201,'Règles et points'!$D$5:$Y$7,3))</f>
        <v/>
      </c>
      <c r="E201" s="46" t="str">
        <f>IF(C201="","",HLOOKUP(C201,'Règles et points'!$D$5:$Y$7,2))</f>
        <v/>
      </c>
      <c r="F201" s="43" t="str">
        <f>IF('Course 1'!E201="","",'Course 1'!E201)</f>
        <v/>
      </c>
      <c r="G201" s="43" t="str">
        <f>IF('Course 1'!F201="","",'Course 1'!F201)</f>
        <v/>
      </c>
      <c r="H201" s="56">
        <f>'Course 1'!M201+'Course 2'!M201+'Course 3'!M201+'Course 4'!M201+'Course 4'!M201</f>
        <v>0</v>
      </c>
      <c r="J201" s="43" t="str">
        <f t="shared" si="52"/>
        <v/>
      </c>
      <c r="K201" s="43" t="str">
        <f t="shared" si="53"/>
        <v/>
      </c>
      <c r="L201" s="53" t="str">
        <f t="shared" si="54"/>
        <v/>
      </c>
      <c r="N201" s="43" t="str">
        <f t="shared" si="61"/>
        <v/>
      </c>
      <c r="O201" s="43" t="str">
        <f t="shared" si="62"/>
        <v/>
      </c>
      <c r="P201" s="53" t="str">
        <f t="shared" si="63"/>
        <v/>
      </c>
      <c r="R201" s="43" t="str">
        <f t="shared" si="55"/>
        <v/>
      </c>
      <c r="S201" s="43" t="str">
        <f t="shared" si="56"/>
        <v/>
      </c>
      <c r="T201" s="45" t="str">
        <f t="shared" si="57"/>
        <v/>
      </c>
      <c r="V201" s="43" t="str">
        <f t="shared" si="58"/>
        <v/>
      </c>
      <c r="W201" s="43" t="str">
        <f t="shared" si="59"/>
        <v/>
      </c>
      <c r="X201" s="45" t="str">
        <f t="shared" si="60"/>
        <v/>
      </c>
      <c r="AD201" s="77"/>
      <c r="AE201" s="77"/>
      <c r="AF201" s="172"/>
      <c r="AG201" s="116"/>
      <c r="AH201" s="118"/>
      <c r="AI201" s="77"/>
      <c r="AJ201" s="172"/>
      <c r="AK201" s="116"/>
      <c r="AL201" s="79"/>
      <c r="AM201" s="77"/>
      <c r="AN201" s="172"/>
      <c r="AO201" s="116"/>
      <c r="AQ201" s="43">
        <f t="shared" si="49"/>
        <v>0</v>
      </c>
      <c r="AR201" s="43">
        <f t="shared" si="50"/>
        <v>0</v>
      </c>
      <c r="AS201" s="43">
        <f t="shared" si="51"/>
        <v>0</v>
      </c>
    </row>
    <row r="202" spans="2:45" ht="21" customHeight="1">
      <c r="B202" s="43">
        <v>198</v>
      </c>
      <c r="C202" s="44" t="str">
        <f>'Course 1'!C202</f>
        <v/>
      </c>
      <c r="D202" s="46" t="str">
        <f>IF(C202="","",HLOOKUP(C202,'Règles et points'!$D$5:$Y$7,3))</f>
        <v/>
      </c>
      <c r="E202" s="46" t="str">
        <f>IF(C202="","",HLOOKUP(C202,'Règles et points'!$D$5:$Y$7,2))</f>
        <v/>
      </c>
      <c r="F202" s="43" t="str">
        <f>IF('Course 1'!E202="","",'Course 1'!E202)</f>
        <v/>
      </c>
      <c r="G202" s="43" t="str">
        <f>IF('Course 1'!F202="","",'Course 1'!F202)</f>
        <v/>
      </c>
      <c r="H202" s="56">
        <f>'Course 1'!M202+'Course 2'!M202+'Course 3'!M202+'Course 4'!M202+'Course 4'!M202</f>
        <v>0</v>
      </c>
      <c r="J202" s="43" t="str">
        <f t="shared" si="52"/>
        <v/>
      </c>
      <c r="K202" s="43" t="str">
        <f t="shared" si="53"/>
        <v/>
      </c>
      <c r="L202" s="53" t="str">
        <f t="shared" si="54"/>
        <v/>
      </c>
      <c r="N202" s="43" t="str">
        <f t="shared" si="61"/>
        <v/>
      </c>
      <c r="O202" s="43" t="str">
        <f t="shared" si="62"/>
        <v/>
      </c>
      <c r="P202" s="53" t="str">
        <f t="shared" si="63"/>
        <v/>
      </c>
      <c r="R202" s="43" t="str">
        <f t="shared" si="55"/>
        <v/>
      </c>
      <c r="S202" s="43" t="str">
        <f t="shared" si="56"/>
        <v/>
      </c>
      <c r="T202" s="45" t="str">
        <f t="shared" si="57"/>
        <v/>
      </c>
      <c r="V202" s="43" t="str">
        <f t="shared" si="58"/>
        <v/>
      </c>
      <c r="W202" s="43" t="str">
        <f t="shared" si="59"/>
        <v/>
      </c>
      <c r="X202" s="45" t="str">
        <f t="shared" si="60"/>
        <v/>
      </c>
      <c r="AD202" s="77"/>
      <c r="AE202" s="77"/>
      <c r="AF202" s="172"/>
      <c r="AG202" s="116"/>
      <c r="AH202" s="118"/>
      <c r="AI202" s="77"/>
      <c r="AJ202" s="172"/>
      <c r="AK202" s="116"/>
      <c r="AL202" s="79"/>
      <c r="AM202" s="77"/>
      <c r="AN202" s="172"/>
      <c r="AO202" s="116"/>
      <c r="AQ202" s="43">
        <f t="shared" si="49"/>
        <v>0</v>
      </c>
      <c r="AR202" s="43">
        <f t="shared" si="50"/>
        <v>0</v>
      </c>
      <c r="AS202" s="43">
        <f t="shared" si="51"/>
        <v>0</v>
      </c>
    </row>
    <row r="203" spans="2:45" ht="21" customHeight="1">
      <c r="B203" s="43">
        <v>199</v>
      </c>
      <c r="C203" s="44" t="str">
        <f>'Course 1'!C203</f>
        <v/>
      </c>
      <c r="D203" s="46" t="str">
        <f>IF(C203="","",HLOOKUP(C203,'Règles et points'!$D$5:$Y$7,3))</f>
        <v/>
      </c>
      <c r="E203" s="46" t="str">
        <f>IF(C203="","",HLOOKUP(C203,'Règles et points'!$D$5:$Y$7,2))</f>
        <v/>
      </c>
      <c r="F203" s="43" t="str">
        <f>IF('Course 1'!E203="","",'Course 1'!E203)</f>
        <v/>
      </c>
      <c r="G203" s="43" t="str">
        <f>IF('Course 1'!F203="","",'Course 1'!F203)</f>
        <v/>
      </c>
      <c r="H203" s="56">
        <f>'Course 1'!M203+'Course 2'!M203+'Course 3'!M203+'Course 4'!M203+'Course 4'!M203</f>
        <v>0</v>
      </c>
      <c r="J203" s="43" t="str">
        <f t="shared" si="52"/>
        <v/>
      </c>
      <c r="K203" s="43" t="str">
        <f t="shared" si="53"/>
        <v/>
      </c>
      <c r="L203" s="53" t="str">
        <f t="shared" si="54"/>
        <v/>
      </c>
      <c r="N203" s="43" t="str">
        <f t="shared" si="61"/>
        <v/>
      </c>
      <c r="O203" s="43" t="str">
        <f t="shared" si="62"/>
        <v/>
      </c>
      <c r="P203" s="53" t="str">
        <f t="shared" si="63"/>
        <v/>
      </c>
      <c r="R203" s="43" t="str">
        <f t="shared" si="55"/>
        <v/>
      </c>
      <c r="S203" s="43" t="str">
        <f t="shared" si="56"/>
        <v/>
      </c>
      <c r="T203" s="45" t="str">
        <f t="shared" si="57"/>
        <v/>
      </c>
      <c r="V203" s="43" t="str">
        <f t="shared" si="58"/>
        <v/>
      </c>
      <c r="W203" s="43" t="str">
        <f t="shared" si="59"/>
        <v/>
      </c>
      <c r="X203" s="45" t="str">
        <f t="shared" si="60"/>
        <v/>
      </c>
      <c r="AD203" s="77"/>
      <c r="AE203" s="77"/>
      <c r="AF203" s="172"/>
      <c r="AG203" s="116"/>
      <c r="AH203" s="118"/>
      <c r="AI203" s="77"/>
      <c r="AJ203" s="172"/>
      <c r="AK203" s="116"/>
      <c r="AL203" s="79"/>
      <c r="AM203" s="77"/>
      <c r="AN203" s="172"/>
      <c r="AO203" s="116"/>
      <c r="AQ203" s="43">
        <f t="shared" si="49"/>
        <v>0</v>
      </c>
      <c r="AR203" s="43">
        <f t="shared" si="50"/>
        <v>0</v>
      </c>
      <c r="AS203" s="43">
        <f t="shared" si="51"/>
        <v>0</v>
      </c>
    </row>
    <row r="204" spans="2:45" ht="21" customHeight="1">
      <c r="B204" s="43">
        <v>200</v>
      </c>
      <c r="C204" s="44" t="str">
        <f>'Course 1'!C204</f>
        <v/>
      </c>
      <c r="D204" s="46" t="str">
        <f>IF(C204="","",HLOOKUP(C204,'Règles et points'!$D$5:$Y$7,3))</f>
        <v/>
      </c>
      <c r="E204" s="46" t="str">
        <f>IF(C204="","",HLOOKUP(C204,'Règles et points'!$D$5:$Y$7,2))</f>
        <v/>
      </c>
      <c r="F204" s="43" t="str">
        <f>IF('Course 1'!E204="","",'Course 1'!E204)</f>
        <v/>
      </c>
      <c r="G204" s="43" t="str">
        <f>IF('Course 1'!F204="","",'Course 1'!F204)</f>
        <v/>
      </c>
      <c r="H204" s="56">
        <f>'Course 1'!M204+'Course 2'!M204+'Course 3'!M204+'Course 4'!M204+'Course 4'!M204</f>
        <v>0</v>
      </c>
      <c r="J204" s="43" t="str">
        <f t="shared" si="52"/>
        <v/>
      </c>
      <c r="K204" s="43" t="str">
        <f t="shared" si="53"/>
        <v/>
      </c>
      <c r="L204" s="53" t="str">
        <f t="shared" si="54"/>
        <v/>
      </c>
      <c r="N204" s="43" t="str">
        <f t="shared" si="61"/>
        <v/>
      </c>
      <c r="O204" s="43" t="str">
        <f t="shared" si="62"/>
        <v/>
      </c>
      <c r="P204" s="53" t="str">
        <f t="shared" si="63"/>
        <v/>
      </c>
      <c r="R204" s="43" t="str">
        <f t="shared" si="55"/>
        <v/>
      </c>
      <c r="S204" s="43" t="str">
        <f t="shared" si="56"/>
        <v/>
      </c>
      <c r="T204" s="45" t="str">
        <f t="shared" si="57"/>
        <v/>
      </c>
      <c r="V204" s="43" t="str">
        <f t="shared" si="58"/>
        <v/>
      </c>
      <c r="W204" s="43" t="str">
        <f t="shared" si="59"/>
        <v/>
      </c>
      <c r="X204" s="45" t="str">
        <f t="shared" si="60"/>
        <v/>
      </c>
      <c r="AD204" s="77"/>
      <c r="AE204" s="77"/>
      <c r="AF204" s="172"/>
      <c r="AG204" s="116"/>
      <c r="AH204" s="118"/>
      <c r="AI204" s="77"/>
      <c r="AJ204" s="172"/>
      <c r="AK204" s="116"/>
      <c r="AL204" s="79"/>
      <c r="AM204" s="77"/>
      <c r="AN204" s="172"/>
      <c r="AO204" s="116"/>
      <c r="AQ204" s="43">
        <f t="shared" si="49"/>
        <v>0</v>
      </c>
      <c r="AR204" s="43">
        <f t="shared" si="50"/>
        <v>0</v>
      </c>
      <c r="AS204" s="43">
        <f t="shared" si="51"/>
        <v>0</v>
      </c>
    </row>
    <row r="205" spans="2:45" ht="21" customHeight="1">
      <c r="B205" s="43">
        <v>201</v>
      </c>
      <c r="C205" s="44" t="str">
        <f>'Course 1'!C205</f>
        <v/>
      </c>
      <c r="D205" s="46" t="str">
        <f>IF(C205="","",HLOOKUP(C205,'Règles et points'!$D$5:$Y$7,3))</f>
        <v/>
      </c>
      <c r="E205" s="46" t="str">
        <f>IF(C205="","",HLOOKUP(C205,'Règles et points'!$D$5:$Y$7,2))</f>
        <v/>
      </c>
      <c r="F205" s="43" t="str">
        <f>IF('Course 1'!E205="","",'Course 1'!E205)</f>
        <v/>
      </c>
      <c r="G205" s="43" t="str">
        <f>IF('Course 1'!F205="","",'Course 1'!F205)</f>
        <v/>
      </c>
      <c r="H205" s="56">
        <f>'Course 1'!M205+'Course 2'!M205+'Course 3'!M205+'Course 4'!M205+'Course 4'!M205</f>
        <v>0</v>
      </c>
      <c r="J205" s="43" t="str">
        <f t="shared" si="52"/>
        <v/>
      </c>
      <c r="K205" s="43" t="str">
        <f t="shared" si="53"/>
        <v/>
      </c>
      <c r="L205" s="53" t="str">
        <f t="shared" si="54"/>
        <v/>
      </c>
      <c r="N205" s="43" t="str">
        <f t="shared" si="61"/>
        <v/>
      </c>
      <c r="O205" s="43" t="str">
        <f t="shared" si="62"/>
        <v/>
      </c>
      <c r="P205" s="53" t="str">
        <f t="shared" si="63"/>
        <v/>
      </c>
      <c r="R205" s="43" t="str">
        <f t="shared" si="55"/>
        <v/>
      </c>
      <c r="S205" s="43" t="str">
        <f t="shared" si="56"/>
        <v/>
      </c>
      <c r="T205" s="45" t="str">
        <f t="shared" si="57"/>
        <v/>
      </c>
      <c r="V205" s="43" t="str">
        <f t="shared" si="58"/>
        <v/>
      </c>
      <c r="W205" s="43" t="str">
        <f t="shared" si="59"/>
        <v/>
      </c>
      <c r="X205" s="45" t="str">
        <f t="shared" si="60"/>
        <v/>
      </c>
      <c r="AD205" s="77"/>
      <c r="AE205" s="77"/>
      <c r="AF205" s="172"/>
      <c r="AG205" s="116"/>
      <c r="AH205" s="118"/>
      <c r="AI205" s="77"/>
      <c r="AJ205" s="172"/>
      <c r="AK205" s="116"/>
      <c r="AL205" s="79"/>
      <c r="AM205" s="77"/>
      <c r="AN205" s="172"/>
      <c r="AO205" s="116"/>
      <c r="AQ205" s="43">
        <f t="shared" si="49"/>
        <v>0</v>
      </c>
      <c r="AR205" s="43">
        <f t="shared" si="50"/>
        <v>0</v>
      </c>
      <c r="AS205" s="43">
        <f t="shared" si="51"/>
        <v>0</v>
      </c>
    </row>
    <row r="206" spans="2:45" ht="21" customHeight="1">
      <c r="B206" s="43">
        <v>202</v>
      </c>
      <c r="C206" s="44" t="str">
        <f>'Course 1'!C206</f>
        <v/>
      </c>
      <c r="D206" s="46" t="str">
        <f>IF(C206="","",HLOOKUP(C206,'Règles et points'!$D$5:$Y$7,3))</f>
        <v/>
      </c>
      <c r="E206" s="46" t="str">
        <f>IF(C206="","",HLOOKUP(C206,'Règles et points'!$D$5:$Y$7,2))</f>
        <v/>
      </c>
      <c r="F206" s="43" t="str">
        <f>IF('Course 1'!E206="","",'Course 1'!E206)</f>
        <v/>
      </c>
      <c r="G206" s="43" t="str">
        <f>IF('Course 1'!F206="","",'Course 1'!F206)</f>
        <v/>
      </c>
      <c r="H206" s="56">
        <f>'Course 1'!M206+'Course 2'!M206+'Course 3'!M206+'Course 4'!M206+'Course 4'!M206</f>
        <v>0</v>
      </c>
      <c r="J206" s="43" t="str">
        <f t="shared" si="52"/>
        <v/>
      </c>
      <c r="K206" s="43" t="str">
        <f t="shared" si="53"/>
        <v/>
      </c>
      <c r="L206" s="53" t="str">
        <f t="shared" si="54"/>
        <v/>
      </c>
      <c r="N206" s="43" t="str">
        <f t="shared" si="61"/>
        <v/>
      </c>
      <c r="O206" s="43" t="str">
        <f t="shared" si="62"/>
        <v/>
      </c>
      <c r="P206" s="53" t="str">
        <f t="shared" si="63"/>
        <v/>
      </c>
      <c r="R206" s="43" t="str">
        <f t="shared" si="55"/>
        <v/>
      </c>
      <c r="S206" s="43" t="str">
        <f t="shared" si="56"/>
        <v/>
      </c>
      <c r="T206" s="45" t="str">
        <f t="shared" si="57"/>
        <v/>
      </c>
      <c r="V206" s="43" t="str">
        <f t="shared" si="58"/>
        <v/>
      </c>
      <c r="W206" s="43" t="str">
        <f t="shared" si="59"/>
        <v/>
      </c>
      <c r="X206" s="45" t="str">
        <f t="shared" si="60"/>
        <v/>
      </c>
      <c r="AD206" s="77"/>
      <c r="AE206" s="77"/>
      <c r="AF206" s="172"/>
      <c r="AG206" s="116"/>
      <c r="AH206" s="118"/>
      <c r="AI206" s="77"/>
      <c r="AJ206" s="172"/>
      <c r="AK206" s="116"/>
      <c r="AL206" s="79"/>
      <c r="AM206" s="77"/>
      <c r="AN206" s="172"/>
      <c r="AO206" s="116"/>
      <c r="AQ206" s="43">
        <f t="shared" si="49"/>
        <v>0</v>
      </c>
      <c r="AR206" s="43">
        <f t="shared" si="50"/>
        <v>0</v>
      </c>
      <c r="AS206" s="43">
        <f t="shared" si="51"/>
        <v>0</v>
      </c>
    </row>
    <row r="207" spans="2:45" ht="21" customHeight="1">
      <c r="B207" s="43">
        <v>203</v>
      </c>
      <c r="C207" s="44" t="str">
        <f>'Course 1'!C207</f>
        <v/>
      </c>
      <c r="D207" s="46" t="str">
        <f>IF(C207="","",HLOOKUP(C207,'Règles et points'!$D$5:$Y$7,3))</f>
        <v/>
      </c>
      <c r="E207" s="46" t="str">
        <f>IF(C207="","",HLOOKUP(C207,'Règles et points'!$D$5:$Y$7,2))</f>
        <v/>
      </c>
      <c r="F207" s="43" t="str">
        <f>IF('Course 1'!E207="","",'Course 1'!E207)</f>
        <v/>
      </c>
      <c r="G207" s="43" t="str">
        <f>IF('Course 1'!F207="","",'Course 1'!F207)</f>
        <v/>
      </c>
      <c r="H207" s="56">
        <f>'Course 1'!M207+'Course 2'!M207+'Course 3'!M207+'Course 4'!M207+'Course 4'!M207</f>
        <v>0</v>
      </c>
      <c r="J207" s="43" t="str">
        <f t="shared" si="52"/>
        <v/>
      </c>
      <c r="K207" s="43" t="str">
        <f t="shared" si="53"/>
        <v/>
      </c>
      <c r="L207" s="53" t="str">
        <f t="shared" si="54"/>
        <v/>
      </c>
      <c r="N207" s="43" t="str">
        <f t="shared" si="61"/>
        <v/>
      </c>
      <c r="O207" s="43" t="str">
        <f t="shared" si="62"/>
        <v/>
      </c>
      <c r="P207" s="53" t="str">
        <f t="shared" si="63"/>
        <v/>
      </c>
      <c r="R207" s="43" t="str">
        <f t="shared" si="55"/>
        <v/>
      </c>
      <c r="S207" s="43" t="str">
        <f t="shared" si="56"/>
        <v/>
      </c>
      <c r="T207" s="45" t="str">
        <f t="shared" si="57"/>
        <v/>
      </c>
      <c r="V207" s="43" t="str">
        <f t="shared" si="58"/>
        <v/>
      </c>
      <c r="W207" s="43" t="str">
        <f t="shared" si="59"/>
        <v/>
      </c>
      <c r="X207" s="45" t="str">
        <f t="shared" si="60"/>
        <v/>
      </c>
      <c r="AD207" s="77"/>
      <c r="AE207" s="77"/>
      <c r="AF207" s="172"/>
      <c r="AG207" s="116"/>
      <c r="AH207" s="118"/>
      <c r="AI207" s="77"/>
      <c r="AJ207" s="172"/>
      <c r="AK207" s="116"/>
      <c r="AL207" s="79"/>
      <c r="AM207" s="77"/>
      <c r="AN207" s="172"/>
      <c r="AO207" s="116"/>
      <c r="AQ207" s="43">
        <f t="shared" si="49"/>
        <v>0</v>
      </c>
      <c r="AR207" s="43">
        <f t="shared" si="50"/>
        <v>0</v>
      </c>
      <c r="AS207" s="43">
        <f t="shared" si="51"/>
        <v>0</v>
      </c>
    </row>
    <row r="208" spans="2:45" ht="21" customHeight="1">
      <c r="B208" s="43">
        <v>204</v>
      </c>
      <c r="C208" s="44" t="str">
        <f>'Course 1'!C208</f>
        <v/>
      </c>
      <c r="D208" s="46" t="str">
        <f>IF(C208="","",HLOOKUP(C208,'Règles et points'!$D$5:$Y$7,3))</f>
        <v/>
      </c>
      <c r="E208" s="46" t="str">
        <f>IF(C208="","",HLOOKUP(C208,'Règles et points'!$D$5:$Y$7,2))</f>
        <v/>
      </c>
      <c r="F208" s="43" t="str">
        <f>IF('Course 1'!E208="","",'Course 1'!E208)</f>
        <v/>
      </c>
      <c r="G208" s="43" t="str">
        <f>IF('Course 1'!F208="","",'Course 1'!F208)</f>
        <v/>
      </c>
      <c r="H208" s="56">
        <f>'Course 1'!M208+'Course 2'!M208+'Course 3'!M208+'Course 4'!M208+'Course 4'!M208</f>
        <v>0</v>
      </c>
      <c r="J208" s="43" t="str">
        <f t="shared" si="52"/>
        <v/>
      </c>
      <c r="K208" s="43" t="str">
        <f t="shared" si="53"/>
        <v/>
      </c>
      <c r="L208" s="53" t="str">
        <f t="shared" si="54"/>
        <v/>
      </c>
      <c r="N208" s="43" t="str">
        <f t="shared" si="61"/>
        <v/>
      </c>
      <c r="O208" s="43" t="str">
        <f t="shared" si="62"/>
        <v/>
      </c>
      <c r="P208" s="53" t="str">
        <f t="shared" si="63"/>
        <v/>
      </c>
      <c r="R208" s="43" t="str">
        <f t="shared" si="55"/>
        <v/>
      </c>
      <c r="S208" s="43" t="str">
        <f t="shared" si="56"/>
        <v/>
      </c>
      <c r="T208" s="45" t="str">
        <f t="shared" si="57"/>
        <v/>
      </c>
      <c r="V208" s="43" t="str">
        <f t="shared" si="58"/>
        <v/>
      </c>
      <c r="W208" s="43" t="str">
        <f t="shared" si="59"/>
        <v/>
      </c>
      <c r="X208" s="45" t="str">
        <f t="shared" si="60"/>
        <v/>
      </c>
      <c r="AD208" s="77"/>
      <c r="AE208" s="77"/>
      <c r="AF208" s="172"/>
      <c r="AG208" s="116"/>
      <c r="AH208" s="118"/>
      <c r="AI208" s="77"/>
      <c r="AJ208" s="172"/>
      <c r="AK208" s="116"/>
      <c r="AL208" s="79"/>
      <c r="AM208" s="77"/>
      <c r="AN208" s="172"/>
      <c r="AO208" s="116"/>
      <c r="AQ208" s="43">
        <f t="shared" si="49"/>
        <v>0</v>
      </c>
      <c r="AR208" s="43">
        <f t="shared" si="50"/>
        <v>0</v>
      </c>
      <c r="AS208" s="43">
        <f t="shared" si="51"/>
        <v>0</v>
      </c>
    </row>
    <row r="209" spans="2:45" ht="21" customHeight="1">
      <c r="B209" s="43">
        <v>205</v>
      </c>
      <c r="C209" s="44" t="str">
        <f>'Course 1'!C209</f>
        <v/>
      </c>
      <c r="D209" s="46" t="str">
        <f>IF(C209="","",HLOOKUP(C209,'Règles et points'!$D$5:$Y$7,3))</f>
        <v/>
      </c>
      <c r="E209" s="46" t="str">
        <f>IF(C209="","",HLOOKUP(C209,'Règles et points'!$D$5:$Y$7,2))</f>
        <v/>
      </c>
      <c r="F209" s="43" t="str">
        <f>IF('Course 1'!E209="","",'Course 1'!E209)</f>
        <v/>
      </c>
      <c r="G209" s="43" t="str">
        <f>IF('Course 1'!F209="","",'Course 1'!F209)</f>
        <v/>
      </c>
      <c r="H209" s="56">
        <f>'Course 1'!M209+'Course 2'!M209+'Course 3'!M209+'Course 4'!M209+'Course 4'!M209</f>
        <v>0</v>
      </c>
      <c r="J209" s="43" t="str">
        <f t="shared" si="52"/>
        <v/>
      </c>
      <c r="K209" s="43" t="str">
        <f t="shared" si="53"/>
        <v/>
      </c>
      <c r="L209" s="53" t="str">
        <f t="shared" si="54"/>
        <v/>
      </c>
      <c r="N209" s="43" t="str">
        <f t="shared" si="61"/>
        <v/>
      </c>
      <c r="O209" s="43" t="str">
        <f t="shared" si="62"/>
        <v/>
      </c>
      <c r="P209" s="53" t="str">
        <f t="shared" si="63"/>
        <v/>
      </c>
      <c r="R209" s="43" t="str">
        <f t="shared" si="55"/>
        <v/>
      </c>
      <c r="S209" s="43" t="str">
        <f t="shared" si="56"/>
        <v/>
      </c>
      <c r="T209" s="45" t="str">
        <f t="shared" si="57"/>
        <v/>
      </c>
      <c r="V209" s="43" t="str">
        <f t="shared" si="58"/>
        <v/>
      </c>
      <c r="W209" s="43" t="str">
        <f t="shared" si="59"/>
        <v/>
      </c>
      <c r="X209" s="45" t="str">
        <f t="shared" si="60"/>
        <v/>
      </c>
      <c r="AD209" s="77"/>
      <c r="AE209" s="77"/>
      <c r="AF209" s="172"/>
      <c r="AG209" s="116"/>
      <c r="AH209" s="118"/>
      <c r="AI209" s="77"/>
      <c r="AJ209" s="172"/>
      <c r="AK209" s="116"/>
      <c r="AL209" s="79"/>
      <c r="AM209" s="77"/>
      <c r="AN209" s="172"/>
      <c r="AO209" s="116"/>
      <c r="AQ209" s="43">
        <f t="shared" si="49"/>
        <v>0</v>
      </c>
      <c r="AR209" s="43">
        <f t="shared" si="50"/>
        <v>0</v>
      </c>
      <c r="AS209" s="43">
        <f t="shared" si="51"/>
        <v>0</v>
      </c>
    </row>
    <row r="210" spans="2:45" ht="21" customHeight="1">
      <c r="B210" s="43">
        <v>206</v>
      </c>
      <c r="C210" s="44" t="str">
        <f>'Course 1'!C210</f>
        <v/>
      </c>
      <c r="D210" s="46" t="str">
        <f>IF(C210="","",HLOOKUP(C210,'Règles et points'!$D$5:$Y$7,3))</f>
        <v/>
      </c>
      <c r="E210" s="46" t="str">
        <f>IF(C210="","",HLOOKUP(C210,'Règles et points'!$D$5:$Y$7,2))</f>
        <v/>
      </c>
      <c r="F210" s="43" t="str">
        <f>IF('Course 1'!E210="","",'Course 1'!E210)</f>
        <v/>
      </c>
      <c r="G210" s="43" t="str">
        <f>IF('Course 1'!F210="","",'Course 1'!F210)</f>
        <v/>
      </c>
      <c r="H210" s="56">
        <f>'Course 1'!M210+'Course 2'!M210+'Course 3'!M210+'Course 4'!M210+'Course 4'!M210</f>
        <v>0</v>
      </c>
      <c r="J210" s="43" t="str">
        <f t="shared" si="52"/>
        <v/>
      </c>
      <c r="K210" s="43" t="str">
        <f t="shared" si="53"/>
        <v/>
      </c>
      <c r="L210" s="53" t="str">
        <f t="shared" si="54"/>
        <v/>
      </c>
      <c r="N210" s="43" t="str">
        <f t="shared" si="61"/>
        <v/>
      </c>
      <c r="O210" s="43" t="str">
        <f t="shared" si="62"/>
        <v/>
      </c>
      <c r="P210" s="53" t="str">
        <f t="shared" si="63"/>
        <v/>
      </c>
      <c r="R210" s="43" t="str">
        <f t="shared" si="55"/>
        <v/>
      </c>
      <c r="S210" s="43" t="str">
        <f t="shared" si="56"/>
        <v/>
      </c>
      <c r="T210" s="45" t="str">
        <f t="shared" si="57"/>
        <v/>
      </c>
      <c r="V210" s="43" t="str">
        <f t="shared" si="58"/>
        <v/>
      </c>
      <c r="W210" s="43" t="str">
        <f t="shared" si="59"/>
        <v/>
      </c>
      <c r="X210" s="45" t="str">
        <f t="shared" si="60"/>
        <v/>
      </c>
      <c r="AD210" s="77"/>
      <c r="AE210" s="77"/>
      <c r="AF210" s="172"/>
      <c r="AG210" s="116"/>
      <c r="AH210" s="118"/>
      <c r="AI210" s="77"/>
      <c r="AJ210" s="172"/>
      <c r="AK210" s="116"/>
      <c r="AL210" s="79"/>
      <c r="AM210" s="77"/>
      <c r="AN210" s="172"/>
      <c r="AO210" s="116"/>
      <c r="AQ210" s="43">
        <f t="shared" si="49"/>
        <v>0</v>
      </c>
      <c r="AR210" s="43">
        <f t="shared" si="50"/>
        <v>0</v>
      </c>
      <c r="AS210" s="43">
        <f t="shared" si="51"/>
        <v>0</v>
      </c>
    </row>
    <row r="211" spans="2:45" ht="21" customHeight="1">
      <c r="B211" s="43">
        <v>207</v>
      </c>
      <c r="C211" s="44" t="str">
        <f>'Course 1'!C211</f>
        <v/>
      </c>
      <c r="D211" s="46" t="str">
        <f>IF(C211="","",HLOOKUP(C211,'Règles et points'!$D$5:$Y$7,3))</f>
        <v/>
      </c>
      <c r="E211" s="46" t="str">
        <f>IF(C211="","",HLOOKUP(C211,'Règles et points'!$D$5:$Y$7,2))</f>
        <v/>
      </c>
      <c r="F211" s="43" t="str">
        <f>IF('Course 1'!E211="","",'Course 1'!E211)</f>
        <v/>
      </c>
      <c r="G211" s="43" t="str">
        <f>IF('Course 1'!F211="","",'Course 1'!F211)</f>
        <v/>
      </c>
      <c r="H211" s="56">
        <f>'Course 1'!M211+'Course 2'!M211+'Course 3'!M211+'Course 4'!M211+'Course 4'!M211</f>
        <v>0</v>
      </c>
      <c r="J211" s="43" t="str">
        <f t="shared" si="52"/>
        <v/>
      </c>
      <c r="K211" s="43" t="str">
        <f t="shared" si="53"/>
        <v/>
      </c>
      <c r="L211" s="53" t="str">
        <f t="shared" si="54"/>
        <v/>
      </c>
      <c r="N211" s="43" t="str">
        <f t="shared" si="61"/>
        <v/>
      </c>
      <c r="O211" s="43" t="str">
        <f t="shared" si="62"/>
        <v/>
      </c>
      <c r="P211" s="53" t="str">
        <f t="shared" si="63"/>
        <v/>
      </c>
      <c r="R211" s="43" t="str">
        <f t="shared" si="55"/>
        <v/>
      </c>
      <c r="S211" s="43" t="str">
        <f t="shared" si="56"/>
        <v/>
      </c>
      <c r="T211" s="45" t="str">
        <f t="shared" si="57"/>
        <v/>
      </c>
      <c r="V211" s="43" t="str">
        <f t="shared" si="58"/>
        <v/>
      </c>
      <c r="W211" s="43" t="str">
        <f t="shared" si="59"/>
        <v/>
      </c>
      <c r="X211" s="45" t="str">
        <f t="shared" si="60"/>
        <v/>
      </c>
      <c r="AD211" s="77"/>
      <c r="AE211" s="77"/>
      <c r="AF211" s="172"/>
      <c r="AG211" s="116"/>
      <c r="AH211" s="118"/>
      <c r="AI211" s="77"/>
      <c r="AJ211" s="172"/>
      <c r="AK211" s="116"/>
      <c r="AL211" s="79"/>
      <c r="AM211" s="77"/>
      <c r="AN211" s="172"/>
      <c r="AO211" s="116"/>
      <c r="AQ211" s="43">
        <f t="shared" si="49"/>
        <v>0</v>
      </c>
      <c r="AR211" s="43">
        <f t="shared" si="50"/>
        <v>0</v>
      </c>
      <c r="AS211" s="43">
        <f t="shared" si="51"/>
        <v>0</v>
      </c>
    </row>
    <row r="212" spans="2:45" ht="21" customHeight="1">
      <c r="B212" s="43">
        <v>208</v>
      </c>
      <c r="C212" s="44" t="str">
        <f>'Course 1'!C212</f>
        <v/>
      </c>
      <c r="D212" s="46" t="str">
        <f>IF(C212="","",HLOOKUP(C212,'Règles et points'!$D$5:$Y$7,3))</f>
        <v/>
      </c>
      <c r="E212" s="46" t="str">
        <f>IF(C212="","",HLOOKUP(C212,'Règles et points'!$D$5:$Y$7,2))</f>
        <v/>
      </c>
      <c r="F212" s="43" t="str">
        <f>IF('Course 1'!E212="","",'Course 1'!E212)</f>
        <v/>
      </c>
      <c r="G212" s="43" t="str">
        <f>IF('Course 1'!F212="","",'Course 1'!F212)</f>
        <v/>
      </c>
      <c r="H212" s="56">
        <f>'Course 1'!M212+'Course 2'!M212+'Course 3'!M212+'Course 4'!M212+'Course 4'!M212</f>
        <v>0</v>
      </c>
      <c r="J212" s="43" t="str">
        <f t="shared" si="52"/>
        <v/>
      </c>
      <c r="K212" s="43" t="str">
        <f t="shared" si="53"/>
        <v/>
      </c>
      <c r="L212" s="53" t="str">
        <f t="shared" si="54"/>
        <v/>
      </c>
      <c r="N212" s="43" t="str">
        <f t="shared" si="61"/>
        <v/>
      </c>
      <c r="O212" s="43" t="str">
        <f t="shared" si="62"/>
        <v/>
      </c>
      <c r="P212" s="53" t="str">
        <f t="shared" si="63"/>
        <v/>
      </c>
      <c r="R212" s="43" t="str">
        <f t="shared" si="55"/>
        <v/>
      </c>
      <c r="S212" s="43" t="str">
        <f t="shared" si="56"/>
        <v/>
      </c>
      <c r="T212" s="45" t="str">
        <f t="shared" si="57"/>
        <v/>
      </c>
      <c r="V212" s="43" t="str">
        <f t="shared" si="58"/>
        <v/>
      </c>
      <c r="W212" s="43" t="str">
        <f t="shared" si="59"/>
        <v/>
      </c>
      <c r="X212" s="45" t="str">
        <f t="shared" si="60"/>
        <v/>
      </c>
      <c r="AD212" s="77"/>
      <c r="AE212" s="77"/>
      <c r="AF212" s="172"/>
      <c r="AG212" s="116"/>
      <c r="AH212" s="118"/>
      <c r="AI212" s="77"/>
      <c r="AJ212" s="172"/>
      <c r="AK212" s="116"/>
      <c r="AL212" s="79"/>
      <c r="AM212" s="77"/>
      <c r="AN212" s="172"/>
      <c r="AO212" s="116"/>
      <c r="AQ212" s="43">
        <f t="shared" si="49"/>
        <v>0</v>
      </c>
      <c r="AR212" s="43">
        <f t="shared" si="50"/>
        <v>0</v>
      </c>
      <c r="AS212" s="43">
        <f t="shared" si="51"/>
        <v>0</v>
      </c>
    </row>
    <row r="213" spans="2:45" ht="21" customHeight="1">
      <c r="B213" s="43">
        <v>209</v>
      </c>
      <c r="C213" s="44" t="str">
        <f>'Course 1'!C213</f>
        <v/>
      </c>
      <c r="D213" s="46" t="str">
        <f>IF(C213="","",HLOOKUP(C213,'Règles et points'!$D$5:$Y$7,3))</f>
        <v/>
      </c>
      <c r="E213" s="46" t="str">
        <f>IF(C213="","",HLOOKUP(C213,'Règles et points'!$D$5:$Y$7,2))</f>
        <v/>
      </c>
      <c r="F213" s="43" t="str">
        <f>IF('Course 1'!E213="","",'Course 1'!E213)</f>
        <v/>
      </c>
      <c r="G213" s="43" t="str">
        <f>IF('Course 1'!F213="","",'Course 1'!F213)</f>
        <v/>
      </c>
      <c r="H213" s="56">
        <f>'Course 1'!M213+'Course 2'!M213+'Course 3'!M213+'Course 4'!M213+'Course 4'!M213</f>
        <v>0</v>
      </c>
      <c r="J213" s="43" t="str">
        <f t="shared" si="52"/>
        <v/>
      </c>
      <c r="K213" s="43" t="str">
        <f t="shared" si="53"/>
        <v/>
      </c>
      <c r="L213" s="53" t="str">
        <f t="shared" si="54"/>
        <v/>
      </c>
      <c r="N213" s="43" t="str">
        <f t="shared" si="61"/>
        <v/>
      </c>
      <c r="O213" s="43" t="str">
        <f t="shared" si="62"/>
        <v/>
      </c>
      <c r="P213" s="53" t="str">
        <f t="shared" si="63"/>
        <v/>
      </c>
      <c r="R213" s="43" t="str">
        <f t="shared" si="55"/>
        <v/>
      </c>
      <c r="S213" s="43" t="str">
        <f t="shared" si="56"/>
        <v/>
      </c>
      <c r="T213" s="45" t="str">
        <f t="shared" si="57"/>
        <v/>
      </c>
      <c r="V213" s="43" t="str">
        <f t="shared" si="58"/>
        <v/>
      </c>
      <c r="W213" s="43" t="str">
        <f t="shared" si="59"/>
        <v/>
      </c>
      <c r="X213" s="45" t="str">
        <f t="shared" si="60"/>
        <v/>
      </c>
      <c r="AD213" s="77"/>
      <c r="AE213" s="77"/>
      <c r="AF213" s="172"/>
      <c r="AG213" s="116"/>
      <c r="AH213" s="118"/>
      <c r="AI213" s="77"/>
      <c r="AJ213" s="172"/>
      <c r="AK213" s="116"/>
      <c r="AL213" s="79"/>
      <c r="AM213" s="77"/>
      <c r="AN213" s="172"/>
      <c r="AO213" s="116"/>
      <c r="AQ213" s="43">
        <f t="shared" si="49"/>
        <v>0</v>
      </c>
      <c r="AR213" s="43">
        <f t="shared" si="50"/>
        <v>0</v>
      </c>
      <c r="AS213" s="43">
        <f t="shared" si="51"/>
        <v>0</v>
      </c>
    </row>
    <row r="214" spans="2:45" ht="21" customHeight="1">
      <c r="B214" s="43">
        <v>210</v>
      </c>
      <c r="C214" s="44" t="str">
        <f>'Course 1'!C214</f>
        <v/>
      </c>
      <c r="D214" s="46" t="str">
        <f>IF(C214="","",HLOOKUP(C214,'Règles et points'!$D$5:$Y$7,3))</f>
        <v/>
      </c>
      <c r="E214" s="46" t="str">
        <f>IF(C214="","",HLOOKUP(C214,'Règles et points'!$D$5:$Y$7,2))</f>
        <v/>
      </c>
      <c r="F214" s="43" t="str">
        <f>IF('Course 1'!E214="","",'Course 1'!E214)</f>
        <v/>
      </c>
      <c r="G214" s="43" t="str">
        <f>IF('Course 1'!F214="","",'Course 1'!F214)</f>
        <v/>
      </c>
      <c r="H214" s="56">
        <f>'Course 1'!M214+'Course 2'!M214+'Course 3'!M214+'Course 4'!M214+'Course 4'!M214</f>
        <v>0</v>
      </c>
      <c r="J214" s="43" t="str">
        <f t="shared" si="52"/>
        <v/>
      </c>
      <c r="K214" s="43" t="str">
        <f t="shared" si="53"/>
        <v/>
      </c>
      <c r="L214" s="53" t="str">
        <f t="shared" si="54"/>
        <v/>
      </c>
      <c r="N214" s="43" t="str">
        <f t="shared" si="61"/>
        <v/>
      </c>
      <c r="O214" s="43" t="str">
        <f t="shared" si="62"/>
        <v/>
      </c>
      <c r="P214" s="53" t="str">
        <f t="shared" si="63"/>
        <v/>
      </c>
      <c r="R214" s="43" t="str">
        <f t="shared" si="55"/>
        <v/>
      </c>
      <c r="S214" s="43" t="str">
        <f t="shared" si="56"/>
        <v/>
      </c>
      <c r="T214" s="45" t="str">
        <f t="shared" si="57"/>
        <v/>
      </c>
      <c r="V214" s="43" t="str">
        <f t="shared" si="58"/>
        <v/>
      </c>
      <c r="W214" s="43" t="str">
        <f t="shared" si="59"/>
        <v/>
      </c>
      <c r="X214" s="45" t="str">
        <f t="shared" si="60"/>
        <v/>
      </c>
      <c r="AD214" s="77"/>
      <c r="AE214" s="77"/>
      <c r="AF214" s="172"/>
      <c r="AG214" s="116"/>
      <c r="AH214" s="118"/>
      <c r="AI214" s="77"/>
      <c r="AJ214" s="172"/>
      <c r="AK214" s="116"/>
      <c r="AL214" s="79"/>
      <c r="AM214" s="77"/>
      <c r="AN214" s="172"/>
      <c r="AO214" s="116"/>
      <c r="AQ214" s="43">
        <f t="shared" si="49"/>
        <v>0</v>
      </c>
      <c r="AR214" s="43">
        <f t="shared" si="50"/>
        <v>0</v>
      </c>
      <c r="AS214" s="43">
        <f t="shared" si="51"/>
        <v>0</v>
      </c>
    </row>
    <row r="215" spans="2:45" ht="21" customHeight="1">
      <c r="B215" s="43">
        <v>211</v>
      </c>
      <c r="C215" s="44" t="str">
        <f>'Course 1'!C215</f>
        <v/>
      </c>
      <c r="D215" s="46" t="str">
        <f>IF(C215="","",HLOOKUP(C215,'Règles et points'!$D$5:$Y$7,3))</f>
        <v/>
      </c>
      <c r="E215" s="46" t="str">
        <f>IF(C215="","",HLOOKUP(C215,'Règles et points'!$D$5:$Y$7,2))</f>
        <v/>
      </c>
      <c r="F215" s="43" t="str">
        <f>IF('Course 1'!E215="","",'Course 1'!E215)</f>
        <v/>
      </c>
      <c r="G215" s="43" t="str">
        <f>IF('Course 1'!F215="","",'Course 1'!F215)</f>
        <v/>
      </c>
      <c r="H215" s="56">
        <f>'Course 1'!M215+'Course 2'!M215+'Course 3'!M215+'Course 4'!M215+'Course 4'!M215</f>
        <v>0</v>
      </c>
      <c r="J215" s="43" t="str">
        <f t="shared" si="52"/>
        <v/>
      </c>
      <c r="K215" s="43" t="str">
        <f t="shared" si="53"/>
        <v/>
      </c>
      <c r="L215" s="53" t="str">
        <f t="shared" si="54"/>
        <v/>
      </c>
      <c r="N215" s="43" t="str">
        <f t="shared" si="61"/>
        <v/>
      </c>
      <c r="O215" s="43" t="str">
        <f t="shared" si="62"/>
        <v/>
      </c>
      <c r="P215" s="53" t="str">
        <f t="shared" si="63"/>
        <v/>
      </c>
      <c r="R215" s="43" t="str">
        <f t="shared" si="55"/>
        <v/>
      </c>
      <c r="S215" s="43" t="str">
        <f t="shared" si="56"/>
        <v/>
      </c>
      <c r="T215" s="45" t="str">
        <f t="shared" si="57"/>
        <v/>
      </c>
      <c r="V215" s="43" t="str">
        <f t="shared" si="58"/>
        <v/>
      </c>
      <c r="W215" s="43" t="str">
        <f t="shared" si="59"/>
        <v/>
      </c>
      <c r="X215" s="45" t="str">
        <f t="shared" si="60"/>
        <v/>
      </c>
      <c r="AD215" s="77"/>
      <c r="AE215" s="77"/>
      <c r="AF215" s="172"/>
      <c r="AG215" s="116"/>
      <c r="AH215" s="118"/>
      <c r="AI215" s="77"/>
      <c r="AJ215" s="172"/>
      <c r="AK215" s="116"/>
      <c r="AL215" s="79"/>
      <c r="AM215" s="77"/>
      <c r="AN215" s="172"/>
      <c r="AO215" s="116"/>
      <c r="AQ215" s="43">
        <f t="shared" si="49"/>
        <v>0</v>
      </c>
      <c r="AR215" s="43">
        <f t="shared" si="50"/>
        <v>0</v>
      </c>
      <c r="AS215" s="43">
        <f t="shared" si="51"/>
        <v>0</v>
      </c>
    </row>
    <row r="216" spans="2:45" ht="21" customHeight="1">
      <c r="B216" s="43">
        <v>212</v>
      </c>
      <c r="C216" s="44" t="str">
        <f>'Course 1'!C216</f>
        <v/>
      </c>
      <c r="D216" s="46" t="str">
        <f>IF(C216="","",HLOOKUP(C216,'Règles et points'!$D$5:$Y$7,3))</f>
        <v/>
      </c>
      <c r="E216" s="46" t="str">
        <f>IF(C216="","",HLOOKUP(C216,'Règles et points'!$D$5:$Y$7,2))</f>
        <v/>
      </c>
      <c r="F216" s="43" t="str">
        <f>IF('Course 1'!E216="","",'Course 1'!E216)</f>
        <v/>
      </c>
      <c r="G216" s="43" t="str">
        <f>IF('Course 1'!F216="","",'Course 1'!F216)</f>
        <v/>
      </c>
      <c r="H216" s="56">
        <f>'Course 1'!M216+'Course 2'!M216+'Course 3'!M216+'Course 4'!M216+'Course 4'!M216</f>
        <v>0</v>
      </c>
      <c r="J216" s="43" t="str">
        <f t="shared" si="52"/>
        <v/>
      </c>
      <c r="K216" s="43" t="str">
        <f t="shared" si="53"/>
        <v/>
      </c>
      <c r="L216" s="53" t="str">
        <f t="shared" si="54"/>
        <v/>
      </c>
      <c r="N216" s="43" t="str">
        <f t="shared" si="61"/>
        <v/>
      </c>
      <c r="O216" s="43" t="str">
        <f t="shared" si="62"/>
        <v/>
      </c>
      <c r="P216" s="53" t="str">
        <f t="shared" si="63"/>
        <v/>
      </c>
      <c r="R216" s="43" t="str">
        <f t="shared" si="55"/>
        <v/>
      </c>
      <c r="S216" s="43" t="str">
        <f t="shared" si="56"/>
        <v/>
      </c>
      <c r="T216" s="45" t="str">
        <f t="shared" si="57"/>
        <v/>
      </c>
      <c r="V216" s="43" t="str">
        <f t="shared" si="58"/>
        <v/>
      </c>
      <c r="W216" s="43" t="str">
        <f t="shared" si="59"/>
        <v/>
      </c>
      <c r="X216" s="45" t="str">
        <f t="shared" si="60"/>
        <v/>
      </c>
      <c r="AD216" s="77"/>
      <c r="AE216" s="77"/>
      <c r="AF216" s="172"/>
      <c r="AG216" s="116"/>
      <c r="AH216" s="118"/>
      <c r="AI216" s="77"/>
      <c r="AJ216" s="172"/>
      <c r="AK216" s="116"/>
      <c r="AL216" s="79"/>
      <c r="AM216" s="77"/>
      <c r="AN216" s="172"/>
      <c r="AO216" s="116"/>
      <c r="AQ216" s="43">
        <f t="shared" si="49"/>
        <v>0</v>
      </c>
      <c r="AR216" s="43">
        <f t="shared" si="50"/>
        <v>0</v>
      </c>
      <c r="AS216" s="43">
        <f t="shared" si="51"/>
        <v>0</v>
      </c>
    </row>
    <row r="217" spans="2:45" ht="21" customHeight="1">
      <c r="B217" s="43">
        <v>213</v>
      </c>
      <c r="C217" s="44" t="str">
        <f>'Course 1'!C217</f>
        <v/>
      </c>
      <c r="D217" s="46" t="str">
        <f>IF(C217="","",HLOOKUP(C217,'Règles et points'!$D$5:$Y$7,3))</f>
        <v/>
      </c>
      <c r="E217" s="46" t="str">
        <f>IF(C217="","",HLOOKUP(C217,'Règles et points'!$D$5:$Y$7,2))</f>
        <v/>
      </c>
      <c r="F217" s="43" t="str">
        <f>IF('Course 1'!E217="","",'Course 1'!E217)</f>
        <v/>
      </c>
      <c r="G217" s="43" t="str">
        <f>IF('Course 1'!F217="","",'Course 1'!F217)</f>
        <v/>
      </c>
      <c r="H217" s="56">
        <f>'Course 1'!M217+'Course 2'!M217+'Course 3'!M217+'Course 4'!M217+'Course 4'!M217</f>
        <v>0</v>
      </c>
      <c r="J217" s="43" t="str">
        <f t="shared" si="52"/>
        <v/>
      </c>
      <c r="K217" s="43" t="str">
        <f t="shared" si="53"/>
        <v/>
      </c>
      <c r="L217" s="53" t="str">
        <f t="shared" si="54"/>
        <v/>
      </c>
      <c r="N217" s="43" t="str">
        <f t="shared" si="61"/>
        <v/>
      </c>
      <c r="O217" s="43" t="str">
        <f t="shared" si="62"/>
        <v/>
      </c>
      <c r="P217" s="53" t="str">
        <f t="shared" si="63"/>
        <v/>
      </c>
      <c r="R217" s="43" t="str">
        <f t="shared" si="55"/>
        <v/>
      </c>
      <c r="S217" s="43" t="str">
        <f t="shared" si="56"/>
        <v/>
      </c>
      <c r="T217" s="45" t="str">
        <f t="shared" si="57"/>
        <v/>
      </c>
      <c r="V217" s="43" t="str">
        <f t="shared" si="58"/>
        <v/>
      </c>
      <c r="W217" s="43" t="str">
        <f t="shared" si="59"/>
        <v/>
      </c>
      <c r="X217" s="45" t="str">
        <f t="shared" si="60"/>
        <v/>
      </c>
      <c r="AD217" s="77"/>
      <c r="AE217" s="77"/>
      <c r="AF217" s="172"/>
      <c r="AG217" s="116"/>
      <c r="AH217" s="118"/>
      <c r="AI217" s="77"/>
      <c r="AJ217" s="172"/>
      <c r="AK217" s="116"/>
      <c r="AL217" s="79"/>
      <c r="AM217" s="77"/>
      <c r="AN217" s="172"/>
      <c r="AO217" s="116"/>
      <c r="AQ217" s="43">
        <f t="shared" si="49"/>
        <v>0</v>
      </c>
      <c r="AR217" s="43">
        <f t="shared" si="50"/>
        <v>0</v>
      </c>
      <c r="AS217" s="43">
        <f t="shared" si="51"/>
        <v>0</v>
      </c>
    </row>
    <row r="218" spans="2:45" ht="21" customHeight="1">
      <c r="B218" s="43">
        <v>214</v>
      </c>
      <c r="C218" s="44" t="str">
        <f>'Course 1'!C218</f>
        <v/>
      </c>
      <c r="D218" s="46" t="str">
        <f>IF(C218="","",HLOOKUP(C218,'Règles et points'!$D$5:$Y$7,3))</f>
        <v/>
      </c>
      <c r="E218" s="46" t="str">
        <f>IF(C218="","",HLOOKUP(C218,'Règles et points'!$D$5:$Y$7,2))</f>
        <v/>
      </c>
      <c r="F218" s="43" t="str">
        <f>IF('Course 1'!E218="","",'Course 1'!E218)</f>
        <v/>
      </c>
      <c r="G218" s="43" t="str">
        <f>IF('Course 1'!F218="","",'Course 1'!F218)</f>
        <v/>
      </c>
      <c r="H218" s="56">
        <f>'Course 1'!M218+'Course 2'!M218+'Course 3'!M218+'Course 4'!M218+'Course 4'!M218</f>
        <v>0</v>
      </c>
      <c r="J218" s="43" t="str">
        <f t="shared" si="52"/>
        <v/>
      </c>
      <c r="K218" s="43" t="str">
        <f t="shared" si="53"/>
        <v/>
      </c>
      <c r="L218" s="53" t="str">
        <f t="shared" si="54"/>
        <v/>
      </c>
      <c r="N218" s="43" t="str">
        <f t="shared" si="61"/>
        <v/>
      </c>
      <c r="O218" s="43" t="str">
        <f t="shared" si="62"/>
        <v/>
      </c>
      <c r="P218" s="53" t="str">
        <f t="shared" si="63"/>
        <v/>
      </c>
      <c r="R218" s="43" t="str">
        <f t="shared" si="55"/>
        <v/>
      </c>
      <c r="S218" s="43" t="str">
        <f t="shared" si="56"/>
        <v/>
      </c>
      <c r="T218" s="45" t="str">
        <f t="shared" si="57"/>
        <v/>
      </c>
      <c r="V218" s="43" t="str">
        <f t="shared" si="58"/>
        <v/>
      </c>
      <c r="W218" s="43" t="str">
        <f t="shared" si="59"/>
        <v/>
      </c>
      <c r="X218" s="45" t="str">
        <f t="shared" si="60"/>
        <v/>
      </c>
      <c r="AD218" s="77"/>
      <c r="AE218" s="77"/>
      <c r="AF218" s="172"/>
      <c r="AG218" s="116"/>
      <c r="AH218" s="118"/>
      <c r="AI218" s="77"/>
      <c r="AJ218" s="172"/>
      <c r="AK218" s="116"/>
      <c r="AL218" s="79"/>
      <c r="AM218" s="77"/>
      <c r="AN218" s="172"/>
      <c r="AO218" s="116"/>
      <c r="AQ218" s="43">
        <f t="shared" si="49"/>
        <v>0</v>
      </c>
      <c r="AR218" s="43">
        <f t="shared" si="50"/>
        <v>0</v>
      </c>
      <c r="AS218" s="43">
        <f t="shared" si="51"/>
        <v>0</v>
      </c>
    </row>
    <row r="219" spans="2:45" ht="21" customHeight="1">
      <c r="B219" s="43">
        <v>215</v>
      </c>
      <c r="C219" s="44" t="str">
        <f>'Course 1'!C219</f>
        <v/>
      </c>
      <c r="D219" s="46" t="str">
        <f>IF(C219="","",HLOOKUP(C219,'Règles et points'!$D$5:$Y$7,3))</f>
        <v/>
      </c>
      <c r="E219" s="46" t="str">
        <f>IF(C219="","",HLOOKUP(C219,'Règles et points'!$D$5:$Y$7,2))</f>
        <v/>
      </c>
      <c r="F219" s="43" t="str">
        <f>IF('Course 1'!E219="","",'Course 1'!E219)</f>
        <v/>
      </c>
      <c r="G219" s="43" t="str">
        <f>IF('Course 1'!F219="","",'Course 1'!F219)</f>
        <v/>
      </c>
      <c r="H219" s="56">
        <f>'Course 1'!M219+'Course 2'!M219+'Course 3'!M219+'Course 4'!M219+'Course 4'!M219</f>
        <v>0</v>
      </c>
      <c r="J219" s="43" t="str">
        <f t="shared" si="52"/>
        <v/>
      </c>
      <c r="K219" s="43" t="str">
        <f t="shared" si="53"/>
        <v/>
      </c>
      <c r="L219" s="53" t="str">
        <f t="shared" si="54"/>
        <v/>
      </c>
      <c r="N219" s="43" t="str">
        <f t="shared" si="61"/>
        <v/>
      </c>
      <c r="O219" s="43" t="str">
        <f t="shared" si="62"/>
        <v/>
      </c>
      <c r="P219" s="53" t="str">
        <f t="shared" si="63"/>
        <v/>
      </c>
      <c r="R219" s="43" t="str">
        <f t="shared" si="55"/>
        <v/>
      </c>
      <c r="S219" s="43" t="str">
        <f t="shared" si="56"/>
        <v/>
      </c>
      <c r="T219" s="45" t="str">
        <f t="shared" si="57"/>
        <v/>
      </c>
      <c r="V219" s="43" t="str">
        <f t="shared" si="58"/>
        <v/>
      </c>
      <c r="W219" s="43" t="str">
        <f t="shared" si="59"/>
        <v/>
      </c>
      <c r="X219" s="45" t="str">
        <f t="shared" si="60"/>
        <v/>
      </c>
      <c r="AD219" s="77"/>
      <c r="AE219" s="77"/>
      <c r="AF219" s="172"/>
      <c r="AG219" s="116"/>
      <c r="AH219" s="118"/>
      <c r="AI219" s="77"/>
      <c r="AJ219" s="172"/>
      <c r="AK219" s="116"/>
      <c r="AL219" s="79"/>
      <c r="AM219" s="77"/>
      <c r="AN219" s="172"/>
      <c r="AO219" s="116"/>
      <c r="AQ219" s="43">
        <f t="shared" si="49"/>
        <v>0</v>
      </c>
      <c r="AR219" s="43">
        <f t="shared" si="50"/>
        <v>0</v>
      </c>
      <c r="AS219" s="43">
        <f t="shared" si="51"/>
        <v>0</v>
      </c>
    </row>
    <row r="220" spans="2:45" ht="21" customHeight="1">
      <c r="B220" s="43">
        <v>216</v>
      </c>
      <c r="C220" s="44" t="str">
        <f>'Course 1'!C220</f>
        <v/>
      </c>
      <c r="D220" s="46" t="str">
        <f>IF(C220="","",HLOOKUP(C220,'Règles et points'!$D$5:$Y$7,3))</f>
        <v/>
      </c>
      <c r="E220" s="46" t="str">
        <f>IF(C220="","",HLOOKUP(C220,'Règles et points'!$D$5:$Y$7,2))</f>
        <v/>
      </c>
      <c r="F220" s="43" t="str">
        <f>IF('Course 1'!E220="","",'Course 1'!E220)</f>
        <v/>
      </c>
      <c r="G220" s="43" t="str">
        <f>IF('Course 1'!F220="","",'Course 1'!F220)</f>
        <v/>
      </c>
      <c r="H220" s="56">
        <f>'Course 1'!M220+'Course 2'!M220+'Course 3'!M220+'Course 4'!M220+'Course 4'!M220</f>
        <v>0</v>
      </c>
      <c r="J220" s="43" t="str">
        <f t="shared" si="52"/>
        <v/>
      </c>
      <c r="K220" s="43" t="str">
        <f t="shared" si="53"/>
        <v/>
      </c>
      <c r="L220" s="53" t="str">
        <f t="shared" si="54"/>
        <v/>
      </c>
      <c r="N220" s="43" t="str">
        <f t="shared" si="61"/>
        <v/>
      </c>
      <c r="O220" s="43" t="str">
        <f t="shared" si="62"/>
        <v/>
      </c>
      <c r="P220" s="53" t="str">
        <f t="shared" si="63"/>
        <v/>
      </c>
      <c r="R220" s="43" t="str">
        <f t="shared" si="55"/>
        <v/>
      </c>
      <c r="S220" s="43" t="str">
        <f t="shared" si="56"/>
        <v/>
      </c>
      <c r="T220" s="45" t="str">
        <f t="shared" si="57"/>
        <v/>
      </c>
      <c r="V220" s="43" t="str">
        <f t="shared" si="58"/>
        <v/>
      </c>
      <c r="W220" s="43" t="str">
        <f t="shared" si="59"/>
        <v/>
      </c>
      <c r="X220" s="45" t="str">
        <f t="shared" si="60"/>
        <v/>
      </c>
      <c r="AD220" s="77"/>
      <c r="AE220" s="77"/>
      <c r="AF220" s="172"/>
      <c r="AG220" s="116"/>
      <c r="AH220" s="118"/>
      <c r="AI220" s="77"/>
      <c r="AJ220" s="172"/>
      <c r="AK220" s="116"/>
      <c r="AL220" s="79"/>
      <c r="AM220" s="77"/>
      <c r="AN220" s="172"/>
      <c r="AO220" s="116"/>
      <c r="AQ220" s="43">
        <f t="shared" si="49"/>
        <v>0</v>
      </c>
      <c r="AR220" s="43">
        <f t="shared" si="50"/>
        <v>0</v>
      </c>
      <c r="AS220" s="43">
        <f t="shared" si="51"/>
        <v>0</v>
      </c>
    </row>
    <row r="221" spans="2:45" ht="21" customHeight="1">
      <c r="B221" s="43">
        <v>217</v>
      </c>
      <c r="C221" s="44" t="str">
        <f>'Course 1'!C221</f>
        <v/>
      </c>
      <c r="D221" s="46" t="str">
        <f>IF(C221="","",HLOOKUP(C221,'Règles et points'!$D$5:$Y$7,3))</f>
        <v/>
      </c>
      <c r="E221" s="46" t="str">
        <f>IF(C221="","",HLOOKUP(C221,'Règles et points'!$D$5:$Y$7,2))</f>
        <v/>
      </c>
      <c r="F221" s="43" t="str">
        <f>IF('Course 1'!E221="","",'Course 1'!E221)</f>
        <v/>
      </c>
      <c r="G221" s="43" t="str">
        <f>IF('Course 1'!F221="","",'Course 1'!F221)</f>
        <v/>
      </c>
      <c r="H221" s="56">
        <f>'Course 1'!M221+'Course 2'!M221+'Course 3'!M221+'Course 4'!M221+'Course 4'!M221</f>
        <v>0</v>
      </c>
      <c r="J221" s="43" t="str">
        <f t="shared" si="52"/>
        <v/>
      </c>
      <c r="K221" s="43" t="str">
        <f t="shared" si="53"/>
        <v/>
      </c>
      <c r="L221" s="53" t="str">
        <f t="shared" si="54"/>
        <v/>
      </c>
      <c r="N221" s="43" t="str">
        <f t="shared" si="61"/>
        <v/>
      </c>
      <c r="O221" s="43" t="str">
        <f t="shared" si="62"/>
        <v/>
      </c>
      <c r="P221" s="53" t="str">
        <f t="shared" si="63"/>
        <v/>
      </c>
      <c r="R221" s="43" t="str">
        <f t="shared" si="55"/>
        <v/>
      </c>
      <c r="S221" s="43" t="str">
        <f t="shared" si="56"/>
        <v/>
      </c>
      <c r="T221" s="45" t="str">
        <f t="shared" si="57"/>
        <v/>
      </c>
      <c r="V221" s="43" t="str">
        <f t="shared" si="58"/>
        <v/>
      </c>
      <c r="W221" s="43" t="str">
        <f t="shared" si="59"/>
        <v/>
      </c>
      <c r="X221" s="45" t="str">
        <f t="shared" si="60"/>
        <v/>
      </c>
      <c r="AD221" s="77"/>
      <c r="AE221" s="77"/>
      <c r="AF221" s="172"/>
      <c r="AG221" s="116"/>
      <c r="AH221" s="118"/>
      <c r="AI221" s="77"/>
      <c r="AJ221" s="172"/>
      <c r="AK221" s="116"/>
      <c r="AL221" s="79"/>
      <c r="AM221" s="77"/>
      <c r="AN221" s="172"/>
      <c r="AO221" s="116"/>
      <c r="AQ221" s="43">
        <f t="shared" si="49"/>
        <v>0</v>
      </c>
      <c r="AR221" s="43">
        <f t="shared" si="50"/>
        <v>0</v>
      </c>
      <c r="AS221" s="43">
        <f t="shared" si="51"/>
        <v>0</v>
      </c>
    </row>
    <row r="222" spans="2:45" ht="21" customHeight="1">
      <c r="B222" s="43">
        <v>218</v>
      </c>
      <c r="C222" s="44" t="str">
        <f>'Course 1'!C222</f>
        <v/>
      </c>
      <c r="D222" s="46" t="str">
        <f>IF(C222="","",HLOOKUP(C222,'Règles et points'!$D$5:$Y$7,3))</f>
        <v/>
      </c>
      <c r="E222" s="46" t="str">
        <f>IF(C222="","",HLOOKUP(C222,'Règles et points'!$D$5:$Y$7,2))</f>
        <v/>
      </c>
      <c r="F222" s="43" t="str">
        <f>IF('Course 1'!E222="","",'Course 1'!E222)</f>
        <v/>
      </c>
      <c r="G222" s="43" t="str">
        <f>IF('Course 1'!F222="","",'Course 1'!F222)</f>
        <v/>
      </c>
      <c r="H222" s="56">
        <f>'Course 1'!M222+'Course 2'!M222+'Course 3'!M222+'Course 4'!M222+'Course 4'!M222</f>
        <v>0</v>
      </c>
      <c r="J222" s="43" t="str">
        <f t="shared" si="52"/>
        <v/>
      </c>
      <c r="K222" s="43" t="str">
        <f t="shared" si="53"/>
        <v/>
      </c>
      <c r="L222" s="53" t="str">
        <f t="shared" si="54"/>
        <v/>
      </c>
      <c r="N222" s="43" t="str">
        <f t="shared" si="61"/>
        <v/>
      </c>
      <c r="O222" s="43" t="str">
        <f t="shared" si="62"/>
        <v/>
      </c>
      <c r="P222" s="53" t="str">
        <f t="shared" si="63"/>
        <v/>
      </c>
      <c r="R222" s="43" t="str">
        <f t="shared" si="55"/>
        <v/>
      </c>
      <c r="S222" s="43" t="str">
        <f t="shared" si="56"/>
        <v/>
      </c>
      <c r="T222" s="45" t="str">
        <f t="shared" si="57"/>
        <v/>
      </c>
      <c r="V222" s="43" t="str">
        <f t="shared" si="58"/>
        <v/>
      </c>
      <c r="W222" s="43" t="str">
        <f t="shared" si="59"/>
        <v/>
      </c>
      <c r="X222" s="45" t="str">
        <f t="shared" si="60"/>
        <v/>
      </c>
      <c r="AD222" s="77"/>
      <c r="AE222" s="77"/>
      <c r="AF222" s="172"/>
      <c r="AG222" s="116"/>
      <c r="AH222" s="118"/>
      <c r="AI222" s="77"/>
      <c r="AJ222" s="172"/>
      <c r="AK222" s="116"/>
      <c r="AL222" s="79"/>
      <c r="AM222" s="77"/>
      <c r="AN222" s="172"/>
      <c r="AO222" s="116"/>
      <c r="AQ222" s="43">
        <f t="shared" si="49"/>
        <v>0</v>
      </c>
      <c r="AR222" s="43">
        <f t="shared" si="50"/>
        <v>0</v>
      </c>
      <c r="AS222" s="43">
        <f t="shared" si="51"/>
        <v>0</v>
      </c>
    </row>
    <row r="223" spans="2:45" ht="21" customHeight="1">
      <c r="B223" s="43">
        <v>219</v>
      </c>
      <c r="C223" s="44" t="str">
        <f>'Course 1'!C223</f>
        <v/>
      </c>
      <c r="D223" s="46" t="str">
        <f>IF(C223="","",HLOOKUP(C223,'Règles et points'!$D$5:$Y$7,3))</f>
        <v/>
      </c>
      <c r="E223" s="46" t="str">
        <f>IF(C223="","",HLOOKUP(C223,'Règles et points'!$D$5:$Y$7,2))</f>
        <v/>
      </c>
      <c r="F223" s="43" t="str">
        <f>IF('Course 1'!E223="","",'Course 1'!E223)</f>
        <v/>
      </c>
      <c r="G223" s="43" t="str">
        <f>IF('Course 1'!F223="","",'Course 1'!F223)</f>
        <v/>
      </c>
      <c r="H223" s="56">
        <f>'Course 1'!M223+'Course 2'!M223+'Course 3'!M223+'Course 4'!M223+'Course 4'!M223</f>
        <v>0</v>
      </c>
      <c r="J223" s="43" t="str">
        <f t="shared" si="52"/>
        <v/>
      </c>
      <c r="K223" s="43" t="str">
        <f t="shared" si="53"/>
        <v/>
      </c>
      <c r="L223" s="53" t="str">
        <f t="shared" si="54"/>
        <v/>
      </c>
      <c r="N223" s="43" t="str">
        <f t="shared" si="61"/>
        <v/>
      </c>
      <c r="O223" s="43" t="str">
        <f t="shared" si="62"/>
        <v/>
      </c>
      <c r="P223" s="53" t="str">
        <f t="shared" si="63"/>
        <v/>
      </c>
      <c r="R223" s="43" t="str">
        <f t="shared" si="55"/>
        <v/>
      </c>
      <c r="S223" s="43" t="str">
        <f t="shared" si="56"/>
        <v/>
      </c>
      <c r="T223" s="45" t="str">
        <f t="shared" si="57"/>
        <v/>
      </c>
      <c r="V223" s="43" t="str">
        <f t="shared" si="58"/>
        <v/>
      </c>
      <c r="W223" s="43" t="str">
        <f t="shared" si="59"/>
        <v/>
      </c>
      <c r="X223" s="45" t="str">
        <f t="shared" si="60"/>
        <v/>
      </c>
      <c r="AD223" s="77"/>
      <c r="AE223" s="77"/>
      <c r="AF223" s="172"/>
      <c r="AG223" s="116"/>
      <c r="AH223" s="118"/>
      <c r="AI223" s="77"/>
      <c r="AJ223" s="172"/>
      <c r="AK223" s="116"/>
      <c r="AL223" s="79"/>
      <c r="AM223" s="77"/>
      <c r="AN223" s="172"/>
      <c r="AO223" s="116"/>
      <c r="AQ223" s="43">
        <f t="shared" si="49"/>
        <v>0</v>
      </c>
      <c r="AR223" s="43">
        <f t="shared" si="50"/>
        <v>0</v>
      </c>
      <c r="AS223" s="43">
        <f t="shared" si="51"/>
        <v>0</v>
      </c>
    </row>
    <row r="224" spans="2:45" ht="21" customHeight="1">
      <c r="B224" s="43">
        <v>220</v>
      </c>
      <c r="C224" s="44" t="str">
        <f>'Course 1'!C224</f>
        <v/>
      </c>
      <c r="D224" s="46" t="str">
        <f>IF(C224="","",HLOOKUP(C224,'Règles et points'!$D$5:$Y$7,3))</f>
        <v/>
      </c>
      <c r="E224" s="46" t="str">
        <f>IF(C224="","",HLOOKUP(C224,'Règles et points'!$D$5:$Y$7,2))</f>
        <v/>
      </c>
      <c r="F224" s="43" t="str">
        <f>IF('Course 1'!E224="","",'Course 1'!E224)</f>
        <v/>
      </c>
      <c r="G224" s="43" t="str">
        <f>IF('Course 1'!F224="","",'Course 1'!F224)</f>
        <v/>
      </c>
      <c r="H224" s="56">
        <f>'Course 1'!M224+'Course 2'!M224+'Course 3'!M224+'Course 4'!M224+'Course 4'!M224</f>
        <v>0</v>
      </c>
      <c r="J224" s="43" t="str">
        <f t="shared" si="52"/>
        <v/>
      </c>
      <c r="K224" s="43" t="str">
        <f t="shared" si="53"/>
        <v/>
      </c>
      <c r="L224" s="53" t="str">
        <f t="shared" si="54"/>
        <v/>
      </c>
      <c r="N224" s="43" t="str">
        <f t="shared" si="61"/>
        <v/>
      </c>
      <c r="O224" s="43" t="str">
        <f t="shared" si="62"/>
        <v/>
      </c>
      <c r="P224" s="53" t="str">
        <f t="shared" si="63"/>
        <v/>
      </c>
      <c r="R224" s="43" t="str">
        <f t="shared" si="55"/>
        <v/>
      </c>
      <c r="S224" s="43" t="str">
        <f t="shared" si="56"/>
        <v/>
      </c>
      <c r="T224" s="45" t="str">
        <f t="shared" si="57"/>
        <v/>
      </c>
      <c r="V224" s="43" t="str">
        <f t="shared" si="58"/>
        <v/>
      </c>
      <c r="W224" s="43" t="str">
        <f t="shared" si="59"/>
        <v/>
      </c>
      <c r="X224" s="45" t="str">
        <f t="shared" si="60"/>
        <v/>
      </c>
      <c r="AD224" s="77"/>
      <c r="AE224" s="77"/>
      <c r="AF224" s="172"/>
      <c r="AG224" s="116"/>
      <c r="AH224" s="118"/>
      <c r="AI224" s="77"/>
      <c r="AJ224" s="172"/>
      <c r="AK224" s="116"/>
      <c r="AL224" s="79"/>
      <c r="AM224" s="77"/>
      <c r="AN224" s="172"/>
      <c r="AO224" s="116"/>
      <c r="AQ224" s="43">
        <f t="shared" si="49"/>
        <v>0</v>
      </c>
      <c r="AR224" s="43">
        <f t="shared" si="50"/>
        <v>0</v>
      </c>
      <c r="AS224" s="43">
        <f t="shared" si="51"/>
        <v>0</v>
      </c>
    </row>
    <row r="225" spans="2:45" ht="21" customHeight="1">
      <c r="B225" s="43">
        <v>221</v>
      </c>
      <c r="C225" s="44" t="str">
        <f>'Course 1'!C225</f>
        <v/>
      </c>
      <c r="D225" s="46" t="str">
        <f>IF(C225="","",HLOOKUP(C225,'Règles et points'!$D$5:$Y$7,3))</f>
        <v/>
      </c>
      <c r="E225" s="46" t="str">
        <f>IF(C225="","",HLOOKUP(C225,'Règles et points'!$D$5:$Y$7,2))</f>
        <v/>
      </c>
      <c r="F225" s="43" t="str">
        <f>IF('Course 1'!E225="","",'Course 1'!E225)</f>
        <v/>
      </c>
      <c r="G225" s="43" t="str">
        <f>IF('Course 1'!F225="","",'Course 1'!F225)</f>
        <v/>
      </c>
      <c r="H225" s="56">
        <f>'Course 1'!M225+'Course 2'!M225+'Course 3'!M225+'Course 4'!M225+'Course 4'!M225</f>
        <v>0</v>
      </c>
      <c r="J225" s="43" t="str">
        <f t="shared" si="52"/>
        <v/>
      </c>
      <c r="K225" s="43" t="str">
        <f t="shared" si="53"/>
        <v/>
      </c>
      <c r="L225" s="53" t="str">
        <f t="shared" si="54"/>
        <v/>
      </c>
      <c r="N225" s="43" t="str">
        <f t="shared" si="61"/>
        <v/>
      </c>
      <c r="O225" s="43" t="str">
        <f t="shared" si="62"/>
        <v/>
      </c>
      <c r="P225" s="53" t="str">
        <f t="shared" si="63"/>
        <v/>
      </c>
      <c r="R225" s="43" t="str">
        <f t="shared" si="55"/>
        <v/>
      </c>
      <c r="S225" s="43" t="str">
        <f t="shared" si="56"/>
        <v/>
      </c>
      <c r="T225" s="45" t="str">
        <f t="shared" si="57"/>
        <v/>
      </c>
      <c r="V225" s="43" t="str">
        <f t="shared" si="58"/>
        <v/>
      </c>
      <c r="W225" s="43" t="str">
        <f t="shared" si="59"/>
        <v/>
      </c>
      <c r="X225" s="45" t="str">
        <f t="shared" si="60"/>
        <v/>
      </c>
      <c r="AD225" s="77"/>
      <c r="AE225" s="77"/>
      <c r="AF225" s="172"/>
      <c r="AG225" s="116"/>
      <c r="AH225" s="118"/>
      <c r="AI225" s="77"/>
      <c r="AJ225" s="172"/>
      <c r="AK225" s="116"/>
      <c r="AL225" s="79"/>
      <c r="AM225" s="77"/>
      <c r="AN225" s="172"/>
      <c r="AO225" s="116"/>
      <c r="AQ225" s="43">
        <f t="shared" si="49"/>
        <v>0</v>
      </c>
      <c r="AR225" s="43">
        <f t="shared" si="50"/>
        <v>0</v>
      </c>
      <c r="AS225" s="43">
        <f t="shared" si="51"/>
        <v>0</v>
      </c>
    </row>
    <row r="226" spans="2:45" ht="21" customHeight="1">
      <c r="B226" s="43">
        <v>222</v>
      </c>
      <c r="C226" s="44" t="str">
        <f>'Course 1'!C226</f>
        <v/>
      </c>
      <c r="D226" s="46" t="str">
        <f>IF(C226="","",HLOOKUP(C226,'Règles et points'!$D$5:$Y$7,3))</f>
        <v/>
      </c>
      <c r="E226" s="46" t="str">
        <f>IF(C226="","",HLOOKUP(C226,'Règles et points'!$D$5:$Y$7,2))</f>
        <v/>
      </c>
      <c r="F226" s="43" t="str">
        <f>IF('Course 1'!E226="","",'Course 1'!E226)</f>
        <v/>
      </c>
      <c r="G226" s="43" t="str">
        <f>IF('Course 1'!F226="","",'Course 1'!F226)</f>
        <v/>
      </c>
      <c r="H226" s="56">
        <f>'Course 1'!M226+'Course 2'!M226+'Course 3'!M226+'Course 4'!M226+'Course 4'!M226</f>
        <v>0</v>
      </c>
      <c r="J226" s="43" t="str">
        <f t="shared" si="52"/>
        <v/>
      </c>
      <c r="K226" s="43" t="str">
        <f t="shared" si="53"/>
        <v/>
      </c>
      <c r="L226" s="53" t="str">
        <f t="shared" si="54"/>
        <v/>
      </c>
      <c r="N226" s="43" t="str">
        <f t="shared" si="61"/>
        <v/>
      </c>
      <c r="O226" s="43" t="str">
        <f t="shared" si="62"/>
        <v/>
      </c>
      <c r="P226" s="53" t="str">
        <f t="shared" si="63"/>
        <v/>
      </c>
      <c r="R226" s="43" t="str">
        <f t="shared" si="55"/>
        <v/>
      </c>
      <c r="S226" s="43" t="str">
        <f t="shared" si="56"/>
        <v/>
      </c>
      <c r="T226" s="45" t="str">
        <f t="shared" si="57"/>
        <v/>
      </c>
      <c r="V226" s="43" t="str">
        <f t="shared" si="58"/>
        <v/>
      </c>
      <c r="W226" s="43" t="str">
        <f t="shared" si="59"/>
        <v/>
      </c>
      <c r="X226" s="45" t="str">
        <f t="shared" si="60"/>
        <v/>
      </c>
      <c r="AD226" s="77"/>
      <c r="AE226" s="77"/>
      <c r="AF226" s="172"/>
      <c r="AG226" s="116"/>
      <c r="AH226" s="118"/>
      <c r="AI226" s="77"/>
      <c r="AJ226" s="172"/>
      <c r="AK226" s="116"/>
      <c r="AL226" s="79"/>
      <c r="AM226" s="77"/>
      <c r="AN226" s="172"/>
      <c r="AO226" s="116"/>
      <c r="AQ226" s="43">
        <f t="shared" si="49"/>
        <v>0</v>
      </c>
      <c r="AR226" s="43">
        <f t="shared" si="50"/>
        <v>0</v>
      </c>
      <c r="AS226" s="43">
        <f t="shared" si="51"/>
        <v>0</v>
      </c>
    </row>
    <row r="227" spans="2:45" ht="21" customHeight="1">
      <c r="B227" s="43">
        <v>223</v>
      </c>
      <c r="C227" s="44" t="str">
        <f>'Course 1'!C227</f>
        <v/>
      </c>
      <c r="D227" s="46" t="str">
        <f>IF(C227="","",HLOOKUP(C227,'Règles et points'!$D$5:$Y$7,3))</f>
        <v/>
      </c>
      <c r="E227" s="46" t="str">
        <f>IF(C227="","",HLOOKUP(C227,'Règles et points'!$D$5:$Y$7,2))</f>
        <v/>
      </c>
      <c r="F227" s="43" t="str">
        <f>IF('Course 1'!E227="","",'Course 1'!E227)</f>
        <v/>
      </c>
      <c r="G227" s="43" t="str">
        <f>IF('Course 1'!F227="","",'Course 1'!F227)</f>
        <v/>
      </c>
      <c r="H227" s="56">
        <f>'Course 1'!M227+'Course 2'!M227+'Course 3'!M227+'Course 4'!M227+'Course 4'!M227</f>
        <v>0</v>
      </c>
      <c r="J227" s="43" t="str">
        <f t="shared" si="52"/>
        <v/>
      </c>
      <c r="K227" s="43" t="str">
        <f t="shared" si="53"/>
        <v/>
      </c>
      <c r="L227" s="53" t="str">
        <f t="shared" si="54"/>
        <v/>
      </c>
      <c r="N227" s="43" t="str">
        <f t="shared" si="61"/>
        <v/>
      </c>
      <c r="O227" s="43" t="str">
        <f t="shared" si="62"/>
        <v/>
      </c>
      <c r="P227" s="53" t="str">
        <f t="shared" si="63"/>
        <v/>
      </c>
      <c r="R227" s="43" t="str">
        <f t="shared" si="55"/>
        <v/>
      </c>
      <c r="S227" s="43" t="str">
        <f t="shared" si="56"/>
        <v/>
      </c>
      <c r="T227" s="45" t="str">
        <f t="shared" si="57"/>
        <v/>
      </c>
      <c r="V227" s="43" t="str">
        <f t="shared" si="58"/>
        <v/>
      </c>
      <c r="W227" s="43" t="str">
        <f t="shared" si="59"/>
        <v/>
      </c>
      <c r="X227" s="45" t="str">
        <f t="shared" si="60"/>
        <v/>
      </c>
      <c r="AD227" s="77"/>
      <c r="AE227" s="77"/>
      <c r="AF227" s="172"/>
      <c r="AG227" s="116"/>
      <c r="AH227" s="118"/>
      <c r="AI227" s="77"/>
      <c r="AJ227" s="172"/>
      <c r="AK227" s="116"/>
      <c r="AL227" s="79"/>
      <c r="AM227" s="77"/>
      <c r="AN227" s="172"/>
      <c r="AO227" s="116"/>
      <c r="AQ227" s="43">
        <f t="shared" si="49"/>
        <v>0</v>
      </c>
      <c r="AR227" s="43">
        <f t="shared" si="50"/>
        <v>0</v>
      </c>
      <c r="AS227" s="43">
        <f t="shared" si="51"/>
        <v>0</v>
      </c>
    </row>
    <row r="228" spans="2:45" ht="21" customHeight="1">
      <c r="B228" s="43">
        <v>224</v>
      </c>
      <c r="C228" s="44" t="str">
        <f>'Course 1'!C228</f>
        <v/>
      </c>
      <c r="D228" s="46" t="str">
        <f>IF(C228="","",HLOOKUP(C228,'Règles et points'!$D$5:$Y$7,3))</f>
        <v/>
      </c>
      <c r="E228" s="46" t="str">
        <f>IF(C228="","",HLOOKUP(C228,'Règles et points'!$D$5:$Y$7,2))</f>
        <v/>
      </c>
      <c r="F228" s="43" t="str">
        <f>IF('Course 1'!E228="","",'Course 1'!E228)</f>
        <v/>
      </c>
      <c r="G228" s="43" t="str">
        <f>IF('Course 1'!F228="","",'Course 1'!F228)</f>
        <v/>
      </c>
      <c r="H228" s="56">
        <f>'Course 1'!M228+'Course 2'!M228+'Course 3'!M228+'Course 4'!M228+'Course 4'!M228</f>
        <v>0</v>
      </c>
      <c r="J228" s="43" t="str">
        <f t="shared" si="52"/>
        <v/>
      </c>
      <c r="K228" s="43" t="str">
        <f t="shared" si="53"/>
        <v/>
      </c>
      <c r="L228" s="53" t="str">
        <f t="shared" si="54"/>
        <v/>
      </c>
      <c r="N228" s="43" t="str">
        <f t="shared" si="61"/>
        <v/>
      </c>
      <c r="O228" s="43" t="str">
        <f t="shared" si="62"/>
        <v/>
      </c>
      <c r="P228" s="53" t="str">
        <f t="shared" si="63"/>
        <v/>
      </c>
      <c r="R228" s="43" t="str">
        <f t="shared" si="55"/>
        <v/>
      </c>
      <c r="S228" s="43" t="str">
        <f t="shared" si="56"/>
        <v/>
      </c>
      <c r="T228" s="45" t="str">
        <f t="shared" si="57"/>
        <v/>
      </c>
      <c r="V228" s="43" t="str">
        <f t="shared" si="58"/>
        <v/>
      </c>
      <c r="W228" s="43" t="str">
        <f t="shared" si="59"/>
        <v/>
      </c>
      <c r="X228" s="45" t="str">
        <f t="shared" si="60"/>
        <v/>
      </c>
      <c r="AD228" s="77"/>
      <c r="AE228" s="77"/>
      <c r="AF228" s="172"/>
      <c r="AG228" s="116"/>
      <c r="AH228" s="118"/>
      <c r="AI228" s="77"/>
      <c r="AJ228" s="172"/>
      <c r="AK228" s="116"/>
      <c r="AL228" s="79"/>
      <c r="AM228" s="77"/>
      <c r="AN228" s="172"/>
      <c r="AO228" s="116"/>
      <c r="AQ228" s="43">
        <f t="shared" si="49"/>
        <v>0</v>
      </c>
      <c r="AR228" s="43">
        <f t="shared" si="50"/>
        <v>0</v>
      </c>
      <c r="AS228" s="43">
        <f t="shared" si="51"/>
        <v>0</v>
      </c>
    </row>
    <row r="229" spans="2:45" ht="21" customHeight="1">
      <c r="B229" s="43">
        <v>225</v>
      </c>
      <c r="C229" s="44" t="str">
        <f>'Course 1'!C229</f>
        <v/>
      </c>
      <c r="D229" s="46" t="str">
        <f>IF(C229="","",HLOOKUP(C229,'Règles et points'!$D$5:$Y$7,3))</f>
        <v/>
      </c>
      <c r="E229" s="46" t="str">
        <f>IF(C229="","",HLOOKUP(C229,'Règles et points'!$D$5:$Y$7,2))</f>
        <v/>
      </c>
      <c r="F229" s="43" t="str">
        <f>IF('Course 1'!E229="","",'Course 1'!E229)</f>
        <v/>
      </c>
      <c r="G229" s="43" t="str">
        <f>IF('Course 1'!F229="","",'Course 1'!F229)</f>
        <v/>
      </c>
      <c r="H229" s="56">
        <f>'Course 1'!M229+'Course 2'!M229+'Course 3'!M229+'Course 4'!M229+'Course 4'!M229</f>
        <v>0</v>
      </c>
      <c r="J229" s="43" t="str">
        <f t="shared" si="52"/>
        <v/>
      </c>
      <c r="K229" s="43" t="str">
        <f t="shared" si="53"/>
        <v/>
      </c>
      <c r="L229" s="53" t="str">
        <f t="shared" si="54"/>
        <v/>
      </c>
      <c r="N229" s="43" t="str">
        <f t="shared" si="61"/>
        <v/>
      </c>
      <c r="O229" s="43" t="str">
        <f t="shared" si="62"/>
        <v/>
      </c>
      <c r="P229" s="53" t="str">
        <f t="shared" si="63"/>
        <v/>
      </c>
      <c r="R229" s="43" t="str">
        <f t="shared" si="55"/>
        <v/>
      </c>
      <c r="S229" s="43" t="str">
        <f t="shared" si="56"/>
        <v/>
      </c>
      <c r="T229" s="45" t="str">
        <f t="shared" si="57"/>
        <v/>
      </c>
      <c r="V229" s="43" t="str">
        <f t="shared" si="58"/>
        <v/>
      </c>
      <c r="W229" s="43" t="str">
        <f t="shared" si="59"/>
        <v/>
      </c>
      <c r="X229" s="45" t="str">
        <f t="shared" si="60"/>
        <v/>
      </c>
      <c r="AD229" s="77"/>
      <c r="AE229" s="77"/>
      <c r="AF229" s="172"/>
      <c r="AG229" s="116"/>
      <c r="AH229" s="118"/>
      <c r="AI229" s="77"/>
      <c r="AJ229" s="172"/>
      <c r="AK229" s="116"/>
      <c r="AL229" s="79"/>
      <c r="AM229" s="77"/>
      <c r="AN229" s="172"/>
      <c r="AO229" s="116"/>
      <c r="AQ229" s="43">
        <f t="shared" ref="AQ229:AQ292" si="64">IF(AF230="",0,1+AQ230)</f>
        <v>0</v>
      </c>
      <c r="AR229" s="43">
        <f t="shared" ref="AR229:AR292" si="65">IF(AJ229="",0,1+AR230)</f>
        <v>0</v>
      </c>
      <c r="AS229" s="43">
        <f t="shared" ref="AS229:AS292" si="66">IF(AN229="",0,1+AS230)</f>
        <v>0</v>
      </c>
    </row>
    <row r="230" spans="2:45" ht="21" customHeight="1">
      <c r="B230" s="43">
        <v>226</v>
      </c>
      <c r="C230" s="44" t="str">
        <f>'Course 1'!C230</f>
        <v/>
      </c>
      <c r="D230" s="46" t="str">
        <f>IF(C230="","",HLOOKUP(C230,'Règles et points'!$D$5:$Y$7,3))</f>
        <v/>
      </c>
      <c r="E230" s="46" t="str">
        <f>IF(C230="","",HLOOKUP(C230,'Règles et points'!$D$5:$Y$7,2))</f>
        <v/>
      </c>
      <c r="F230" s="43" t="str">
        <f>IF('Course 1'!E230="","",'Course 1'!E230)</f>
        <v/>
      </c>
      <c r="G230" s="43" t="str">
        <f>IF('Course 1'!F230="","",'Course 1'!F230)</f>
        <v/>
      </c>
      <c r="H230" s="56">
        <f>'Course 1'!M230+'Course 2'!M230+'Course 3'!M230+'Course 4'!M230+'Course 4'!M230</f>
        <v>0</v>
      </c>
      <c r="J230" s="43" t="str">
        <f t="shared" si="52"/>
        <v/>
      </c>
      <c r="K230" s="43" t="str">
        <f t="shared" si="53"/>
        <v/>
      </c>
      <c r="L230" s="53" t="str">
        <f t="shared" si="54"/>
        <v/>
      </c>
      <c r="N230" s="43" t="str">
        <f t="shared" si="61"/>
        <v/>
      </c>
      <c r="O230" s="43" t="str">
        <f t="shared" si="62"/>
        <v/>
      </c>
      <c r="P230" s="53" t="str">
        <f t="shared" si="63"/>
        <v/>
      </c>
      <c r="R230" s="43" t="str">
        <f t="shared" si="55"/>
        <v/>
      </c>
      <c r="S230" s="43" t="str">
        <f t="shared" si="56"/>
        <v/>
      </c>
      <c r="T230" s="45" t="str">
        <f t="shared" si="57"/>
        <v/>
      </c>
      <c r="V230" s="43" t="str">
        <f t="shared" si="58"/>
        <v/>
      </c>
      <c r="W230" s="43" t="str">
        <f t="shared" si="59"/>
        <v/>
      </c>
      <c r="X230" s="45" t="str">
        <f t="shared" si="60"/>
        <v/>
      </c>
      <c r="AD230" s="77"/>
      <c r="AE230" s="77"/>
      <c r="AF230" s="172"/>
      <c r="AG230" s="116"/>
      <c r="AH230" s="118"/>
      <c r="AI230" s="77"/>
      <c r="AJ230" s="172"/>
      <c r="AK230" s="116"/>
      <c r="AL230" s="79"/>
      <c r="AM230" s="77"/>
      <c r="AN230" s="172"/>
      <c r="AO230" s="116"/>
      <c r="AQ230" s="43">
        <f t="shared" si="64"/>
        <v>0</v>
      </c>
      <c r="AR230" s="43">
        <f t="shared" si="65"/>
        <v>0</v>
      </c>
      <c r="AS230" s="43">
        <f t="shared" si="66"/>
        <v>0</v>
      </c>
    </row>
    <row r="231" spans="2:45" ht="21" customHeight="1">
      <c r="B231" s="43">
        <v>227</v>
      </c>
      <c r="C231" s="44" t="str">
        <f>'Course 1'!C231</f>
        <v/>
      </c>
      <c r="D231" s="46" t="str">
        <f>IF(C231="","",HLOOKUP(C231,'Règles et points'!$D$5:$Y$7,3))</f>
        <v/>
      </c>
      <c r="E231" s="46" t="str">
        <f>IF(C231="","",HLOOKUP(C231,'Règles et points'!$D$5:$Y$7,2))</f>
        <v/>
      </c>
      <c r="F231" s="43" t="str">
        <f>IF('Course 1'!E231="","",'Course 1'!E231)</f>
        <v/>
      </c>
      <c r="G231" s="43" t="str">
        <f>IF('Course 1'!F231="","",'Course 1'!F231)</f>
        <v/>
      </c>
      <c r="H231" s="56">
        <f>'Course 1'!M231+'Course 2'!M231+'Course 3'!M231+'Course 4'!M231+'Course 4'!M231</f>
        <v>0</v>
      </c>
      <c r="J231" s="43" t="str">
        <f t="shared" si="52"/>
        <v/>
      </c>
      <c r="K231" s="43" t="str">
        <f t="shared" si="53"/>
        <v/>
      </c>
      <c r="L231" s="53" t="str">
        <f t="shared" si="54"/>
        <v/>
      </c>
      <c r="N231" s="43" t="str">
        <f t="shared" si="61"/>
        <v/>
      </c>
      <c r="O231" s="43" t="str">
        <f t="shared" si="62"/>
        <v/>
      </c>
      <c r="P231" s="53" t="str">
        <f t="shared" si="63"/>
        <v/>
      </c>
      <c r="R231" s="43" t="str">
        <f t="shared" si="55"/>
        <v/>
      </c>
      <c r="S231" s="43" t="str">
        <f t="shared" si="56"/>
        <v/>
      </c>
      <c r="T231" s="45" t="str">
        <f t="shared" si="57"/>
        <v/>
      </c>
      <c r="V231" s="43" t="str">
        <f t="shared" si="58"/>
        <v/>
      </c>
      <c r="W231" s="43" t="str">
        <f t="shared" si="59"/>
        <v/>
      </c>
      <c r="X231" s="45" t="str">
        <f t="shared" si="60"/>
        <v/>
      </c>
      <c r="AD231" s="77"/>
      <c r="AE231" s="77"/>
      <c r="AF231" s="172"/>
      <c r="AG231" s="116"/>
      <c r="AH231" s="118"/>
      <c r="AI231" s="77"/>
      <c r="AJ231" s="172"/>
      <c r="AK231" s="116"/>
      <c r="AL231" s="79"/>
      <c r="AM231" s="77"/>
      <c r="AN231" s="172"/>
      <c r="AO231" s="116"/>
      <c r="AQ231" s="43">
        <f t="shared" si="64"/>
        <v>0</v>
      </c>
      <c r="AR231" s="43">
        <f t="shared" si="65"/>
        <v>0</v>
      </c>
      <c r="AS231" s="43">
        <f t="shared" si="66"/>
        <v>0</v>
      </c>
    </row>
    <row r="232" spans="2:45" ht="21" customHeight="1">
      <c r="B232" s="43">
        <v>228</v>
      </c>
      <c r="C232" s="44" t="str">
        <f>'Course 1'!C232</f>
        <v/>
      </c>
      <c r="D232" s="46" t="str">
        <f>IF(C232="","",HLOOKUP(C232,'Règles et points'!$D$5:$Y$7,3))</f>
        <v/>
      </c>
      <c r="E232" s="46" t="str">
        <f>IF(C232="","",HLOOKUP(C232,'Règles et points'!$D$5:$Y$7,2))</f>
        <v/>
      </c>
      <c r="F232" s="43" t="str">
        <f>IF('Course 1'!E232="","",'Course 1'!E232)</f>
        <v/>
      </c>
      <c r="G232" s="43" t="str">
        <f>IF('Course 1'!F232="","",'Course 1'!F232)</f>
        <v/>
      </c>
      <c r="H232" s="56">
        <f>'Course 1'!M232+'Course 2'!M232+'Course 3'!M232+'Course 4'!M232+'Course 4'!M232</f>
        <v>0</v>
      </c>
      <c r="J232" s="43" t="str">
        <f t="shared" si="52"/>
        <v/>
      </c>
      <c r="K232" s="43" t="str">
        <f t="shared" si="53"/>
        <v/>
      </c>
      <c r="L232" s="53" t="str">
        <f t="shared" si="54"/>
        <v/>
      </c>
      <c r="N232" s="43" t="str">
        <f t="shared" si="61"/>
        <v/>
      </c>
      <c r="O232" s="43" t="str">
        <f t="shared" si="62"/>
        <v/>
      </c>
      <c r="P232" s="53" t="str">
        <f t="shared" si="63"/>
        <v/>
      </c>
      <c r="R232" s="43" t="str">
        <f t="shared" si="55"/>
        <v/>
      </c>
      <c r="S232" s="43" t="str">
        <f t="shared" si="56"/>
        <v/>
      </c>
      <c r="T232" s="45" t="str">
        <f t="shared" si="57"/>
        <v/>
      </c>
      <c r="V232" s="43" t="str">
        <f t="shared" si="58"/>
        <v/>
      </c>
      <c r="W232" s="43" t="str">
        <f t="shared" si="59"/>
        <v/>
      </c>
      <c r="X232" s="45" t="str">
        <f t="shared" si="60"/>
        <v/>
      </c>
      <c r="AD232" s="77"/>
      <c r="AE232" s="77"/>
      <c r="AF232" s="172"/>
      <c r="AG232" s="116"/>
      <c r="AH232" s="118"/>
      <c r="AI232" s="77"/>
      <c r="AJ232" s="172"/>
      <c r="AK232" s="116"/>
      <c r="AL232" s="79"/>
      <c r="AM232" s="77"/>
      <c r="AN232" s="172"/>
      <c r="AO232" s="116"/>
      <c r="AQ232" s="43">
        <f t="shared" si="64"/>
        <v>0</v>
      </c>
      <c r="AR232" s="43">
        <f t="shared" si="65"/>
        <v>0</v>
      </c>
      <c r="AS232" s="43">
        <f t="shared" si="66"/>
        <v>0</v>
      </c>
    </row>
    <row r="233" spans="2:45" ht="21" customHeight="1">
      <c r="B233" s="43">
        <v>229</v>
      </c>
      <c r="C233" s="44" t="str">
        <f>'Course 1'!C233</f>
        <v/>
      </c>
      <c r="D233" s="46" t="str">
        <f>IF(C233="","",HLOOKUP(C233,'Règles et points'!$D$5:$Y$7,3))</f>
        <v/>
      </c>
      <c r="E233" s="46" t="str">
        <f>IF(C233="","",HLOOKUP(C233,'Règles et points'!$D$5:$Y$7,2))</f>
        <v/>
      </c>
      <c r="F233" s="43" t="str">
        <f>IF('Course 1'!E233="","",'Course 1'!E233)</f>
        <v/>
      </c>
      <c r="G233" s="43" t="str">
        <f>IF('Course 1'!F233="","",'Course 1'!F233)</f>
        <v/>
      </c>
      <c r="H233" s="56">
        <f>'Course 1'!M233+'Course 2'!M233+'Course 3'!M233+'Course 4'!M233+'Course 4'!M233</f>
        <v>0</v>
      </c>
      <c r="J233" s="43" t="str">
        <f t="shared" si="52"/>
        <v/>
      </c>
      <c r="K233" s="43" t="str">
        <f t="shared" si="53"/>
        <v/>
      </c>
      <c r="L233" s="53" t="str">
        <f t="shared" si="54"/>
        <v/>
      </c>
      <c r="N233" s="43" t="str">
        <f t="shared" si="61"/>
        <v/>
      </c>
      <c r="O233" s="43" t="str">
        <f t="shared" si="62"/>
        <v/>
      </c>
      <c r="P233" s="53" t="str">
        <f t="shared" si="63"/>
        <v/>
      </c>
      <c r="R233" s="43" t="str">
        <f t="shared" si="55"/>
        <v/>
      </c>
      <c r="S233" s="43" t="str">
        <f t="shared" si="56"/>
        <v/>
      </c>
      <c r="T233" s="45" t="str">
        <f t="shared" si="57"/>
        <v/>
      </c>
      <c r="V233" s="43" t="str">
        <f t="shared" si="58"/>
        <v/>
      </c>
      <c r="W233" s="43" t="str">
        <f t="shared" si="59"/>
        <v/>
      </c>
      <c r="X233" s="45" t="str">
        <f t="shared" si="60"/>
        <v/>
      </c>
      <c r="AD233" s="77"/>
      <c r="AE233" s="77"/>
      <c r="AF233" s="172"/>
      <c r="AG233" s="116"/>
      <c r="AH233" s="118"/>
      <c r="AI233" s="77"/>
      <c r="AJ233" s="172"/>
      <c r="AK233" s="116"/>
      <c r="AL233" s="79"/>
      <c r="AM233" s="77"/>
      <c r="AN233" s="172"/>
      <c r="AO233" s="116"/>
      <c r="AQ233" s="43">
        <f t="shared" si="64"/>
        <v>0</v>
      </c>
      <c r="AR233" s="43">
        <f t="shared" si="65"/>
        <v>0</v>
      </c>
      <c r="AS233" s="43">
        <f t="shared" si="66"/>
        <v>0</v>
      </c>
    </row>
    <row r="234" spans="2:45" ht="21" customHeight="1">
      <c r="B234" s="43">
        <v>230</v>
      </c>
      <c r="C234" s="44" t="str">
        <f>'Course 1'!C234</f>
        <v/>
      </c>
      <c r="D234" s="46" t="str">
        <f>IF(C234="","",HLOOKUP(C234,'Règles et points'!$D$5:$Y$7,3))</f>
        <v/>
      </c>
      <c r="E234" s="46" t="str">
        <f>IF(C234="","",HLOOKUP(C234,'Règles et points'!$D$5:$Y$7,2))</f>
        <v/>
      </c>
      <c r="F234" s="43" t="str">
        <f>IF('Course 1'!E234="","",'Course 1'!E234)</f>
        <v/>
      </c>
      <c r="G234" s="43" t="str">
        <f>IF('Course 1'!F234="","",'Course 1'!F234)</f>
        <v/>
      </c>
      <c r="H234" s="56">
        <f>'Course 1'!M234+'Course 2'!M234+'Course 3'!M234+'Course 4'!M234+'Course 4'!M234</f>
        <v>0</v>
      </c>
      <c r="J234" s="43" t="str">
        <f t="shared" si="52"/>
        <v/>
      </c>
      <c r="K234" s="43" t="str">
        <f t="shared" si="53"/>
        <v/>
      </c>
      <c r="L234" s="53" t="str">
        <f t="shared" si="54"/>
        <v/>
      </c>
      <c r="N234" s="43" t="str">
        <f t="shared" si="61"/>
        <v/>
      </c>
      <c r="O234" s="43" t="str">
        <f t="shared" si="62"/>
        <v/>
      </c>
      <c r="P234" s="53" t="str">
        <f t="shared" si="63"/>
        <v/>
      </c>
      <c r="R234" s="43" t="str">
        <f t="shared" si="55"/>
        <v/>
      </c>
      <c r="S234" s="43" t="str">
        <f t="shared" si="56"/>
        <v/>
      </c>
      <c r="T234" s="45" t="str">
        <f t="shared" si="57"/>
        <v/>
      </c>
      <c r="V234" s="43" t="str">
        <f t="shared" si="58"/>
        <v/>
      </c>
      <c r="W234" s="43" t="str">
        <f t="shared" si="59"/>
        <v/>
      </c>
      <c r="X234" s="45" t="str">
        <f t="shared" si="60"/>
        <v/>
      </c>
      <c r="AD234" s="77"/>
      <c r="AE234" s="77"/>
      <c r="AF234" s="172"/>
      <c r="AG234" s="116"/>
      <c r="AH234" s="118"/>
      <c r="AI234" s="77"/>
      <c r="AJ234" s="172"/>
      <c r="AK234" s="116"/>
      <c r="AL234" s="79"/>
      <c r="AM234" s="77"/>
      <c r="AN234" s="172"/>
      <c r="AO234" s="116"/>
      <c r="AQ234" s="43">
        <f t="shared" si="64"/>
        <v>0</v>
      </c>
      <c r="AR234" s="43">
        <f t="shared" si="65"/>
        <v>0</v>
      </c>
      <c r="AS234" s="43">
        <f t="shared" si="66"/>
        <v>0</v>
      </c>
    </row>
    <row r="235" spans="2:45" ht="21" customHeight="1">
      <c r="B235" s="43">
        <v>231</v>
      </c>
      <c r="C235" s="44" t="str">
        <f>'Course 1'!C235</f>
        <v/>
      </c>
      <c r="D235" s="46" t="str">
        <f>IF(C235="","",HLOOKUP(C235,'Règles et points'!$D$5:$Y$7,3))</f>
        <v/>
      </c>
      <c r="E235" s="46" t="str">
        <f>IF(C235="","",HLOOKUP(C235,'Règles et points'!$D$5:$Y$7,2))</f>
        <v/>
      </c>
      <c r="F235" s="43" t="str">
        <f>IF('Course 1'!E235="","",'Course 1'!E235)</f>
        <v/>
      </c>
      <c r="G235" s="43" t="str">
        <f>IF('Course 1'!F235="","",'Course 1'!F235)</f>
        <v/>
      </c>
      <c r="H235" s="56">
        <f>'Course 1'!M235+'Course 2'!M235+'Course 3'!M235+'Course 4'!M235+'Course 4'!M235</f>
        <v>0</v>
      </c>
      <c r="J235" s="43" t="str">
        <f t="shared" si="52"/>
        <v/>
      </c>
      <c r="K235" s="43" t="str">
        <f t="shared" si="53"/>
        <v/>
      </c>
      <c r="L235" s="53" t="str">
        <f t="shared" si="54"/>
        <v/>
      </c>
      <c r="N235" s="43" t="str">
        <f t="shared" si="61"/>
        <v/>
      </c>
      <c r="O235" s="43" t="str">
        <f t="shared" si="62"/>
        <v/>
      </c>
      <c r="P235" s="53" t="str">
        <f t="shared" si="63"/>
        <v/>
      </c>
      <c r="R235" s="43" t="str">
        <f t="shared" si="55"/>
        <v/>
      </c>
      <c r="S235" s="43" t="str">
        <f t="shared" si="56"/>
        <v/>
      </c>
      <c r="T235" s="45" t="str">
        <f t="shared" si="57"/>
        <v/>
      </c>
      <c r="V235" s="43" t="str">
        <f t="shared" si="58"/>
        <v/>
      </c>
      <c r="W235" s="43" t="str">
        <f t="shared" si="59"/>
        <v/>
      </c>
      <c r="X235" s="45" t="str">
        <f t="shared" si="60"/>
        <v/>
      </c>
      <c r="AD235" s="77"/>
      <c r="AE235" s="77"/>
      <c r="AF235" s="172"/>
      <c r="AG235" s="116"/>
      <c r="AH235" s="118"/>
      <c r="AI235" s="77"/>
      <c r="AJ235" s="172"/>
      <c r="AK235" s="116"/>
      <c r="AL235" s="79"/>
      <c r="AM235" s="77"/>
      <c r="AN235" s="172"/>
      <c r="AO235" s="116"/>
      <c r="AQ235" s="43">
        <f t="shared" si="64"/>
        <v>0</v>
      </c>
      <c r="AR235" s="43">
        <f t="shared" si="65"/>
        <v>0</v>
      </c>
      <c r="AS235" s="43">
        <f t="shared" si="66"/>
        <v>0</v>
      </c>
    </row>
    <row r="236" spans="2:45" ht="21" customHeight="1">
      <c r="B236" s="43">
        <v>232</v>
      </c>
      <c r="C236" s="44" t="str">
        <f>'Course 1'!C236</f>
        <v/>
      </c>
      <c r="D236" s="46" t="str">
        <f>IF(C236="","",HLOOKUP(C236,'Règles et points'!$D$5:$Y$7,3))</f>
        <v/>
      </c>
      <c r="E236" s="46" t="str">
        <f>IF(C236="","",HLOOKUP(C236,'Règles et points'!$D$5:$Y$7,2))</f>
        <v/>
      </c>
      <c r="F236" s="43" t="str">
        <f>IF('Course 1'!E236="","",'Course 1'!E236)</f>
        <v/>
      </c>
      <c r="G236" s="43" t="str">
        <f>IF('Course 1'!F236="","",'Course 1'!F236)</f>
        <v/>
      </c>
      <c r="H236" s="56">
        <f>'Course 1'!M236+'Course 2'!M236+'Course 3'!M236+'Course 4'!M236+'Course 4'!M236</f>
        <v>0</v>
      </c>
      <c r="J236" s="43" t="str">
        <f t="shared" si="52"/>
        <v/>
      </c>
      <c r="K236" s="43" t="str">
        <f t="shared" si="53"/>
        <v/>
      </c>
      <c r="L236" s="53" t="str">
        <f t="shared" si="54"/>
        <v/>
      </c>
      <c r="N236" s="43" t="str">
        <f t="shared" si="61"/>
        <v/>
      </c>
      <c r="O236" s="43" t="str">
        <f t="shared" si="62"/>
        <v/>
      </c>
      <c r="P236" s="53" t="str">
        <f t="shared" si="63"/>
        <v/>
      </c>
      <c r="R236" s="43" t="str">
        <f t="shared" si="55"/>
        <v/>
      </c>
      <c r="S236" s="43" t="str">
        <f t="shared" si="56"/>
        <v/>
      </c>
      <c r="T236" s="45" t="str">
        <f t="shared" si="57"/>
        <v/>
      </c>
      <c r="V236" s="43" t="str">
        <f t="shared" si="58"/>
        <v/>
      </c>
      <c r="W236" s="43" t="str">
        <f t="shared" si="59"/>
        <v/>
      </c>
      <c r="X236" s="45" t="str">
        <f t="shared" si="60"/>
        <v/>
      </c>
      <c r="AD236" s="77"/>
      <c r="AE236" s="77"/>
      <c r="AF236" s="172"/>
      <c r="AG236" s="116"/>
      <c r="AH236" s="118"/>
      <c r="AI236" s="77"/>
      <c r="AJ236" s="172"/>
      <c r="AK236" s="116"/>
      <c r="AL236" s="79"/>
      <c r="AM236" s="77"/>
      <c r="AN236" s="172"/>
      <c r="AO236" s="116"/>
      <c r="AQ236" s="43">
        <f t="shared" si="64"/>
        <v>0</v>
      </c>
      <c r="AR236" s="43">
        <f t="shared" si="65"/>
        <v>0</v>
      </c>
      <c r="AS236" s="43">
        <f t="shared" si="66"/>
        <v>0</v>
      </c>
    </row>
    <row r="237" spans="2:45" ht="21" customHeight="1">
      <c r="B237" s="43">
        <v>233</v>
      </c>
      <c r="C237" s="44" t="str">
        <f>'Course 1'!C237</f>
        <v/>
      </c>
      <c r="D237" s="46" t="str">
        <f>IF(C237="","",HLOOKUP(C237,'Règles et points'!$D$5:$Y$7,3))</f>
        <v/>
      </c>
      <c r="E237" s="46" t="str">
        <f>IF(C237="","",HLOOKUP(C237,'Règles et points'!$D$5:$Y$7,2))</f>
        <v/>
      </c>
      <c r="F237" s="43" t="str">
        <f>IF('Course 1'!E237="","",'Course 1'!E237)</f>
        <v/>
      </c>
      <c r="G237" s="43" t="str">
        <f>IF('Course 1'!F237="","",'Course 1'!F237)</f>
        <v/>
      </c>
      <c r="H237" s="56">
        <f>'Course 1'!M237+'Course 2'!M237+'Course 3'!M237+'Course 4'!M237+'Course 4'!M237</f>
        <v>0</v>
      </c>
      <c r="J237" s="43" t="str">
        <f t="shared" si="52"/>
        <v/>
      </c>
      <c r="K237" s="43" t="str">
        <f t="shared" si="53"/>
        <v/>
      </c>
      <c r="L237" s="53" t="str">
        <f t="shared" si="54"/>
        <v/>
      </c>
      <c r="N237" s="43" t="str">
        <f t="shared" si="61"/>
        <v/>
      </c>
      <c r="O237" s="43" t="str">
        <f t="shared" si="62"/>
        <v/>
      </c>
      <c r="P237" s="53" t="str">
        <f t="shared" si="63"/>
        <v/>
      </c>
      <c r="R237" s="43" t="str">
        <f t="shared" si="55"/>
        <v/>
      </c>
      <c r="S237" s="43" t="str">
        <f t="shared" si="56"/>
        <v/>
      </c>
      <c r="T237" s="45" t="str">
        <f t="shared" si="57"/>
        <v/>
      </c>
      <c r="V237" s="43" t="str">
        <f t="shared" si="58"/>
        <v/>
      </c>
      <c r="W237" s="43" t="str">
        <f t="shared" si="59"/>
        <v/>
      </c>
      <c r="X237" s="45" t="str">
        <f t="shared" si="60"/>
        <v/>
      </c>
      <c r="AD237" s="77"/>
      <c r="AE237" s="77"/>
      <c r="AF237" s="172"/>
      <c r="AG237" s="116"/>
      <c r="AH237" s="118"/>
      <c r="AI237" s="77"/>
      <c r="AJ237" s="78"/>
      <c r="AK237" s="116"/>
      <c r="AL237" s="79"/>
      <c r="AM237" s="77"/>
      <c r="AN237" s="172"/>
      <c r="AO237" s="116"/>
      <c r="AQ237" s="43">
        <f t="shared" si="64"/>
        <v>0</v>
      </c>
      <c r="AR237" s="43">
        <f t="shared" si="65"/>
        <v>0</v>
      </c>
      <c r="AS237" s="43">
        <f t="shared" si="66"/>
        <v>0</v>
      </c>
    </row>
    <row r="238" spans="2:45" ht="21" customHeight="1">
      <c r="B238" s="43">
        <v>234</v>
      </c>
      <c r="C238" s="44" t="str">
        <f>'Course 1'!C238</f>
        <v/>
      </c>
      <c r="D238" s="46" t="str">
        <f>IF(C238="","",HLOOKUP(C238,'Règles et points'!$D$5:$Y$7,3))</f>
        <v/>
      </c>
      <c r="E238" s="46" t="str">
        <f>IF(C238="","",HLOOKUP(C238,'Règles et points'!$D$5:$Y$7,2))</f>
        <v/>
      </c>
      <c r="F238" s="43" t="str">
        <f>IF('Course 1'!E238="","",'Course 1'!E238)</f>
        <v/>
      </c>
      <c r="G238" s="43" t="str">
        <f>IF('Course 1'!F238="","",'Course 1'!F238)</f>
        <v/>
      </c>
      <c r="H238" s="56">
        <f>'Course 1'!M238+'Course 2'!M238+'Course 3'!M238+'Course 4'!M238+'Course 4'!M238</f>
        <v>0</v>
      </c>
      <c r="J238" s="43" t="str">
        <f t="shared" si="52"/>
        <v/>
      </c>
      <c r="K238" s="43" t="str">
        <f t="shared" si="53"/>
        <v/>
      </c>
      <c r="L238" s="53" t="str">
        <f t="shared" si="54"/>
        <v/>
      </c>
      <c r="N238" s="43" t="str">
        <f t="shared" si="61"/>
        <v/>
      </c>
      <c r="O238" s="43" t="str">
        <f t="shared" si="62"/>
        <v/>
      </c>
      <c r="P238" s="53" t="str">
        <f t="shared" si="63"/>
        <v/>
      </c>
      <c r="R238" s="43" t="str">
        <f t="shared" si="55"/>
        <v/>
      </c>
      <c r="S238" s="43" t="str">
        <f t="shared" si="56"/>
        <v/>
      </c>
      <c r="T238" s="45" t="str">
        <f t="shared" si="57"/>
        <v/>
      </c>
      <c r="V238" s="43" t="str">
        <f t="shared" si="58"/>
        <v/>
      </c>
      <c r="W238" s="43" t="str">
        <f t="shared" si="59"/>
        <v/>
      </c>
      <c r="X238" s="45" t="str">
        <f t="shared" si="60"/>
        <v/>
      </c>
      <c r="AD238" s="77"/>
      <c r="AE238" s="77"/>
      <c r="AF238" s="172"/>
      <c r="AG238" s="116"/>
      <c r="AH238" s="118"/>
      <c r="AI238" s="77"/>
      <c r="AJ238" s="78"/>
      <c r="AK238" s="116"/>
      <c r="AL238" s="79"/>
      <c r="AM238" s="77"/>
      <c r="AN238" s="172"/>
      <c r="AO238" s="116"/>
      <c r="AQ238" s="43">
        <f t="shared" si="64"/>
        <v>0</v>
      </c>
      <c r="AR238" s="43">
        <f t="shared" si="65"/>
        <v>0</v>
      </c>
      <c r="AS238" s="43">
        <f t="shared" si="66"/>
        <v>0</v>
      </c>
    </row>
    <row r="239" spans="2:45" ht="21" customHeight="1">
      <c r="B239" s="43">
        <v>235</v>
      </c>
      <c r="C239" s="44" t="str">
        <f>'Course 1'!C239</f>
        <v/>
      </c>
      <c r="D239" s="46" t="str">
        <f>IF(C239="","",HLOOKUP(C239,'Règles et points'!$D$5:$Y$7,3))</f>
        <v/>
      </c>
      <c r="E239" s="46" t="str">
        <f>IF(C239="","",HLOOKUP(C239,'Règles et points'!$D$5:$Y$7,2))</f>
        <v/>
      </c>
      <c r="F239" s="43" t="str">
        <f>IF('Course 1'!E239="","",'Course 1'!E239)</f>
        <v/>
      </c>
      <c r="G239" s="43" t="str">
        <f>IF('Course 1'!F239="","",'Course 1'!F239)</f>
        <v/>
      </c>
      <c r="H239" s="56">
        <f>'Course 1'!M239+'Course 2'!M239+'Course 3'!M239+'Course 4'!M239+'Course 4'!M239</f>
        <v>0</v>
      </c>
      <c r="J239" s="43" t="str">
        <f t="shared" si="52"/>
        <v/>
      </c>
      <c r="K239" s="43" t="str">
        <f t="shared" si="53"/>
        <v/>
      </c>
      <c r="L239" s="53" t="str">
        <f t="shared" si="54"/>
        <v/>
      </c>
      <c r="N239" s="43" t="str">
        <f t="shared" si="61"/>
        <v/>
      </c>
      <c r="O239" s="43" t="str">
        <f t="shared" si="62"/>
        <v/>
      </c>
      <c r="P239" s="53" t="str">
        <f t="shared" si="63"/>
        <v/>
      </c>
      <c r="R239" s="43" t="str">
        <f t="shared" si="55"/>
        <v/>
      </c>
      <c r="S239" s="43" t="str">
        <f t="shared" si="56"/>
        <v/>
      </c>
      <c r="T239" s="45" t="str">
        <f t="shared" si="57"/>
        <v/>
      </c>
      <c r="V239" s="43" t="str">
        <f t="shared" si="58"/>
        <v/>
      </c>
      <c r="W239" s="43" t="str">
        <f t="shared" si="59"/>
        <v/>
      </c>
      <c r="X239" s="45" t="str">
        <f t="shared" si="60"/>
        <v/>
      </c>
      <c r="AD239" s="77"/>
      <c r="AE239" s="77"/>
      <c r="AF239" s="172"/>
      <c r="AG239" s="116"/>
      <c r="AH239" s="118"/>
      <c r="AI239" s="77"/>
      <c r="AJ239" s="78"/>
      <c r="AK239" s="116"/>
      <c r="AL239" s="79"/>
      <c r="AM239" s="77"/>
      <c r="AN239" s="172"/>
      <c r="AO239" s="116"/>
      <c r="AQ239" s="43">
        <f t="shared" si="64"/>
        <v>0</v>
      </c>
      <c r="AR239" s="43">
        <f t="shared" si="65"/>
        <v>0</v>
      </c>
      <c r="AS239" s="43">
        <f t="shared" si="66"/>
        <v>0</v>
      </c>
    </row>
    <row r="240" spans="2:45" ht="21" customHeight="1">
      <c r="B240" s="43">
        <v>236</v>
      </c>
      <c r="C240" s="44" t="str">
        <f>'Course 1'!C240</f>
        <v/>
      </c>
      <c r="D240" s="46" t="str">
        <f>IF(C240="","",HLOOKUP(C240,'Règles et points'!$D$5:$Y$7,3))</f>
        <v/>
      </c>
      <c r="E240" s="46" t="str">
        <f>IF(C240="","",HLOOKUP(C240,'Règles et points'!$D$5:$Y$7,2))</f>
        <v/>
      </c>
      <c r="F240" s="43" t="str">
        <f>IF('Course 1'!E240="","",'Course 1'!E240)</f>
        <v/>
      </c>
      <c r="G240" s="43" t="str">
        <f>IF('Course 1'!F240="","",'Course 1'!F240)</f>
        <v/>
      </c>
      <c r="H240" s="56">
        <f>'Course 1'!M240+'Course 2'!M240+'Course 3'!M240+'Course 4'!M240+'Course 4'!M240</f>
        <v>0</v>
      </c>
      <c r="J240" s="43" t="str">
        <f t="shared" si="52"/>
        <v/>
      </c>
      <c r="K240" s="43" t="str">
        <f t="shared" si="53"/>
        <v/>
      </c>
      <c r="L240" s="53" t="str">
        <f t="shared" si="54"/>
        <v/>
      </c>
      <c r="N240" s="43" t="str">
        <f t="shared" si="61"/>
        <v/>
      </c>
      <c r="O240" s="43" t="str">
        <f t="shared" si="62"/>
        <v/>
      </c>
      <c r="P240" s="53" t="str">
        <f t="shared" si="63"/>
        <v/>
      </c>
      <c r="R240" s="43" t="str">
        <f t="shared" si="55"/>
        <v/>
      </c>
      <c r="S240" s="43" t="str">
        <f t="shared" si="56"/>
        <v/>
      </c>
      <c r="T240" s="45" t="str">
        <f t="shared" si="57"/>
        <v/>
      </c>
      <c r="V240" s="43" t="str">
        <f t="shared" si="58"/>
        <v/>
      </c>
      <c r="W240" s="43" t="str">
        <f t="shared" si="59"/>
        <v/>
      </c>
      <c r="X240" s="45" t="str">
        <f t="shared" si="60"/>
        <v/>
      </c>
      <c r="AD240" s="77"/>
      <c r="AE240" s="77"/>
      <c r="AF240" s="172"/>
      <c r="AG240" s="116"/>
      <c r="AH240" s="118"/>
      <c r="AI240" s="77"/>
      <c r="AJ240" s="78"/>
      <c r="AK240" s="116"/>
      <c r="AL240" s="79"/>
      <c r="AM240" s="77"/>
      <c r="AN240" s="172"/>
      <c r="AO240" s="116"/>
      <c r="AQ240" s="43">
        <f t="shared" si="64"/>
        <v>0</v>
      </c>
      <c r="AR240" s="43">
        <f t="shared" si="65"/>
        <v>0</v>
      </c>
      <c r="AS240" s="43">
        <f t="shared" si="66"/>
        <v>0</v>
      </c>
    </row>
    <row r="241" spans="2:45" ht="21" customHeight="1">
      <c r="B241" s="43">
        <v>237</v>
      </c>
      <c r="C241" s="44" t="str">
        <f>'Course 1'!C241</f>
        <v/>
      </c>
      <c r="D241" s="46" t="str">
        <f>IF(C241="","",HLOOKUP(C241,'Règles et points'!$D$5:$Y$7,3))</f>
        <v/>
      </c>
      <c r="E241" s="46" t="str">
        <f>IF(C241="","",HLOOKUP(C241,'Règles et points'!$D$5:$Y$7,2))</f>
        <v/>
      </c>
      <c r="F241" s="43" t="str">
        <f>IF('Course 1'!E241="","",'Course 1'!E241)</f>
        <v/>
      </c>
      <c r="G241" s="43" t="str">
        <f>IF('Course 1'!F241="","",'Course 1'!F241)</f>
        <v/>
      </c>
      <c r="H241" s="56">
        <f>'Course 1'!M241+'Course 2'!M241+'Course 3'!M241+'Course 4'!M241+'Course 4'!M241</f>
        <v>0</v>
      </c>
      <c r="J241" s="43" t="str">
        <f t="shared" si="52"/>
        <v/>
      </c>
      <c r="K241" s="43" t="str">
        <f t="shared" si="53"/>
        <v/>
      </c>
      <c r="L241" s="53" t="str">
        <f t="shared" si="54"/>
        <v/>
      </c>
      <c r="N241" s="43" t="str">
        <f t="shared" si="61"/>
        <v/>
      </c>
      <c r="O241" s="43" t="str">
        <f t="shared" si="62"/>
        <v/>
      </c>
      <c r="P241" s="53" t="str">
        <f t="shared" si="63"/>
        <v/>
      </c>
      <c r="R241" s="43" t="str">
        <f t="shared" si="55"/>
        <v/>
      </c>
      <c r="S241" s="43" t="str">
        <f t="shared" si="56"/>
        <v/>
      </c>
      <c r="T241" s="45" t="str">
        <f t="shared" si="57"/>
        <v/>
      </c>
      <c r="V241" s="43" t="str">
        <f t="shared" si="58"/>
        <v/>
      </c>
      <c r="W241" s="43" t="str">
        <f t="shared" si="59"/>
        <v/>
      </c>
      <c r="X241" s="45" t="str">
        <f t="shared" si="60"/>
        <v/>
      </c>
      <c r="AD241" s="77"/>
      <c r="AE241" s="77"/>
      <c r="AF241" s="78"/>
      <c r="AG241" s="116"/>
      <c r="AH241" s="118"/>
      <c r="AI241" s="77"/>
      <c r="AJ241" s="172"/>
      <c r="AK241" s="116"/>
      <c r="AL241" s="79"/>
      <c r="AM241" s="77"/>
      <c r="AN241" s="172"/>
      <c r="AO241" s="116"/>
      <c r="AQ241" s="43">
        <f t="shared" si="64"/>
        <v>0</v>
      </c>
      <c r="AR241" s="43">
        <f t="shared" si="65"/>
        <v>0</v>
      </c>
      <c r="AS241" s="43">
        <f t="shared" si="66"/>
        <v>0</v>
      </c>
    </row>
    <row r="242" spans="2:45" ht="21" customHeight="1">
      <c r="B242" s="43">
        <v>238</v>
      </c>
      <c r="C242" s="44" t="str">
        <f>'Course 1'!C242</f>
        <v/>
      </c>
      <c r="D242" s="46" t="str">
        <f>IF(C242="","",HLOOKUP(C242,'Règles et points'!$D$5:$Y$7,3))</f>
        <v/>
      </c>
      <c r="E242" s="46" t="str">
        <f>IF(C242="","",HLOOKUP(C242,'Règles et points'!$D$5:$Y$7,2))</f>
        <v/>
      </c>
      <c r="F242" s="43" t="str">
        <f>IF('Course 1'!E242="","",'Course 1'!E242)</f>
        <v/>
      </c>
      <c r="G242" s="43" t="str">
        <f>IF('Course 1'!F242="","",'Course 1'!F242)</f>
        <v/>
      </c>
      <c r="H242" s="56">
        <f>'Course 1'!M242+'Course 2'!M242+'Course 3'!M242+'Course 4'!M242+'Course 4'!M242</f>
        <v>0</v>
      </c>
      <c r="J242" s="43" t="str">
        <f t="shared" si="52"/>
        <v/>
      </c>
      <c r="K242" s="43" t="str">
        <f t="shared" si="53"/>
        <v/>
      </c>
      <c r="L242" s="53" t="str">
        <f t="shared" si="54"/>
        <v/>
      </c>
      <c r="N242" s="43" t="str">
        <f t="shared" si="61"/>
        <v/>
      </c>
      <c r="O242" s="43" t="str">
        <f t="shared" si="62"/>
        <v/>
      </c>
      <c r="P242" s="53" t="str">
        <f t="shared" si="63"/>
        <v/>
      </c>
      <c r="R242" s="43" t="str">
        <f t="shared" si="55"/>
        <v/>
      </c>
      <c r="S242" s="43" t="str">
        <f t="shared" si="56"/>
        <v/>
      </c>
      <c r="T242" s="45" t="str">
        <f t="shared" si="57"/>
        <v/>
      </c>
      <c r="V242" s="43" t="str">
        <f t="shared" si="58"/>
        <v/>
      </c>
      <c r="W242" s="43" t="str">
        <f t="shared" si="59"/>
        <v/>
      </c>
      <c r="X242" s="45" t="str">
        <f t="shared" si="60"/>
        <v/>
      </c>
      <c r="AD242" s="77"/>
      <c r="AE242" s="77"/>
      <c r="AF242" s="172"/>
      <c r="AG242" s="116"/>
      <c r="AH242" s="118"/>
      <c r="AI242" s="77"/>
      <c r="AJ242" s="78"/>
      <c r="AK242" s="116"/>
      <c r="AL242" s="79"/>
      <c r="AM242" s="77"/>
      <c r="AN242" s="172"/>
      <c r="AO242" s="116"/>
      <c r="AQ242" s="43">
        <f t="shared" si="64"/>
        <v>0</v>
      </c>
      <c r="AR242" s="43">
        <f t="shared" si="65"/>
        <v>0</v>
      </c>
      <c r="AS242" s="43">
        <f t="shared" si="66"/>
        <v>0</v>
      </c>
    </row>
    <row r="243" spans="2:45" ht="21" customHeight="1">
      <c r="B243" s="43">
        <v>239</v>
      </c>
      <c r="C243" s="44" t="str">
        <f>'Course 1'!C243</f>
        <v/>
      </c>
      <c r="D243" s="46" t="str">
        <f>IF(C243="","",HLOOKUP(C243,'Règles et points'!$D$5:$Y$7,3))</f>
        <v/>
      </c>
      <c r="E243" s="46" t="str">
        <f>IF(C243="","",HLOOKUP(C243,'Règles et points'!$D$5:$Y$7,2))</f>
        <v/>
      </c>
      <c r="F243" s="43" t="str">
        <f>IF('Course 1'!E243="","",'Course 1'!E243)</f>
        <v/>
      </c>
      <c r="G243" s="43" t="str">
        <f>IF('Course 1'!F243="","",'Course 1'!F243)</f>
        <v/>
      </c>
      <c r="H243" s="56">
        <f>'Course 1'!M243+'Course 2'!M243+'Course 3'!M243+'Course 4'!M243+'Course 4'!M243</f>
        <v>0</v>
      </c>
      <c r="J243" s="43" t="str">
        <f t="shared" si="52"/>
        <v/>
      </c>
      <c r="K243" s="43" t="str">
        <f t="shared" si="53"/>
        <v/>
      </c>
      <c r="L243" s="53" t="str">
        <f t="shared" si="54"/>
        <v/>
      </c>
      <c r="N243" s="43" t="str">
        <f t="shared" si="61"/>
        <v/>
      </c>
      <c r="O243" s="43" t="str">
        <f t="shared" si="62"/>
        <v/>
      </c>
      <c r="P243" s="53" t="str">
        <f t="shared" si="63"/>
        <v/>
      </c>
      <c r="R243" s="43" t="str">
        <f t="shared" si="55"/>
        <v/>
      </c>
      <c r="S243" s="43" t="str">
        <f t="shared" si="56"/>
        <v/>
      </c>
      <c r="T243" s="45" t="str">
        <f t="shared" si="57"/>
        <v/>
      </c>
      <c r="V243" s="43" t="str">
        <f t="shared" si="58"/>
        <v/>
      </c>
      <c r="W243" s="43" t="str">
        <f t="shared" si="59"/>
        <v/>
      </c>
      <c r="X243" s="45" t="str">
        <f t="shared" si="60"/>
        <v/>
      </c>
      <c r="AD243" s="77"/>
      <c r="AE243" s="77"/>
      <c r="AF243" s="172"/>
      <c r="AG243" s="116"/>
      <c r="AH243" s="118"/>
      <c r="AI243" s="77"/>
      <c r="AJ243" s="78"/>
      <c r="AK243" s="116"/>
      <c r="AL243" s="79"/>
      <c r="AM243" s="77"/>
      <c r="AN243" s="172"/>
      <c r="AO243" s="116"/>
      <c r="AQ243" s="43">
        <f t="shared" si="64"/>
        <v>0</v>
      </c>
      <c r="AR243" s="43">
        <f t="shared" si="65"/>
        <v>0</v>
      </c>
      <c r="AS243" s="43">
        <f t="shared" si="66"/>
        <v>0</v>
      </c>
    </row>
    <row r="244" spans="2:45" ht="21" customHeight="1">
      <c r="B244" s="43">
        <v>240</v>
      </c>
      <c r="C244" s="44" t="str">
        <f>'Course 1'!C244</f>
        <v/>
      </c>
      <c r="D244" s="46" t="str">
        <f>IF(C244="","",HLOOKUP(C244,'Règles et points'!$D$5:$Y$7,3))</f>
        <v/>
      </c>
      <c r="E244" s="46" t="str">
        <f>IF(C244="","",HLOOKUP(C244,'Règles et points'!$D$5:$Y$7,2))</f>
        <v/>
      </c>
      <c r="F244" s="43" t="str">
        <f>IF('Course 1'!E244="","",'Course 1'!E244)</f>
        <v/>
      </c>
      <c r="G244" s="43" t="str">
        <f>IF('Course 1'!F244="","",'Course 1'!F244)</f>
        <v/>
      </c>
      <c r="H244" s="56">
        <f>'Course 1'!M244+'Course 2'!M244+'Course 3'!M244+'Course 4'!M244+'Course 4'!M244</f>
        <v>0</v>
      </c>
      <c r="J244" s="43" t="str">
        <f t="shared" si="52"/>
        <v/>
      </c>
      <c r="K244" s="43" t="str">
        <f t="shared" si="53"/>
        <v/>
      </c>
      <c r="L244" s="53" t="str">
        <f t="shared" si="54"/>
        <v/>
      </c>
      <c r="N244" s="43" t="str">
        <f t="shared" si="61"/>
        <v/>
      </c>
      <c r="O244" s="43" t="str">
        <f t="shared" si="62"/>
        <v/>
      </c>
      <c r="P244" s="53" t="str">
        <f t="shared" si="63"/>
        <v/>
      </c>
      <c r="R244" s="43" t="str">
        <f t="shared" si="55"/>
        <v/>
      </c>
      <c r="S244" s="43" t="str">
        <f t="shared" si="56"/>
        <v/>
      </c>
      <c r="T244" s="45" t="str">
        <f t="shared" si="57"/>
        <v/>
      </c>
      <c r="V244" s="43" t="str">
        <f t="shared" si="58"/>
        <v/>
      </c>
      <c r="W244" s="43" t="str">
        <f t="shared" si="59"/>
        <v/>
      </c>
      <c r="X244" s="45" t="str">
        <f t="shared" si="60"/>
        <v/>
      </c>
      <c r="AD244" s="77"/>
      <c r="AE244" s="77"/>
      <c r="AF244" s="172"/>
      <c r="AG244" s="116"/>
      <c r="AH244" s="118"/>
      <c r="AI244" s="77"/>
      <c r="AJ244" s="78"/>
      <c r="AK244" s="116"/>
      <c r="AL244" s="79"/>
      <c r="AM244" s="77"/>
      <c r="AN244" s="172"/>
      <c r="AO244" s="116"/>
      <c r="AQ244" s="43">
        <f t="shared" si="64"/>
        <v>0</v>
      </c>
      <c r="AR244" s="43">
        <f t="shared" si="65"/>
        <v>0</v>
      </c>
      <c r="AS244" s="43">
        <f t="shared" si="66"/>
        <v>0</v>
      </c>
    </row>
    <row r="245" spans="2:45" ht="21" customHeight="1">
      <c r="B245" s="43">
        <v>241</v>
      </c>
      <c r="C245" s="44" t="str">
        <f>'Course 1'!C245</f>
        <v/>
      </c>
      <c r="D245" s="46" t="str">
        <f>IF(C245="","",HLOOKUP(C245,'Règles et points'!$D$5:$Y$7,3))</f>
        <v/>
      </c>
      <c r="E245" s="46" t="str">
        <f>IF(C245="","",HLOOKUP(C245,'Règles et points'!$D$5:$Y$7,2))</f>
        <v/>
      </c>
      <c r="F245" s="43" t="str">
        <f>IF('Course 1'!E245="","",'Course 1'!E245)</f>
        <v/>
      </c>
      <c r="G245" s="43" t="str">
        <f>IF('Course 1'!F245="","",'Course 1'!F245)</f>
        <v/>
      </c>
      <c r="H245" s="56">
        <f>'Course 1'!M245+'Course 2'!M245+'Course 3'!M245+'Course 4'!M245+'Course 4'!M245</f>
        <v>0</v>
      </c>
      <c r="J245" s="43" t="str">
        <f t="shared" si="52"/>
        <v/>
      </c>
      <c r="K245" s="43" t="str">
        <f t="shared" si="53"/>
        <v/>
      </c>
      <c r="L245" s="53" t="str">
        <f t="shared" si="54"/>
        <v/>
      </c>
      <c r="N245" s="43" t="str">
        <f t="shared" si="61"/>
        <v/>
      </c>
      <c r="O245" s="43" t="str">
        <f t="shared" si="62"/>
        <v/>
      </c>
      <c r="P245" s="53" t="str">
        <f t="shared" si="63"/>
        <v/>
      </c>
      <c r="R245" s="43" t="str">
        <f t="shared" si="55"/>
        <v/>
      </c>
      <c r="S245" s="43" t="str">
        <f t="shared" si="56"/>
        <v/>
      </c>
      <c r="T245" s="45" t="str">
        <f t="shared" si="57"/>
        <v/>
      </c>
      <c r="V245" s="43" t="str">
        <f t="shared" si="58"/>
        <v/>
      </c>
      <c r="W245" s="43" t="str">
        <f t="shared" si="59"/>
        <v/>
      </c>
      <c r="X245" s="45" t="str">
        <f t="shared" si="60"/>
        <v/>
      </c>
      <c r="AD245" s="77"/>
      <c r="AE245" s="77"/>
      <c r="AF245" s="172"/>
      <c r="AG245" s="116"/>
      <c r="AH245" s="118"/>
      <c r="AI245" s="77"/>
      <c r="AJ245" s="78"/>
      <c r="AK245" s="116"/>
      <c r="AL245" s="79"/>
      <c r="AM245" s="77"/>
      <c r="AN245" s="172"/>
      <c r="AO245" s="116"/>
      <c r="AQ245" s="43">
        <f t="shared" si="64"/>
        <v>0</v>
      </c>
      <c r="AR245" s="43">
        <f t="shared" si="65"/>
        <v>0</v>
      </c>
      <c r="AS245" s="43">
        <f t="shared" si="66"/>
        <v>0</v>
      </c>
    </row>
    <row r="246" spans="2:45" ht="21" customHeight="1">
      <c r="B246" s="43">
        <v>242</v>
      </c>
      <c r="C246" s="44" t="str">
        <f>'Course 1'!C246</f>
        <v/>
      </c>
      <c r="D246" s="46" t="str">
        <f>IF(C246="","",HLOOKUP(C246,'Règles et points'!$D$5:$Y$7,3))</f>
        <v/>
      </c>
      <c r="E246" s="46" t="str">
        <f>IF(C246="","",HLOOKUP(C246,'Règles et points'!$D$5:$Y$7,2))</f>
        <v/>
      </c>
      <c r="F246" s="43" t="str">
        <f>IF('Course 1'!E246="","",'Course 1'!E246)</f>
        <v/>
      </c>
      <c r="G246" s="43" t="str">
        <f>IF('Course 1'!F246="","",'Course 1'!F246)</f>
        <v/>
      </c>
      <c r="H246" s="56">
        <f>'Course 1'!M246+'Course 2'!M246+'Course 3'!M246+'Course 4'!M246+'Course 4'!M246</f>
        <v>0</v>
      </c>
      <c r="J246" s="43" t="str">
        <f t="shared" si="52"/>
        <v/>
      </c>
      <c r="K246" s="43" t="str">
        <f t="shared" si="53"/>
        <v/>
      </c>
      <c r="L246" s="53" t="str">
        <f t="shared" si="54"/>
        <v/>
      </c>
      <c r="N246" s="43" t="str">
        <f t="shared" si="61"/>
        <v/>
      </c>
      <c r="O246" s="43" t="str">
        <f t="shared" si="62"/>
        <v/>
      </c>
      <c r="P246" s="53" t="str">
        <f t="shared" si="63"/>
        <v/>
      </c>
      <c r="R246" s="43" t="str">
        <f t="shared" si="55"/>
        <v/>
      </c>
      <c r="S246" s="43" t="str">
        <f t="shared" si="56"/>
        <v/>
      </c>
      <c r="T246" s="45" t="str">
        <f t="shared" si="57"/>
        <v/>
      </c>
      <c r="V246" s="43" t="str">
        <f t="shared" si="58"/>
        <v/>
      </c>
      <c r="W246" s="43" t="str">
        <f t="shared" si="59"/>
        <v/>
      </c>
      <c r="X246" s="45" t="str">
        <f t="shared" si="60"/>
        <v/>
      </c>
      <c r="AD246" s="77"/>
      <c r="AE246" s="77"/>
      <c r="AF246" s="172"/>
      <c r="AG246" s="116"/>
      <c r="AH246" s="118"/>
      <c r="AI246" s="77"/>
      <c r="AJ246" s="78"/>
      <c r="AK246" s="116"/>
      <c r="AL246" s="79"/>
      <c r="AM246" s="77"/>
      <c r="AN246" s="172"/>
      <c r="AO246" s="116"/>
      <c r="AQ246" s="43">
        <f t="shared" si="64"/>
        <v>0</v>
      </c>
      <c r="AR246" s="43">
        <f t="shared" si="65"/>
        <v>0</v>
      </c>
      <c r="AS246" s="43">
        <f t="shared" si="66"/>
        <v>0</v>
      </c>
    </row>
    <row r="247" spans="2:45" ht="21" customHeight="1">
      <c r="B247" s="43">
        <v>243</v>
      </c>
      <c r="C247" s="44" t="str">
        <f>'Course 1'!C247</f>
        <v/>
      </c>
      <c r="D247" s="46" t="str">
        <f>IF(C247="","",HLOOKUP(C247,'Règles et points'!$D$5:$Y$7,3))</f>
        <v/>
      </c>
      <c r="E247" s="46" t="str">
        <f>IF(C247="","",HLOOKUP(C247,'Règles et points'!$D$5:$Y$7,2))</f>
        <v/>
      </c>
      <c r="F247" s="43" t="str">
        <f>IF('Course 1'!E247="","",'Course 1'!E247)</f>
        <v/>
      </c>
      <c r="G247" s="43" t="str">
        <f>IF('Course 1'!F247="","",'Course 1'!F247)</f>
        <v/>
      </c>
      <c r="H247" s="56">
        <f>'Course 1'!M247+'Course 2'!M247+'Course 3'!M247+'Course 4'!M247+'Course 4'!M247</f>
        <v>0</v>
      </c>
      <c r="J247" s="43" t="str">
        <f t="shared" si="52"/>
        <v/>
      </c>
      <c r="K247" s="43" t="str">
        <f t="shared" si="53"/>
        <v/>
      </c>
      <c r="L247" s="53" t="str">
        <f t="shared" si="54"/>
        <v/>
      </c>
      <c r="N247" s="43" t="str">
        <f t="shared" si="61"/>
        <v/>
      </c>
      <c r="O247" s="43" t="str">
        <f t="shared" si="62"/>
        <v/>
      </c>
      <c r="P247" s="53" t="str">
        <f t="shared" si="63"/>
        <v/>
      </c>
      <c r="R247" s="43" t="str">
        <f t="shared" si="55"/>
        <v/>
      </c>
      <c r="S247" s="43" t="str">
        <f t="shared" si="56"/>
        <v/>
      </c>
      <c r="T247" s="45" t="str">
        <f t="shared" si="57"/>
        <v/>
      </c>
      <c r="V247" s="43" t="str">
        <f t="shared" si="58"/>
        <v/>
      </c>
      <c r="W247" s="43" t="str">
        <f t="shared" si="59"/>
        <v/>
      </c>
      <c r="X247" s="45" t="str">
        <f t="shared" si="60"/>
        <v/>
      </c>
      <c r="AD247" s="77"/>
      <c r="AE247" s="77"/>
      <c r="AF247" s="172"/>
      <c r="AG247" s="116"/>
      <c r="AH247" s="118"/>
      <c r="AI247" s="77"/>
      <c r="AJ247" s="78"/>
      <c r="AK247" s="116"/>
      <c r="AL247" s="79"/>
      <c r="AM247" s="77"/>
      <c r="AN247" s="172"/>
      <c r="AO247" s="116"/>
      <c r="AQ247" s="43">
        <f t="shared" si="64"/>
        <v>0</v>
      </c>
      <c r="AR247" s="43">
        <f t="shared" si="65"/>
        <v>0</v>
      </c>
      <c r="AS247" s="43">
        <f t="shared" si="66"/>
        <v>0</v>
      </c>
    </row>
    <row r="248" spans="2:45" ht="21" customHeight="1">
      <c r="B248" s="43">
        <v>244</v>
      </c>
      <c r="C248" s="44" t="str">
        <f>'Course 1'!C248</f>
        <v/>
      </c>
      <c r="D248" s="46" t="str">
        <f>IF(C248="","",HLOOKUP(C248,'Règles et points'!$D$5:$Y$7,3))</f>
        <v/>
      </c>
      <c r="E248" s="46" t="str">
        <f>IF(C248="","",HLOOKUP(C248,'Règles et points'!$D$5:$Y$7,2))</f>
        <v/>
      </c>
      <c r="F248" s="43" t="str">
        <f>IF('Course 1'!E248="","",'Course 1'!E248)</f>
        <v/>
      </c>
      <c r="G248" s="43" t="str">
        <f>IF('Course 1'!F248="","",'Course 1'!F248)</f>
        <v/>
      </c>
      <c r="H248" s="56">
        <f>'Course 1'!M248+'Course 2'!M248+'Course 3'!M248+'Course 4'!M248+'Course 4'!M248</f>
        <v>0</v>
      </c>
      <c r="J248" s="43" t="str">
        <f t="shared" si="52"/>
        <v/>
      </c>
      <c r="K248" s="43" t="str">
        <f t="shared" si="53"/>
        <v/>
      </c>
      <c r="L248" s="53" t="str">
        <f t="shared" si="54"/>
        <v/>
      </c>
      <c r="N248" s="43" t="str">
        <f t="shared" si="61"/>
        <v/>
      </c>
      <c r="O248" s="43" t="str">
        <f t="shared" si="62"/>
        <v/>
      </c>
      <c r="P248" s="53" t="str">
        <f t="shared" si="63"/>
        <v/>
      </c>
      <c r="R248" s="43" t="str">
        <f t="shared" si="55"/>
        <v/>
      </c>
      <c r="S248" s="43" t="str">
        <f t="shared" si="56"/>
        <v/>
      </c>
      <c r="T248" s="45" t="str">
        <f t="shared" si="57"/>
        <v/>
      </c>
      <c r="V248" s="43" t="str">
        <f t="shared" si="58"/>
        <v/>
      </c>
      <c r="W248" s="43" t="str">
        <f t="shared" si="59"/>
        <v/>
      </c>
      <c r="X248" s="45" t="str">
        <f t="shared" si="60"/>
        <v/>
      </c>
      <c r="AD248" s="77"/>
      <c r="AE248" s="77"/>
      <c r="AF248" s="172"/>
      <c r="AG248" s="116"/>
      <c r="AH248" s="118"/>
      <c r="AI248" s="77"/>
      <c r="AJ248" s="78"/>
      <c r="AK248" s="116"/>
      <c r="AL248" s="79"/>
      <c r="AM248" s="77"/>
      <c r="AN248" s="172"/>
      <c r="AO248" s="116"/>
      <c r="AQ248" s="43">
        <f t="shared" si="64"/>
        <v>0</v>
      </c>
      <c r="AR248" s="43">
        <f t="shared" si="65"/>
        <v>0</v>
      </c>
      <c r="AS248" s="43">
        <f t="shared" si="66"/>
        <v>0</v>
      </c>
    </row>
    <row r="249" spans="2:45" ht="21" customHeight="1">
      <c r="B249" s="43">
        <v>245</v>
      </c>
      <c r="C249" s="44" t="str">
        <f>'Course 1'!C249</f>
        <v/>
      </c>
      <c r="D249" s="46" t="str">
        <f>IF(C249="","",HLOOKUP(C249,'Règles et points'!$D$5:$Y$7,3))</f>
        <v/>
      </c>
      <c r="E249" s="46" t="str">
        <f>IF(C249="","",HLOOKUP(C249,'Règles et points'!$D$5:$Y$7,2))</f>
        <v/>
      </c>
      <c r="F249" s="43" t="str">
        <f>IF('Course 1'!E249="","",'Course 1'!E249)</f>
        <v/>
      </c>
      <c r="G249" s="43" t="str">
        <f>IF('Course 1'!F249="","",'Course 1'!F249)</f>
        <v/>
      </c>
      <c r="H249" s="56">
        <f>'Course 1'!M249+'Course 2'!M249+'Course 3'!M249+'Course 4'!M249+'Course 4'!M249</f>
        <v>0</v>
      </c>
      <c r="J249" s="43" t="str">
        <f t="shared" si="52"/>
        <v/>
      </c>
      <c r="K249" s="43" t="str">
        <f t="shared" si="53"/>
        <v/>
      </c>
      <c r="L249" s="53" t="str">
        <f t="shared" si="54"/>
        <v/>
      </c>
      <c r="N249" s="43" t="str">
        <f t="shared" si="61"/>
        <v/>
      </c>
      <c r="O249" s="43" t="str">
        <f t="shared" si="62"/>
        <v/>
      </c>
      <c r="P249" s="53" t="str">
        <f t="shared" si="63"/>
        <v/>
      </c>
      <c r="R249" s="43" t="str">
        <f t="shared" si="55"/>
        <v/>
      </c>
      <c r="S249" s="43" t="str">
        <f t="shared" si="56"/>
        <v/>
      </c>
      <c r="T249" s="45" t="str">
        <f t="shared" si="57"/>
        <v/>
      </c>
      <c r="V249" s="43" t="str">
        <f t="shared" si="58"/>
        <v/>
      </c>
      <c r="W249" s="43" t="str">
        <f t="shared" si="59"/>
        <v/>
      </c>
      <c r="X249" s="45" t="str">
        <f t="shared" si="60"/>
        <v/>
      </c>
      <c r="AD249" s="77"/>
      <c r="AE249" s="77"/>
      <c r="AF249" s="172"/>
      <c r="AG249" s="116"/>
      <c r="AH249" s="118"/>
      <c r="AI249" s="77"/>
      <c r="AJ249" s="78"/>
      <c r="AK249" s="116"/>
      <c r="AL249" s="79"/>
      <c r="AM249" s="77"/>
      <c r="AN249" s="172"/>
      <c r="AO249" s="116"/>
      <c r="AQ249" s="43">
        <f t="shared" si="64"/>
        <v>0</v>
      </c>
      <c r="AR249" s="43">
        <f t="shared" si="65"/>
        <v>0</v>
      </c>
      <c r="AS249" s="43">
        <f t="shared" si="66"/>
        <v>0</v>
      </c>
    </row>
    <row r="250" spans="2:45" ht="21" customHeight="1">
      <c r="B250" s="43">
        <v>246</v>
      </c>
      <c r="C250" s="44" t="str">
        <f>'Course 1'!C250</f>
        <v/>
      </c>
      <c r="D250" s="46" t="str">
        <f>IF(C250="","",HLOOKUP(C250,'Règles et points'!$D$5:$Y$7,3))</f>
        <v/>
      </c>
      <c r="E250" s="46" t="str">
        <f>IF(C250="","",HLOOKUP(C250,'Règles et points'!$D$5:$Y$7,2))</f>
        <v/>
      </c>
      <c r="F250" s="43" t="str">
        <f>IF('Course 1'!E250="","",'Course 1'!E250)</f>
        <v/>
      </c>
      <c r="G250" s="43" t="str">
        <f>IF('Course 1'!F250="","",'Course 1'!F250)</f>
        <v/>
      </c>
      <c r="H250" s="56">
        <f>'Course 1'!M250+'Course 2'!M250+'Course 3'!M250+'Course 4'!M250+'Course 4'!M250</f>
        <v>0</v>
      </c>
      <c r="J250" s="43" t="str">
        <f t="shared" si="52"/>
        <v/>
      </c>
      <c r="K250" s="43" t="str">
        <f t="shared" si="53"/>
        <v/>
      </c>
      <c r="L250" s="53" t="str">
        <f t="shared" si="54"/>
        <v/>
      </c>
      <c r="N250" s="43" t="str">
        <f t="shared" si="61"/>
        <v/>
      </c>
      <c r="O250" s="43" t="str">
        <f t="shared" si="62"/>
        <v/>
      </c>
      <c r="P250" s="53" t="str">
        <f t="shared" si="63"/>
        <v/>
      </c>
      <c r="R250" s="43" t="str">
        <f t="shared" si="55"/>
        <v/>
      </c>
      <c r="S250" s="43" t="str">
        <f t="shared" si="56"/>
        <v/>
      </c>
      <c r="T250" s="45" t="str">
        <f t="shared" si="57"/>
        <v/>
      </c>
      <c r="V250" s="43" t="str">
        <f t="shared" si="58"/>
        <v/>
      </c>
      <c r="W250" s="43" t="str">
        <f t="shared" si="59"/>
        <v/>
      </c>
      <c r="X250" s="45" t="str">
        <f t="shared" si="60"/>
        <v/>
      </c>
      <c r="AD250" s="77"/>
      <c r="AE250" s="77"/>
      <c r="AF250" s="172"/>
      <c r="AG250" s="116"/>
      <c r="AH250" s="118"/>
      <c r="AI250" s="77"/>
      <c r="AJ250" s="78"/>
      <c r="AK250" s="116"/>
      <c r="AL250" s="79"/>
      <c r="AM250" s="77"/>
      <c r="AN250" s="172"/>
      <c r="AO250" s="116"/>
      <c r="AQ250" s="43">
        <f t="shared" si="64"/>
        <v>0</v>
      </c>
      <c r="AR250" s="43">
        <f t="shared" si="65"/>
        <v>0</v>
      </c>
      <c r="AS250" s="43">
        <f t="shared" si="66"/>
        <v>0</v>
      </c>
    </row>
    <row r="251" spans="2:45" ht="21" customHeight="1">
      <c r="B251" s="43">
        <v>247</v>
      </c>
      <c r="C251" s="44" t="str">
        <f>'Course 1'!C251</f>
        <v/>
      </c>
      <c r="D251" s="46" t="str">
        <f>IF(C251="","",HLOOKUP(C251,'Règles et points'!$D$5:$Y$7,3))</f>
        <v/>
      </c>
      <c r="E251" s="46" t="str">
        <f>IF(C251="","",HLOOKUP(C251,'Règles et points'!$D$5:$Y$7,2))</f>
        <v/>
      </c>
      <c r="F251" s="43" t="str">
        <f>IF('Course 1'!E251="","",'Course 1'!E251)</f>
        <v/>
      </c>
      <c r="G251" s="43" t="str">
        <f>IF('Course 1'!F251="","",'Course 1'!F251)</f>
        <v/>
      </c>
      <c r="H251" s="56">
        <f>'Course 1'!M251+'Course 2'!M251+'Course 3'!M251+'Course 4'!M251+'Course 4'!M251</f>
        <v>0</v>
      </c>
      <c r="J251" s="43" t="str">
        <f t="shared" si="52"/>
        <v/>
      </c>
      <c r="K251" s="43" t="str">
        <f t="shared" si="53"/>
        <v/>
      </c>
      <c r="L251" s="53" t="str">
        <f t="shared" si="54"/>
        <v/>
      </c>
      <c r="N251" s="43" t="str">
        <f t="shared" si="61"/>
        <v/>
      </c>
      <c r="O251" s="43" t="str">
        <f t="shared" si="62"/>
        <v/>
      </c>
      <c r="P251" s="53" t="str">
        <f t="shared" si="63"/>
        <v/>
      </c>
      <c r="R251" s="43" t="str">
        <f t="shared" si="55"/>
        <v/>
      </c>
      <c r="S251" s="43" t="str">
        <f t="shared" si="56"/>
        <v/>
      </c>
      <c r="T251" s="45" t="str">
        <f t="shared" si="57"/>
        <v/>
      </c>
      <c r="V251" s="43" t="str">
        <f t="shared" si="58"/>
        <v/>
      </c>
      <c r="W251" s="43" t="str">
        <f t="shared" si="59"/>
        <v/>
      </c>
      <c r="X251" s="45" t="str">
        <f t="shared" si="60"/>
        <v/>
      </c>
      <c r="AD251" s="77"/>
      <c r="AE251" s="77"/>
      <c r="AF251" s="172"/>
      <c r="AG251" s="116"/>
      <c r="AH251" s="118"/>
      <c r="AI251" s="77"/>
      <c r="AJ251" s="78"/>
      <c r="AK251" s="116"/>
      <c r="AL251" s="79"/>
      <c r="AM251" s="77"/>
      <c r="AN251" s="172"/>
      <c r="AO251" s="116"/>
      <c r="AQ251" s="43">
        <f t="shared" si="64"/>
        <v>0</v>
      </c>
      <c r="AR251" s="43">
        <f t="shared" si="65"/>
        <v>0</v>
      </c>
      <c r="AS251" s="43">
        <f t="shared" si="66"/>
        <v>0</v>
      </c>
    </row>
    <row r="252" spans="2:45" ht="21" customHeight="1">
      <c r="B252" s="43">
        <v>248</v>
      </c>
      <c r="C252" s="44" t="str">
        <f>'Course 1'!C252</f>
        <v/>
      </c>
      <c r="D252" s="46" t="str">
        <f>IF(C252="","",HLOOKUP(C252,'Règles et points'!$D$5:$Y$7,3))</f>
        <v/>
      </c>
      <c r="E252" s="46" t="str">
        <f>IF(C252="","",HLOOKUP(C252,'Règles et points'!$D$5:$Y$7,2))</f>
        <v/>
      </c>
      <c r="F252" s="43" t="str">
        <f>IF('Course 1'!E252="","",'Course 1'!E252)</f>
        <v/>
      </c>
      <c r="G252" s="43" t="str">
        <f>IF('Course 1'!F252="","",'Course 1'!F252)</f>
        <v/>
      </c>
      <c r="H252" s="56">
        <f>'Course 1'!M252+'Course 2'!M252+'Course 3'!M252+'Course 4'!M252+'Course 4'!M252</f>
        <v>0</v>
      </c>
      <c r="J252" s="43" t="str">
        <f t="shared" si="52"/>
        <v/>
      </c>
      <c r="K252" s="43" t="str">
        <f t="shared" si="53"/>
        <v/>
      </c>
      <c r="L252" s="53" t="str">
        <f t="shared" si="54"/>
        <v/>
      </c>
      <c r="N252" s="43" t="str">
        <f t="shared" si="61"/>
        <v/>
      </c>
      <c r="O252" s="43" t="str">
        <f t="shared" si="62"/>
        <v/>
      </c>
      <c r="P252" s="53" t="str">
        <f t="shared" si="63"/>
        <v/>
      </c>
      <c r="R252" s="43" t="str">
        <f t="shared" si="55"/>
        <v/>
      </c>
      <c r="S252" s="43" t="str">
        <f t="shared" si="56"/>
        <v/>
      </c>
      <c r="T252" s="45" t="str">
        <f t="shared" si="57"/>
        <v/>
      </c>
      <c r="V252" s="43" t="str">
        <f t="shared" si="58"/>
        <v/>
      </c>
      <c r="W252" s="43" t="str">
        <f t="shared" si="59"/>
        <v/>
      </c>
      <c r="X252" s="45" t="str">
        <f t="shared" si="60"/>
        <v/>
      </c>
      <c r="AD252" s="77"/>
      <c r="AE252" s="77"/>
      <c r="AF252" s="172"/>
      <c r="AG252" s="116"/>
      <c r="AH252" s="118"/>
      <c r="AI252" s="77"/>
      <c r="AJ252" s="78"/>
      <c r="AK252" s="116"/>
      <c r="AL252" s="79"/>
      <c r="AM252" s="77"/>
      <c r="AN252" s="172"/>
      <c r="AO252" s="116"/>
      <c r="AQ252" s="43">
        <f t="shared" si="64"/>
        <v>0</v>
      </c>
      <c r="AR252" s="43">
        <f t="shared" si="65"/>
        <v>0</v>
      </c>
      <c r="AS252" s="43">
        <f t="shared" si="66"/>
        <v>0</v>
      </c>
    </row>
    <row r="253" spans="2:45" ht="21" customHeight="1">
      <c r="B253" s="43">
        <v>249</v>
      </c>
      <c r="C253" s="44" t="str">
        <f>'Course 1'!C253</f>
        <v/>
      </c>
      <c r="D253" s="46" t="str">
        <f>IF(C253="","",HLOOKUP(C253,'Règles et points'!$D$5:$Y$7,3))</f>
        <v/>
      </c>
      <c r="E253" s="46" t="str">
        <f>IF(C253="","",HLOOKUP(C253,'Règles et points'!$D$5:$Y$7,2))</f>
        <v/>
      </c>
      <c r="F253" s="43" t="str">
        <f>IF('Course 1'!E253="","",'Course 1'!E253)</f>
        <v/>
      </c>
      <c r="G253" s="43" t="str">
        <f>IF('Course 1'!F253="","",'Course 1'!F253)</f>
        <v/>
      </c>
      <c r="H253" s="56">
        <f>'Course 1'!M253+'Course 2'!M253+'Course 3'!M253+'Course 4'!M253+'Course 4'!M253</f>
        <v>0</v>
      </c>
      <c r="J253" s="43" t="str">
        <f t="shared" si="52"/>
        <v/>
      </c>
      <c r="K253" s="43" t="str">
        <f t="shared" si="53"/>
        <v/>
      </c>
      <c r="L253" s="53" t="str">
        <f t="shared" si="54"/>
        <v/>
      </c>
      <c r="N253" s="43" t="str">
        <f t="shared" si="61"/>
        <v/>
      </c>
      <c r="O253" s="43" t="str">
        <f t="shared" si="62"/>
        <v/>
      </c>
      <c r="P253" s="53" t="str">
        <f t="shared" si="63"/>
        <v/>
      </c>
      <c r="R253" s="43" t="str">
        <f t="shared" si="55"/>
        <v/>
      </c>
      <c r="S253" s="43" t="str">
        <f t="shared" si="56"/>
        <v/>
      </c>
      <c r="T253" s="45" t="str">
        <f t="shared" si="57"/>
        <v/>
      </c>
      <c r="V253" s="43" t="str">
        <f t="shared" si="58"/>
        <v/>
      </c>
      <c r="W253" s="43" t="str">
        <f t="shared" si="59"/>
        <v/>
      </c>
      <c r="X253" s="45" t="str">
        <f t="shared" si="60"/>
        <v/>
      </c>
      <c r="AD253" s="77"/>
      <c r="AE253" s="77"/>
      <c r="AF253" s="172"/>
      <c r="AG253" s="116"/>
      <c r="AH253" s="118"/>
      <c r="AI253" s="77"/>
      <c r="AJ253" s="78"/>
      <c r="AK253" s="116"/>
      <c r="AL253" s="79"/>
      <c r="AM253" s="77"/>
      <c r="AN253" s="172"/>
      <c r="AO253" s="116"/>
      <c r="AQ253" s="43">
        <f t="shared" si="64"/>
        <v>0</v>
      </c>
      <c r="AR253" s="43">
        <f t="shared" si="65"/>
        <v>0</v>
      </c>
      <c r="AS253" s="43">
        <f t="shared" si="66"/>
        <v>0</v>
      </c>
    </row>
    <row r="254" spans="2:45" ht="21" customHeight="1">
      <c r="B254" s="43">
        <v>250</v>
      </c>
      <c r="C254" s="44" t="str">
        <f>'Course 1'!C254</f>
        <v/>
      </c>
      <c r="D254" s="46" t="str">
        <f>IF(C254="","",HLOOKUP(C254,'Règles et points'!$D$5:$Y$7,3))</f>
        <v/>
      </c>
      <c r="E254" s="46" t="str">
        <f>IF(C254="","",HLOOKUP(C254,'Règles et points'!$D$5:$Y$7,2))</f>
        <v/>
      </c>
      <c r="F254" s="43" t="str">
        <f>IF('Course 1'!E254="","",'Course 1'!E254)</f>
        <v/>
      </c>
      <c r="G254" s="43" t="str">
        <f>IF('Course 1'!F254="","",'Course 1'!F254)</f>
        <v/>
      </c>
      <c r="H254" s="56">
        <f>'Course 1'!M254+'Course 2'!M254+'Course 3'!M254+'Course 4'!M254+'Course 4'!M254</f>
        <v>0</v>
      </c>
      <c r="J254" s="43" t="str">
        <f t="shared" si="52"/>
        <v/>
      </c>
      <c r="K254" s="43" t="str">
        <f t="shared" si="53"/>
        <v/>
      </c>
      <c r="L254" s="53" t="str">
        <f t="shared" si="54"/>
        <v/>
      </c>
      <c r="N254" s="43" t="str">
        <f t="shared" si="61"/>
        <v/>
      </c>
      <c r="O254" s="43" t="str">
        <f t="shared" si="62"/>
        <v/>
      </c>
      <c r="P254" s="53" t="str">
        <f t="shared" si="63"/>
        <v/>
      </c>
      <c r="R254" s="43" t="str">
        <f t="shared" si="55"/>
        <v/>
      </c>
      <c r="S254" s="43" t="str">
        <f t="shared" si="56"/>
        <v/>
      </c>
      <c r="T254" s="45" t="str">
        <f t="shared" si="57"/>
        <v/>
      </c>
      <c r="V254" s="43" t="str">
        <f t="shared" si="58"/>
        <v/>
      </c>
      <c r="W254" s="43" t="str">
        <f t="shared" si="59"/>
        <v/>
      </c>
      <c r="X254" s="45" t="str">
        <f t="shared" si="60"/>
        <v/>
      </c>
      <c r="AD254" s="77"/>
      <c r="AE254" s="77"/>
      <c r="AF254" s="172"/>
      <c r="AG254" s="116"/>
      <c r="AH254" s="118"/>
      <c r="AI254" s="77"/>
      <c r="AJ254" s="78"/>
      <c r="AK254" s="116"/>
      <c r="AL254" s="79"/>
      <c r="AM254" s="77"/>
      <c r="AN254" s="172"/>
      <c r="AO254" s="116"/>
      <c r="AQ254" s="43">
        <f t="shared" si="64"/>
        <v>0</v>
      </c>
      <c r="AR254" s="43">
        <f t="shared" si="65"/>
        <v>0</v>
      </c>
      <c r="AS254" s="43">
        <f t="shared" si="66"/>
        <v>0</v>
      </c>
    </row>
    <row r="255" spans="2:45" ht="21" customHeight="1">
      <c r="B255" s="43">
        <v>251</v>
      </c>
      <c r="C255" s="44" t="str">
        <f>'Course 1'!C255</f>
        <v/>
      </c>
      <c r="D255" s="46" t="str">
        <f>IF(C255="","",HLOOKUP(C255,'Règles et points'!$D$5:$Y$7,3))</f>
        <v/>
      </c>
      <c r="E255" s="46" t="str">
        <f>IF(C255="","",HLOOKUP(C255,'Règles et points'!$D$5:$Y$7,2))</f>
        <v/>
      </c>
      <c r="F255" s="43" t="str">
        <f>IF('Course 1'!E255="","",'Course 1'!E255)</f>
        <v/>
      </c>
      <c r="G255" s="43" t="str">
        <f>IF('Course 1'!F255="","",'Course 1'!F255)</f>
        <v/>
      </c>
      <c r="H255" s="56">
        <f>'Course 1'!M255+'Course 2'!M255+'Course 3'!M255+'Course 4'!M255+'Course 4'!M255</f>
        <v>0</v>
      </c>
      <c r="J255" s="43" t="str">
        <f t="shared" si="52"/>
        <v/>
      </c>
      <c r="K255" s="43" t="str">
        <f t="shared" si="53"/>
        <v/>
      </c>
      <c r="L255" s="53" t="str">
        <f t="shared" si="54"/>
        <v/>
      </c>
      <c r="N255" s="43" t="str">
        <f t="shared" si="61"/>
        <v/>
      </c>
      <c r="O255" s="43" t="str">
        <f t="shared" si="62"/>
        <v/>
      </c>
      <c r="P255" s="53" t="str">
        <f t="shared" si="63"/>
        <v/>
      </c>
      <c r="R255" s="43" t="str">
        <f t="shared" si="55"/>
        <v/>
      </c>
      <c r="S255" s="43" t="str">
        <f t="shared" si="56"/>
        <v/>
      </c>
      <c r="T255" s="45" t="str">
        <f t="shared" si="57"/>
        <v/>
      </c>
      <c r="V255" s="43" t="str">
        <f t="shared" si="58"/>
        <v/>
      </c>
      <c r="W255" s="43" t="str">
        <f t="shared" si="59"/>
        <v/>
      </c>
      <c r="X255" s="45" t="str">
        <f t="shared" si="60"/>
        <v/>
      </c>
      <c r="AD255" s="77"/>
      <c r="AE255" s="77"/>
      <c r="AF255" s="172"/>
      <c r="AG255" s="116"/>
      <c r="AH255" s="118"/>
      <c r="AI255" s="77"/>
      <c r="AJ255" s="78"/>
      <c r="AK255" s="116"/>
      <c r="AL255" s="79"/>
      <c r="AM255" s="77"/>
      <c r="AN255" s="172"/>
      <c r="AO255" s="116"/>
      <c r="AQ255" s="43">
        <f t="shared" si="64"/>
        <v>0</v>
      </c>
      <c r="AR255" s="43">
        <f t="shared" si="65"/>
        <v>0</v>
      </c>
      <c r="AS255" s="43">
        <f t="shared" si="66"/>
        <v>0</v>
      </c>
    </row>
    <row r="256" spans="2:45" ht="21" customHeight="1">
      <c r="B256" s="43">
        <v>252</v>
      </c>
      <c r="C256" s="44" t="str">
        <f>'Course 1'!C256</f>
        <v/>
      </c>
      <c r="D256" s="46" t="str">
        <f>IF(C256="","",HLOOKUP(C256,'Règles et points'!$D$5:$Y$7,3))</f>
        <v/>
      </c>
      <c r="E256" s="46" t="str">
        <f>IF(C256="","",HLOOKUP(C256,'Règles et points'!$D$5:$Y$7,2))</f>
        <v/>
      </c>
      <c r="F256" s="43" t="str">
        <f>IF('Course 1'!E256="","",'Course 1'!E256)</f>
        <v/>
      </c>
      <c r="G256" s="43" t="str">
        <f>IF('Course 1'!F256="","",'Course 1'!F256)</f>
        <v/>
      </c>
      <c r="H256" s="56">
        <f>'Course 1'!M256+'Course 2'!M256+'Course 3'!M256+'Course 4'!M256+'Course 4'!M256</f>
        <v>0</v>
      </c>
      <c r="J256" s="43" t="str">
        <f t="shared" si="52"/>
        <v/>
      </c>
      <c r="K256" s="43" t="str">
        <f t="shared" si="53"/>
        <v/>
      </c>
      <c r="L256" s="53" t="str">
        <f t="shared" si="54"/>
        <v/>
      </c>
      <c r="N256" s="43" t="str">
        <f t="shared" si="61"/>
        <v/>
      </c>
      <c r="O256" s="43" t="str">
        <f t="shared" si="62"/>
        <v/>
      </c>
      <c r="P256" s="53" t="str">
        <f t="shared" si="63"/>
        <v/>
      </c>
      <c r="R256" s="43" t="str">
        <f t="shared" si="55"/>
        <v/>
      </c>
      <c r="S256" s="43" t="str">
        <f t="shared" si="56"/>
        <v/>
      </c>
      <c r="T256" s="45" t="str">
        <f t="shared" si="57"/>
        <v/>
      </c>
      <c r="V256" s="43" t="str">
        <f t="shared" si="58"/>
        <v/>
      </c>
      <c r="W256" s="43" t="str">
        <f t="shared" si="59"/>
        <v/>
      </c>
      <c r="X256" s="45" t="str">
        <f t="shared" si="60"/>
        <v/>
      </c>
      <c r="AD256" s="77"/>
      <c r="AE256" s="77"/>
      <c r="AF256" s="172"/>
      <c r="AG256" s="116"/>
      <c r="AH256" s="118"/>
      <c r="AI256" s="77"/>
      <c r="AJ256" s="78"/>
      <c r="AK256" s="116"/>
      <c r="AL256" s="79"/>
      <c r="AM256" s="77"/>
      <c r="AN256" s="172"/>
      <c r="AO256" s="116"/>
      <c r="AQ256" s="43">
        <f t="shared" si="64"/>
        <v>0</v>
      </c>
      <c r="AR256" s="43">
        <f t="shared" si="65"/>
        <v>0</v>
      </c>
      <c r="AS256" s="43">
        <f t="shared" si="66"/>
        <v>0</v>
      </c>
    </row>
    <row r="257" spans="2:45" ht="21" customHeight="1">
      <c r="B257" s="43">
        <v>253</v>
      </c>
      <c r="C257" s="44" t="str">
        <f>'Course 1'!C257</f>
        <v/>
      </c>
      <c r="D257" s="46" t="str">
        <f>IF(C257="","",HLOOKUP(C257,'Règles et points'!$D$5:$Y$7,3))</f>
        <v/>
      </c>
      <c r="E257" s="46" t="str">
        <f>IF(C257="","",HLOOKUP(C257,'Règles et points'!$D$5:$Y$7,2))</f>
        <v/>
      </c>
      <c r="F257" s="43" t="str">
        <f>IF('Course 1'!E257="","",'Course 1'!E257)</f>
        <v/>
      </c>
      <c r="G257" s="43" t="str">
        <f>IF('Course 1'!F257="","",'Course 1'!F257)</f>
        <v/>
      </c>
      <c r="H257" s="56">
        <f>'Course 1'!M257+'Course 2'!M257+'Course 3'!M257+'Course 4'!M257+'Course 4'!M257</f>
        <v>0</v>
      </c>
      <c r="J257" s="43" t="str">
        <f t="shared" si="52"/>
        <v/>
      </c>
      <c r="K257" s="43" t="str">
        <f t="shared" si="53"/>
        <v/>
      </c>
      <c r="L257" s="53" t="str">
        <f t="shared" si="54"/>
        <v/>
      </c>
      <c r="N257" s="43" t="str">
        <f t="shared" si="61"/>
        <v/>
      </c>
      <c r="O257" s="43" t="str">
        <f t="shared" si="62"/>
        <v/>
      </c>
      <c r="P257" s="53" t="str">
        <f t="shared" si="63"/>
        <v/>
      </c>
      <c r="R257" s="43" t="str">
        <f t="shared" si="55"/>
        <v/>
      </c>
      <c r="S257" s="43" t="str">
        <f t="shared" si="56"/>
        <v/>
      </c>
      <c r="T257" s="45" t="str">
        <f t="shared" si="57"/>
        <v/>
      </c>
      <c r="V257" s="43" t="str">
        <f t="shared" si="58"/>
        <v/>
      </c>
      <c r="W257" s="43" t="str">
        <f t="shared" si="59"/>
        <v/>
      </c>
      <c r="X257" s="45" t="str">
        <f t="shared" si="60"/>
        <v/>
      </c>
      <c r="AD257" s="77"/>
      <c r="AE257" s="77"/>
      <c r="AF257" s="172"/>
      <c r="AG257" s="116"/>
      <c r="AH257" s="118"/>
      <c r="AI257" s="77"/>
      <c r="AJ257" s="78"/>
      <c r="AK257" s="116"/>
      <c r="AL257" s="79"/>
      <c r="AM257" s="77"/>
      <c r="AN257" s="172"/>
      <c r="AO257" s="116"/>
      <c r="AQ257" s="43">
        <f t="shared" si="64"/>
        <v>0</v>
      </c>
      <c r="AR257" s="43">
        <f t="shared" si="65"/>
        <v>0</v>
      </c>
      <c r="AS257" s="43">
        <f t="shared" si="66"/>
        <v>0</v>
      </c>
    </row>
    <row r="258" spans="2:45" ht="21" customHeight="1">
      <c r="B258" s="43">
        <v>254</v>
      </c>
      <c r="C258" s="44" t="str">
        <f>'Course 1'!C258</f>
        <v/>
      </c>
      <c r="D258" s="46" t="str">
        <f>IF(C258="","",HLOOKUP(C258,'Règles et points'!$D$5:$Y$7,3))</f>
        <v/>
      </c>
      <c r="E258" s="46" t="str">
        <f>IF(C258="","",HLOOKUP(C258,'Règles et points'!$D$5:$Y$7,2))</f>
        <v/>
      </c>
      <c r="F258" s="43" t="str">
        <f>IF('Course 1'!E258="","",'Course 1'!E258)</f>
        <v/>
      </c>
      <c r="G258" s="43" t="str">
        <f>IF('Course 1'!F258="","",'Course 1'!F258)</f>
        <v/>
      </c>
      <c r="H258" s="56">
        <f>'Course 1'!M258+'Course 2'!M258+'Course 3'!M258+'Course 4'!M258+'Course 4'!M258</f>
        <v>0</v>
      </c>
      <c r="J258" s="43" t="str">
        <f t="shared" si="52"/>
        <v/>
      </c>
      <c r="K258" s="43" t="str">
        <f t="shared" si="53"/>
        <v/>
      </c>
      <c r="L258" s="53" t="str">
        <f t="shared" si="54"/>
        <v/>
      </c>
      <c r="N258" s="43" t="str">
        <f t="shared" si="61"/>
        <v/>
      </c>
      <c r="O258" s="43" t="str">
        <f t="shared" si="62"/>
        <v/>
      </c>
      <c r="P258" s="53" t="str">
        <f t="shared" si="63"/>
        <v/>
      </c>
      <c r="R258" s="43" t="str">
        <f t="shared" si="55"/>
        <v/>
      </c>
      <c r="S258" s="43" t="str">
        <f t="shared" si="56"/>
        <v/>
      </c>
      <c r="T258" s="45" t="str">
        <f t="shared" si="57"/>
        <v/>
      </c>
      <c r="V258" s="43" t="str">
        <f t="shared" si="58"/>
        <v/>
      </c>
      <c r="W258" s="43" t="str">
        <f t="shared" si="59"/>
        <v/>
      </c>
      <c r="X258" s="45" t="str">
        <f t="shared" si="60"/>
        <v/>
      </c>
      <c r="AD258" s="77"/>
      <c r="AE258" s="77"/>
      <c r="AF258" s="172"/>
      <c r="AG258" s="116"/>
      <c r="AH258" s="118"/>
      <c r="AI258" s="77"/>
      <c r="AJ258" s="78"/>
      <c r="AK258" s="116"/>
      <c r="AL258" s="79"/>
      <c r="AM258" s="77"/>
      <c r="AN258" s="172"/>
      <c r="AO258" s="116"/>
      <c r="AQ258" s="43">
        <f t="shared" si="64"/>
        <v>0</v>
      </c>
      <c r="AR258" s="43">
        <f t="shared" si="65"/>
        <v>0</v>
      </c>
      <c r="AS258" s="43">
        <f t="shared" si="66"/>
        <v>0</v>
      </c>
    </row>
    <row r="259" spans="2:45" ht="21" customHeight="1">
      <c r="B259" s="43">
        <v>255</v>
      </c>
      <c r="C259" s="44" t="str">
        <f>'Course 1'!C259</f>
        <v/>
      </c>
      <c r="D259" s="46" t="str">
        <f>IF(C259="","",HLOOKUP(C259,'Règles et points'!$D$5:$Y$7,3))</f>
        <v/>
      </c>
      <c r="E259" s="46" t="str">
        <f>IF(C259="","",HLOOKUP(C259,'Règles et points'!$D$5:$Y$7,2))</f>
        <v/>
      </c>
      <c r="F259" s="43" t="str">
        <f>IF('Course 1'!E259="","",'Course 1'!E259)</f>
        <v/>
      </c>
      <c r="G259" s="43" t="str">
        <f>IF('Course 1'!F259="","",'Course 1'!F259)</f>
        <v/>
      </c>
      <c r="H259" s="56">
        <f>'Course 1'!M259+'Course 2'!M259+'Course 3'!M259+'Course 4'!M259+'Course 4'!M259</f>
        <v>0</v>
      </c>
      <c r="J259" s="43" t="str">
        <f t="shared" si="52"/>
        <v/>
      </c>
      <c r="K259" s="43" t="str">
        <f t="shared" si="53"/>
        <v/>
      </c>
      <c r="L259" s="53" t="str">
        <f t="shared" si="54"/>
        <v/>
      </c>
      <c r="N259" s="43" t="str">
        <f t="shared" si="61"/>
        <v/>
      </c>
      <c r="O259" s="43" t="str">
        <f t="shared" si="62"/>
        <v/>
      </c>
      <c r="P259" s="53" t="str">
        <f t="shared" si="63"/>
        <v/>
      </c>
      <c r="R259" s="43" t="str">
        <f t="shared" si="55"/>
        <v/>
      </c>
      <c r="S259" s="43" t="str">
        <f t="shared" si="56"/>
        <v/>
      </c>
      <c r="T259" s="45" t="str">
        <f t="shared" si="57"/>
        <v/>
      </c>
      <c r="V259" s="43" t="str">
        <f t="shared" si="58"/>
        <v/>
      </c>
      <c r="W259" s="43" t="str">
        <f t="shared" si="59"/>
        <v/>
      </c>
      <c r="X259" s="45" t="str">
        <f t="shared" si="60"/>
        <v/>
      </c>
      <c r="AD259" s="77"/>
      <c r="AE259" s="77"/>
      <c r="AF259" s="172"/>
      <c r="AG259" s="116"/>
      <c r="AH259" s="118"/>
      <c r="AI259" s="77"/>
      <c r="AJ259" s="78"/>
      <c r="AK259" s="116"/>
      <c r="AL259" s="79"/>
      <c r="AM259" s="77"/>
      <c r="AN259" s="172"/>
      <c r="AO259" s="116"/>
      <c r="AQ259" s="43">
        <f t="shared" si="64"/>
        <v>0</v>
      </c>
      <c r="AR259" s="43">
        <f t="shared" si="65"/>
        <v>0</v>
      </c>
      <c r="AS259" s="43">
        <f t="shared" si="66"/>
        <v>0</v>
      </c>
    </row>
    <row r="260" spans="2:45" ht="21" customHeight="1">
      <c r="B260" s="43">
        <v>256</v>
      </c>
      <c r="C260" s="44" t="str">
        <f>'Course 1'!C260</f>
        <v/>
      </c>
      <c r="D260" s="46" t="str">
        <f>IF(C260="","",HLOOKUP(C260,'Règles et points'!$D$5:$Y$7,3))</f>
        <v/>
      </c>
      <c r="E260" s="46" t="str">
        <f>IF(C260="","",HLOOKUP(C260,'Règles et points'!$D$5:$Y$7,2))</f>
        <v/>
      </c>
      <c r="F260" s="43" t="str">
        <f>IF('Course 1'!E260="","",'Course 1'!E260)</f>
        <v/>
      </c>
      <c r="G260" s="43" t="str">
        <f>IF('Course 1'!F260="","",'Course 1'!F260)</f>
        <v/>
      </c>
      <c r="H260" s="56">
        <f>'Course 1'!M260+'Course 2'!M260+'Course 3'!M260+'Course 4'!M260+'Course 4'!M260</f>
        <v>0</v>
      </c>
      <c r="J260" s="43" t="str">
        <f t="shared" ref="J260:J304" si="67">IF($E260=$L$3,$F260,"")</f>
        <v/>
      </c>
      <c r="K260" s="43" t="str">
        <f t="shared" ref="K260:K304" si="68">IF($E260=$L$3,$G260,"")</f>
        <v/>
      </c>
      <c r="L260" s="53" t="str">
        <f t="shared" ref="L260:L304" si="69">IF($E260=$L$3,$H260,"")</f>
        <v/>
      </c>
      <c r="N260" s="43" t="str">
        <f t="shared" si="61"/>
        <v/>
      </c>
      <c r="O260" s="43" t="str">
        <f t="shared" si="62"/>
        <v/>
      </c>
      <c r="P260" s="53" t="str">
        <f t="shared" si="63"/>
        <v/>
      </c>
      <c r="R260" s="43" t="str">
        <f t="shared" si="55"/>
        <v/>
      </c>
      <c r="S260" s="43" t="str">
        <f t="shared" si="56"/>
        <v/>
      </c>
      <c r="T260" s="45" t="str">
        <f t="shared" si="57"/>
        <v/>
      </c>
      <c r="V260" s="43" t="str">
        <f t="shared" si="58"/>
        <v/>
      </c>
      <c r="W260" s="43" t="str">
        <f t="shared" si="59"/>
        <v/>
      </c>
      <c r="X260" s="45" t="str">
        <f t="shared" si="60"/>
        <v/>
      </c>
      <c r="AD260" s="77"/>
      <c r="AE260" s="77"/>
      <c r="AF260" s="172"/>
      <c r="AG260" s="116"/>
      <c r="AH260" s="118"/>
      <c r="AI260" s="77"/>
      <c r="AJ260" s="78"/>
      <c r="AK260" s="116"/>
      <c r="AL260" s="79"/>
      <c r="AM260" s="77"/>
      <c r="AN260" s="172"/>
      <c r="AO260" s="116"/>
      <c r="AQ260" s="43">
        <f t="shared" si="64"/>
        <v>0</v>
      </c>
      <c r="AR260" s="43">
        <f t="shared" si="65"/>
        <v>0</v>
      </c>
      <c r="AS260" s="43">
        <f t="shared" si="66"/>
        <v>0</v>
      </c>
    </row>
    <row r="261" spans="2:45" ht="21" customHeight="1">
      <c r="B261" s="43">
        <v>257</v>
      </c>
      <c r="C261" s="44" t="str">
        <f>'Course 1'!C261</f>
        <v/>
      </c>
      <c r="D261" s="46" t="str">
        <f>IF(C261="","",HLOOKUP(C261,'Règles et points'!$D$5:$Y$7,3))</f>
        <v/>
      </c>
      <c r="E261" s="46" t="str">
        <f>IF(C261="","",HLOOKUP(C261,'Règles et points'!$D$5:$Y$7,2))</f>
        <v/>
      </c>
      <c r="F261" s="43" t="str">
        <f>IF('Course 1'!E261="","",'Course 1'!E261)</f>
        <v/>
      </c>
      <c r="G261" s="43" t="str">
        <f>IF('Course 1'!F261="","",'Course 1'!F261)</f>
        <v/>
      </c>
      <c r="H261" s="56">
        <f>'Course 1'!M261+'Course 2'!M261+'Course 3'!M261+'Course 4'!M261+'Course 4'!M261</f>
        <v>0</v>
      </c>
      <c r="J261" s="43" t="str">
        <f t="shared" si="67"/>
        <v/>
      </c>
      <c r="K261" s="43" t="str">
        <f t="shared" si="68"/>
        <v/>
      </c>
      <c r="L261" s="53" t="str">
        <f t="shared" si="69"/>
        <v/>
      </c>
      <c r="N261" s="43" t="str">
        <f t="shared" si="61"/>
        <v/>
      </c>
      <c r="O261" s="43" t="str">
        <f t="shared" si="62"/>
        <v/>
      </c>
      <c r="P261" s="53" t="str">
        <f t="shared" si="63"/>
        <v/>
      </c>
      <c r="R261" s="43" t="str">
        <f t="shared" ref="R261:R304" si="70">IF($E261=$T$3,$F261,"")</f>
        <v/>
      </c>
      <c r="S261" s="43" t="str">
        <f t="shared" ref="S261:S304" si="71">IF($E261=$T$3,$G261,"")</f>
        <v/>
      </c>
      <c r="T261" s="45" t="str">
        <f t="shared" ref="T261:T304" si="72">IF($E261=$T$3,$H261,"")</f>
        <v/>
      </c>
      <c r="V261" s="43" t="str">
        <f t="shared" ref="V261:V304" si="73">IF($E261=$X$3,$F261,"")</f>
        <v/>
      </c>
      <c r="W261" s="43" t="str">
        <f t="shared" ref="W261:W304" si="74">IF($E261=$X$3,$G261,"")</f>
        <v/>
      </c>
      <c r="X261" s="45" t="str">
        <f t="shared" ref="X261:X304" si="75">IF($E261=$X$3,$H261,"")</f>
        <v/>
      </c>
      <c r="AD261" s="77"/>
      <c r="AE261" s="77"/>
      <c r="AF261" s="172"/>
      <c r="AG261" s="116"/>
      <c r="AH261" s="118"/>
      <c r="AI261" s="77"/>
      <c r="AJ261" s="78"/>
      <c r="AK261" s="116"/>
      <c r="AL261" s="79"/>
      <c r="AM261" s="77"/>
      <c r="AN261" s="172"/>
      <c r="AO261" s="116"/>
      <c r="AQ261" s="43">
        <f t="shared" si="64"/>
        <v>0</v>
      </c>
      <c r="AR261" s="43">
        <f t="shared" si="65"/>
        <v>0</v>
      </c>
      <c r="AS261" s="43">
        <f t="shared" si="66"/>
        <v>0</v>
      </c>
    </row>
    <row r="262" spans="2:45" ht="21" customHeight="1">
      <c r="B262" s="43">
        <v>258</v>
      </c>
      <c r="C262" s="44" t="str">
        <f>'Course 1'!C262</f>
        <v/>
      </c>
      <c r="D262" s="46" t="str">
        <f>IF(C262="","",HLOOKUP(C262,'Règles et points'!$D$5:$Y$7,3))</f>
        <v/>
      </c>
      <c r="E262" s="46" t="str">
        <f>IF(C262="","",HLOOKUP(C262,'Règles et points'!$D$5:$Y$7,2))</f>
        <v/>
      </c>
      <c r="F262" s="43" t="str">
        <f>IF('Course 1'!E262="","",'Course 1'!E262)</f>
        <v/>
      </c>
      <c r="G262" s="43" t="str">
        <f>IF('Course 1'!F262="","",'Course 1'!F262)</f>
        <v/>
      </c>
      <c r="H262" s="56">
        <f>'Course 1'!M262+'Course 2'!M262+'Course 3'!M262+'Course 4'!M262+'Course 4'!M262</f>
        <v>0</v>
      </c>
      <c r="J262" s="43" t="str">
        <f t="shared" si="67"/>
        <v/>
      </c>
      <c r="K262" s="43" t="str">
        <f t="shared" si="68"/>
        <v/>
      </c>
      <c r="L262" s="53" t="str">
        <f t="shared" si="69"/>
        <v/>
      </c>
      <c r="N262" s="43" t="str">
        <f t="shared" ref="N262:N304" si="76">IF($E262=$P$3,$F262,"")</f>
        <v/>
      </c>
      <c r="O262" s="43" t="str">
        <f t="shared" ref="O262:O304" si="77">IF($E262=$P$3,$G262,"")</f>
        <v/>
      </c>
      <c r="P262" s="53" t="str">
        <f t="shared" ref="P262:P304" si="78">IF($E262=$P$3,$H262,"")</f>
        <v/>
      </c>
      <c r="R262" s="43" t="str">
        <f t="shared" si="70"/>
        <v/>
      </c>
      <c r="S262" s="43" t="str">
        <f t="shared" si="71"/>
        <v/>
      </c>
      <c r="T262" s="45" t="str">
        <f t="shared" si="72"/>
        <v/>
      </c>
      <c r="V262" s="43" t="str">
        <f t="shared" si="73"/>
        <v/>
      </c>
      <c r="W262" s="43" t="str">
        <f t="shared" si="74"/>
        <v/>
      </c>
      <c r="X262" s="45" t="str">
        <f t="shared" si="75"/>
        <v/>
      </c>
      <c r="AD262" s="77"/>
      <c r="AE262" s="77"/>
      <c r="AF262" s="172"/>
      <c r="AG262" s="116"/>
      <c r="AH262" s="118"/>
      <c r="AI262" s="77"/>
      <c r="AJ262" s="172"/>
      <c r="AK262" s="116"/>
      <c r="AL262" s="79"/>
      <c r="AM262" s="77"/>
      <c r="AN262" s="172"/>
      <c r="AO262" s="116"/>
      <c r="AQ262" s="43">
        <f t="shared" si="64"/>
        <v>0</v>
      </c>
      <c r="AR262" s="43">
        <f t="shared" si="65"/>
        <v>0</v>
      </c>
      <c r="AS262" s="43">
        <f t="shared" si="66"/>
        <v>0</v>
      </c>
    </row>
    <row r="263" spans="2:45" ht="21" customHeight="1">
      <c r="B263" s="43">
        <v>259</v>
      </c>
      <c r="C263" s="44" t="str">
        <f>'Course 1'!C263</f>
        <v/>
      </c>
      <c r="D263" s="46" t="str">
        <f>IF(C263="","",HLOOKUP(C263,'Règles et points'!$D$5:$Y$7,3))</f>
        <v/>
      </c>
      <c r="E263" s="46" t="str">
        <f>IF(C263="","",HLOOKUP(C263,'Règles et points'!$D$5:$Y$7,2))</f>
        <v/>
      </c>
      <c r="F263" s="43" t="str">
        <f>IF('Course 1'!E263="","",'Course 1'!E263)</f>
        <v/>
      </c>
      <c r="G263" s="43" t="str">
        <f>IF('Course 1'!F263="","",'Course 1'!F263)</f>
        <v/>
      </c>
      <c r="H263" s="56">
        <f>'Course 1'!M263+'Course 2'!M263+'Course 3'!M263+'Course 4'!M263+'Course 4'!M263</f>
        <v>0</v>
      </c>
      <c r="J263" s="43" t="str">
        <f t="shared" si="67"/>
        <v/>
      </c>
      <c r="K263" s="43" t="str">
        <f t="shared" si="68"/>
        <v/>
      </c>
      <c r="L263" s="53" t="str">
        <f t="shared" si="69"/>
        <v/>
      </c>
      <c r="N263" s="43" t="str">
        <f t="shared" si="76"/>
        <v/>
      </c>
      <c r="O263" s="43" t="str">
        <f t="shared" si="77"/>
        <v/>
      </c>
      <c r="P263" s="53" t="str">
        <f t="shared" si="78"/>
        <v/>
      </c>
      <c r="R263" s="43" t="str">
        <f t="shared" si="70"/>
        <v/>
      </c>
      <c r="S263" s="43" t="str">
        <f t="shared" si="71"/>
        <v/>
      </c>
      <c r="T263" s="45" t="str">
        <f t="shared" si="72"/>
        <v/>
      </c>
      <c r="V263" s="43" t="str">
        <f t="shared" si="73"/>
        <v/>
      </c>
      <c r="W263" s="43" t="str">
        <f t="shared" si="74"/>
        <v/>
      </c>
      <c r="X263" s="45" t="str">
        <f t="shared" si="75"/>
        <v/>
      </c>
      <c r="AD263" s="77"/>
      <c r="AE263" s="77"/>
      <c r="AF263" s="172"/>
      <c r="AG263" s="116"/>
      <c r="AH263" s="118"/>
      <c r="AI263" s="77"/>
      <c r="AJ263" s="78"/>
      <c r="AK263" s="116"/>
      <c r="AL263" s="79"/>
      <c r="AM263" s="77"/>
      <c r="AN263" s="172"/>
      <c r="AO263" s="116"/>
      <c r="AQ263" s="43">
        <f t="shared" si="64"/>
        <v>0</v>
      </c>
      <c r="AR263" s="43">
        <f t="shared" si="65"/>
        <v>0</v>
      </c>
      <c r="AS263" s="43">
        <f t="shared" si="66"/>
        <v>0</v>
      </c>
    </row>
    <row r="264" spans="2:45" ht="21" customHeight="1">
      <c r="B264" s="43">
        <v>260</v>
      </c>
      <c r="C264" s="44" t="str">
        <f>'Course 1'!C264</f>
        <v/>
      </c>
      <c r="D264" s="46" t="str">
        <f>IF(C264="","",HLOOKUP(C264,'Règles et points'!$D$5:$Y$7,3))</f>
        <v/>
      </c>
      <c r="E264" s="46" t="str">
        <f>IF(C264="","",HLOOKUP(C264,'Règles et points'!$D$5:$Y$7,2))</f>
        <v/>
      </c>
      <c r="F264" s="43" t="str">
        <f>IF('Course 1'!E264="","",'Course 1'!E264)</f>
        <v/>
      </c>
      <c r="G264" s="43" t="str">
        <f>IF('Course 1'!F264="","",'Course 1'!F264)</f>
        <v/>
      </c>
      <c r="H264" s="56">
        <f>'Course 1'!M264+'Course 2'!M264+'Course 3'!M264+'Course 4'!M264+'Course 4'!M264</f>
        <v>0</v>
      </c>
      <c r="J264" s="43" t="str">
        <f t="shared" si="67"/>
        <v/>
      </c>
      <c r="K264" s="43" t="str">
        <f t="shared" si="68"/>
        <v/>
      </c>
      <c r="L264" s="53" t="str">
        <f t="shared" si="69"/>
        <v/>
      </c>
      <c r="N264" s="43" t="str">
        <f t="shared" si="76"/>
        <v/>
      </c>
      <c r="O264" s="43" t="str">
        <f t="shared" si="77"/>
        <v/>
      </c>
      <c r="P264" s="53" t="str">
        <f t="shared" si="78"/>
        <v/>
      </c>
      <c r="R264" s="43" t="str">
        <f t="shared" si="70"/>
        <v/>
      </c>
      <c r="S264" s="43" t="str">
        <f t="shared" si="71"/>
        <v/>
      </c>
      <c r="T264" s="45" t="str">
        <f t="shared" si="72"/>
        <v/>
      </c>
      <c r="V264" s="43" t="str">
        <f t="shared" si="73"/>
        <v/>
      </c>
      <c r="W264" s="43" t="str">
        <f t="shared" si="74"/>
        <v/>
      </c>
      <c r="X264" s="45" t="str">
        <f t="shared" si="75"/>
        <v/>
      </c>
      <c r="AD264" s="77"/>
      <c r="AE264" s="77"/>
      <c r="AF264" s="172"/>
      <c r="AG264" s="116"/>
      <c r="AH264" s="118"/>
      <c r="AI264" s="77"/>
      <c r="AJ264" s="78"/>
      <c r="AK264" s="116"/>
      <c r="AL264" s="79"/>
      <c r="AM264" s="77"/>
      <c r="AN264" s="172"/>
      <c r="AO264" s="116"/>
      <c r="AQ264" s="43">
        <f t="shared" si="64"/>
        <v>0</v>
      </c>
      <c r="AR264" s="43">
        <f t="shared" si="65"/>
        <v>0</v>
      </c>
      <c r="AS264" s="43">
        <f t="shared" si="66"/>
        <v>0</v>
      </c>
    </row>
    <row r="265" spans="2:45" ht="21" customHeight="1">
      <c r="B265" s="43">
        <v>261</v>
      </c>
      <c r="C265" s="44" t="str">
        <f>'Course 1'!C265</f>
        <v/>
      </c>
      <c r="D265" s="46" t="str">
        <f>IF(C265="","",HLOOKUP(C265,'Règles et points'!$D$5:$Y$7,3))</f>
        <v/>
      </c>
      <c r="E265" s="46" t="str">
        <f>IF(C265="","",HLOOKUP(C265,'Règles et points'!$D$5:$Y$7,2))</f>
        <v/>
      </c>
      <c r="F265" s="43" t="str">
        <f>IF('Course 1'!E265="","",'Course 1'!E265)</f>
        <v/>
      </c>
      <c r="G265" s="43" t="str">
        <f>IF('Course 1'!F265="","",'Course 1'!F265)</f>
        <v/>
      </c>
      <c r="H265" s="56">
        <f>'Course 1'!M265+'Course 2'!M265+'Course 3'!M265+'Course 4'!M265+'Course 4'!M265</f>
        <v>0</v>
      </c>
      <c r="J265" s="43" t="str">
        <f t="shared" si="67"/>
        <v/>
      </c>
      <c r="K265" s="43" t="str">
        <f t="shared" si="68"/>
        <v/>
      </c>
      <c r="L265" s="53" t="str">
        <f t="shared" si="69"/>
        <v/>
      </c>
      <c r="N265" s="43" t="str">
        <f t="shared" si="76"/>
        <v/>
      </c>
      <c r="O265" s="43" t="str">
        <f t="shared" si="77"/>
        <v/>
      </c>
      <c r="P265" s="53" t="str">
        <f t="shared" si="78"/>
        <v/>
      </c>
      <c r="R265" s="43" t="str">
        <f t="shared" si="70"/>
        <v/>
      </c>
      <c r="S265" s="43" t="str">
        <f t="shared" si="71"/>
        <v/>
      </c>
      <c r="T265" s="45" t="str">
        <f t="shared" si="72"/>
        <v/>
      </c>
      <c r="V265" s="43" t="str">
        <f t="shared" si="73"/>
        <v/>
      </c>
      <c r="W265" s="43" t="str">
        <f t="shared" si="74"/>
        <v/>
      </c>
      <c r="X265" s="45" t="str">
        <f t="shared" si="75"/>
        <v/>
      </c>
      <c r="AD265" s="77"/>
      <c r="AE265" s="77"/>
      <c r="AF265" s="172"/>
      <c r="AG265" s="116"/>
      <c r="AH265" s="118"/>
      <c r="AI265" s="77"/>
      <c r="AJ265" s="78"/>
      <c r="AK265" s="116"/>
      <c r="AL265" s="79"/>
      <c r="AM265" s="77"/>
      <c r="AN265" s="172"/>
      <c r="AO265" s="116"/>
      <c r="AQ265" s="43">
        <f t="shared" si="64"/>
        <v>0</v>
      </c>
      <c r="AR265" s="43">
        <f t="shared" si="65"/>
        <v>0</v>
      </c>
      <c r="AS265" s="43">
        <f t="shared" si="66"/>
        <v>0</v>
      </c>
    </row>
    <row r="266" spans="2:45" ht="21" customHeight="1">
      <c r="B266" s="43">
        <v>262</v>
      </c>
      <c r="C266" s="44" t="str">
        <f>'Course 1'!C266</f>
        <v/>
      </c>
      <c r="D266" s="46" t="str">
        <f>IF(C266="","",HLOOKUP(C266,'Règles et points'!$D$5:$Y$7,3))</f>
        <v/>
      </c>
      <c r="E266" s="46" t="str">
        <f>IF(C266="","",HLOOKUP(C266,'Règles et points'!$D$5:$Y$7,2))</f>
        <v/>
      </c>
      <c r="F266" s="43" t="str">
        <f>IF('Course 1'!E266="","",'Course 1'!E266)</f>
        <v/>
      </c>
      <c r="G266" s="43" t="str">
        <f>IF('Course 1'!F266="","",'Course 1'!F266)</f>
        <v/>
      </c>
      <c r="H266" s="56">
        <f>'Course 1'!M266+'Course 2'!M266+'Course 3'!M266+'Course 4'!M266+'Course 4'!M266</f>
        <v>0</v>
      </c>
      <c r="J266" s="43" t="str">
        <f t="shared" si="67"/>
        <v/>
      </c>
      <c r="K266" s="43" t="str">
        <f t="shared" si="68"/>
        <v/>
      </c>
      <c r="L266" s="53" t="str">
        <f t="shared" si="69"/>
        <v/>
      </c>
      <c r="N266" s="43" t="str">
        <f t="shared" si="76"/>
        <v/>
      </c>
      <c r="O266" s="43" t="str">
        <f t="shared" si="77"/>
        <v/>
      </c>
      <c r="P266" s="53" t="str">
        <f t="shared" si="78"/>
        <v/>
      </c>
      <c r="R266" s="43" t="str">
        <f t="shared" si="70"/>
        <v/>
      </c>
      <c r="S266" s="43" t="str">
        <f t="shared" si="71"/>
        <v/>
      </c>
      <c r="T266" s="45" t="str">
        <f t="shared" si="72"/>
        <v/>
      </c>
      <c r="V266" s="43" t="str">
        <f t="shared" si="73"/>
        <v/>
      </c>
      <c r="W266" s="43" t="str">
        <f t="shared" si="74"/>
        <v/>
      </c>
      <c r="X266" s="45" t="str">
        <f t="shared" si="75"/>
        <v/>
      </c>
      <c r="AD266" s="77"/>
      <c r="AE266" s="77"/>
      <c r="AF266" s="172"/>
      <c r="AG266" s="116"/>
      <c r="AH266" s="118"/>
      <c r="AI266" s="77"/>
      <c r="AJ266" s="78"/>
      <c r="AK266" s="116"/>
      <c r="AL266" s="79"/>
      <c r="AM266" s="77"/>
      <c r="AN266" s="172"/>
      <c r="AO266" s="116"/>
      <c r="AQ266" s="43">
        <f t="shared" si="64"/>
        <v>0</v>
      </c>
      <c r="AR266" s="43">
        <f t="shared" si="65"/>
        <v>0</v>
      </c>
      <c r="AS266" s="43">
        <f t="shared" si="66"/>
        <v>0</v>
      </c>
    </row>
    <row r="267" spans="2:45" ht="21" customHeight="1">
      <c r="B267" s="43">
        <v>263</v>
      </c>
      <c r="C267" s="44" t="str">
        <f>'Course 1'!C267</f>
        <v/>
      </c>
      <c r="D267" s="46" t="str">
        <f>IF(C267="","",HLOOKUP(C267,'Règles et points'!$D$5:$Y$7,3))</f>
        <v/>
      </c>
      <c r="E267" s="46" t="str">
        <f>IF(C267="","",HLOOKUP(C267,'Règles et points'!$D$5:$Y$7,2))</f>
        <v/>
      </c>
      <c r="F267" s="43" t="str">
        <f>IF('Course 1'!E267="","",'Course 1'!E267)</f>
        <v/>
      </c>
      <c r="G267" s="43" t="str">
        <f>IF('Course 1'!F267="","",'Course 1'!F267)</f>
        <v/>
      </c>
      <c r="H267" s="56">
        <f>'Course 1'!M267+'Course 2'!M267+'Course 3'!M267+'Course 4'!M267+'Course 4'!M267</f>
        <v>0</v>
      </c>
      <c r="J267" s="43" t="str">
        <f t="shared" si="67"/>
        <v/>
      </c>
      <c r="K267" s="43" t="str">
        <f t="shared" si="68"/>
        <v/>
      </c>
      <c r="L267" s="53" t="str">
        <f t="shared" si="69"/>
        <v/>
      </c>
      <c r="N267" s="43" t="str">
        <f t="shared" si="76"/>
        <v/>
      </c>
      <c r="O267" s="43" t="str">
        <f t="shared" si="77"/>
        <v/>
      </c>
      <c r="P267" s="53" t="str">
        <f t="shared" si="78"/>
        <v/>
      </c>
      <c r="R267" s="43" t="str">
        <f t="shared" si="70"/>
        <v/>
      </c>
      <c r="S267" s="43" t="str">
        <f t="shared" si="71"/>
        <v/>
      </c>
      <c r="T267" s="45" t="str">
        <f t="shared" si="72"/>
        <v/>
      </c>
      <c r="V267" s="43" t="str">
        <f t="shared" si="73"/>
        <v/>
      </c>
      <c r="W267" s="43" t="str">
        <f t="shared" si="74"/>
        <v/>
      </c>
      <c r="X267" s="45" t="str">
        <f t="shared" si="75"/>
        <v/>
      </c>
      <c r="AD267" s="77"/>
      <c r="AE267" s="77"/>
      <c r="AF267" s="172"/>
      <c r="AG267" s="116"/>
      <c r="AH267" s="118"/>
      <c r="AI267" s="77"/>
      <c r="AJ267" s="172"/>
      <c r="AK267" s="116"/>
      <c r="AL267" s="79"/>
      <c r="AM267" s="77"/>
      <c r="AN267" s="172"/>
      <c r="AO267" s="116"/>
      <c r="AQ267" s="43">
        <f t="shared" si="64"/>
        <v>0</v>
      </c>
      <c r="AR267" s="43">
        <f t="shared" si="65"/>
        <v>0</v>
      </c>
      <c r="AS267" s="43">
        <f t="shared" si="66"/>
        <v>0</v>
      </c>
    </row>
    <row r="268" spans="2:45" ht="21" customHeight="1">
      <c r="B268" s="43">
        <v>264</v>
      </c>
      <c r="C268" s="44" t="str">
        <f>'Course 1'!C268</f>
        <v/>
      </c>
      <c r="D268" s="46" t="str">
        <f>IF(C268="","",HLOOKUP(C268,'Règles et points'!$D$5:$Y$7,3))</f>
        <v/>
      </c>
      <c r="E268" s="46" t="str">
        <f>IF(C268="","",HLOOKUP(C268,'Règles et points'!$D$5:$Y$7,2))</f>
        <v/>
      </c>
      <c r="F268" s="43" t="str">
        <f>IF('Course 1'!E268="","",'Course 1'!E268)</f>
        <v/>
      </c>
      <c r="G268" s="43" t="str">
        <f>IF('Course 1'!F268="","",'Course 1'!F268)</f>
        <v/>
      </c>
      <c r="H268" s="56">
        <f>'Course 1'!M268+'Course 2'!M268+'Course 3'!M268+'Course 4'!M268+'Course 4'!M268</f>
        <v>0</v>
      </c>
      <c r="J268" s="43" t="str">
        <f t="shared" si="67"/>
        <v/>
      </c>
      <c r="K268" s="43" t="str">
        <f t="shared" si="68"/>
        <v/>
      </c>
      <c r="L268" s="53" t="str">
        <f t="shared" si="69"/>
        <v/>
      </c>
      <c r="N268" s="43" t="str">
        <f t="shared" si="76"/>
        <v/>
      </c>
      <c r="O268" s="43" t="str">
        <f t="shared" si="77"/>
        <v/>
      </c>
      <c r="P268" s="53" t="str">
        <f t="shared" si="78"/>
        <v/>
      </c>
      <c r="R268" s="43" t="str">
        <f t="shared" si="70"/>
        <v/>
      </c>
      <c r="S268" s="43" t="str">
        <f t="shared" si="71"/>
        <v/>
      </c>
      <c r="T268" s="45" t="str">
        <f t="shared" si="72"/>
        <v/>
      </c>
      <c r="V268" s="43" t="str">
        <f t="shared" si="73"/>
        <v/>
      </c>
      <c r="W268" s="43" t="str">
        <f t="shared" si="74"/>
        <v/>
      </c>
      <c r="X268" s="45" t="str">
        <f t="shared" si="75"/>
        <v/>
      </c>
      <c r="AD268" s="77"/>
      <c r="AE268" s="77"/>
      <c r="AF268" s="172"/>
      <c r="AG268" s="116"/>
      <c r="AH268" s="118"/>
      <c r="AI268" s="77"/>
      <c r="AJ268" s="172"/>
      <c r="AK268" s="116"/>
      <c r="AL268" s="79"/>
      <c r="AM268" s="77"/>
      <c r="AN268" s="172"/>
      <c r="AO268" s="116"/>
      <c r="AQ268" s="43">
        <f t="shared" si="64"/>
        <v>0</v>
      </c>
      <c r="AR268" s="43">
        <f t="shared" si="65"/>
        <v>0</v>
      </c>
      <c r="AS268" s="43">
        <f t="shared" si="66"/>
        <v>0</v>
      </c>
    </row>
    <row r="269" spans="2:45" ht="21" customHeight="1">
      <c r="B269" s="43">
        <v>265</v>
      </c>
      <c r="C269" s="44" t="str">
        <f>'Course 1'!C269</f>
        <v/>
      </c>
      <c r="D269" s="46" t="str">
        <f>IF(C269="","",HLOOKUP(C269,'Règles et points'!$D$5:$Y$7,3))</f>
        <v/>
      </c>
      <c r="E269" s="46" t="str">
        <f>IF(C269="","",HLOOKUP(C269,'Règles et points'!$D$5:$Y$7,2))</f>
        <v/>
      </c>
      <c r="F269" s="43" t="str">
        <f>IF('Course 1'!E269="","",'Course 1'!E269)</f>
        <v/>
      </c>
      <c r="G269" s="43" t="str">
        <f>IF('Course 1'!F269="","",'Course 1'!F269)</f>
        <v/>
      </c>
      <c r="H269" s="56">
        <f>'Course 1'!M269+'Course 2'!M269+'Course 3'!M269+'Course 4'!M269+'Course 4'!M269</f>
        <v>0</v>
      </c>
      <c r="J269" s="43" t="str">
        <f t="shared" si="67"/>
        <v/>
      </c>
      <c r="K269" s="43" t="str">
        <f t="shared" si="68"/>
        <v/>
      </c>
      <c r="L269" s="53" t="str">
        <f t="shared" si="69"/>
        <v/>
      </c>
      <c r="N269" s="43" t="str">
        <f t="shared" si="76"/>
        <v/>
      </c>
      <c r="O269" s="43" t="str">
        <f t="shared" si="77"/>
        <v/>
      </c>
      <c r="P269" s="53" t="str">
        <f t="shared" si="78"/>
        <v/>
      </c>
      <c r="R269" s="43" t="str">
        <f t="shared" si="70"/>
        <v/>
      </c>
      <c r="S269" s="43" t="str">
        <f t="shared" si="71"/>
        <v/>
      </c>
      <c r="T269" s="45" t="str">
        <f t="shared" si="72"/>
        <v/>
      </c>
      <c r="V269" s="43" t="str">
        <f t="shared" si="73"/>
        <v/>
      </c>
      <c r="W269" s="43" t="str">
        <f t="shared" si="74"/>
        <v/>
      </c>
      <c r="X269" s="45" t="str">
        <f t="shared" si="75"/>
        <v/>
      </c>
      <c r="AD269" s="77"/>
      <c r="AE269" s="77"/>
      <c r="AF269" s="172"/>
      <c r="AG269" s="116"/>
      <c r="AH269" s="118"/>
      <c r="AI269" s="77"/>
      <c r="AJ269" s="172"/>
      <c r="AK269" s="116"/>
      <c r="AL269" s="79"/>
      <c r="AM269" s="77"/>
      <c r="AN269" s="172"/>
      <c r="AO269" s="116"/>
      <c r="AQ269" s="43">
        <f t="shared" si="64"/>
        <v>0</v>
      </c>
      <c r="AR269" s="43">
        <f t="shared" si="65"/>
        <v>0</v>
      </c>
      <c r="AS269" s="43">
        <f t="shared" si="66"/>
        <v>0</v>
      </c>
    </row>
    <row r="270" spans="2:45" ht="21" customHeight="1">
      <c r="B270" s="43">
        <v>266</v>
      </c>
      <c r="C270" s="44" t="str">
        <f>'Course 1'!C270</f>
        <v/>
      </c>
      <c r="D270" s="46" t="str">
        <f>IF(C270="","",HLOOKUP(C270,'Règles et points'!$D$5:$Y$7,3))</f>
        <v/>
      </c>
      <c r="E270" s="46" t="str">
        <f>IF(C270="","",HLOOKUP(C270,'Règles et points'!$D$5:$Y$7,2))</f>
        <v/>
      </c>
      <c r="F270" s="43" t="str">
        <f>IF('Course 1'!E270="","",'Course 1'!E270)</f>
        <v/>
      </c>
      <c r="G270" s="43" t="str">
        <f>IF('Course 1'!F270="","",'Course 1'!F270)</f>
        <v/>
      </c>
      <c r="H270" s="56">
        <f>'Course 1'!M270+'Course 2'!M270+'Course 3'!M270+'Course 4'!M270+'Course 4'!M270</f>
        <v>0</v>
      </c>
      <c r="J270" s="43" t="str">
        <f t="shared" si="67"/>
        <v/>
      </c>
      <c r="K270" s="43" t="str">
        <f t="shared" si="68"/>
        <v/>
      </c>
      <c r="L270" s="53" t="str">
        <f t="shared" si="69"/>
        <v/>
      </c>
      <c r="N270" s="43" t="str">
        <f t="shared" si="76"/>
        <v/>
      </c>
      <c r="O270" s="43" t="str">
        <f t="shared" si="77"/>
        <v/>
      </c>
      <c r="P270" s="53" t="str">
        <f t="shared" si="78"/>
        <v/>
      </c>
      <c r="R270" s="43" t="str">
        <f t="shared" si="70"/>
        <v/>
      </c>
      <c r="S270" s="43" t="str">
        <f t="shared" si="71"/>
        <v/>
      </c>
      <c r="T270" s="45" t="str">
        <f t="shared" si="72"/>
        <v/>
      </c>
      <c r="V270" s="43" t="str">
        <f t="shared" si="73"/>
        <v/>
      </c>
      <c r="W270" s="43" t="str">
        <f t="shared" si="74"/>
        <v/>
      </c>
      <c r="X270" s="45" t="str">
        <f t="shared" si="75"/>
        <v/>
      </c>
      <c r="AD270" s="77"/>
      <c r="AE270" s="77"/>
      <c r="AF270" s="172"/>
      <c r="AG270" s="116"/>
      <c r="AH270" s="118"/>
      <c r="AI270" s="77"/>
      <c r="AJ270" s="172"/>
      <c r="AK270" s="116"/>
      <c r="AL270" s="79"/>
      <c r="AM270" s="77"/>
      <c r="AN270" s="172"/>
      <c r="AO270" s="116"/>
      <c r="AQ270" s="43">
        <f t="shared" si="64"/>
        <v>0</v>
      </c>
      <c r="AR270" s="43">
        <f t="shared" si="65"/>
        <v>0</v>
      </c>
      <c r="AS270" s="43">
        <f t="shared" si="66"/>
        <v>0</v>
      </c>
    </row>
    <row r="271" spans="2:45" ht="21" customHeight="1">
      <c r="B271" s="43">
        <v>267</v>
      </c>
      <c r="C271" s="44" t="str">
        <f>'Course 1'!C271</f>
        <v/>
      </c>
      <c r="D271" s="46" t="str">
        <f>IF(C271="","",HLOOKUP(C271,'Règles et points'!$D$5:$Y$7,3))</f>
        <v/>
      </c>
      <c r="E271" s="46" t="str">
        <f>IF(C271="","",HLOOKUP(C271,'Règles et points'!$D$5:$Y$7,2))</f>
        <v/>
      </c>
      <c r="F271" s="43" t="str">
        <f>IF('Course 1'!E271="","",'Course 1'!E271)</f>
        <v/>
      </c>
      <c r="G271" s="43" t="str">
        <f>IF('Course 1'!F271="","",'Course 1'!F271)</f>
        <v/>
      </c>
      <c r="H271" s="56">
        <f>'Course 1'!M271+'Course 2'!M271+'Course 3'!M271+'Course 4'!M271+'Course 4'!M271</f>
        <v>0</v>
      </c>
      <c r="J271" s="43" t="str">
        <f t="shared" si="67"/>
        <v/>
      </c>
      <c r="K271" s="43" t="str">
        <f t="shared" si="68"/>
        <v/>
      </c>
      <c r="L271" s="53" t="str">
        <f t="shared" si="69"/>
        <v/>
      </c>
      <c r="N271" s="43" t="str">
        <f t="shared" si="76"/>
        <v/>
      </c>
      <c r="O271" s="43" t="str">
        <f t="shared" si="77"/>
        <v/>
      </c>
      <c r="P271" s="53" t="str">
        <f t="shared" si="78"/>
        <v/>
      </c>
      <c r="R271" s="43" t="str">
        <f t="shared" si="70"/>
        <v/>
      </c>
      <c r="S271" s="43" t="str">
        <f t="shared" si="71"/>
        <v/>
      </c>
      <c r="T271" s="45" t="str">
        <f t="shared" si="72"/>
        <v/>
      </c>
      <c r="V271" s="43" t="str">
        <f t="shared" si="73"/>
        <v/>
      </c>
      <c r="W271" s="43" t="str">
        <f t="shared" si="74"/>
        <v/>
      </c>
      <c r="X271" s="45" t="str">
        <f t="shared" si="75"/>
        <v/>
      </c>
      <c r="AD271" s="77"/>
      <c r="AE271" s="77"/>
      <c r="AF271" s="172"/>
      <c r="AG271" s="116"/>
      <c r="AH271" s="118"/>
      <c r="AI271" s="77"/>
      <c r="AJ271" s="172"/>
      <c r="AK271" s="116"/>
      <c r="AL271" s="79"/>
      <c r="AM271" s="77"/>
      <c r="AN271" s="172"/>
      <c r="AO271" s="116"/>
      <c r="AQ271" s="43">
        <f t="shared" si="64"/>
        <v>0</v>
      </c>
      <c r="AR271" s="43">
        <f t="shared" si="65"/>
        <v>0</v>
      </c>
      <c r="AS271" s="43">
        <f t="shared" si="66"/>
        <v>0</v>
      </c>
    </row>
    <row r="272" spans="2:45" ht="21" customHeight="1">
      <c r="B272" s="43">
        <v>268</v>
      </c>
      <c r="C272" s="44" t="str">
        <f>'Course 1'!C272</f>
        <v/>
      </c>
      <c r="D272" s="46" t="str">
        <f>IF(C272="","",HLOOKUP(C272,'Règles et points'!$D$5:$Y$7,3))</f>
        <v/>
      </c>
      <c r="E272" s="46" t="str">
        <f>IF(C272="","",HLOOKUP(C272,'Règles et points'!$D$5:$Y$7,2))</f>
        <v/>
      </c>
      <c r="F272" s="43" t="str">
        <f>IF('Course 1'!E272="","",'Course 1'!E272)</f>
        <v/>
      </c>
      <c r="G272" s="43" t="str">
        <f>IF('Course 1'!F272="","",'Course 1'!F272)</f>
        <v/>
      </c>
      <c r="H272" s="56">
        <f>'Course 1'!M272+'Course 2'!M272+'Course 3'!M272+'Course 4'!M272+'Course 4'!M272</f>
        <v>0</v>
      </c>
      <c r="J272" s="43" t="str">
        <f t="shared" si="67"/>
        <v/>
      </c>
      <c r="K272" s="43" t="str">
        <f t="shared" si="68"/>
        <v/>
      </c>
      <c r="L272" s="53" t="str">
        <f t="shared" si="69"/>
        <v/>
      </c>
      <c r="N272" s="43" t="str">
        <f t="shared" si="76"/>
        <v/>
      </c>
      <c r="O272" s="43" t="str">
        <f t="shared" si="77"/>
        <v/>
      </c>
      <c r="P272" s="53" t="str">
        <f t="shared" si="78"/>
        <v/>
      </c>
      <c r="R272" s="43" t="str">
        <f t="shared" si="70"/>
        <v/>
      </c>
      <c r="S272" s="43" t="str">
        <f t="shared" si="71"/>
        <v/>
      </c>
      <c r="T272" s="45" t="str">
        <f t="shared" si="72"/>
        <v/>
      </c>
      <c r="V272" s="43" t="str">
        <f t="shared" si="73"/>
        <v/>
      </c>
      <c r="W272" s="43" t="str">
        <f t="shared" si="74"/>
        <v/>
      </c>
      <c r="X272" s="45" t="str">
        <f t="shared" si="75"/>
        <v/>
      </c>
      <c r="AD272" s="77"/>
      <c r="AE272" s="77"/>
      <c r="AF272" s="78"/>
      <c r="AG272" s="116"/>
      <c r="AH272" s="118"/>
      <c r="AI272" s="77"/>
      <c r="AJ272" s="172"/>
      <c r="AK272" s="116"/>
      <c r="AL272" s="79"/>
      <c r="AM272" s="77"/>
      <c r="AN272" s="172"/>
      <c r="AO272" s="116"/>
      <c r="AQ272" s="43">
        <f t="shared" si="64"/>
        <v>0</v>
      </c>
      <c r="AR272" s="43">
        <f t="shared" si="65"/>
        <v>0</v>
      </c>
      <c r="AS272" s="43">
        <f t="shared" si="66"/>
        <v>0</v>
      </c>
    </row>
    <row r="273" spans="2:45" ht="21" customHeight="1">
      <c r="B273" s="43">
        <v>269</v>
      </c>
      <c r="C273" s="44" t="str">
        <f>'Course 1'!C273</f>
        <v/>
      </c>
      <c r="D273" s="46" t="str">
        <f>IF(C273="","",HLOOKUP(C273,'Règles et points'!$D$5:$Y$7,3))</f>
        <v/>
      </c>
      <c r="E273" s="46" t="str">
        <f>IF(C273="","",HLOOKUP(C273,'Règles et points'!$D$5:$Y$7,2))</f>
        <v/>
      </c>
      <c r="F273" s="43" t="str">
        <f>IF('Course 1'!E273="","",'Course 1'!E273)</f>
        <v/>
      </c>
      <c r="G273" s="43" t="str">
        <f>IF('Course 1'!F273="","",'Course 1'!F273)</f>
        <v/>
      </c>
      <c r="H273" s="56">
        <f>'Course 1'!M273+'Course 2'!M273+'Course 3'!M273+'Course 4'!M273+'Course 4'!M273</f>
        <v>0</v>
      </c>
      <c r="J273" s="43" t="str">
        <f t="shared" si="67"/>
        <v/>
      </c>
      <c r="K273" s="43" t="str">
        <f t="shared" si="68"/>
        <v/>
      </c>
      <c r="L273" s="53" t="str">
        <f t="shared" si="69"/>
        <v/>
      </c>
      <c r="N273" s="43" t="str">
        <f t="shared" si="76"/>
        <v/>
      </c>
      <c r="O273" s="43" t="str">
        <f t="shared" si="77"/>
        <v/>
      </c>
      <c r="P273" s="53" t="str">
        <f t="shared" si="78"/>
        <v/>
      </c>
      <c r="R273" s="43" t="str">
        <f t="shared" si="70"/>
        <v/>
      </c>
      <c r="S273" s="43" t="str">
        <f t="shared" si="71"/>
        <v/>
      </c>
      <c r="T273" s="45" t="str">
        <f t="shared" si="72"/>
        <v/>
      </c>
      <c r="V273" s="43" t="str">
        <f t="shared" si="73"/>
        <v/>
      </c>
      <c r="W273" s="43" t="str">
        <f t="shared" si="74"/>
        <v/>
      </c>
      <c r="X273" s="45" t="str">
        <f t="shared" si="75"/>
        <v/>
      </c>
      <c r="AD273" s="77"/>
      <c r="AE273" s="77"/>
      <c r="AF273" s="172"/>
      <c r="AG273" s="116"/>
      <c r="AH273" s="118"/>
      <c r="AI273" s="77"/>
      <c r="AJ273" s="172"/>
      <c r="AK273" s="116"/>
      <c r="AL273" s="79"/>
      <c r="AM273" s="77"/>
      <c r="AN273" s="172"/>
      <c r="AO273" s="116"/>
      <c r="AQ273" s="43">
        <f t="shared" si="64"/>
        <v>0</v>
      </c>
      <c r="AR273" s="43">
        <f t="shared" si="65"/>
        <v>0</v>
      </c>
      <c r="AS273" s="43">
        <f t="shared" si="66"/>
        <v>0</v>
      </c>
    </row>
    <row r="274" spans="2:45" ht="21" customHeight="1">
      <c r="B274" s="43">
        <v>270</v>
      </c>
      <c r="C274" s="44" t="str">
        <f>'Course 1'!C274</f>
        <v/>
      </c>
      <c r="D274" s="46" t="str">
        <f>IF(C274="","",HLOOKUP(C274,'Règles et points'!$D$5:$Y$7,3))</f>
        <v/>
      </c>
      <c r="E274" s="46" t="str">
        <f>IF(C274="","",HLOOKUP(C274,'Règles et points'!$D$5:$Y$7,2))</f>
        <v/>
      </c>
      <c r="F274" s="43" t="str">
        <f>IF('Course 1'!E274="","",'Course 1'!E274)</f>
        <v/>
      </c>
      <c r="G274" s="43" t="str">
        <f>IF('Course 1'!F274="","",'Course 1'!F274)</f>
        <v/>
      </c>
      <c r="H274" s="56">
        <f>'Course 1'!M274+'Course 2'!M274+'Course 3'!M274+'Course 4'!M274+'Course 4'!M274</f>
        <v>0</v>
      </c>
      <c r="J274" s="43" t="str">
        <f t="shared" si="67"/>
        <v/>
      </c>
      <c r="K274" s="43" t="str">
        <f t="shared" si="68"/>
        <v/>
      </c>
      <c r="L274" s="53" t="str">
        <f t="shared" si="69"/>
        <v/>
      </c>
      <c r="N274" s="43" t="str">
        <f t="shared" si="76"/>
        <v/>
      </c>
      <c r="O274" s="43" t="str">
        <f t="shared" si="77"/>
        <v/>
      </c>
      <c r="P274" s="53" t="str">
        <f t="shared" si="78"/>
        <v/>
      </c>
      <c r="R274" s="43" t="str">
        <f t="shared" si="70"/>
        <v/>
      </c>
      <c r="S274" s="43" t="str">
        <f t="shared" si="71"/>
        <v/>
      </c>
      <c r="T274" s="45" t="str">
        <f t="shared" si="72"/>
        <v/>
      </c>
      <c r="V274" s="43" t="str">
        <f t="shared" si="73"/>
        <v/>
      </c>
      <c r="W274" s="43" t="str">
        <f t="shared" si="74"/>
        <v/>
      </c>
      <c r="X274" s="45" t="str">
        <f t="shared" si="75"/>
        <v/>
      </c>
      <c r="AD274" s="77"/>
      <c r="AE274" s="77"/>
      <c r="AF274" s="172"/>
      <c r="AG274" s="116"/>
      <c r="AH274" s="118"/>
      <c r="AI274" s="77"/>
      <c r="AJ274" s="172"/>
      <c r="AK274" s="116"/>
      <c r="AL274" s="79"/>
      <c r="AM274" s="77"/>
      <c r="AN274" s="172"/>
      <c r="AO274" s="116"/>
      <c r="AQ274" s="43">
        <f t="shared" si="64"/>
        <v>0</v>
      </c>
      <c r="AR274" s="43">
        <f t="shared" si="65"/>
        <v>0</v>
      </c>
      <c r="AS274" s="43">
        <f t="shared" si="66"/>
        <v>0</v>
      </c>
    </row>
    <row r="275" spans="2:45" ht="21" customHeight="1">
      <c r="B275" s="43">
        <v>271</v>
      </c>
      <c r="C275" s="44" t="str">
        <f>'Course 1'!C275</f>
        <v/>
      </c>
      <c r="D275" s="46" t="str">
        <f>IF(C275="","",HLOOKUP(C275,'Règles et points'!$D$5:$Y$7,3))</f>
        <v/>
      </c>
      <c r="E275" s="46" t="str">
        <f>IF(C275="","",HLOOKUP(C275,'Règles et points'!$D$5:$Y$7,2))</f>
        <v/>
      </c>
      <c r="F275" s="43" t="str">
        <f>IF('Course 1'!E275="","",'Course 1'!E275)</f>
        <v/>
      </c>
      <c r="G275" s="43" t="str">
        <f>IF('Course 1'!F275="","",'Course 1'!F275)</f>
        <v/>
      </c>
      <c r="H275" s="56">
        <f>'Course 1'!M275+'Course 2'!M275+'Course 3'!M275+'Course 4'!M275+'Course 4'!M275</f>
        <v>0</v>
      </c>
      <c r="J275" s="43" t="str">
        <f t="shared" si="67"/>
        <v/>
      </c>
      <c r="K275" s="43" t="str">
        <f t="shared" si="68"/>
        <v/>
      </c>
      <c r="L275" s="53" t="str">
        <f t="shared" si="69"/>
        <v/>
      </c>
      <c r="N275" s="43" t="str">
        <f t="shared" si="76"/>
        <v/>
      </c>
      <c r="O275" s="43" t="str">
        <f t="shared" si="77"/>
        <v/>
      </c>
      <c r="P275" s="53" t="str">
        <f t="shared" si="78"/>
        <v/>
      </c>
      <c r="R275" s="43" t="str">
        <f t="shared" si="70"/>
        <v/>
      </c>
      <c r="S275" s="43" t="str">
        <f t="shared" si="71"/>
        <v/>
      </c>
      <c r="T275" s="45" t="str">
        <f t="shared" si="72"/>
        <v/>
      </c>
      <c r="V275" s="43" t="str">
        <f t="shared" si="73"/>
        <v/>
      </c>
      <c r="W275" s="43" t="str">
        <f t="shared" si="74"/>
        <v/>
      </c>
      <c r="X275" s="45" t="str">
        <f t="shared" si="75"/>
        <v/>
      </c>
      <c r="AD275" s="77"/>
      <c r="AE275" s="77"/>
      <c r="AF275" s="172"/>
      <c r="AG275" s="116"/>
      <c r="AH275" s="118"/>
      <c r="AI275" s="77"/>
      <c r="AJ275" s="172"/>
      <c r="AK275" s="116"/>
      <c r="AL275" s="79"/>
      <c r="AM275" s="77"/>
      <c r="AN275" s="172"/>
      <c r="AO275" s="116"/>
      <c r="AQ275" s="43">
        <f t="shared" si="64"/>
        <v>0</v>
      </c>
      <c r="AR275" s="43">
        <f t="shared" si="65"/>
        <v>0</v>
      </c>
      <c r="AS275" s="43">
        <f t="shared" si="66"/>
        <v>0</v>
      </c>
    </row>
    <row r="276" spans="2:45" ht="21" customHeight="1">
      <c r="B276" s="43">
        <v>272</v>
      </c>
      <c r="C276" s="44" t="str">
        <f>'Course 1'!C276</f>
        <v/>
      </c>
      <c r="D276" s="46" t="str">
        <f>IF(C276="","",HLOOKUP(C276,'Règles et points'!$D$5:$Y$7,3))</f>
        <v/>
      </c>
      <c r="E276" s="46" t="str">
        <f>IF(C276="","",HLOOKUP(C276,'Règles et points'!$D$5:$Y$7,2))</f>
        <v/>
      </c>
      <c r="F276" s="43" t="str">
        <f>IF('Course 1'!E276="","",'Course 1'!E276)</f>
        <v/>
      </c>
      <c r="G276" s="43" t="str">
        <f>IF('Course 1'!F276="","",'Course 1'!F276)</f>
        <v/>
      </c>
      <c r="H276" s="56">
        <f>'Course 1'!M276+'Course 2'!M276+'Course 3'!M276+'Course 4'!M276+'Course 4'!M276</f>
        <v>0</v>
      </c>
      <c r="J276" s="43" t="str">
        <f t="shared" si="67"/>
        <v/>
      </c>
      <c r="K276" s="43" t="str">
        <f t="shared" si="68"/>
        <v/>
      </c>
      <c r="L276" s="53" t="str">
        <f t="shared" si="69"/>
        <v/>
      </c>
      <c r="N276" s="43" t="str">
        <f t="shared" si="76"/>
        <v/>
      </c>
      <c r="O276" s="43" t="str">
        <f t="shared" si="77"/>
        <v/>
      </c>
      <c r="P276" s="53" t="str">
        <f t="shared" si="78"/>
        <v/>
      </c>
      <c r="R276" s="43" t="str">
        <f t="shared" si="70"/>
        <v/>
      </c>
      <c r="S276" s="43" t="str">
        <f t="shared" si="71"/>
        <v/>
      </c>
      <c r="T276" s="45" t="str">
        <f t="shared" si="72"/>
        <v/>
      </c>
      <c r="V276" s="43" t="str">
        <f t="shared" si="73"/>
        <v/>
      </c>
      <c r="W276" s="43" t="str">
        <f t="shared" si="74"/>
        <v/>
      </c>
      <c r="X276" s="45" t="str">
        <f t="shared" si="75"/>
        <v/>
      </c>
      <c r="AD276" s="77"/>
      <c r="AE276" s="77"/>
      <c r="AF276" s="172"/>
      <c r="AG276" s="116"/>
      <c r="AH276" s="118"/>
      <c r="AI276" s="77"/>
      <c r="AJ276" s="172"/>
      <c r="AK276" s="116"/>
      <c r="AL276" s="79"/>
      <c r="AM276" s="77"/>
      <c r="AN276" s="172"/>
      <c r="AO276" s="116"/>
      <c r="AQ276" s="43">
        <f t="shared" si="64"/>
        <v>0</v>
      </c>
      <c r="AR276" s="43">
        <f t="shared" si="65"/>
        <v>0</v>
      </c>
      <c r="AS276" s="43">
        <f t="shared" si="66"/>
        <v>0</v>
      </c>
    </row>
    <row r="277" spans="2:45" ht="21" customHeight="1">
      <c r="B277" s="43">
        <v>273</v>
      </c>
      <c r="C277" s="44" t="str">
        <f>'Course 1'!C277</f>
        <v/>
      </c>
      <c r="D277" s="46" t="str">
        <f>IF(C277="","",HLOOKUP(C277,'Règles et points'!$D$5:$Y$7,3))</f>
        <v/>
      </c>
      <c r="E277" s="46" t="str">
        <f>IF(C277="","",HLOOKUP(C277,'Règles et points'!$D$5:$Y$7,2))</f>
        <v/>
      </c>
      <c r="F277" s="43" t="str">
        <f>IF('Course 1'!E277="","",'Course 1'!E277)</f>
        <v/>
      </c>
      <c r="G277" s="43" t="str">
        <f>IF('Course 1'!F277="","",'Course 1'!F277)</f>
        <v/>
      </c>
      <c r="H277" s="56">
        <f>'Course 1'!M277+'Course 2'!M277+'Course 3'!M277+'Course 4'!M277+'Course 4'!M277</f>
        <v>0</v>
      </c>
      <c r="J277" s="43" t="str">
        <f t="shared" si="67"/>
        <v/>
      </c>
      <c r="K277" s="43" t="str">
        <f t="shared" si="68"/>
        <v/>
      </c>
      <c r="L277" s="53" t="str">
        <f t="shared" si="69"/>
        <v/>
      </c>
      <c r="N277" s="43" t="str">
        <f t="shared" si="76"/>
        <v/>
      </c>
      <c r="O277" s="43" t="str">
        <f t="shared" si="77"/>
        <v/>
      </c>
      <c r="P277" s="53" t="str">
        <f t="shared" si="78"/>
        <v/>
      </c>
      <c r="R277" s="43" t="str">
        <f t="shared" si="70"/>
        <v/>
      </c>
      <c r="S277" s="43" t="str">
        <f t="shared" si="71"/>
        <v/>
      </c>
      <c r="T277" s="45" t="str">
        <f t="shared" si="72"/>
        <v/>
      </c>
      <c r="V277" s="43" t="str">
        <f t="shared" si="73"/>
        <v/>
      </c>
      <c r="W277" s="43" t="str">
        <f t="shared" si="74"/>
        <v/>
      </c>
      <c r="X277" s="45" t="str">
        <f t="shared" si="75"/>
        <v/>
      </c>
      <c r="AD277" s="77"/>
      <c r="AE277" s="77"/>
      <c r="AF277" s="172"/>
      <c r="AG277" s="116"/>
      <c r="AH277" s="118"/>
      <c r="AI277" s="77"/>
      <c r="AJ277" s="172"/>
      <c r="AK277" s="116"/>
      <c r="AL277" s="79"/>
      <c r="AM277" s="77"/>
      <c r="AN277" s="172"/>
      <c r="AO277" s="116"/>
      <c r="AQ277" s="43">
        <f t="shared" si="64"/>
        <v>0</v>
      </c>
      <c r="AR277" s="43">
        <f t="shared" si="65"/>
        <v>0</v>
      </c>
      <c r="AS277" s="43">
        <f t="shared" si="66"/>
        <v>0</v>
      </c>
    </row>
    <row r="278" spans="2:45" ht="21" customHeight="1">
      <c r="B278" s="43">
        <v>274</v>
      </c>
      <c r="C278" s="44" t="str">
        <f>'Course 1'!C278</f>
        <v/>
      </c>
      <c r="D278" s="46" t="str">
        <f>IF(C278="","",HLOOKUP(C278,'Règles et points'!$D$5:$Y$7,3))</f>
        <v/>
      </c>
      <c r="E278" s="46" t="str">
        <f>IF(C278="","",HLOOKUP(C278,'Règles et points'!$D$5:$Y$7,2))</f>
        <v/>
      </c>
      <c r="F278" s="43" t="str">
        <f>IF('Course 1'!E278="","",'Course 1'!E278)</f>
        <v/>
      </c>
      <c r="G278" s="43" t="str">
        <f>IF('Course 1'!F278="","",'Course 1'!F278)</f>
        <v/>
      </c>
      <c r="H278" s="56">
        <f>'Course 1'!M278+'Course 2'!M278+'Course 3'!M278+'Course 4'!M278+'Course 4'!M278</f>
        <v>0</v>
      </c>
      <c r="J278" s="43" t="str">
        <f t="shared" si="67"/>
        <v/>
      </c>
      <c r="K278" s="43" t="str">
        <f t="shared" si="68"/>
        <v/>
      </c>
      <c r="L278" s="53" t="str">
        <f t="shared" si="69"/>
        <v/>
      </c>
      <c r="N278" s="43" t="str">
        <f t="shared" si="76"/>
        <v/>
      </c>
      <c r="O278" s="43" t="str">
        <f t="shared" si="77"/>
        <v/>
      </c>
      <c r="P278" s="53" t="str">
        <f t="shared" si="78"/>
        <v/>
      </c>
      <c r="R278" s="43" t="str">
        <f t="shared" si="70"/>
        <v/>
      </c>
      <c r="S278" s="43" t="str">
        <f t="shared" si="71"/>
        <v/>
      </c>
      <c r="T278" s="45" t="str">
        <f t="shared" si="72"/>
        <v/>
      </c>
      <c r="V278" s="43" t="str">
        <f t="shared" si="73"/>
        <v/>
      </c>
      <c r="W278" s="43" t="str">
        <f t="shared" si="74"/>
        <v/>
      </c>
      <c r="X278" s="45" t="str">
        <f t="shared" si="75"/>
        <v/>
      </c>
      <c r="AD278" s="77"/>
      <c r="AE278" s="77"/>
      <c r="AF278" s="172"/>
      <c r="AG278" s="116"/>
      <c r="AH278" s="118"/>
      <c r="AI278" s="77"/>
      <c r="AJ278" s="172"/>
      <c r="AK278" s="116"/>
      <c r="AL278" s="79"/>
      <c r="AM278" s="77"/>
      <c r="AN278" s="172"/>
      <c r="AO278" s="116"/>
      <c r="AQ278" s="43">
        <f t="shared" si="64"/>
        <v>0</v>
      </c>
      <c r="AR278" s="43">
        <f t="shared" si="65"/>
        <v>0</v>
      </c>
      <c r="AS278" s="43">
        <f t="shared" si="66"/>
        <v>0</v>
      </c>
    </row>
    <row r="279" spans="2:45" ht="21" customHeight="1">
      <c r="B279" s="43">
        <v>275</v>
      </c>
      <c r="C279" s="44" t="str">
        <f>'Course 1'!C279</f>
        <v/>
      </c>
      <c r="D279" s="46" t="str">
        <f>IF(C279="","",HLOOKUP(C279,'Règles et points'!$D$5:$Y$7,3))</f>
        <v/>
      </c>
      <c r="E279" s="46" t="str">
        <f>IF(C279="","",HLOOKUP(C279,'Règles et points'!$D$5:$Y$7,2))</f>
        <v/>
      </c>
      <c r="F279" s="43" t="str">
        <f>IF('Course 1'!E279="","",'Course 1'!E279)</f>
        <v/>
      </c>
      <c r="G279" s="43" t="str">
        <f>IF('Course 1'!F279="","",'Course 1'!F279)</f>
        <v/>
      </c>
      <c r="H279" s="56">
        <f>'Course 1'!M279+'Course 2'!M279+'Course 3'!M279+'Course 4'!M279+'Course 4'!M279</f>
        <v>0</v>
      </c>
      <c r="J279" s="43" t="str">
        <f t="shared" si="67"/>
        <v/>
      </c>
      <c r="K279" s="43" t="str">
        <f t="shared" si="68"/>
        <v/>
      </c>
      <c r="L279" s="53" t="str">
        <f t="shared" si="69"/>
        <v/>
      </c>
      <c r="N279" s="43" t="str">
        <f t="shared" si="76"/>
        <v/>
      </c>
      <c r="O279" s="43" t="str">
        <f t="shared" si="77"/>
        <v/>
      </c>
      <c r="P279" s="53" t="str">
        <f t="shared" si="78"/>
        <v/>
      </c>
      <c r="R279" s="43" t="str">
        <f t="shared" si="70"/>
        <v/>
      </c>
      <c r="S279" s="43" t="str">
        <f t="shared" si="71"/>
        <v/>
      </c>
      <c r="T279" s="45" t="str">
        <f t="shared" si="72"/>
        <v/>
      </c>
      <c r="V279" s="43" t="str">
        <f t="shared" si="73"/>
        <v/>
      </c>
      <c r="W279" s="43" t="str">
        <f t="shared" si="74"/>
        <v/>
      </c>
      <c r="X279" s="45" t="str">
        <f t="shared" si="75"/>
        <v/>
      </c>
      <c r="AD279" s="77"/>
      <c r="AE279" s="77"/>
      <c r="AF279" s="172"/>
      <c r="AG279" s="116"/>
      <c r="AH279" s="118"/>
      <c r="AI279" s="77"/>
      <c r="AJ279" s="172"/>
      <c r="AK279" s="116"/>
      <c r="AL279" s="79"/>
      <c r="AM279" s="77"/>
      <c r="AN279" s="172"/>
      <c r="AO279" s="116"/>
      <c r="AQ279" s="43">
        <f t="shared" si="64"/>
        <v>0</v>
      </c>
      <c r="AR279" s="43">
        <f t="shared" si="65"/>
        <v>0</v>
      </c>
      <c r="AS279" s="43">
        <f t="shared" si="66"/>
        <v>0</v>
      </c>
    </row>
    <row r="280" spans="2:45" ht="21" customHeight="1">
      <c r="B280" s="43">
        <v>276</v>
      </c>
      <c r="C280" s="44" t="str">
        <f>'Course 1'!C280</f>
        <v/>
      </c>
      <c r="D280" s="46" t="str">
        <f>IF(C280="","",HLOOKUP(C280,'Règles et points'!$D$5:$Y$7,3))</f>
        <v/>
      </c>
      <c r="E280" s="46" t="str">
        <f>IF(C280="","",HLOOKUP(C280,'Règles et points'!$D$5:$Y$7,2))</f>
        <v/>
      </c>
      <c r="F280" s="43" t="str">
        <f>IF('Course 1'!E280="","",'Course 1'!E280)</f>
        <v/>
      </c>
      <c r="G280" s="43" t="str">
        <f>IF('Course 1'!F280="","",'Course 1'!F280)</f>
        <v/>
      </c>
      <c r="H280" s="56">
        <f>'Course 1'!M280+'Course 2'!M280+'Course 3'!M280+'Course 4'!M280+'Course 4'!M280</f>
        <v>0</v>
      </c>
      <c r="J280" s="43" t="str">
        <f t="shared" si="67"/>
        <v/>
      </c>
      <c r="K280" s="43" t="str">
        <f t="shared" si="68"/>
        <v/>
      </c>
      <c r="L280" s="53" t="str">
        <f t="shared" si="69"/>
        <v/>
      </c>
      <c r="N280" s="43" t="str">
        <f t="shared" si="76"/>
        <v/>
      </c>
      <c r="O280" s="43" t="str">
        <f t="shared" si="77"/>
        <v/>
      </c>
      <c r="P280" s="53" t="str">
        <f t="shared" si="78"/>
        <v/>
      </c>
      <c r="R280" s="43" t="str">
        <f t="shared" si="70"/>
        <v/>
      </c>
      <c r="S280" s="43" t="str">
        <f t="shared" si="71"/>
        <v/>
      </c>
      <c r="T280" s="45" t="str">
        <f t="shared" si="72"/>
        <v/>
      </c>
      <c r="V280" s="43" t="str">
        <f t="shared" si="73"/>
        <v/>
      </c>
      <c r="W280" s="43" t="str">
        <f t="shared" si="74"/>
        <v/>
      </c>
      <c r="X280" s="45" t="str">
        <f t="shared" si="75"/>
        <v/>
      </c>
      <c r="AD280" s="77"/>
      <c r="AE280" s="77"/>
      <c r="AF280" s="78"/>
      <c r="AG280" s="116"/>
      <c r="AH280" s="118"/>
      <c r="AI280" s="77"/>
      <c r="AJ280" s="172"/>
      <c r="AK280" s="116"/>
      <c r="AL280" s="79"/>
      <c r="AM280" s="77"/>
      <c r="AN280" s="172"/>
      <c r="AO280" s="116"/>
      <c r="AQ280" s="43">
        <f t="shared" si="64"/>
        <v>0</v>
      </c>
      <c r="AR280" s="43">
        <f t="shared" si="65"/>
        <v>0</v>
      </c>
      <c r="AS280" s="43">
        <f t="shared" si="66"/>
        <v>0</v>
      </c>
    </row>
    <row r="281" spans="2:45" ht="21" customHeight="1">
      <c r="B281" s="43">
        <v>277</v>
      </c>
      <c r="C281" s="44" t="str">
        <f>'Course 1'!C281</f>
        <v/>
      </c>
      <c r="D281" s="46" t="str">
        <f>IF(C281="","",HLOOKUP(C281,'Règles et points'!$D$5:$Y$7,3))</f>
        <v/>
      </c>
      <c r="E281" s="46" t="str">
        <f>IF(C281="","",HLOOKUP(C281,'Règles et points'!$D$5:$Y$7,2))</f>
        <v/>
      </c>
      <c r="F281" s="43" t="str">
        <f>IF('Course 1'!E281="","",'Course 1'!E281)</f>
        <v/>
      </c>
      <c r="G281" s="43" t="str">
        <f>IF('Course 1'!F281="","",'Course 1'!F281)</f>
        <v/>
      </c>
      <c r="H281" s="56">
        <f>'Course 1'!M281+'Course 2'!M281+'Course 3'!M281+'Course 4'!M281+'Course 4'!M281</f>
        <v>0</v>
      </c>
      <c r="J281" s="43" t="str">
        <f t="shared" si="67"/>
        <v/>
      </c>
      <c r="K281" s="43" t="str">
        <f t="shared" si="68"/>
        <v/>
      </c>
      <c r="L281" s="53" t="str">
        <f t="shared" si="69"/>
        <v/>
      </c>
      <c r="N281" s="43" t="str">
        <f t="shared" si="76"/>
        <v/>
      </c>
      <c r="O281" s="43" t="str">
        <f t="shared" si="77"/>
        <v/>
      </c>
      <c r="P281" s="53" t="str">
        <f t="shared" si="78"/>
        <v/>
      </c>
      <c r="R281" s="43" t="str">
        <f t="shared" si="70"/>
        <v/>
      </c>
      <c r="S281" s="43" t="str">
        <f t="shared" si="71"/>
        <v/>
      </c>
      <c r="T281" s="45" t="str">
        <f t="shared" si="72"/>
        <v/>
      </c>
      <c r="V281" s="43" t="str">
        <f t="shared" si="73"/>
        <v/>
      </c>
      <c r="W281" s="43" t="str">
        <f t="shared" si="74"/>
        <v/>
      </c>
      <c r="X281" s="45" t="str">
        <f t="shared" si="75"/>
        <v/>
      </c>
      <c r="AD281" s="77"/>
      <c r="AE281" s="77"/>
      <c r="AF281" s="78"/>
      <c r="AG281" s="116"/>
      <c r="AH281" s="118"/>
      <c r="AI281" s="77"/>
      <c r="AJ281" s="172"/>
      <c r="AK281" s="116"/>
      <c r="AL281" s="79"/>
      <c r="AM281" s="77"/>
      <c r="AN281" s="172"/>
      <c r="AO281" s="116"/>
      <c r="AQ281" s="43">
        <f t="shared" si="64"/>
        <v>0</v>
      </c>
      <c r="AR281" s="43">
        <f t="shared" si="65"/>
        <v>0</v>
      </c>
      <c r="AS281" s="43">
        <f t="shared" si="66"/>
        <v>0</v>
      </c>
    </row>
    <row r="282" spans="2:45" ht="21" customHeight="1">
      <c r="B282" s="43">
        <v>278</v>
      </c>
      <c r="C282" s="44" t="str">
        <f>'Course 1'!C282</f>
        <v/>
      </c>
      <c r="D282" s="46" t="str">
        <f>IF(C282="","",HLOOKUP(C282,'Règles et points'!$D$5:$Y$7,3))</f>
        <v/>
      </c>
      <c r="E282" s="46" t="str">
        <f>IF(C282="","",HLOOKUP(C282,'Règles et points'!$D$5:$Y$7,2))</f>
        <v/>
      </c>
      <c r="F282" s="43" t="str">
        <f>IF('Course 1'!E282="","",'Course 1'!E282)</f>
        <v/>
      </c>
      <c r="G282" s="43" t="str">
        <f>IF('Course 1'!F282="","",'Course 1'!F282)</f>
        <v/>
      </c>
      <c r="H282" s="56">
        <f>'Course 1'!M282+'Course 2'!M282+'Course 3'!M282+'Course 4'!M282+'Course 4'!M282</f>
        <v>0</v>
      </c>
      <c r="J282" s="43" t="str">
        <f t="shared" si="67"/>
        <v/>
      </c>
      <c r="K282" s="43" t="str">
        <f t="shared" si="68"/>
        <v/>
      </c>
      <c r="L282" s="53" t="str">
        <f t="shared" si="69"/>
        <v/>
      </c>
      <c r="N282" s="43" t="str">
        <f t="shared" si="76"/>
        <v/>
      </c>
      <c r="O282" s="43" t="str">
        <f t="shared" si="77"/>
        <v/>
      </c>
      <c r="P282" s="53" t="str">
        <f t="shared" si="78"/>
        <v/>
      </c>
      <c r="R282" s="43" t="str">
        <f t="shared" si="70"/>
        <v/>
      </c>
      <c r="S282" s="43" t="str">
        <f t="shared" si="71"/>
        <v/>
      </c>
      <c r="T282" s="45" t="str">
        <f t="shared" si="72"/>
        <v/>
      </c>
      <c r="V282" s="43" t="str">
        <f t="shared" si="73"/>
        <v/>
      </c>
      <c r="W282" s="43" t="str">
        <f t="shared" si="74"/>
        <v/>
      </c>
      <c r="X282" s="45" t="str">
        <f t="shared" si="75"/>
        <v/>
      </c>
      <c r="AD282" s="77"/>
      <c r="AE282" s="77"/>
      <c r="AF282" s="78"/>
      <c r="AG282" s="116"/>
      <c r="AH282" s="118"/>
      <c r="AI282" s="77"/>
      <c r="AJ282" s="172"/>
      <c r="AK282" s="116"/>
      <c r="AL282" s="79"/>
      <c r="AM282" s="77"/>
      <c r="AN282" s="172"/>
      <c r="AO282" s="116"/>
      <c r="AQ282" s="43">
        <f t="shared" si="64"/>
        <v>0</v>
      </c>
      <c r="AR282" s="43">
        <f t="shared" si="65"/>
        <v>0</v>
      </c>
      <c r="AS282" s="43">
        <f t="shared" si="66"/>
        <v>0</v>
      </c>
    </row>
    <row r="283" spans="2:45" ht="21" customHeight="1">
      <c r="B283" s="43">
        <v>279</v>
      </c>
      <c r="C283" s="44" t="str">
        <f>'Course 1'!C283</f>
        <v/>
      </c>
      <c r="D283" s="46" t="str">
        <f>IF(C283="","",HLOOKUP(C283,'Règles et points'!$D$5:$Y$7,3))</f>
        <v/>
      </c>
      <c r="E283" s="46" t="str">
        <f>IF(C283="","",HLOOKUP(C283,'Règles et points'!$D$5:$Y$7,2))</f>
        <v/>
      </c>
      <c r="F283" s="43" t="str">
        <f>IF('Course 1'!E283="","",'Course 1'!E283)</f>
        <v/>
      </c>
      <c r="G283" s="43" t="str">
        <f>IF('Course 1'!F283="","",'Course 1'!F283)</f>
        <v/>
      </c>
      <c r="H283" s="56">
        <f>'Course 1'!M283+'Course 2'!M283+'Course 3'!M283+'Course 4'!M283+'Course 4'!M283</f>
        <v>0</v>
      </c>
      <c r="J283" s="43" t="str">
        <f t="shared" si="67"/>
        <v/>
      </c>
      <c r="K283" s="43" t="str">
        <f t="shared" si="68"/>
        <v/>
      </c>
      <c r="L283" s="53" t="str">
        <f t="shared" si="69"/>
        <v/>
      </c>
      <c r="N283" s="43" t="str">
        <f t="shared" si="76"/>
        <v/>
      </c>
      <c r="O283" s="43" t="str">
        <f t="shared" si="77"/>
        <v/>
      </c>
      <c r="P283" s="53" t="str">
        <f t="shared" si="78"/>
        <v/>
      </c>
      <c r="R283" s="43" t="str">
        <f t="shared" si="70"/>
        <v/>
      </c>
      <c r="S283" s="43" t="str">
        <f t="shared" si="71"/>
        <v/>
      </c>
      <c r="T283" s="45" t="str">
        <f t="shared" si="72"/>
        <v/>
      </c>
      <c r="V283" s="43" t="str">
        <f t="shared" si="73"/>
        <v/>
      </c>
      <c r="W283" s="43" t="str">
        <f t="shared" si="74"/>
        <v/>
      </c>
      <c r="X283" s="45" t="str">
        <f t="shared" si="75"/>
        <v/>
      </c>
      <c r="AD283" s="77"/>
      <c r="AE283" s="77"/>
      <c r="AF283" s="78"/>
      <c r="AG283" s="116"/>
      <c r="AH283" s="118"/>
      <c r="AI283" s="77"/>
      <c r="AJ283" s="172"/>
      <c r="AK283" s="116"/>
      <c r="AL283" s="79"/>
      <c r="AM283" s="77"/>
      <c r="AN283" s="172"/>
      <c r="AO283" s="116"/>
      <c r="AQ283" s="43">
        <f t="shared" si="64"/>
        <v>0</v>
      </c>
      <c r="AR283" s="43">
        <f t="shared" si="65"/>
        <v>0</v>
      </c>
      <c r="AS283" s="43">
        <f t="shared" si="66"/>
        <v>0</v>
      </c>
    </row>
    <row r="284" spans="2:45" ht="21" customHeight="1">
      <c r="B284" s="43">
        <v>280</v>
      </c>
      <c r="C284" s="44" t="str">
        <f>'Course 1'!C284</f>
        <v/>
      </c>
      <c r="D284" s="46" t="str">
        <f>IF(C284="","",HLOOKUP(C284,'Règles et points'!$D$5:$Y$7,3))</f>
        <v/>
      </c>
      <c r="E284" s="46" t="str">
        <f>IF(C284="","",HLOOKUP(C284,'Règles et points'!$D$5:$Y$7,2))</f>
        <v/>
      </c>
      <c r="F284" s="43" t="str">
        <f>IF('Course 1'!E284="","",'Course 1'!E284)</f>
        <v/>
      </c>
      <c r="G284" s="43" t="str">
        <f>IF('Course 1'!F284="","",'Course 1'!F284)</f>
        <v/>
      </c>
      <c r="H284" s="56">
        <f>'Course 1'!M284+'Course 2'!M284+'Course 3'!M284+'Course 4'!M284+'Course 4'!M284</f>
        <v>0</v>
      </c>
      <c r="J284" s="43" t="str">
        <f t="shared" si="67"/>
        <v/>
      </c>
      <c r="K284" s="43" t="str">
        <f t="shared" si="68"/>
        <v/>
      </c>
      <c r="L284" s="53" t="str">
        <f t="shared" si="69"/>
        <v/>
      </c>
      <c r="N284" s="43" t="str">
        <f t="shared" si="76"/>
        <v/>
      </c>
      <c r="O284" s="43" t="str">
        <f t="shared" si="77"/>
        <v/>
      </c>
      <c r="P284" s="53" t="str">
        <f t="shared" si="78"/>
        <v/>
      </c>
      <c r="R284" s="43" t="str">
        <f t="shared" si="70"/>
        <v/>
      </c>
      <c r="S284" s="43" t="str">
        <f t="shared" si="71"/>
        <v/>
      </c>
      <c r="T284" s="45" t="str">
        <f t="shared" si="72"/>
        <v/>
      </c>
      <c r="V284" s="43" t="str">
        <f t="shared" si="73"/>
        <v/>
      </c>
      <c r="W284" s="43" t="str">
        <f t="shared" si="74"/>
        <v/>
      </c>
      <c r="X284" s="45" t="str">
        <f t="shared" si="75"/>
        <v/>
      </c>
      <c r="AD284" s="77"/>
      <c r="AE284" s="77"/>
      <c r="AF284" s="78"/>
      <c r="AG284" s="116"/>
      <c r="AH284" s="118"/>
      <c r="AI284" s="77"/>
      <c r="AJ284" s="172"/>
      <c r="AK284" s="116"/>
      <c r="AL284" s="79"/>
      <c r="AM284" s="77"/>
      <c r="AN284" s="172"/>
      <c r="AO284" s="116"/>
      <c r="AQ284" s="43">
        <f t="shared" si="64"/>
        <v>0</v>
      </c>
      <c r="AR284" s="43">
        <f t="shared" si="65"/>
        <v>0</v>
      </c>
      <c r="AS284" s="43">
        <f t="shared" si="66"/>
        <v>0</v>
      </c>
    </row>
    <row r="285" spans="2:45" ht="21" customHeight="1">
      <c r="B285" s="43">
        <v>281</v>
      </c>
      <c r="C285" s="44" t="str">
        <f>'Course 1'!C285</f>
        <v/>
      </c>
      <c r="D285" s="46" t="str">
        <f>IF(C285="","",HLOOKUP(C285,'Règles et points'!$D$5:$Y$7,3))</f>
        <v/>
      </c>
      <c r="E285" s="46" t="str">
        <f>IF(C285="","",HLOOKUP(C285,'Règles et points'!$D$5:$Y$7,2))</f>
        <v/>
      </c>
      <c r="F285" s="43" t="str">
        <f>IF('Course 1'!E285="","",'Course 1'!E285)</f>
        <v/>
      </c>
      <c r="G285" s="43" t="str">
        <f>IF('Course 1'!F285="","",'Course 1'!F285)</f>
        <v/>
      </c>
      <c r="H285" s="56">
        <f>'Course 1'!M285+'Course 2'!M285+'Course 3'!M285+'Course 4'!M285+'Course 4'!M285</f>
        <v>0</v>
      </c>
      <c r="J285" s="43" t="str">
        <f t="shared" si="67"/>
        <v/>
      </c>
      <c r="K285" s="43" t="str">
        <f t="shared" si="68"/>
        <v/>
      </c>
      <c r="L285" s="53" t="str">
        <f t="shared" si="69"/>
        <v/>
      </c>
      <c r="N285" s="43" t="str">
        <f t="shared" si="76"/>
        <v/>
      </c>
      <c r="O285" s="43" t="str">
        <f t="shared" si="77"/>
        <v/>
      </c>
      <c r="P285" s="53" t="str">
        <f t="shared" si="78"/>
        <v/>
      </c>
      <c r="R285" s="43" t="str">
        <f t="shared" si="70"/>
        <v/>
      </c>
      <c r="S285" s="43" t="str">
        <f t="shared" si="71"/>
        <v/>
      </c>
      <c r="T285" s="45" t="str">
        <f t="shared" si="72"/>
        <v/>
      </c>
      <c r="V285" s="43" t="str">
        <f t="shared" si="73"/>
        <v/>
      </c>
      <c r="W285" s="43" t="str">
        <f t="shared" si="74"/>
        <v/>
      </c>
      <c r="X285" s="45" t="str">
        <f t="shared" si="75"/>
        <v/>
      </c>
      <c r="AD285" s="77"/>
      <c r="AE285" s="77"/>
      <c r="AF285" s="78"/>
      <c r="AG285" s="116"/>
      <c r="AH285" s="118"/>
      <c r="AI285" s="77"/>
      <c r="AJ285" s="172"/>
      <c r="AK285" s="116"/>
      <c r="AL285" s="79"/>
      <c r="AM285" s="77"/>
      <c r="AN285" s="172"/>
      <c r="AO285" s="116"/>
      <c r="AQ285" s="43">
        <f t="shared" si="64"/>
        <v>0</v>
      </c>
      <c r="AR285" s="43">
        <f t="shared" si="65"/>
        <v>0</v>
      </c>
      <c r="AS285" s="43">
        <f t="shared" si="66"/>
        <v>0</v>
      </c>
    </row>
    <row r="286" spans="2:45" ht="21" customHeight="1">
      <c r="B286" s="43">
        <v>282</v>
      </c>
      <c r="C286" s="44" t="str">
        <f>'Course 1'!C286</f>
        <v/>
      </c>
      <c r="D286" s="46" t="str">
        <f>IF(C286="","",HLOOKUP(C286,'Règles et points'!$D$5:$Y$7,3))</f>
        <v/>
      </c>
      <c r="E286" s="46" t="str">
        <f>IF(C286="","",HLOOKUP(C286,'Règles et points'!$D$5:$Y$7,2))</f>
        <v/>
      </c>
      <c r="F286" s="43" t="str">
        <f>IF('Course 1'!E286="","",'Course 1'!E286)</f>
        <v/>
      </c>
      <c r="G286" s="43" t="str">
        <f>IF('Course 1'!F286="","",'Course 1'!F286)</f>
        <v/>
      </c>
      <c r="H286" s="56">
        <f>'Course 1'!M286+'Course 2'!M286+'Course 3'!M286+'Course 4'!M286+'Course 4'!M286</f>
        <v>0</v>
      </c>
      <c r="J286" s="43" t="str">
        <f t="shared" si="67"/>
        <v/>
      </c>
      <c r="K286" s="43" t="str">
        <f t="shared" si="68"/>
        <v/>
      </c>
      <c r="L286" s="53" t="str">
        <f t="shared" si="69"/>
        <v/>
      </c>
      <c r="N286" s="43" t="str">
        <f t="shared" si="76"/>
        <v/>
      </c>
      <c r="O286" s="43" t="str">
        <f t="shared" si="77"/>
        <v/>
      </c>
      <c r="P286" s="53" t="str">
        <f t="shared" si="78"/>
        <v/>
      </c>
      <c r="R286" s="43" t="str">
        <f t="shared" si="70"/>
        <v/>
      </c>
      <c r="S286" s="43" t="str">
        <f t="shared" si="71"/>
        <v/>
      </c>
      <c r="T286" s="45" t="str">
        <f t="shared" si="72"/>
        <v/>
      </c>
      <c r="V286" s="43" t="str">
        <f t="shared" si="73"/>
        <v/>
      </c>
      <c r="W286" s="43" t="str">
        <f t="shared" si="74"/>
        <v/>
      </c>
      <c r="X286" s="45" t="str">
        <f t="shared" si="75"/>
        <v/>
      </c>
      <c r="AD286" s="77"/>
      <c r="AE286" s="77"/>
      <c r="AF286" s="78"/>
      <c r="AG286" s="116"/>
      <c r="AH286" s="118"/>
      <c r="AI286" s="77"/>
      <c r="AJ286" s="78"/>
      <c r="AK286" s="116"/>
      <c r="AL286" s="79"/>
      <c r="AM286" s="77"/>
      <c r="AN286" s="172"/>
      <c r="AO286" s="116"/>
      <c r="AQ286" s="43">
        <f t="shared" si="64"/>
        <v>0</v>
      </c>
      <c r="AR286" s="43">
        <f t="shared" si="65"/>
        <v>0</v>
      </c>
      <c r="AS286" s="43">
        <f t="shared" si="66"/>
        <v>0</v>
      </c>
    </row>
    <row r="287" spans="2:45" ht="21" customHeight="1">
      <c r="B287" s="43">
        <v>283</v>
      </c>
      <c r="C287" s="44" t="str">
        <f>'Course 1'!C287</f>
        <v/>
      </c>
      <c r="D287" s="46" t="str">
        <f>IF(C287="","",HLOOKUP(C287,'Règles et points'!$D$5:$Y$7,3))</f>
        <v/>
      </c>
      <c r="E287" s="46" t="str">
        <f>IF(C287="","",HLOOKUP(C287,'Règles et points'!$D$5:$Y$7,2))</f>
        <v/>
      </c>
      <c r="F287" s="43" t="str">
        <f>IF('Course 1'!E287="","",'Course 1'!E287)</f>
        <v/>
      </c>
      <c r="G287" s="43" t="str">
        <f>IF('Course 1'!F287="","",'Course 1'!F287)</f>
        <v/>
      </c>
      <c r="H287" s="56">
        <f>'Course 1'!M287+'Course 2'!M287+'Course 3'!M287+'Course 4'!M287+'Course 4'!M287</f>
        <v>0</v>
      </c>
      <c r="J287" s="43" t="str">
        <f t="shared" si="67"/>
        <v/>
      </c>
      <c r="K287" s="43" t="str">
        <f t="shared" si="68"/>
        <v/>
      </c>
      <c r="L287" s="53" t="str">
        <f t="shared" si="69"/>
        <v/>
      </c>
      <c r="N287" s="43" t="str">
        <f t="shared" si="76"/>
        <v/>
      </c>
      <c r="O287" s="43" t="str">
        <f t="shared" si="77"/>
        <v/>
      </c>
      <c r="P287" s="53" t="str">
        <f t="shared" si="78"/>
        <v/>
      </c>
      <c r="R287" s="43" t="str">
        <f t="shared" si="70"/>
        <v/>
      </c>
      <c r="S287" s="43" t="str">
        <f t="shared" si="71"/>
        <v/>
      </c>
      <c r="T287" s="45" t="str">
        <f t="shared" si="72"/>
        <v/>
      </c>
      <c r="V287" s="43" t="str">
        <f t="shared" si="73"/>
        <v/>
      </c>
      <c r="W287" s="43" t="str">
        <f t="shared" si="74"/>
        <v/>
      </c>
      <c r="X287" s="45" t="str">
        <f t="shared" si="75"/>
        <v/>
      </c>
      <c r="AD287" s="77"/>
      <c r="AE287" s="77"/>
      <c r="AF287" s="78"/>
      <c r="AG287" s="116"/>
      <c r="AH287" s="118"/>
      <c r="AI287" s="77"/>
      <c r="AJ287" s="172"/>
      <c r="AK287" s="116"/>
      <c r="AL287" s="79"/>
      <c r="AM287" s="77"/>
      <c r="AN287" s="172"/>
      <c r="AO287" s="116"/>
      <c r="AQ287" s="43">
        <f t="shared" si="64"/>
        <v>0</v>
      </c>
      <c r="AR287" s="43">
        <f t="shared" si="65"/>
        <v>0</v>
      </c>
      <c r="AS287" s="43">
        <f t="shared" si="66"/>
        <v>0</v>
      </c>
    </row>
    <row r="288" spans="2:45" ht="21" customHeight="1">
      <c r="B288" s="43">
        <v>284</v>
      </c>
      <c r="C288" s="44" t="str">
        <f>'Course 1'!C288</f>
        <v/>
      </c>
      <c r="D288" s="46" t="str">
        <f>IF(C288="","",HLOOKUP(C288,'Règles et points'!$D$5:$Y$7,3))</f>
        <v/>
      </c>
      <c r="E288" s="46" t="str">
        <f>IF(C288="","",HLOOKUP(C288,'Règles et points'!$D$5:$Y$7,2))</f>
        <v/>
      </c>
      <c r="F288" s="43" t="str">
        <f>IF('Course 1'!E288="","",'Course 1'!E288)</f>
        <v/>
      </c>
      <c r="G288" s="43" t="str">
        <f>IF('Course 1'!F288="","",'Course 1'!F288)</f>
        <v/>
      </c>
      <c r="H288" s="56">
        <f>'Course 1'!M288+'Course 2'!M288+'Course 3'!M288+'Course 4'!M288+'Course 4'!M288</f>
        <v>0</v>
      </c>
      <c r="J288" s="43" t="str">
        <f t="shared" si="67"/>
        <v/>
      </c>
      <c r="K288" s="43" t="str">
        <f t="shared" si="68"/>
        <v/>
      </c>
      <c r="L288" s="53" t="str">
        <f t="shared" si="69"/>
        <v/>
      </c>
      <c r="N288" s="43" t="str">
        <f t="shared" si="76"/>
        <v/>
      </c>
      <c r="O288" s="43" t="str">
        <f t="shared" si="77"/>
        <v/>
      </c>
      <c r="P288" s="53" t="str">
        <f t="shared" si="78"/>
        <v/>
      </c>
      <c r="R288" s="43" t="str">
        <f t="shared" si="70"/>
        <v/>
      </c>
      <c r="S288" s="43" t="str">
        <f t="shared" si="71"/>
        <v/>
      </c>
      <c r="T288" s="45" t="str">
        <f t="shared" si="72"/>
        <v/>
      </c>
      <c r="V288" s="43" t="str">
        <f t="shared" si="73"/>
        <v/>
      </c>
      <c r="W288" s="43" t="str">
        <f t="shared" si="74"/>
        <v/>
      </c>
      <c r="X288" s="45" t="str">
        <f t="shared" si="75"/>
        <v/>
      </c>
      <c r="AD288" s="77"/>
      <c r="AE288" s="77"/>
      <c r="AF288" s="78"/>
      <c r="AG288" s="116"/>
      <c r="AH288" s="118"/>
      <c r="AI288" s="77"/>
      <c r="AJ288" s="78"/>
      <c r="AK288" s="116"/>
      <c r="AL288" s="79"/>
      <c r="AM288" s="77"/>
      <c r="AN288" s="172"/>
      <c r="AO288" s="116"/>
      <c r="AQ288" s="43">
        <f t="shared" si="64"/>
        <v>0</v>
      </c>
      <c r="AR288" s="43">
        <f t="shared" si="65"/>
        <v>0</v>
      </c>
      <c r="AS288" s="43">
        <f t="shared" si="66"/>
        <v>0</v>
      </c>
    </row>
    <row r="289" spans="2:45" ht="21" customHeight="1">
      <c r="B289" s="43">
        <v>285</v>
      </c>
      <c r="C289" s="44" t="str">
        <f>'Course 1'!C289</f>
        <v/>
      </c>
      <c r="D289" s="46" t="str">
        <f>IF(C289="","",HLOOKUP(C289,'Règles et points'!$D$5:$Y$7,3))</f>
        <v/>
      </c>
      <c r="E289" s="46" t="str">
        <f>IF(C289="","",HLOOKUP(C289,'Règles et points'!$D$5:$Y$7,2))</f>
        <v/>
      </c>
      <c r="F289" s="43" t="str">
        <f>IF('Course 1'!E289="","",'Course 1'!E289)</f>
        <v/>
      </c>
      <c r="G289" s="43" t="str">
        <f>IF('Course 1'!F289="","",'Course 1'!F289)</f>
        <v/>
      </c>
      <c r="H289" s="56">
        <f>'Course 1'!M289+'Course 2'!M289+'Course 3'!M289+'Course 4'!M289+'Course 4'!M289</f>
        <v>0</v>
      </c>
      <c r="J289" s="43" t="str">
        <f t="shared" si="67"/>
        <v/>
      </c>
      <c r="K289" s="43" t="str">
        <f t="shared" si="68"/>
        <v/>
      </c>
      <c r="L289" s="53" t="str">
        <f t="shared" si="69"/>
        <v/>
      </c>
      <c r="N289" s="43" t="str">
        <f t="shared" si="76"/>
        <v/>
      </c>
      <c r="O289" s="43" t="str">
        <f t="shared" si="77"/>
        <v/>
      </c>
      <c r="P289" s="53" t="str">
        <f t="shared" si="78"/>
        <v/>
      </c>
      <c r="R289" s="43" t="str">
        <f t="shared" si="70"/>
        <v/>
      </c>
      <c r="S289" s="43" t="str">
        <f t="shared" si="71"/>
        <v/>
      </c>
      <c r="T289" s="45" t="str">
        <f t="shared" si="72"/>
        <v/>
      </c>
      <c r="V289" s="43" t="str">
        <f t="shared" si="73"/>
        <v/>
      </c>
      <c r="W289" s="43" t="str">
        <f t="shared" si="74"/>
        <v/>
      </c>
      <c r="X289" s="45" t="str">
        <f t="shared" si="75"/>
        <v/>
      </c>
      <c r="AD289" s="77"/>
      <c r="AE289" s="77"/>
      <c r="AF289" s="78"/>
      <c r="AG289" s="116"/>
      <c r="AH289" s="118"/>
      <c r="AI289" s="77"/>
      <c r="AJ289" s="78"/>
      <c r="AK289" s="116"/>
      <c r="AL289" s="79"/>
      <c r="AM289" s="77"/>
      <c r="AN289" s="172"/>
      <c r="AO289" s="116"/>
      <c r="AQ289" s="43">
        <f t="shared" si="64"/>
        <v>0</v>
      </c>
      <c r="AR289" s="43">
        <f t="shared" si="65"/>
        <v>0</v>
      </c>
      <c r="AS289" s="43">
        <f t="shared" si="66"/>
        <v>0</v>
      </c>
    </row>
    <row r="290" spans="2:45" ht="21" customHeight="1">
      <c r="B290" s="43">
        <v>286</v>
      </c>
      <c r="C290" s="44" t="str">
        <f>'Course 1'!C290</f>
        <v/>
      </c>
      <c r="D290" s="46" t="str">
        <f>IF(C290="","",HLOOKUP(C290,'Règles et points'!$D$5:$Y$7,3))</f>
        <v/>
      </c>
      <c r="E290" s="46" t="str">
        <f>IF(C290="","",HLOOKUP(C290,'Règles et points'!$D$5:$Y$7,2))</f>
        <v/>
      </c>
      <c r="F290" s="43" t="str">
        <f>IF('Course 1'!E290="","",'Course 1'!E290)</f>
        <v/>
      </c>
      <c r="G290" s="43" t="str">
        <f>IF('Course 1'!F290="","",'Course 1'!F290)</f>
        <v/>
      </c>
      <c r="H290" s="56">
        <f>'Course 1'!M290+'Course 2'!M290+'Course 3'!M290+'Course 4'!M290+'Course 4'!M290</f>
        <v>0</v>
      </c>
      <c r="J290" s="43" t="str">
        <f t="shared" si="67"/>
        <v/>
      </c>
      <c r="K290" s="43" t="str">
        <f t="shared" si="68"/>
        <v/>
      </c>
      <c r="L290" s="53" t="str">
        <f t="shared" si="69"/>
        <v/>
      </c>
      <c r="N290" s="43" t="str">
        <f t="shared" si="76"/>
        <v/>
      </c>
      <c r="O290" s="43" t="str">
        <f t="shared" si="77"/>
        <v/>
      </c>
      <c r="P290" s="53" t="str">
        <f t="shared" si="78"/>
        <v/>
      </c>
      <c r="R290" s="43" t="str">
        <f t="shared" si="70"/>
        <v/>
      </c>
      <c r="S290" s="43" t="str">
        <f t="shared" si="71"/>
        <v/>
      </c>
      <c r="T290" s="45" t="str">
        <f t="shared" si="72"/>
        <v/>
      </c>
      <c r="V290" s="43" t="str">
        <f t="shared" si="73"/>
        <v/>
      </c>
      <c r="W290" s="43" t="str">
        <f t="shared" si="74"/>
        <v/>
      </c>
      <c r="X290" s="45" t="str">
        <f t="shared" si="75"/>
        <v/>
      </c>
      <c r="AD290" s="77"/>
      <c r="AE290" s="77"/>
      <c r="AF290" s="78"/>
      <c r="AG290" s="116"/>
      <c r="AH290" s="118"/>
      <c r="AI290" s="77"/>
      <c r="AJ290" s="78"/>
      <c r="AK290" s="116"/>
      <c r="AL290" s="79"/>
      <c r="AM290" s="77"/>
      <c r="AN290" s="172"/>
      <c r="AO290" s="116"/>
      <c r="AQ290" s="43">
        <f t="shared" si="64"/>
        <v>0</v>
      </c>
      <c r="AR290" s="43">
        <f t="shared" si="65"/>
        <v>0</v>
      </c>
      <c r="AS290" s="43">
        <f t="shared" si="66"/>
        <v>0</v>
      </c>
    </row>
    <row r="291" spans="2:45" ht="21" customHeight="1">
      <c r="B291" s="43">
        <v>287</v>
      </c>
      <c r="C291" s="44" t="str">
        <f>'Course 1'!C291</f>
        <v/>
      </c>
      <c r="D291" s="46" t="str">
        <f>IF(C291="","",HLOOKUP(C291,'Règles et points'!$D$5:$Y$7,3))</f>
        <v/>
      </c>
      <c r="E291" s="46" t="str">
        <f>IF(C291="","",HLOOKUP(C291,'Règles et points'!$D$5:$Y$7,2))</f>
        <v/>
      </c>
      <c r="F291" s="43" t="str">
        <f>IF('Course 1'!E291="","",'Course 1'!E291)</f>
        <v/>
      </c>
      <c r="G291" s="43" t="str">
        <f>IF('Course 1'!F291="","",'Course 1'!F291)</f>
        <v/>
      </c>
      <c r="H291" s="56">
        <f>'Course 1'!M291+'Course 2'!M291+'Course 3'!M291+'Course 4'!M291+'Course 4'!M291</f>
        <v>0</v>
      </c>
      <c r="J291" s="43" t="str">
        <f t="shared" si="67"/>
        <v/>
      </c>
      <c r="K291" s="43" t="str">
        <f t="shared" si="68"/>
        <v/>
      </c>
      <c r="L291" s="53" t="str">
        <f t="shared" si="69"/>
        <v/>
      </c>
      <c r="N291" s="43" t="str">
        <f t="shared" si="76"/>
        <v/>
      </c>
      <c r="O291" s="43" t="str">
        <f t="shared" si="77"/>
        <v/>
      </c>
      <c r="P291" s="53" t="str">
        <f t="shared" si="78"/>
        <v/>
      </c>
      <c r="R291" s="43" t="str">
        <f t="shared" si="70"/>
        <v/>
      </c>
      <c r="S291" s="43" t="str">
        <f t="shared" si="71"/>
        <v/>
      </c>
      <c r="T291" s="45" t="str">
        <f t="shared" si="72"/>
        <v/>
      </c>
      <c r="V291" s="43" t="str">
        <f t="shared" si="73"/>
        <v/>
      </c>
      <c r="W291" s="43" t="str">
        <f t="shared" si="74"/>
        <v/>
      </c>
      <c r="X291" s="45" t="str">
        <f t="shared" si="75"/>
        <v/>
      </c>
      <c r="AD291" s="77"/>
      <c r="AE291" s="77"/>
      <c r="AF291" s="78"/>
      <c r="AG291" s="116"/>
      <c r="AH291" s="118"/>
      <c r="AI291" s="77"/>
      <c r="AJ291" s="78"/>
      <c r="AK291" s="116"/>
      <c r="AL291" s="79"/>
      <c r="AM291" s="77"/>
      <c r="AN291" s="172"/>
      <c r="AO291" s="116"/>
      <c r="AQ291" s="43">
        <f t="shared" si="64"/>
        <v>0</v>
      </c>
      <c r="AR291" s="43">
        <f t="shared" si="65"/>
        <v>0</v>
      </c>
      <c r="AS291" s="43">
        <f t="shared" si="66"/>
        <v>0</v>
      </c>
    </row>
    <row r="292" spans="2:45" ht="21" customHeight="1">
      <c r="B292" s="43">
        <v>288</v>
      </c>
      <c r="C292" s="44" t="str">
        <f>'Course 1'!C292</f>
        <v/>
      </c>
      <c r="D292" s="46" t="str">
        <f>IF(C292="","",HLOOKUP(C292,'Règles et points'!$D$5:$Y$7,3))</f>
        <v/>
      </c>
      <c r="E292" s="46" t="str">
        <f>IF(C292="","",HLOOKUP(C292,'Règles et points'!$D$5:$Y$7,2))</f>
        <v/>
      </c>
      <c r="F292" s="43" t="str">
        <f>IF('Course 1'!E292="","",'Course 1'!E292)</f>
        <v/>
      </c>
      <c r="G292" s="43" t="str">
        <f>IF('Course 1'!F292="","",'Course 1'!F292)</f>
        <v/>
      </c>
      <c r="H292" s="56">
        <f>'Course 1'!M292+'Course 2'!M292+'Course 3'!M292+'Course 4'!M292+'Course 4'!M292</f>
        <v>0</v>
      </c>
      <c r="J292" s="43" t="str">
        <f t="shared" si="67"/>
        <v/>
      </c>
      <c r="K292" s="43" t="str">
        <f t="shared" si="68"/>
        <v/>
      </c>
      <c r="L292" s="53" t="str">
        <f t="shared" si="69"/>
        <v/>
      </c>
      <c r="N292" s="43" t="str">
        <f t="shared" si="76"/>
        <v/>
      </c>
      <c r="O292" s="43" t="str">
        <f t="shared" si="77"/>
        <v/>
      </c>
      <c r="P292" s="53" t="str">
        <f t="shared" si="78"/>
        <v/>
      </c>
      <c r="R292" s="43" t="str">
        <f t="shared" si="70"/>
        <v/>
      </c>
      <c r="S292" s="43" t="str">
        <f t="shared" si="71"/>
        <v/>
      </c>
      <c r="T292" s="45" t="str">
        <f t="shared" si="72"/>
        <v/>
      </c>
      <c r="V292" s="43" t="str">
        <f t="shared" si="73"/>
        <v/>
      </c>
      <c r="W292" s="43" t="str">
        <f t="shared" si="74"/>
        <v/>
      </c>
      <c r="X292" s="45" t="str">
        <f t="shared" si="75"/>
        <v/>
      </c>
      <c r="AD292" s="77"/>
      <c r="AE292" s="77"/>
      <c r="AF292" s="78"/>
      <c r="AG292" s="116"/>
      <c r="AH292" s="118"/>
      <c r="AI292" s="77"/>
      <c r="AJ292" s="78"/>
      <c r="AK292" s="116"/>
      <c r="AL292" s="79"/>
      <c r="AM292" s="77"/>
      <c r="AN292" s="172"/>
      <c r="AO292" s="116"/>
      <c r="AQ292" s="43">
        <f t="shared" si="64"/>
        <v>0</v>
      </c>
      <c r="AR292" s="43">
        <f t="shared" si="65"/>
        <v>0</v>
      </c>
      <c r="AS292" s="43">
        <f t="shared" si="66"/>
        <v>0</v>
      </c>
    </row>
    <row r="293" spans="2:45" ht="21" customHeight="1">
      <c r="B293" s="43">
        <v>289</v>
      </c>
      <c r="C293" s="44" t="str">
        <f>'Course 1'!C293</f>
        <v/>
      </c>
      <c r="D293" s="46" t="str">
        <f>IF(C293="","",HLOOKUP(C293,'Règles et points'!$D$5:$Y$7,3))</f>
        <v/>
      </c>
      <c r="E293" s="46" t="str">
        <f>IF(C293="","",HLOOKUP(C293,'Règles et points'!$D$5:$Y$7,2))</f>
        <v/>
      </c>
      <c r="F293" s="43" t="str">
        <f>IF('Course 1'!E293="","",'Course 1'!E293)</f>
        <v/>
      </c>
      <c r="G293" s="43" t="str">
        <f>IF('Course 1'!F293="","",'Course 1'!F293)</f>
        <v/>
      </c>
      <c r="H293" s="56">
        <f>'Course 1'!M293+'Course 2'!M293+'Course 3'!M293+'Course 4'!M293+'Course 4'!M293</f>
        <v>0</v>
      </c>
      <c r="J293" s="43" t="str">
        <f t="shared" si="67"/>
        <v/>
      </c>
      <c r="K293" s="43" t="str">
        <f t="shared" si="68"/>
        <v/>
      </c>
      <c r="L293" s="53" t="str">
        <f t="shared" si="69"/>
        <v/>
      </c>
      <c r="N293" s="43" t="str">
        <f t="shared" si="76"/>
        <v/>
      </c>
      <c r="O293" s="43" t="str">
        <f t="shared" si="77"/>
        <v/>
      </c>
      <c r="P293" s="53" t="str">
        <f t="shared" si="78"/>
        <v/>
      </c>
      <c r="R293" s="43" t="str">
        <f t="shared" si="70"/>
        <v/>
      </c>
      <c r="S293" s="43" t="str">
        <f t="shared" si="71"/>
        <v/>
      </c>
      <c r="T293" s="45" t="str">
        <f t="shared" si="72"/>
        <v/>
      </c>
      <c r="V293" s="43" t="str">
        <f t="shared" si="73"/>
        <v/>
      </c>
      <c r="W293" s="43" t="str">
        <f t="shared" si="74"/>
        <v/>
      </c>
      <c r="X293" s="45" t="str">
        <f t="shared" si="75"/>
        <v/>
      </c>
      <c r="AD293" s="77"/>
      <c r="AE293" s="77"/>
      <c r="AF293" s="172"/>
      <c r="AG293" s="116"/>
      <c r="AH293" s="118"/>
      <c r="AI293" s="77"/>
      <c r="AJ293" s="172"/>
      <c r="AK293" s="116"/>
      <c r="AL293" s="79"/>
      <c r="AM293" s="77"/>
      <c r="AN293" s="172"/>
      <c r="AO293" s="116"/>
      <c r="AQ293" s="43">
        <f t="shared" ref="AQ293:AQ303" si="79">IF(AF294="",0,1+AQ294)</f>
        <v>0</v>
      </c>
      <c r="AR293" s="43">
        <f t="shared" ref="AR293:AR303" si="80">IF(AJ293="",0,1+AR294)</f>
        <v>0</v>
      </c>
      <c r="AS293" s="43">
        <f t="shared" ref="AS293:AS303" si="81">IF(AN293="",0,1+AS294)</f>
        <v>0</v>
      </c>
    </row>
    <row r="294" spans="2:45" ht="21" customHeight="1">
      <c r="B294" s="43">
        <v>290</v>
      </c>
      <c r="C294" s="44" t="str">
        <f>'Course 1'!C294</f>
        <v/>
      </c>
      <c r="D294" s="46" t="str">
        <f>IF(C294="","",HLOOKUP(C294,'Règles et points'!$D$5:$Y$7,3))</f>
        <v/>
      </c>
      <c r="E294" s="46" t="str">
        <f>IF(C294="","",HLOOKUP(C294,'Règles et points'!$D$5:$Y$7,2))</f>
        <v/>
      </c>
      <c r="F294" s="43" t="str">
        <f>IF('Course 1'!E294="","",'Course 1'!E294)</f>
        <v/>
      </c>
      <c r="G294" s="43" t="str">
        <f>IF('Course 1'!F294="","",'Course 1'!F294)</f>
        <v/>
      </c>
      <c r="H294" s="56">
        <f>'Course 1'!M294+'Course 2'!M294+'Course 3'!M294+'Course 4'!M294+'Course 4'!M294</f>
        <v>0</v>
      </c>
      <c r="J294" s="43" t="str">
        <f t="shared" si="67"/>
        <v/>
      </c>
      <c r="K294" s="43" t="str">
        <f t="shared" si="68"/>
        <v/>
      </c>
      <c r="L294" s="53" t="str">
        <f t="shared" si="69"/>
        <v/>
      </c>
      <c r="N294" s="43" t="str">
        <f t="shared" si="76"/>
        <v/>
      </c>
      <c r="O294" s="43" t="str">
        <f t="shared" si="77"/>
        <v/>
      </c>
      <c r="P294" s="53" t="str">
        <f t="shared" si="78"/>
        <v/>
      </c>
      <c r="R294" s="43" t="str">
        <f t="shared" si="70"/>
        <v/>
      </c>
      <c r="S294" s="43" t="str">
        <f t="shared" si="71"/>
        <v/>
      </c>
      <c r="T294" s="45" t="str">
        <f t="shared" si="72"/>
        <v/>
      </c>
      <c r="V294" s="43" t="str">
        <f t="shared" si="73"/>
        <v/>
      </c>
      <c r="W294" s="43" t="str">
        <f t="shared" si="74"/>
        <v/>
      </c>
      <c r="X294" s="45" t="str">
        <f t="shared" si="75"/>
        <v/>
      </c>
      <c r="AD294" s="77"/>
      <c r="AE294" s="77"/>
      <c r="AF294" s="78"/>
      <c r="AG294" s="116"/>
      <c r="AH294" s="118"/>
      <c r="AI294" s="77"/>
      <c r="AJ294" s="78"/>
      <c r="AK294" s="116"/>
      <c r="AL294" s="79"/>
      <c r="AM294" s="77"/>
      <c r="AN294" s="172"/>
      <c r="AO294" s="116"/>
      <c r="AQ294" s="43">
        <f t="shared" si="79"/>
        <v>0</v>
      </c>
      <c r="AR294" s="43">
        <f t="shared" si="80"/>
        <v>0</v>
      </c>
      <c r="AS294" s="43">
        <f t="shared" si="81"/>
        <v>0</v>
      </c>
    </row>
    <row r="295" spans="2:45" ht="21" customHeight="1">
      <c r="B295" s="43">
        <v>291</v>
      </c>
      <c r="C295" s="44" t="str">
        <f>'Course 1'!C295</f>
        <v/>
      </c>
      <c r="D295" s="46" t="str">
        <f>IF(C295="","",HLOOKUP(C295,'Règles et points'!$D$5:$Y$7,3))</f>
        <v/>
      </c>
      <c r="E295" s="46" t="str">
        <f>IF(C295="","",HLOOKUP(C295,'Règles et points'!$D$5:$Y$7,2))</f>
        <v/>
      </c>
      <c r="F295" s="43" t="str">
        <f>IF('Course 1'!E295="","",'Course 1'!E295)</f>
        <v/>
      </c>
      <c r="G295" s="43" t="str">
        <f>IF('Course 1'!F295="","",'Course 1'!F295)</f>
        <v/>
      </c>
      <c r="H295" s="56">
        <f>'Course 1'!M295+'Course 2'!M295+'Course 3'!M295+'Course 4'!M295+'Course 4'!M295</f>
        <v>0</v>
      </c>
      <c r="J295" s="43" t="str">
        <f t="shared" si="67"/>
        <v/>
      </c>
      <c r="K295" s="43" t="str">
        <f t="shared" si="68"/>
        <v/>
      </c>
      <c r="L295" s="53" t="str">
        <f t="shared" si="69"/>
        <v/>
      </c>
      <c r="N295" s="43" t="str">
        <f t="shared" si="76"/>
        <v/>
      </c>
      <c r="O295" s="43" t="str">
        <f t="shared" si="77"/>
        <v/>
      </c>
      <c r="P295" s="53" t="str">
        <f t="shared" si="78"/>
        <v/>
      </c>
      <c r="R295" s="43" t="str">
        <f t="shared" si="70"/>
        <v/>
      </c>
      <c r="S295" s="43" t="str">
        <f t="shared" si="71"/>
        <v/>
      </c>
      <c r="T295" s="45" t="str">
        <f t="shared" si="72"/>
        <v/>
      </c>
      <c r="V295" s="43" t="str">
        <f t="shared" si="73"/>
        <v/>
      </c>
      <c r="W295" s="43" t="str">
        <f t="shared" si="74"/>
        <v/>
      </c>
      <c r="X295" s="45" t="str">
        <f t="shared" si="75"/>
        <v/>
      </c>
      <c r="AD295" s="77"/>
      <c r="AE295" s="77"/>
      <c r="AF295" s="78"/>
      <c r="AG295" s="116"/>
      <c r="AH295" s="118"/>
      <c r="AI295" s="77"/>
      <c r="AJ295" s="78"/>
      <c r="AK295" s="116"/>
      <c r="AL295" s="79"/>
      <c r="AM295" s="77"/>
      <c r="AN295" s="172"/>
      <c r="AO295" s="116"/>
      <c r="AQ295" s="43">
        <f t="shared" si="79"/>
        <v>0</v>
      </c>
      <c r="AR295" s="43">
        <f t="shared" si="80"/>
        <v>0</v>
      </c>
      <c r="AS295" s="43">
        <f t="shared" si="81"/>
        <v>0</v>
      </c>
    </row>
    <row r="296" spans="2:45" ht="21" customHeight="1">
      <c r="B296" s="43">
        <v>292</v>
      </c>
      <c r="C296" s="44" t="str">
        <f>'Course 1'!C296</f>
        <v/>
      </c>
      <c r="D296" s="46" t="str">
        <f>IF(C296="","",HLOOKUP(C296,'Règles et points'!$D$5:$Y$7,3))</f>
        <v/>
      </c>
      <c r="E296" s="46" t="str">
        <f>IF(C296="","",HLOOKUP(C296,'Règles et points'!$D$5:$Y$7,2))</f>
        <v/>
      </c>
      <c r="F296" s="43" t="str">
        <f>IF('Course 1'!E296="","",'Course 1'!E296)</f>
        <v/>
      </c>
      <c r="G296" s="43" t="str">
        <f>IF('Course 1'!F296="","",'Course 1'!F296)</f>
        <v/>
      </c>
      <c r="H296" s="56">
        <f>'Course 1'!M296+'Course 2'!M296+'Course 3'!M296+'Course 4'!M296+'Course 4'!M296</f>
        <v>0</v>
      </c>
      <c r="J296" s="43" t="str">
        <f t="shared" si="67"/>
        <v/>
      </c>
      <c r="K296" s="43" t="str">
        <f t="shared" si="68"/>
        <v/>
      </c>
      <c r="L296" s="53" t="str">
        <f t="shared" si="69"/>
        <v/>
      </c>
      <c r="N296" s="43" t="str">
        <f t="shared" si="76"/>
        <v/>
      </c>
      <c r="O296" s="43" t="str">
        <f t="shared" si="77"/>
        <v/>
      </c>
      <c r="P296" s="53" t="str">
        <f t="shared" si="78"/>
        <v/>
      </c>
      <c r="R296" s="43" t="str">
        <f t="shared" si="70"/>
        <v/>
      </c>
      <c r="S296" s="43" t="str">
        <f t="shared" si="71"/>
        <v/>
      </c>
      <c r="T296" s="45" t="str">
        <f t="shared" si="72"/>
        <v/>
      </c>
      <c r="V296" s="43" t="str">
        <f t="shared" si="73"/>
        <v/>
      </c>
      <c r="W296" s="43" t="str">
        <f t="shared" si="74"/>
        <v/>
      </c>
      <c r="X296" s="45" t="str">
        <f t="shared" si="75"/>
        <v/>
      </c>
      <c r="AD296" s="77"/>
      <c r="AE296" s="77"/>
      <c r="AF296" s="78"/>
      <c r="AG296" s="116"/>
      <c r="AH296" s="118"/>
      <c r="AI296" s="77"/>
      <c r="AJ296" s="78"/>
      <c r="AK296" s="116"/>
      <c r="AL296" s="79"/>
      <c r="AM296" s="77"/>
      <c r="AN296" s="172"/>
      <c r="AO296" s="116"/>
      <c r="AQ296" s="43">
        <f t="shared" si="79"/>
        <v>0</v>
      </c>
      <c r="AR296" s="43">
        <f t="shared" si="80"/>
        <v>0</v>
      </c>
      <c r="AS296" s="43">
        <f t="shared" si="81"/>
        <v>0</v>
      </c>
    </row>
    <row r="297" spans="2:45" ht="21" customHeight="1">
      <c r="B297" s="43">
        <v>293</v>
      </c>
      <c r="C297" s="44" t="str">
        <f>'Course 1'!C297</f>
        <v/>
      </c>
      <c r="D297" s="46" t="str">
        <f>IF(C297="","",HLOOKUP(C297,'Règles et points'!$D$5:$Y$7,3))</f>
        <v/>
      </c>
      <c r="E297" s="46" t="str">
        <f>IF(C297="","",HLOOKUP(C297,'Règles et points'!$D$5:$Y$7,2))</f>
        <v/>
      </c>
      <c r="F297" s="43" t="str">
        <f>IF('Course 1'!E297="","",'Course 1'!E297)</f>
        <v/>
      </c>
      <c r="G297" s="43" t="str">
        <f>IF('Course 1'!F297="","",'Course 1'!F297)</f>
        <v/>
      </c>
      <c r="H297" s="56">
        <f>'Course 1'!M297+'Course 2'!M297+'Course 3'!M297+'Course 4'!M297+'Course 4'!M297</f>
        <v>0</v>
      </c>
      <c r="J297" s="43" t="str">
        <f t="shared" si="67"/>
        <v/>
      </c>
      <c r="K297" s="43" t="str">
        <f t="shared" si="68"/>
        <v/>
      </c>
      <c r="L297" s="53" t="str">
        <f t="shared" si="69"/>
        <v/>
      </c>
      <c r="N297" s="43" t="str">
        <f t="shared" si="76"/>
        <v/>
      </c>
      <c r="O297" s="43" t="str">
        <f t="shared" si="77"/>
        <v/>
      </c>
      <c r="P297" s="53" t="str">
        <f t="shared" si="78"/>
        <v/>
      </c>
      <c r="R297" s="43" t="str">
        <f t="shared" si="70"/>
        <v/>
      </c>
      <c r="S297" s="43" t="str">
        <f t="shared" si="71"/>
        <v/>
      </c>
      <c r="T297" s="45" t="str">
        <f t="shared" si="72"/>
        <v/>
      </c>
      <c r="V297" s="43" t="str">
        <f t="shared" si="73"/>
        <v/>
      </c>
      <c r="W297" s="43" t="str">
        <f t="shared" si="74"/>
        <v/>
      </c>
      <c r="X297" s="45" t="str">
        <f t="shared" si="75"/>
        <v/>
      </c>
      <c r="AD297" s="77"/>
      <c r="AE297" s="77"/>
      <c r="AF297" s="78"/>
      <c r="AG297" s="116"/>
      <c r="AH297" s="118"/>
      <c r="AI297" s="77"/>
      <c r="AJ297" s="78"/>
      <c r="AK297" s="116"/>
      <c r="AL297" s="79"/>
      <c r="AM297" s="77"/>
      <c r="AN297" s="172"/>
      <c r="AO297" s="116"/>
      <c r="AQ297" s="43">
        <f t="shared" si="79"/>
        <v>0</v>
      </c>
      <c r="AR297" s="43">
        <f t="shared" si="80"/>
        <v>0</v>
      </c>
      <c r="AS297" s="43">
        <f t="shared" si="81"/>
        <v>0</v>
      </c>
    </row>
    <row r="298" spans="2:45" ht="21" customHeight="1">
      <c r="B298" s="43">
        <v>294</v>
      </c>
      <c r="C298" s="44" t="str">
        <f>'Course 1'!C298</f>
        <v/>
      </c>
      <c r="D298" s="46" t="str">
        <f>IF(C298="","",HLOOKUP(C298,'Règles et points'!$D$5:$Y$7,3))</f>
        <v/>
      </c>
      <c r="E298" s="46" t="str">
        <f>IF(C298="","",HLOOKUP(C298,'Règles et points'!$D$5:$Y$7,2))</f>
        <v/>
      </c>
      <c r="F298" s="43" t="str">
        <f>IF('Course 1'!E298="","",'Course 1'!E298)</f>
        <v/>
      </c>
      <c r="G298" s="43" t="str">
        <f>IF('Course 1'!F298="","",'Course 1'!F298)</f>
        <v/>
      </c>
      <c r="H298" s="56">
        <f>'Course 1'!M298+'Course 2'!M298+'Course 3'!M298+'Course 4'!M298+'Course 4'!M298</f>
        <v>0</v>
      </c>
      <c r="J298" s="43" t="str">
        <f t="shared" si="67"/>
        <v/>
      </c>
      <c r="K298" s="43" t="str">
        <f t="shared" si="68"/>
        <v/>
      </c>
      <c r="L298" s="53" t="str">
        <f t="shared" si="69"/>
        <v/>
      </c>
      <c r="N298" s="43" t="str">
        <f t="shared" si="76"/>
        <v/>
      </c>
      <c r="O298" s="43" t="str">
        <f t="shared" si="77"/>
        <v/>
      </c>
      <c r="P298" s="53" t="str">
        <f t="shared" si="78"/>
        <v/>
      </c>
      <c r="R298" s="43" t="str">
        <f t="shared" si="70"/>
        <v/>
      </c>
      <c r="S298" s="43" t="str">
        <f t="shared" si="71"/>
        <v/>
      </c>
      <c r="T298" s="45" t="str">
        <f t="shared" si="72"/>
        <v/>
      </c>
      <c r="V298" s="43" t="str">
        <f t="shared" si="73"/>
        <v/>
      </c>
      <c r="W298" s="43" t="str">
        <f t="shared" si="74"/>
        <v/>
      </c>
      <c r="X298" s="45" t="str">
        <f t="shared" si="75"/>
        <v/>
      </c>
      <c r="AD298" s="77"/>
      <c r="AE298" s="77"/>
      <c r="AF298" s="172"/>
      <c r="AG298" s="116"/>
      <c r="AH298" s="118"/>
      <c r="AI298" s="77"/>
      <c r="AJ298" s="172"/>
      <c r="AK298" s="116"/>
      <c r="AL298" s="79"/>
      <c r="AM298" s="77"/>
      <c r="AN298" s="172"/>
      <c r="AO298" s="116"/>
      <c r="AQ298" s="43">
        <f t="shared" si="79"/>
        <v>0</v>
      </c>
      <c r="AR298" s="43">
        <f t="shared" si="80"/>
        <v>0</v>
      </c>
      <c r="AS298" s="43">
        <f t="shared" si="81"/>
        <v>0</v>
      </c>
    </row>
    <row r="299" spans="2:45" ht="21" customHeight="1">
      <c r="B299" s="43">
        <v>295</v>
      </c>
      <c r="C299" s="44" t="str">
        <f>'Course 1'!C299</f>
        <v/>
      </c>
      <c r="D299" s="46" t="str">
        <f>IF(C299="","",HLOOKUP(C299,'Règles et points'!$D$5:$Y$7,3))</f>
        <v/>
      </c>
      <c r="E299" s="46" t="str">
        <f>IF(C299="","",HLOOKUP(C299,'Règles et points'!$D$5:$Y$7,2))</f>
        <v/>
      </c>
      <c r="F299" s="43" t="str">
        <f>IF('Course 1'!E299="","",'Course 1'!E299)</f>
        <v/>
      </c>
      <c r="G299" s="43" t="str">
        <f>IF('Course 1'!F299="","",'Course 1'!F299)</f>
        <v/>
      </c>
      <c r="H299" s="56">
        <f>'Course 1'!M299+'Course 2'!M299+'Course 3'!M299+'Course 4'!M299+'Course 4'!M299</f>
        <v>0</v>
      </c>
      <c r="J299" s="43" t="str">
        <f t="shared" si="67"/>
        <v/>
      </c>
      <c r="K299" s="43" t="str">
        <f t="shared" si="68"/>
        <v/>
      </c>
      <c r="L299" s="53" t="str">
        <f t="shared" si="69"/>
        <v/>
      </c>
      <c r="N299" s="43" t="str">
        <f t="shared" si="76"/>
        <v/>
      </c>
      <c r="O299" s="43" t="str">
        <f t="shared" si="77"/>
        <v/>
      </c>
      <c r="P299" s="53" t="str">
        <f t="shared" si="78"/>
        <v/>
      </c>
      <c r="R299" s="43" t="str">
        <f t="shared" si="70"/>
        <v/>
      </c>
      <c r="S299" s="43" t="str">
        <f t="shared" si="71"/>
        <v/>
      </c>
      <c r="T299" s="45" t="str">
        <f t="shared" si="72"/>
        <v/>
      </c>
      <c r="V299" s="43" t="str">
        <f t="shared" si="73"/>
        <v/>
      </c>
      <c r="W299" s="43" t="str">
        <f t="shared" si="74"/>
        <v/>
      </c>
      <c r="X299" s="45" t="str">
        <f t="shared" si="75"/>
        <v/>
      </c>
      <c r="AD299" s="77"/>
      <c r="AE299" s="77"/>
      <c r="AF299" s="78"/>
      <c r="AG299" s="116"/>
      <c r="AH299" s="118"/>
      <c r="AI299" s="77"/>
      <c r="AJ299" s="78"/>
      <c r="AK299" s="116"/>
      <c r="AL299" s="79"/>
      <c r="AM299" s="77"/>
      <c r="AN299" s="172"/>
      <c r="AO299" s="116"/>
      <c r="AQ299" s="43">
        <f t="shared" si="79"/>
        <v>0</v>
      </c>
      <c r="AR299" s="43">
        <f t="shared" si="80"/>
        <v>0</v>
      </c>
      <c r="AS299" s="43">
        <f t="shared" si="81"/>
        <v>0</v>
      </c>
    </row>
    <row r="300" spans="2:45" ht="21" customHeight="1">
      <c r="B300" s="43">
        <v>296</v>
      </c>
      <c r="C300" s="44" t="str">
        <f>'Course 1'!C300</f>
        <v/>
      </c>
      <c r="D300" s="46" t="str">
        <f>IF(C300="","",HLOOKUP(C300,'Règles et points'!$D$5:$Y$7,3))</f>
        <v/>
      </c>
      <c r="E300" s="46" t="str">
        <f>IF(C300="","",HLOOKUP(C300,'Règles et points'!$D$5:$Y$7,2))</f>
        <v/>
      </c>
      <c r="F300" s="43" t="str">
        <f>IF('Course 1'!E300="","",'Course 1'!E300)</f>
        <v/>
      </c>
      <c r="G300" s="43" t="str">
        <f>IF('Course 1'!F300="","",'Course 1'!F300)</f>
        <v/>
      </c>
      <c r="H300" s="56">
        <f>'Course 1'!M300+'Course 2'!M300+'Course 3'!M300+'Course 4'!M300+'Course 4'!M300</f>
        <v>0</v>
      </c>
      <c r="J300" s="43" t="str">
        <f t="shared" si="67"/>
        <v/>
      </c>
      <c r="K300" s="43" t="str">
        <f t="shared" si="68"/>
        <v/>
      </c>
      <c r="L300" s="53" t="str">
        <f t="shared" si="69"/>
        <v/>
      </c>
      <c r="N300" s="43" t="str">
        <f t="shared" si="76"/>
        <v/>
      </c>
      <c r="O300" s="43" t="str">
        <f t="shared" si="77"/>
        <v/>
      </c>
      <c r="P300" s="53" t="str">
        <f t="shared" si="78"/>
        <v/>
      </c>
      <c r="R300" s="43" t="str">
        <f t="shared" si="70"/>
        <v/>
      </c>
      <c r="S300" s="43" t="str">
        <f t="shared" si="71"/>
        <v/>
      </c>
      <c r="T300" s="45" t="str">
        <f t="shared" si="72"/>
        <v/>
      </c>
      <c r="V300" s="43" t="str">
        <f t="shared" si="73"/>
        <v/>
      </c>
      <c r="W300" s="43" t="str">
        <f t="shared" si="74"/>
        <v/>
      </c>
      <c r="X300" s="45" t="str">
        <f t="shared" si="75"/>
        <v/>
      </c>
      <c r="AD300" s="77"/>
      <c r="AE300" s="77"/>
      <c r="AF300" s="78"/>
      <c r="AG300" s="116"/>
      <c r="AH300" s="118"/>
      <c r="AI300" s="77"/>
      <c r="AJ300" s="78"/>
      <c r="AK300" s="116"/>
      <c r="AL300" s="79"/>
      <c r="AM300" s="77"/>
      <c r="AN300" s="172"/>
      <c r="AO300" s="116"/>
      <c r="AQ300" s="43">
        <f t="shared" si="79"/>
        <v>0</v>
      </c>
      <c r="AR300" s="43">
        <f t="shared" si="80"/>
        <v>0</v>
      </c>
      <c r="AS300" s="43">
        <f t="shared" si="81"/>
        <v>0</v>
      </c>
    </row>
    <row r="301" spans="2:45" ht="21" customHeight="1">
      <c r="B301" s="43">
        <v>297</v>
      </c>
      <c r="C301" s="44" t="str">
        <f>'Course 1'!C301</f>
        <v/>
      </c>
      <c r="D301" s="46" t="str">
        <f>IF(C301="","",HLOOKUP(C301,'Règles et points'!$D$5:$Y$7,3))</f>
        <v/>
      </c>
      <c r="E301" s="46" t="str">
        <f>IF(C301="","",HLOOKUP(C301,'Règles et points'!$D$5:$Y$7,2))</f>
        <v/>
      </c>
      <c r="F301" s="43" t="str">
        <f>IF('Course 1'!E301="","",'Course 1'!E301)</f>
        <v/>
      </c>
      <c r="G301" s="43" t="str">
        <f>IF('Course 1'!F301="","",'Course 1'!F301)</f>
        <v/>
      </c>
      <c r="H301" s="56">
        <f>'Course 1'!M301+'Course 2'!M301+'Course 3'!M301+'Course 4'!M301+'Course 4'!M301</f>
        <v>0</v>
      </c>
      <c r="J301" s="43" t="str">
        <f t="shared" si="67"/>
        <v/>
      </c>
      <c r="K301" s="43" t="str">
        <f t="shared" si="68"/>
        <v/>
      </c>
      <c r="L301" s="53" t="str">
        <f t="shared" si="69"/>
        <v/>
      </c>
      <c r="N301" s="43" t="str">
        <f t="shared" si="76"/>
        <v/>
      </c>
      <c r="O301" s="43" t="str">
        <f t="shared" si="77"/>
        <v/>
      </c>
      <c r="P301" s="53" t="str">
        <f t="shared" si="78"/>
        <v/>
      </c>
      <c r="R301" s="43" t="str">
        <f t="shared" si="70"/>
        <v/>
      </c>
      <c r="S301" s="43" t="str">
        <f t="shared" si="71"/>
        <v/>
      </c>
      <c r="T301" s="45" t="str">
        <f t="shared" si="72"/>
        <v/>
      </c>
      <c r="V301" s="43" t="str">
        <f t="shared" si="73"/>
        <v/>
      </c>
      <c r="W301" s="43" t="str">
        <f t="shared" si="74"/>
        <v/>
      </c>
      <c r="X301" s="45" t="str">
        <f t="shared" si="75"/>
        <v/>
      </c>
      <c r="AD301" s="77"/>
      <c r="AE301" s="77"/>
      <c r="AF301" s="78"/>
      <c r="AG301" s="116"/>
      <c r="AH301" s="118"/>
      <c r="AI301" s="77"/>
      <c r="AJ301" s="78"/>
      <c r="AK301" s="116"/>
      <c r="AL301" s="79"/>
      <c r="AM301" s="77"/>
      <c r="AN301" s="172"/>
      <c r="AO301" s="116"/>
      <c r="AQ301" s="43">
        <f t="shared" si="79"/>
        <v>0</v>
      </c>
      <c r="AR301" s="43">
        <f t="shared" si="80"/>
        <v>0</v>
      </c>
      <c r="AS301" s="43">
        <f t="shared" si="81"/>
        <v>0</v>
      </c>
    </row>
    <row r="302" spans="2:45" ht="21" customHeight="1">
      <c r="B302" s="43">
        <v>298</v>
      </c>
      <c r="C302" s="44" t="str">
        <f>'Course 1'!C302</f>
        <v/>
      </c>
      <c r="D302" s="46" t="str">
        <f>IF(C302="","",HLOOKUP(C302,'Règles et points'!$D$5:$Y$7,3))</f>
        <v/>
      </c>
      <c r="E302" s="46" t="str">
        <f>IF(C302="","",HLOOKUP(C302,'Règles et points'!$D$5:$Y$7,2))</f>
        <v/>
      </c>
      <c r="F302" s="43" t="str">
        <f>IF('Course 1'!E302="","",'Course 1'!E302)</f>
        <v/>
      </c>
      <c r="G302" s="43" t="str">
        <f>IF('Course 1'!F302="","",'Course 1'!F302)</f>
        <v/>
      </c>
      <c r="H302" s="56">
        <f>'Course 1'!M302+'Course 2'!M302+'Course 3'!M302+'Course 4'!M302+'Course 4'!M302</f>
        <v>0</v>
      </c>
      <c r="J302" s="43" t="str">
        <f t="shared" si="67"/>
        <v/>
      </c>
      <c r="K302" s="43" t="str">
        <f t="shared" si="68"/>
        <v/>
      </c>
      <c r="L302" s="53" t="str">
        <f t="shared" si="69"/>
        <v/>
      </c>
      <c r="N302" s="43" t="str">
        <f t="shared" si="76"/>
        <v/>
      </c>
      <c r="O302" s="43" t="str">
        <f t="shared" si="77"/>
        <v/>
      </c>
      <c r="P302" s="53" t="str">
        <f t="shared" si="78"/>
        <v/>
      </c>
      <c r="R302" s="43" t="str">
        <f t="shared" si="70"/>
        <v/>
      </c>
      <c r="S302" s="43" t="str">
        <f t="shared" si="71"/>
        <v/>
      </c>
      <c r="T302" s="45" t="str">
        <f t="shared" si="72"/>
        <v/>
      </c>
      <c r="V302" s="43" t="str">
        <f t="shared" si="73"/>
        <v/>
      </c>
      <c r="W302" s="43" t="str">
        <f t="shared" si="74"/>
        <v/>
      </c>
      <c r="X302" s="45" t="str">
        <f t="shared" si="75"/>
        <v/>
      </c>
      <c r="AD302" s="77"/>
      <c r="AE302" s="77"/>
      <c r="AF302" s="78"/>
      <c r="AG302" s="116"/>
      <c r="AH302" s="118"/>
      <c r="AI302" s="77"/>
      <c r="AJ302" s="78"/>
      <c r="AK302" s="116"/>
      <c r="AL302" s="79"/>
      <c r="AM302" s="77"/>
      <c r="AN302" s="172"/>
      <c r="AO302" s="116"/>
      <c r="AQ302" s="43">
        <f t="shared" si="79"/>
        <v>0</v>
      </c>
      <c r="AR302" s="43">
        <f t="shared" si="80"/>
        <v>0</v>
      </c>
      <c r="AS302" s="43">
        <f t="shared" si="81"/>
        <v>0</v>
      </c>
    </row>
    <row r="303" spans="2:45" ht="21" customHeight="1">
      <c r="B303" s="43">
        <v>299</v>
      </c>
      <c r="C303" s="44" t="str">
        <f>'Course 1'!C303</f>
        <v/>
      </c>
      <c r="D303" s="46" t="str">
        <f>IF(C303="","",HLOOKUP(C303,'Règles et points'!$D$5:$Y$7,3))</f>
        <v/>
      </c>
      <c r="E303" s="46" t="str">
        <f>IF(C303="","",HLOOKUP(C303,'Règles et points'!$D$5:$Y$7,2))</f>
        <v/>
      </c>
      <c r="F303" s="43" t="str">
        <f>IF('Course 1'!E303="","",'Course 1'!E303)</f>
        <v/>
      </c>
      <c r="G303" s="43" t="str">
        <f>IF('Course 1'!F303="","",'Course 1'!F303)</f>
        <v/>
      </c>
      <c r="H303" s="56">
        <f>'Course 1'!M303+'Course 2'!M303+'Course 3'!M303+'Course 4'!M303+'Course 4'!M303</f>
        <v>0</v>
      </c>
      <c r="J303" s="43" t="str">
        <f t="shared" si="67"/>
        <v/>
      </c>
      <c r="K303" s="43" t="str">
        <f t="shared" si="68"/>
        <v/>
      </c>
      <c r="L303" s="53" t="str">
        <f t="shared" si="69"/>
        <v/>
      </c>
      <c r="N303" s="43" t="str">
        <f t="shared" si="76"/>
        <v/>
      </c>
      <c r="O303" s="43" t="str">
        <f t="shared" si="77"/>
        <v/>
      </c>
      <c r="P303" s="53" t="str">
        <f t="shared" si="78"/>
        <v/>
      </c>
      <c r="R303" s="43" t="str">
        <f t="shared" si="70"/>
        <v/>
      </c>
      <c r="S303" s="43" t="str">
        <f t="shared" si="71"/>
        <v/>
      </c>
      <c r="T303" s="45" t="str">
        <f t="shared" si="72"/>
        <v/>
      </c>
      <c r="V303" s="43" t="str">
        <f t="shared" si="73"/>
        <v/>
      </c>
      <c r="W303" s="43" t="str">
        <f t="shared" si="74"/>
        <v/>
      </c>
      <c r="X303" s="45" t="str">
        <f t="shared" si="75"/>
        <v/>
      </c>
      <c r="AD303" s="77"/>
      <c r="AE303" s="77"/>
      <c r="AF303" s="172"/>
      <c r="AG303" s="116"/>
      <c r="AH303" s="118"/>
      <c r="AI303" s="77"/>
      <c r="AJ303" s="172"/>
      <c r="AK303" s="116"/>
      <c r="AL303" s="79"/>
      <c r="AM303" s="77"/>
      <c r="AN303" s="172"/>
      <c r="AO303" s="116"/>
      <c r="AQ303" s="43">
        <f t="shared" si="79"/>
        <v>0</v>
      </c>
      <c r="AR303" s="43">
        <f t="shared" si="80"/>
        <v>0</v>
      </c>
      <c r="AS303" s="43">
        <f t="shared" si="81"/>
        <v>0</v>
      </c>
    </row>
    <row r="304" spans="2:45" ht="21" customHeight="1">
      <c r="B304" s="43">
        <v>300</v>
      </c>
      <c r="C304" s="44" t="str">
        <f>'Course 1'!C304</f>
        <v/>
      </c>
      <c r="D304" s="46" t="str">
        <f>IF(C304="","",HLOOKUP(C304,'Règles et points'!$D$5:$Y$7,3))</f>
        <v/>
      </c>
      <c r="E304" s="46" t="str">
        <f>IF(C304="","",HLOOKUP(C304,'Règles et points'!$D$5:$Y$7,2))</f>
        <v/>
      </c>
      <c r="F304" s="43" t="str">
        <f>IF('Course 1'!E304="","",'Course 1'!E304)</f>
        <v/>
      </c>
      <c r="G304" s="43" t="str">
        <f>IF('Course 1'!F304="","",'Course 1'!F304)</f>
        <v/>
      </c>
      <c r="H304" s="56">
        <f>'Course 1'!M304+'Course 2'!M304+'Course 3'!M304+'Course 4'!M304+'Course 4'!M304</f>
        <v>0</v>
      </c>
      <c r="J304" s="43" t="str">
        <f t="shared" si="67"/>
        <v/>
      </c>
      <c r="K304" s="43" t="str">
        <f t="shared" si="68"/>
        <v/>
      </c>
      <c r="L304" s="53" t="str">
        <f t="shared" si="69"/>
        <v/>
      </c>
      <c r="N304" s="43" t="str">
        <f t="shared" si="76"/>
        <v/>
      </c>
      <c r="O304" s="43" t="str">
        <f t="shared" si="77"/>
        <v/>
      </c>
      <c r="P304" s="53" t="str">
        <f t="shared" si="78"/>
        <v/>
      </c>
      <c r="R304" s="43" t="str">
        <f t="shared" si="70"/>
        <v/>
      </c>
      <c r="S304" s="43" t="str">
        <f t="shared" si="71"/>
        <v/>
      </c>
      <c r="T304" s="45" t="str">
        <f t="shared" si="72"/>
        <v/>
      </c>
      <c r="V304" s="43" t="str">
        <f t="shared" si="73"/>
        <v/>
      </c>
      <c r="W304" s="43" t="str">
        <f t="shared" si="74"/>
        <v/>
      </c>
      <c r="X304" s="45" t="str">
        <f t="shared" si="75"/>
        <v/>
      </c>
      <c r="AG304" s="116">
        <f t="shared" ref="AG304" si="82">IF(AF304=AF305,AG305,IF(AF304=0,"abs",AQ304))</f>
        <v>0</v>
      </c>
      <c r="AH304" s="118" t="s">
        <v>27</v>
      </c>
      <c r="AI304" s="77" t="s">
        <v>27</v>
      </c>
      <c r="AJ304" s="78" t="s">
        <v>27</v>
      </c>
      <c r="AK304" s="116">
        <f t="shared" ref="AK304" si="83">IF(AJ304=AJ305,AK305,IF(AJ304=0,"abs",AR304))</f>
        <v>0</v>
      </c>
      <c r="AL304" s="79" t="s">
        <v>27</v>
      </c>
      <c r="AM304" s="77" t="s">
        <v>27</v>
      </c>
      <c r="AN304" s="172" t="s">
        <v>27</v>
      </c>
      <c r="AO304" s="116">
        <f t="shared" ref="AO304" si="84">IF(AN304=AN305,AO305,IF(AN304=0,"abs",AS304))</f>
        <v>0</v>
      </c>
      <c r="AQ304" s="43">
        <f t="shared" ref="AQ304" si="85">IF(AF305="",0,1+AQ305)</f>
        <v>0</v>
      </c>
      <c r="AR304" s="43">
        <f t="shared" ref="AR304" si="86">IF(AJ304="",0,1+AR305)</f>
        <v>0</v>
      </c>
      <c r="AS304" s="43">
        <f t="shared" ref="AS304" si="87">IF(AN304="",0,1+AS305)</f>
        <v>0</v>
      </c>
    </row>
  </sheetData>
  <sortState ref="AH4:AJ303">
    <sortCondition ref="AJ4"/>
  </sortState>
  <mergeCells count="2">
    <mergeCell ref="Z1:AO1"/>
    <mergeCell ref="C3:D3"/>
  </mergeCells>
  <phoneticPr fontId="0" type="noConversion"/>
  <conditionalFormatting sqref="AG26 AK26 AO26 AO65 AO104 AO143 AO182 AO221 AO260 AO299">
    <cfRule type="containsText" dxfId="2" priority="22" operator="containsText" text="0">
      <formula>NOT(ISERROR(SEARCH("0",AG26)))</formula>
    </cfRule>
    <cfRule type="containsText" dxfId="1" priority="23" operator="containsText" text="0">
      <formula>NOT(ISERROR(SEARCH("0",AG26)))</formula>
    </cfRule>
  </conditionalFormatting>
  <conditionalFormatting sqref="AG4:AG304 AK4:AK304 AO4:AO304">
    <cfRule type="cellIs" dxfId="0" priority="16" operator="equal">
      <formula>0</formula>
    </cfRule>
  </conditionalFormatting>
  <pageMargins left="0.25" right="0.25" top="0.75" bottom="0.75" header="0.3" footer="0.3"/>
  <pageSetup paperSize="9" scale="10" orientation="landscape" horizontalDpi="4294967293" verticalDpi="4294967293" r:id="rId1"/>
  <headerFooter alignWithMargins="0"/>
  <drawing r:id="rId2"/>
  <legacyDrawing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sheetPr codeName="Feuil8" enableFormatConditionsCalculation="0"/>
  <dimension ref="B1:N304"/>
  <sheetViews>
    <sheetView workbookViewId="0">
      <selection activeCell="D22" sqref="D22"/>
    </sheetView>
  </sheetViews>
  <sheetFormatPr baseColWidth="10" defaultColWidth="2.7109375" defaultRowHeight="12.75"/>
  <cols>
    <col min="1" max="1" width="11.42578125" customWidth="1"/>
    <col min="2" max="2" width="16.42578125" customWidth="1"/>
    <col min="3" max="14" width="14.28515625" customWidth="1"/>
    <col min="15" max="36" width="10.7109375" customWidth="1"/>
  </cols>
  <sheetData>
    <row r="1" spans="2:14" ht="18">
      <c r="C1" s="193" t="s">
        <v>20</v>
      </c>
      <c r="D1" s="194"/>
      <c r="E1" s="194"/>
      <c r="F1" s="194"/>
      <c r="G1" s="194"/>
      <c r="H1" s="194"/>
      <c r="I1" s="194"/>
      <c r="J1" s="194"/>
      <c r="K1" s="194"/>
      <c r="L1" s="194"/>
      <c r="M1" s="194"/>
      <c r="N1" s="194"/>
    </row>
    <row r="3" spans="2:14">
      <c r="C3" s="16" t="str">
        <f>'Règles et points'!C8</f>
        <v>A</v>
      </c>
      <c r="D3" s="16" t="s">
        <v>3</v>
      </c>
      <c r="E3" s="17" t="s">
        <v>12</v>
      </c>
      <c r="F3" s="16" t="s">
        <v>4</v>
      </c>
      <c r="G3" s="16" t="s">
        <v>5</v>
      </c>
      <c r="H3" s="16" t="s">
        <v>6</v>
      </c>
      <c r="I3" s="16" t="s">
        <v>7</v>
      </c>
      <c r="J3" s="16" t="s">
        <v>8</v>
      </c>
      <c r="K3" s="16" t="s">
        <v>9</v>
      </c>
      <c r="L3" s="16" t="s">
        <v>10</v>
      </c>
      <c r="M3" s="16" t="s">
        <v>11</v>
      </c>
      <c r="N3" s="16" t="s">
        <v>13</v>
      </c>
    </row>
    <row r="4" spans="2:14" ht="13.5" thickBot="1">
      <c r="B4" s="18" t="s">
        <v>21</v>
      </c>
      <c r="C4" s="15">
        <f>MIN(C5:C304)</f>
        <v>3.5972222222222218E-2</v>
      </c>
      <c r="D4" s="15">
        <f>MIN(D5:D304)</f>
        <v>3.6851851851851851E-2</v>
      </c>
      <c r="E4" s="15">
        <f t="shared" ref="E4:L4" si="0">MIN(E5:E304)</f>
        <v>2.2199074074074076E-2</v>
      </c>
      <c r="F4" s="15">
        <f t="shared" si="0"/>
        <v>1.5891203703703703E-2</v>
      </c>
      <c r="G4" s="15">
        <f t="shared" si="0"/>
        <v>0</v>
      </c>
      <c r="H4" s="15">
        <f t="shared" si="0"/>
        <v>0</v>
      </c>
      <c r="I4" s="15">
        <f t="shared" si="0"/>
        <v>0</v>
      </c>
      <c r="J4" s="15">
        <f t="shared" si="0"/>
        <v>0</v>
      </c>
      <c r="K4" s="15">
        <f t="shared" si="0"/>
        <v>0</v>
      </c>
      <c r="L4" s="15">
        <f t="shared" si="0"/>
        <v>0</v>
      </c>
      <c r="M4" s="15">
        <f>MIN(M5:M304)</f>
        <v>0</v>
      </c>
      <c r="N4" s="15">
        <f>MIN(N5:N304)</f>
        <v>0</v>
      </c>
    </row>
    <row r="5" spans="2:14">
      <c r="B5">
        <v>1</v>
      </c>
      <c r="C5" s="4" t="str">
        <f>IF('Course 1'!$H3='tab1'!C$3,'Course 1'!$I3," ")</f>
        <v xml:space="preserve"> </v>
      </c>
      <c r="D5" s="5" t="str">
        <f>IF('Course 1'!$H3='tab1'!D$3,'Course 1'!$I3," ")</f>
        <v xml:space="preserve"> </v>
      </c>
      <c r="E5" s="5" t="str">
        <f>IF('Course 1'!$H3='tab1'!E$3,'Course 1'!$I3," ")</f>
        <v xml:space="preserve"> </v>
      </c>
      <c r="F5" s="5" t="str">
        <f>IF('Course 1'!$H3='tab1'!F$3,'Course 1'!$I3," ")</f>
        <v xml:space="preserve"> </v>
      </c>
      <c r="G5" s="5" t="str">
        <f>IF('Course 1'!$H3='tab1'!G$3,'Course 1'!$I3," ")</f>
        <v xml:space="preserve"> </v>
      </c>
      <c r="H5" s="5" t="str">
        <f>IF('Course 1'!$H3='tab1'!H$3,'Course 1'!$I3," ")</f>
        <v xml:space="preserve"> </v>
      </c>
      <c r="I5" s="5" t="str">
        <f>IF('Course 1'!$H3='tab1'!I$3,'Course 1'!$I3," ")</f>
        <v xml:space="preserve"> </v>
      </c>
      <c r="J5" s="5" t="str">
        <f>IF('Course 1'!$H3='tab1'!J$3,'Course 1'!$I3," ")</f>
        <v xml:space="preserve"> </v>
      </c>
      <c r="K5" s="5" t="str">
        <f>IF('Course 1'!$H3='tab1'!K$3,'Course 1'!$I3," ")</f>
        <v xml:space="preserve"> </v>
      </c>
      <c r="L5" s="5" t="str">
        <f>IF('Course 1'!$H3='tab1'!L$3,'Course 1'!$I3," ")</f>
        <v xml:space="preserve"> </v>
      </c>
      <c r="M5" s="5" t="str">
        <f>IF('Course 1'!$H3='tab1'!M$3,'Course 1'!$I3," ")</f>
        <v xml:space="preserve"> </v>
      </c>
      <c r="N5" s="6" t="str">
        <f>IF('Course 1'!$H3='tab1'!N$3,'Course 1'!$I3," ")</f>
        <v xml:space="preserve"> </v>
      </c>
    </row>
    <row r="6" spans="2:14">
      <c r="B6">
        <v>2</v>
      </c>
      <c r="C6" s="7" t="str">
        <f>IF('Course 1'!$H4='tab1'!C$3,'Course 1'!$I4," ")</f>
        <v xml:space="preserve"> </v>
      </c>
      <c r="D6" s="8" t="str">
        <f>IF('Course 1'!$H4='tab1'!D$3,'Course 1'!$I4," ")</f>
        <v xml:space="preserve"> </v>
      </c>
      <c r="E6" s="8" t="str">
        <f>IF('Course 1'!$H4='tab1'!E$3,'Course 1'!$I4," ")</f>
        <v xml:space="preserve"> </v>
      </c>
      <c r="F6" s="8" t="str">
        <f>IF('Course 1'!$H4='tab1'!F$3,'Course 1'!$I4," ")</f>
        <v xml:space="preserve"> </v>
      </c>
      <c r="G6" s="8" t="str">
        <f>IF('Course 1'!$H4='tab1'!G$3,'Course 1'!$I4," ")</f>
        <v xml:space="preserve"> </v>
      </c>
      <c r="H6" s="8" t="str">
        <f>IF('Course 1'!$H4='tab1'!H$3,'Course 1'!$I4," ")</f>
        <v xml:space="preserve"> </v>
      </c>
      <c r="I6" s="8" t="str">
        <f>IF('Course 1'!$H4='tab1'!I$3,'Course 1'!$I4," ")</f>
        <v xml:space="preserve"> </v>
      </c>
      <c r="J6" s="8" t="str">
        <f>IF('Course 1'!$H4='tab1'!J$3,'Course 1'!$I4," ")</f>
        <v xml:space="preserve"> </v>
      </c>
      <c r="K6" s="8" t="str">
        <f>IF('Course 1'!$H4='tab1'!K$3,'Course 1'!$I4," ")</f>
        <v xml:space="preserve"> </v>
      </c>
      <c r="L6" s="8" t="str">
        <f>IF('Course 1'!$H4='tab1'!L$3,'Course 1'!$I4," ")</f>
        <v xml:space="preserve"> </v>
      </c>
      <c r="M6" s="8" t="str">
        <f>IF('Course 1'!$H4='tab1'!M$3,'Course 1'!$I4," ")</f>
        <v xml:space="preserve"> </v>
      </c>
      <c r="N6" s="9" t="str">
        <f>IF('Course 1'!$H4='tab1'!N$3,'Course 1'!$I4," ")</f>
        <v xml:space="preserve"> </v>
      </c>
    </row>
    <row r="7" spans="2:14">
      <c r="B7">
        <v>3</v>
      </c>
      <c r="C7" s="7" t="str">
        <f>IF('Course 1'!$H5='tab1'!C$3,'Course 1'!$I5," ")</f>
        <v xml:space="preserve"> </v>
      </c>
      <c r="D7" s="8" t="str">
        <f>IF('Course 1'!$H5='tab1'!D$3,'Course 1'!$I5," ")</f>
        <v xml:space="preserve"> </v>
      </c>
      <c r="E7" s="8" t="str">
        <f>IF('Course 1'!$H5='tab1'!E$3,'Course 1'!$I5," ")</f>
        <v xml:space="preserve"> </v>
      </c>
      <c r="F7" s="8" t="str">
        <f>IF('Course 1'!$H5='tab1'!F$3,'Course 1'!$I5," ")</f>
        <v xml:space="preserve"> </v>
      </c>
      <c r="G7" s="8" t="str">
        <f>IF('Course 1'!$H5='tab1'!G$3,'Course 1'!$I5," ")</f>
        <v xml:space="preserve"> </v>
      </c>
      <c r="H7" s="8" t="str">
        <f>IF('Course 1'!$H5='tab1'!H$3,'Course 1'!$I5," ")</f>
        <v xml:space="preserve"> </v>
      </c>
      <c r="I7" s="8" t="str">
        <f>IF('Course 1'!$H5='tab1'!I$3,'Course 1'!$I5," ")</f>
        <v xml:space="preserve"> </v>
      </c>
      <c r="J7" s="8" t="str">
        <f>IF('Course 1'!$H5='tab1'!J$3,'Course 1'!$I5," ")</f>
        <v xml:space="preserve"> </v>
      </c>
      <c r="K7" s="8" t="str">
        <f>IF('Course 1'!$H5='tab1'!K$3,'Course 1'!$I5," ")</f>
        <v xml:space="preserve"> </v>
      </c>
      <c r="L7" s="8" t="str">
        <f>IF('Course 1'!$H5='tab1'!L$3,'Course 1'!$I5," ")</f>
        <v xml:space="preserve"> </v>
      </c>
      <c r="M7" s="8" t="str">
        <f>IF('Course 1'!$H5='tab1'!M$3,'Course 1'!$I5," ")</f>
        <v xml:space="preserve"> </v>
      </c>
      <c r="N7" s="9" t="str">
        <f>IF('Course 1'!$H5='tab1'!N$3,'Course 1'!$I5," ")</f>
        <v xml:space="preserve"> </v>
      </c>
    </row>
    <row r="8" spans="2:14">
      <c r="B8">
        <v>4</v>
      </c>
      <c r="C8" s="7" t="str">
        <f>IF('Course 1'!$H6='tab1'!C$3,'Course 1'!$I6," ")</f>
        <v xml:space="preserve"> </v>
      </c>
      <c r="D8" s="8" t="str">
        <f>IF('Course 1'!$H6='tab1'!D$3,'Course 1'!$I6," ")</f>
        <v xml:space="preserve"> </v>
      </c>
      <c r="E8" s="8" t="str">
        <f>IF('Course 1'!$H6='tab1'!E$3,'Course 1'!$I6," ")</f>
        <v xml:space="preserve"> </v>
      </c>
      <c r="F8" s="8" t="str">
        <f>IF('Course 1'!$H6='tab1'!F$3,'Course 1'!$I6," ")</f>
        <v xml:space="preserve"> </v>
      </c>
      <c r="G8" s="8" t="str">
        <f>IF('Course 1'!$H6='tab1'!G$3,'Course 1'!$I6," ")</f>
        <v xml:space="preserve"> </v>
      </c>
      <c r="H8" s="8" t="str">
        <f>IF('Course 1'!$H6='tab1'!H$3,'Course 1'!$I6," ")</f>
        <v xml:space="preserve"> </v>
      </c>
      <c r="I8" s="8" t="str">
        <f>IF('Course 1'!$H6='tab1'!I$3,'Course 1'!$I6," ")</f>
        <v xml:space="preserve"> </v>
      </c>
      <c r="J8" s="8" t="str">
        <f>IF('Course 1'!$H6='tab1'!J$3,'Course 1'!$I6," ")</f>
        <v xml:space="preserve"> </v>
      </c>
      <c r="K8" s="8" t="str">
        <f>IF('Course 1'!$H6='tab1'!K$3,'Course 1'!$I6," ")</f>
        <v xml:space="preserve"> </v>
      </c>
      <c r="L8" s="8" t="str">
        <f>IF('Course 1'!$H6='tab1'!L$3,'Course 1'!$I6," ")</f>
        <v xml:space="preserve"> </v>
      </c>
      <c r="M8" s="8" t="str">
        <f>IF('Course 1'!$H6='tab1'!M$3,'Course 1'!$I6," ")</f>
        <v xml:space="preserve"> </v>
      </c>
      <c r="N8" s="9" t="str">
        <f>IF('Course 1'!$H6='tab1'!N$3,'Course 1'!$I6," ")</f>
        <v xml:space="preserve"> </v>
      </c>
    </row>
    <row r="9" spans="2:14">
      <c r="B9">
        <v>5</v>
      </c>
      <c r="C9" s="7">
        <f>IF('Course 1'!$H7='tab1'!C$3,'Course 1'!$I7," ")</f>
        <v>3.5972222222222218E-2</v>
      </c>
      <c r="D9" s="8" t="str">
        <f>IF('Course 1'!$H7='tab1'!D$3,'Course 1'!$I7," ")</f>
        <v xml:space="preserve"> </v>
      </c>
      <c r="E9" s="8" t="str">
        <f>IF('Course 1'!$H7='tab1'!E$3,'Course 1'!$I7," ")</f>
        <v xml:space="preserve"> </v>
      </c>
      <c r="F9" s="8" t="str">
        <f>IF('Course 1'!$H7='tab1'!F$3,'Course 1'!$I7," ")</f>
        <v xml:space="preserve"> </v>
      </c>
      <c r="G9" s="8" t="str">
        <f>IF('Course 1'!$H7='tab1'!G$3,'Course 1'!$I7," ")</f>
        <v xml:space="preserve"> </v>
      </c>
      <c r="H9" s="8" t="str">
        <f>IF('Course 1'!$H7='tab1'!H$3,'Course 1'!$I7," ")</f>
        <v xml:space="preserve"> </v>
      </c>
      <c r="I9" s="8" t="str">
        <f>IF('Course 1'!$H7='tab1'!I$3,'Course 1'!$I7," ")</f>
        <v xml:space="preserve"> </v>
      </c>
      <c r="J9" s="8" t="str">
        <f>IF('Course 1'!$H7='tab1'!J$3,'Course 1'!$I7," ")</f>
        <v xml:space="preserve"> </v>
      </c>
      <c r="K9" s="8" t="str">
        <f>IF('Course 1'!$H7='tab1'!K$3,'Course 1'!$I7," ")</f>
        <v xml:space="preserve"> </v>
      </c>
      <c r="L9" s="8" t="str">
        <f>IF('Course 1'!$H7='tab1'!L$3,'Course 1'!$I7," ")</f>
        <v xml:space="preserve"> </v>
      </c>
      <c r="M9" s="8" t="str">
        <f>IF('Course 1'!$H7='tab1'!M$3,'Course 1'!$I7," ")</f>
        <v xml:space="preserve"> </v>
      </c>
      <c r="N9" s="9" t="str">
        <f>IF('Course 1'!$H7='tab1'!N$3,'Course 1'!$I7," ")</f>
        <v xml:space="preserve"> </v>
      </c>
    </row>
    <row r="10" spans="2:14">
      <c r="B10">
        <v>6</v>
      </c>
      <c r="C10" s="7" t="str">
        <f>IF('Course 1'!$H8='tab1'!C$3,'Course 1'!$I8," ")</f>
        <v xml:space="preserve"> </v>
      </c>
      <c r="D10" s="8" t="str">
        <f>IF('Course 1'!$H8='tab1'!D$3,'Course 1'!$I8," ")</f>
        <v xml:space="preserve"> </v>
      </c>
      <c r="E10" s="8">
        <f>IF('Course 1'!$H8='tab1'!E$3,'Course 1'!$I8," ")</f>
        <v>2.7986111111111111E-2</v>
      </c>
      <c r="F10" s="8" t="str">
        <f>IF('Course 1'!$H8='tab1'!F$3,'Course 1'!$I8," ")</f>
        <v xml:space="preserve"> </v>
      </c>
      <c r="G10" s="8" t="str">
        <f>IF('Course 1'!$H8='tab1'!G$3,'Course 1'!$I8," ")</f>
        <v xml:space="preserve"> </v>
      </c>
      <c r="H10" s="8" t="str">
        <f>IF('Course 1'!$H8='tab1'!H$3,'Course 1'!$I8," ")</f>
        <v xml:space="preserve"> </v>
      </c>
      <c r="I10" s="8" t="str">
        <f>IF('Course 1'!$H8='tab1'!I$3,'Course 1'!$I8," ")</f>
        <v xml:space="preserve"> </v>
      </c>
      <c r="J10" s="8" t="str">
        <f>IF('Course 1'!$H8='tab1'!J$3,'Course 1'!$I8," ")</f>
        <v xml:space="preserve"> </v>
      </c>
      <c r="K10" s="8" t="str">
        <f>IF('Course 1'!$H8='tab1'!K$3,'Course 1'!$I8," ")</f>
        <v xml:space="preserve"> </v>
      </c>
      <c r="L10" s="8" t="str">
        <f>IF('Course 1'!$H8='tab1'!L$3,'Course 1'!$I8," ")</f>
        <v xml:space="preserve"> </v>
      </c>
      <c r="M10" s="8" t="str">
        <f>IF('Course 1'!$H8='tab1'!M$3,'Course 1'!$I8," ")</f>
        <v xml:space="preserve"> </v>
      </c>
      <c r="N10" s="9" t="str">
        <f>IF('Course 1'!$H8='tab1'!N$3,'Course 1'!$I8," ")</f>
        <v xml:space="preserve"> </v>
      </c>
    </row>
    <row r="11" spans="2:14">
      <c r="B11">
        <v>7</v>
      </c>
      <c r="C11" s="7" t="str">
        <f>IF('Course 1'!$H9='tab1'!C$3,'Course 1'!$I9," ")</f>
        <v xml:space="preserve"> </v>
      </c>
      <c r="D11" s="8" t="str">
        <f>IF('Course 1'!$H9='tab1'!D$3,'Course 1'!$I9," ")</f>
        <v xml:space="preserve"> </v>
      </c>
      <c r="E11" s="8" t="str">
        <f>IF('Course 1'!$H9='tab1'!E$3,'Course 1'!$I9," ")</f>
        <v xml:space="preserve"> </v>
      </c>
      <c r="F11" s="8" t="str">
        <f>IF('Course 1'!$H9='tab1'!F$3,'Course 1'!$I9," ")</f>
        <v xml:space="preserve"> </v>
      </c>
      <c r="G11" s="8" t="str">
        <f>IF('Course 1'!$H9='tab1'!G$3,'Course 1'!$I9," ")</f>
        <v xml:space="preserve"> </v>
      </c>
      <c r="H11" s="8" t="str">
        <f>IF('Course 1'!$H9='tab1'!H$3,'Course 1'!$I9," ")</f>
        <v xml:space="preserve"> </v>
      </c>
      <c r="I11" s="8" t="str">
        <f>IF('Course 1'!$H9='tab1'!I$3,'Course 1'!$I9," ")</f>
        <v xml:space="preserve"> </v>
      </c>
      <c r="J11" s="8" t="str">
        <f>IF('Course 1'!$H9='tab1'!J$3,'Course 1'!$I9," ")</f>
        <v xml:space="preserve"> </v>
      </c>
      <c r="K11" s="8" t="str">
        <f>IF('Course 1'!$H9='tab1'!K$3,'Course 1'!$I9," ")</f>
        <v xml:space="preserve"> </v>
      </c>
      <c r="L11" s="8" t="str">
        <f>IF('Course 1'!$H9='tab1'!L$3,'Course 1'!$I9," ")</f>
        <v xml:space="preserve"> </v>
      </c>
      <c r="M11" s="8" t="str">
        <f>IF('Course 1'!$H9='tab1'!M$3,'Course 1'!$I9," ")</f>
        <v xml:space="preserve"> </v>
      </c>
      <c r="N11" s="9" t="str">
        <f>IF('Course 1'!$H9='tab1'!N$3,'Course 1'!$I9," ")</f>
        <v xml:space="preserve"> </v>
      </c>
    </row>
    <row r="12" spans="2:14">
      <c r="B12">
        <v>8</v>
      </c>
      <c r="C12" s="7" t="str">
        <f>IF('Course 1'!$H10='tab1'!C$3,'Course 1'!$I10," ")</f>
        <v xml:space="preserve"> </v>
      </c>
      <c r="D12" s="8" t="str">
        <f>IF('Course 1'!$H10='tab1'!D$3,'Course 1'!$I10," ")</f>
        <v xml:space="preserve"> </v>
      </c>
      <c r="E12" s="8" t="str">
        <f>IF('Course 1'!$H10='tab1'!E$3,'Course 1'!$I10," ")</f>
        <v xml:space="preserve"> </v>
      </c>
      <c r="F12" s="8" t="str">
        <f>IF('Course 1'!$H10='tab1'!F$3,'Course 1'!$I10," ")</f>
        <v xml:space="preserve"> </v>
      </c>
      <c r="G12" s="8" t="str">
        <f>IF('Course 1'!$H10='tab1'!G$3,'Course 1'!$I10," ")</f>
        <v xml:space="preserve"> </v>
      </c>
      <c r="H12" s="8" t="str">
        <f>IF('Course 1'!$H10='tab1'!H$3,'Course 1'!$I10," ")</f>
        <v xml:space="preserve"> </v>
      </c>
      <c r="I12" s="8" t="str">
        <f>IF('Course 1'!$H10='tab1'!I$3,'Course 1'!$I10," ")</f>
        <v xml:space="preserve"> </v>
      </c>
      <c r="J12" s="8" t="str">
        <f>IF('Course 1'!$H10='tab1'!J$3,'Course 1'!$I10," ")</f>
        <v xml:space="preserve"> </v>
      </c>
      <c r="K12" s="8" t="str">
        <f>IF('Course 1'!$H10='tab1'!K$3,'Course 1'!$I10," ")</f>
        <v xml:space="preserve"> </v>
      </c>
      <c r="L12" s="8" t="str">
        <f>IF('Course 1'!$H10='tab1'!L$3,'Course 1'!$I10," ")</f>
        <v xml:space="preserve"> </v>
      </c>
      <c r="M12" s="8" t="str">
        <f>IF('Course 1'!$H10='tab1'!M$3,'Course 1'!$I10," ")</f>
        <v xml:space="preserve"> </v>
      </c>
      <c r="N12" s="9" t="str">
        <f>IF('Course 1'!$H10='tab1'!N$3,'Course 1'!$I10," ")</f>
        <v xml:space="preserve"> </v>
      </c>
    </row>
    <row r="13" spans="2:14">
      <c r="B13">
        <v>9</v>
      </c>
      <c r="C13" s="7" t="str">
        <f>IF('Course 1'!$H11='tab1'!C$3,'Course 1'!$I11," ")</f>
        <v xml:space="preserve"> </v>
      </c>
      <c r="D13" s="8" t="str">
        <f>IF('Course 1'!$H11='tab1'!D$3,'Course 1'!$I11," ")</f>
        <v>PM</v>
      </c>
      <c r="E13" s="8" t="str">
        <f>IF('Course 1'!$H11='tab1'!E$3,'Course 1'!$I11," ")</f>
        <v xml:space="preserve"> </v>
      </c>
      <c r="F13" s="8" t="str">
        <f>IF('Course 1'!$H11='tab1'!F$3,'Course 1'!$I11," ")</f>
        <v xml:space="preserve"> </v>
      </c>
      <c r="G13" s="8" t="str">
        <f>IF('Course 1'!$H11='tab1'!G$3,'Course 1'!$I11," ")</f>
        <v xml:space="preserve"> </v>
      </c>
      <c r="H13" s="8" t="str">
        <f>IF('Course 1'!$H11='tab1'!H$3,'Course 1'!$I11," ")</f>
        <v xml:space="preserve"> </v>
      </c>
      <c r="I13" s="8" t="str">
        <f>IF('Course 1'!$H11='tab1'!I$3,'Course 1'!$I11," ")</f>
        <v xml:space="preserve"> </v>
      </c>
      <c r="J13" s="8" t="str">
        <f>IF('Course 1'!$H11='tab1'!J$3,'Course 1'!$I11," ")</f>
        <v xml:space="preserve"> </v>
      </c>
      <c r="K13" s="8" t="str">
        <f>IF('Course 1'!$H11='tab1'!K$3,'Course 1'!$I11," ")</f>
        <v xml:space="preserve"> </v>
      </c>
      <c r="L13" s="8" t="str">
        <f>IF('Course 1'!$H11='tab1'!L$3,'Course 1'!$I11," ")</f>
        <v xml:space="preserve"> </v>
      </c>
      <c r="M13" s="8" t="str">
        <f>IF('Course 1'!$H11='tab1'!M$3,'Course 1'!$I11," ")</f>
        <v xml:space="preserve"> </v>
      </c>
      <c r="N13" s="9" t="str">
        <f>IF('Course 1'!$H11='tab1'!N$3,'Course 1'!$I11," ")</f>
        <v xml:space="preserve"> </v>
      </c>
    </row>
    <row r="14" spans="2:14">
      <c r="B14">
        <v>10</v>
      </c>
      <c r="C14" s="7">
        <f>IF('Course 1'!$H12='tab1'!C$3,'Course 1'!$I12," ")</f>
        <v>7.2129629629629641E-2</v>
      </c>
      <c r="D14" s="8" t="str">
        <f>IF('Course 1'!$H12='tab1'!D$3,'Course 1'!$I12," ")</f>
        <v xml:space="preserve"> </v>
      </c>
      <c r="E14" s="8" t="str">
        <f>IF('Course 1'!$H12='tab1'!E$3,'Course 1'!$I12," ")</f>
        <v xml:space="preserve"> </v>
      </c>
      <c r="F14" s="8" t="str">
        <f>IF('Course 1'!$H12='tab1'!F$3,'Course 1'!$I12," ")</f>
        <v xml:space="preserve"> </v>
      </c>
      <c r="G14" s="8" t="str">
        <f>IF('Course 1'!$H12='tab1'!G$3,'Course 1'!$I12," ")</f>
        <v xml:space="preserve"> </v>
      </c>
      <c r="H14" s="8" t="str">
        <f>IF('Course 1'!$H12='tab1'!H$3,'Course 1'!$I12," ")</f>
        <v xml:space="preserve"> </v>
      </c>
      <c r="I14" s="8" t="str">
        <f>IF('Course 1'!$H12='tab1'!I$3,'Course 1'!$I12," ")</f>
        <v xml:space="preserve"> </v>
      </c>
      <c r="J14" s="8" t="str">
        <f>IF('Course 1'!$H12='tab1'!J$3,'Course 1'!$I12," ")</f>
        <v xml:space="preserve"> </v>
      </c>
      <c r="K14" s="8" t="str">
        <f>IF('Course 1'!$H12='tab1'!K$3,'Course 1'!$I12," ")</f>
        <v xml:space="preserve"> </v>
      </c>
      <c r="L14" s="8" t="str">
        <f>IF('Course 1'!$H12='tab1'!L$3,'Course 1'!$I12," ")</f>
        <v xml:space="preserve"> </v>
      </c>
      <c r="M14" s="8" t="str">
        <f>IF('Course 1'!$H12='tab1'!M$3,'Course 1'!$I12," ")</f>
        <v xml:space="preserve"> </v>
      </c>
      <c r="N14" s="9" t="str">
        <f>IF('Course 1'!$H12='tab1'!N$3,'Course 1'!$I12," ")</f>
        <v xml:space="preserve"> </v>
      </c>
    </row>
    <row r="15" spans="2:14">
      <c r="B15">
        <v>11</v>
      </c>
      <c r="C15" s="7" t="str">
        <f>IF('Course 1'!$H13='tab1'!C$3,'Course 1'!$I13," ")</f>
        <v xml:space="preserve"> </v>
      </c>
      <c r="D15" s="8">
        <f>IF('Course 1'!$H13='tab1'!D$3,'Course 1'!$I13," ")</f>
        <v>3.6851851851851851E-2</v>
      </c>
      <c r="E15" s="8" t="str">
        <f>IF('Course 1'!$H13='tab1'!E$3,'Course 1'!$I13," ")</f>
        <v xml:space="preserve"> </v>
      </c>
      <c r="F15" s="8" t="str">
        <f>IF('Course 1'!$H13='tab1'!F$3,'Course 1'!$I13," ")</f>
        <v xml:space="preserve"> </v>
      </c>
      <c r="G15" s="8" t="str">
        <f>IF('Course 1'!$H13='tab1'!G$3,'Course 1'!$I13," ")</f>
        <v xml:space="preserve"> </v>
      </c>
      <c r="H15" s="8" t="str">
        <f>IF('Course 1'!$H13='tab1'!H$3,'Course 1'!$I13," ")</f>
        <v xml:space="preserve"> </v>
      </c>
      <c r="I15" s="8" t="str">
        <f>IF('Course 1'!$H13='tab1'!I$3,'Course 1'!$I13," ")</f>
        <v xml:space="preserve"> </v>
      </c>
      <c r="J15" s="8" t="str">
        <f>IF('Course 1'!$H13='tab1'!J$3,'Course 1'!$I13," ")</f>
        <v xml:space="preserve"> </v>
      </c>
      <c r="K15" s="8" t="str">
        <f>IF('Course 1'!$H13='tab1'!K$3,'Course 1'!$I13," ")</f>
        <v xml:space="preserve"> </v>
      </c>
      <c r="L15" s="8" t="str">
        <f>IF('Course 1'!$H13='tab1'!L$3,'Course 1'!$I13," ")</f>
        <v xml:space="preserve"> </v>
      </c>
      <c r="M15" s="8" t="str">
        <f>IF('Course 1'!$H13='tab1'!M$3,'Course 1'!$I13," ")</f>
        <v xml:space="preserve"> </v>
      </c>
      <c r="N15" s="9" t="str">
        <f>IF('Course 1'!$H13='tab1'!N$3,'Course 1'!$I13," ")</f>
        <v xml:space="preserve"> </v>
      </c>
    </row>
    <row r="16" spans="2:14">
      <c r="B16">
        <v>12</v>
      </c>
      <c r="C16" s="7" t="str">
        <f>IF('Course 1'!$H14='tab1'!C$3,'Course 1'!$I14," ")</f>
        <v xml:space="preserve"> </v>
      </c>
      <c r="D16" s="8" t="str">
        <f>IF('Course 1'!$H14='tab1'!D$3,'Course 1'!$I14," ")</f>
        <v>PM</v>
      </c>
      <c r="E16" s="8" t="str">
        <f>IF('Course 1'!$H14='tab1'!E$3,'Course 1'!$I14," ")</f>
        <v xml:space="preserve"> </v>
      </c>
      <c r="F16" s="8" t="str">
        <f>IF('Course 1'!$H14='tab1'!F$3,'Course 1'!$I14," ")</f>
        <v xml:space="preserve"> </v>
      </c>
      <c r="G16" s="8" t="str">
        <f>IF('Course 1'!$H14='tab1'!G$3,'Course 1'!$I14," ")</f>
        <v xml:space="preserve"> </v>
      </c>
      <c r="H16" s="8" t="str">
        <f>IF('Course 1'!$H14='tab1'!H$3,'Course 1'!$I14," ")</f>
        <v xml:space="preserve"> </v>
      </c>
      <c r="I16" s="8" t="str">
        <f>IF('Course 1'!$H14='tab1'!I$3,'Course 1'!$I14," ")</f>
        <v xml:space="preserve"> </v>
      </c>
      <c r="J16" s="8" t="str">
        <f>IF('Course 1'!$H14='tab1'!J$3,'Course 1'!$I14," ")</f>
        <v xml:space="preserve"> </v>
      </c>
      <c r="K16" s="8" t="str">
        <f>IF('Course 1'!$H14='tab1'!K$3,'Course 1'!$I14," ")</f>
        <v xml:space="preserve"> </v>
      </c>
      <c r="L16" s="8" t="str">
        <f>IF('Course 1'!$H14='tab1'!L$3,'Course 1'!$I14," ")</f>
        <v xml:space="preserve"> </v>
      </c>
      <c r="M16" s="8" t="str">
        <f>IF('Course 1'!$H14='tab1'!M$3,'Course 1'!$I14," ")</f>
        <v xml:space="preserve"> </v>
      </c>
      <c r="N16" s="9" t="str">
        <f>IF('Course 1'!$H14='tab1'!N$3,'Course 1'!$I14," ")</f>
        <v xml:space="preserve"> </v>
      </c>
    </row>
    <row r="17" spans="2:14">
      <c r="B17">
        <v>13</v>
      </c>
      <c r="C17" s="7" t="str">
        <f>IF('Course 1'!$H15='tab1'!C$3,'Course 1'!$I15," ")</f>
        <v xml:space="preserve"> </v>
      </c>
      <c r="D17" s="8" t="str">
        <f>IF('Course 1'!$H15='tab1'!D$3,'Course 1'!$I15," ")</f>
        <v xml:space="preserve"> </v>
      </c>
      <c r="E17" s="8" t="str">
        <f>IF('Course 1'!$H15='tab1'!E$3,'Course 1'!$I15," ")</f>
        <v xml:space="preserve"> </v>
      </c>
      <c r="F17" s="8" t="str">
        <f>IF('Course 1'!$H15='tab1'!F$3,'Course 1'!$I15," ")</f>
        <v xml:space="preserve"> </v>
      </c>
      <c r="G17" s="8" t="str">
        <f>IF('Course 1'!$H15='tab1'!G$3,'Course 1'!$I15," ")</f>
        <v xml:space="preserve"> </v>
      </c>
      <c r="H17" s="8" t="str">
        <f>IF('Course 1'!$H15='tab1'!H$3,'Course 1'!$I15," ")</f>
        <v xml:space="preserve"> </v>
      </c>
      <c r="I17" s="8" t="str">
        <f>IF('Course 1'!$H15='tab1'!I$3,'Course 1'!$I15," ")</f>
        <v xml:space="preserve"> </v>
      </c>
      <c r="J17" s="8" t="str">
        <f>IF('Course 1'!$H15='tab1'!J$3,'Course 1'!$I15," ")</f>
        <v xml:space="preserve"> </v>
      </c>
      <c r="K17" s="8" t="str">
        <f>IF('Course 1'!$H15='tab1'!K$3,'Course 1'!$I15," ")</f>
        <v xml:space="preserve"> </v>
      </c>
      <c r="L17" s="8" t="str">
        <f>IF('Course 1'!$H15='tab1'!L$3,'Course 1'!$I15," ")</f>
        <v xml:space="preserve"> </v>
      </c>
      <c r="M17" s="8" t="str">
        <f>IF('Course 1'!$H15='tab1'!M$3,'Course 1'!$I15," ")</f>
        <v xml:space="preserve"> </v>
      </c>
      <c r="N17" s="9" t="str">
        <f>IF('Course 1'!$H15='tab1'!N$3,'Course 1'!$I15," ")</f>
        <v xml:space="preserve"> </v>
      </c>
    </row>
    <row r="18" spans="2:14">
      <c r="B18">
        <v>14</v>
      </c>
      <c r="C18" s="7" t="str">
        <f>IF('Course 1'!$H16='tab1'!C$3,'Course 1'!$I16," ")</f>
        <v xml:space="preserve"> </v>
      </c>
      <c r="D18" s="8" t="str">
        <f>IF('Course 1'!$H16='tab1'!D$3,'Course 1'!$I16," ")</f>
        <v xml:space="preserve"> </v>
      </c>
      <c r="E18" s="8" t="str">
        <f>IF('Course 1'!$H16='tab1'!E$3,'Course 1'!$I16," ")</f>
        <v xml:space="preserve"> </v>
      </c>
      <c r="F18" s="8" t="str">
        <f>IF('Course 1'!$H16='tab1'!F$3,'Course 1'!$I16," ")</f>
        <v xml:space="preserve"> </v>
      </c>
      <c r="G18" s="8" t="str">
        <f>IF('Course 1'!$H16='tab1'!G$3,'Course 1'!$I16," ")</f>
        <v xml:space="preserve"> </v>
      </c>
      <c r="H18" s="8" t="str">
        <f>IF('Course 1'!$H16='tab1'!H$3,'Course 1'!$I16," ")</f>
        <v xml:space="preserve"> </v>
      </c>
      <c r="I18" s="8" t="str">
        <f>IF('Course 1'!$H16='tab1'!I$3,'Course 1'!$I16," ")</f>
        <v xml:space="preserve"> </v>
      </c>
      <c r="J18" s="8" t="str">
        <f>IF('Course 1'!$H16='tab1'!J$3,'Course 1'!$I16," ")</f>
        <v xml:space="preserve"> </v>
      </c>
      <c r="K18" s="8" t="str">
        <f>IF('Course 1'!$H16='tab1'!K$3,'Course 1'!$I16," ")</f>
        <v xml:space="preserve"> </v>
      </c>
      <c r="L18" s="8" t="str">
        <f>IF('Course 1'!$H16='tab1'!L$3,'Course 1'!$I16," ")</f>
        <v xml:space="preserve"> </v>
      </c>
      <c r="M18" s="8" t="str">
        <f>IF('Course 1'!$H16='tab1'!M$3,'Course 1'!$I16," ")</f>
        <v xml:space="preserve"> </v>
      </c>
      <c r="N18" s="9" t="str">
        <f>IF('Course 1'!$H16='tab1'!N$3,'Course 1'!$I16," ")</f>
        <v xml:space="preserve"> </v>
      </c>
    </row>
    <row r="19" spans="2:14">
      <c r="B19">
        <v>15</v>
      </c>
      <c r="C19" s="7" t="str">
        <f>IF('Course 1'!$H17='tab1'!C$3,'Course 1'!$I17," ")</f>
        <v xml:space="preserve"> </v>
      </c>
      <c r="D19" s="8">
        <f>IF('Course 1'!$H17='tab1'!D$3,'Course 1'!$I17," ")</f>
        <v>6.7719907407407409E-2</v>
      </c>
      <c r="E19" s="8" t="str">
        <f>IF('Course 1'!$H17='tab1'!E$3,'Course 1'!$I17," ")</f>
        <v xml:space="preserve"> </v>
      </c>
      <c r="F19" s="8" t="str">
        <f>IF('Course 1'!$H17='tab1'!F$3,'Course 1'!$I17," ")</f>
        <v xml:space="preserve"> </v>
      </c>
      <c r="G19" s="8" t="str">
        <f>IF('Course 1'!$H17='tab1'!G$3,'Course 1'!$I17," ")</f>
        <v xml:space="preserve"> </v>
      </c>
      <c r="H19" s="8" t="str">
        <f>IF('Course 1'!$H17='tab1'!H$3,'Course 1'!$I17," ")</f>
        <v xml:space="preserve"> </v>
      </c>
      <c r="I19" s="8" t="str">
        <f>IF('Course 1'!$H17='tab1'!I$3,'Course 1'!$I17," ")</f>
        <v xml:space="preserve"> </v>
      </c>
      <c r="J19" s="8" t="str">
        <f>IF('Course 1'!$H17='tab1'!J$3,'Course 1'!$I17," ")</f>
        <v xml:space="preserve"> </v>
      </c>
      <c r="K19" s="8" t="str">
        <f>IF('Course 1'!$H17='tab1'!K$3,'Course 1'!$I17," ")</f>
        <v xml:space="preserve"> </v>
      </c>
      <c r="L19" s="8" t="str">
        <f>IF('Course 1'!$H17='tab1'!L$3,'Course 1'!$I17," ")</f>
        <v xml:space="preserve"> </v>
      </c>
      <c r="M19" s="8" t="str">
        <f>IF('Course 1'!$H17='tab1'!M$3,'Course 1'!$I17," ")</f>
        <v xml:space="preserve"> </v>
      </c>
      <c r="N19" s="9" t="str">
        <f>IF('Course 1'!$H17='tab1'!N$3,'Course 1'!$I17," ")</f>
        <v xml:space="preserve"> </v>
      </c>
    </row>
    <row r="20" spans="2:14">
      <c r="B20">
        <v>16</v>
      </c>
      <c r="C20" s="7" t="str">
        <f>IF('Course 1'!$H18='tab1'!C$3,'Course 1'!$I18," ")</f>
        <v xml:space="preserve"> </v>
      </c>
      <c r="D20" s="8" t="str">
        <f>IF('Course 1'!$H18='tab1'!D$3,'Course 1'!$I18," ")</f>
        <v xml:space="preserve"> </v>
      </c>
      <c r="E20" s="8" t="str">
        <f>IF('Course 1'!$H18='tab1'!E$3,'Course 1'!$I18," ")</f>
        <v xml:space="preserve"> </v>
      </c>
      <c r="F20" s="8" t="str">
        <f>IF('Course 1'!$H18='tab1'!F$3,'Course 1'!$I18," ")</f>
        <v xml:space="preserve"> </v>
      </c>
      <c r="G20" s="8" t="str">
        <f>IF('Course 1'!$H18='tab1'!G$3,'Course 1'!$I18," ")</f>
        <v xml:space="preserve"> </v>
      </c>
      <c r="H20" s="8" t="str">
        <f>IF('Course 1'!$H18='tab1'!H$3,'Course 1'!$I18," ")</f>
        <v xml:space="preserve"> </v>
      </c>
      <c r="I20" s="8" t="str">
        <f>IF('Course 1'!$H18='tab1'!I$3,'Course 1'!$I18," ")</f>
        <v xml:space="preserve"> </v>
      </c>
      <c r="J20" s="8" t="str">
        <f>IF('Course 1'!$H18='tab1'!J$3,'Course 1'!$I18," ")</f>
        <v xml:space="preserve"> </v>
      </c>
      <c r="K20" s="8" t="str">
        <f>IF('Course 1'!$H18='tab1'!K$3,'Course 1'!$I18," ")</f>
        <v xml:space="preserve"> </v>
      </c>
      <c r="L20" s="8" t="str">
        <f>IF('Course 1'!$H18='tab1'!L$3,'Course 1'!$I18," ")</f>
        <v xml:space="preserve"> </v>
      </c>
      <c r="M20" s="8" t="str">
        <f>IF('Course 1'!$H18='tab1'!M$3,'Course 1'!$I18," ")</f>
        <v xml:space="preserve"> </v>
      </c>
      <c r="N20" s="9" t="str">
        <f>IF('Course 1'!$H18='tab1'!N$3,'Course 1'!$I18," ")</f>
        <v xml:space="preserve"> </v>
      </c>
    </row>
    <row r="21" spans="2:14">
      <c r="B21">
        <v>17</v>
      </c>
      <c r="C21" s="7" t="str">
        <f>IF('Course 1'!$H19='tab1'!C$3,'Course 1'!$I19," ")</f>
        <v xml:space="preserve"> </v>
      </c>
      <c r="D21" s="8">
        <f>IF('Course 1'!$H19='tab1'!D$3,'Course 1'!$I19," ")</f>
        <v>7.1759259259259259E-2</v>
      </c>
      <c r="E21" s="8" t="str">
        <f>IF('Course 1'!$H19='tab1'!E$3,'Course 1'!$I19," ")</f>
        <v xml:space="preserve"> </v>
      </c>
      <c r="F21" s="8" t="str">
        <f>IF('Course 1'!$H19='tab1'!F$3,'Course 1'!$I19," ")</f>
        <v xml:space="preserve"> </v>
      </c>
      <c r="G21" s="8" t="str">
        <f>IF('Course 1'!$H19='tab1'!G$3,'Course 1'!$I19," ")</f>
        <v xml:space="preserve"> </v>
      </c>
      <c r="H21" s="8" t="str">
        <f>IF('Course 1'!$H19='tab1'!H$3,'Course 1'!$I19," ")</f>
        <v xml:space="preserve"> </v>
      </c>
      <c r="I21" s="8" t="str">
        <f>IF('Course 1'!$H19='tab1'!I$3,'Course 1'!$I19," ")</f>
        <v xml:space="preserve"> </v>
      </c>
      <c r="J21" s="8" t="str">
        <f>IF('Course 1'!$H19='tab1'!J$3,'Course 1'!$I19," ")</f>
        <v xml:space="preserve"> </v>
      </c>
      <c r="K21" s="8" t="str">
        <f>IF('Course 1'!$H19='tab1'!K$3,'Course 1'!$I19," ")</f>
        <v xml:space="preserve"> </v>
      </c>
      <c r="L21" s="8" t="str">
        <f>IF('Course 1'!$H19='tab1'!L$3,'Course 1'!$I19," ")</f>
        <v xml:space="preserve"> </v>
      </c>
      <c r="M21" s="8" t="str">
        <f>IF('Course 1'!$H19='tab1'!M$3,'Course 1'!$I19," ")</f>
        <v xml:space="preserve"> </v>
      </c>
      <c r="N21" s="9" t="str">
        <f>IF('Course 1'!$H19='tab1'!N$3,'Course 1'!$I19," ")</f>
        <v xml:space="preserve"> </v>
      </c>
    </row>
    <row r="22" spans="2:14">
      <c r="B22">
        <v>18</v>
      </c>
      <c r="C22" s="7" t="str">
        <f>IF('Course 1'!$H20='tab1'!C$3,'Course 1'!$I20," ")</f>
        <v xml:space="preserve"> </v>
      </c>
      <c r="D22" s="8" t="str">
        <f>IF('Course 1'!$H20='tab1'!D$3,'Course 1'!$I20," ")</f>
        <v xml:space="preserve"> </v>
      </c>
      <c r="E22" s="8" t="str">
        <f>IF('Course 1'!$H20='tab1'!E$3,'Course 1'!$I20," ")</f>
        <v xml:space="preserve"> </v>
      </c>
      <c r="F22" s="8" t="str">
        <f>IF('Course 1'!$H20='tab1'!F$3,'Course 1'!$I20," ")</f>
        <v xml:space="preserve"> </v>
      </c>
      <c r="G22" s="8" t="str">
        <f>IF('Course 1'!$H20='tab1'!G$3,'Course 1'!$I20," ")</f>
        <v xml:space="preserve"> </v>
      </c>
      <c r="H22" s="8" t="str">
        <f>IF('Course 1'!$H20='tab1'!H$3,'Course 1'!$I20," ")</f>
        <v xml:space="preserve"> </v>
      </c>
      <c r="I22" s="8" t="str">
        <f>IF('Course 1'!$H20='tab1'!I$3,'Course 1'!$I20," ")</f>
        <v xml:space="preserve"> </v>
      </c>
      <c r="J22" s="8" t="str">
        <f>IF('Course 1'!$H20='tab1'!J$3,'Course 1'!$I20," ")</f>
        <v xml:space="preserve"> </v>
      </c>
      <c r="K22" s="8" t="str">
        <f>IF('Course 1'!$H20='tab1'!K$3,'Course 1'!$I20," ")</f>
        <v xml:space="preserve"> </v>
      </c>
      <c r="L22" s="8" t="str">
        <f>IF('Course 1'!$H20='tab1'!L$3,'Course 1'!$I20," ")</f>
        <v xml:space="preserve"> </v>
      </c>
      <c r="M22" s="8" t="str">
        <f>IF('Course 1'!$H20='tab1'!M$3,'Course 1'!$I20," ")</f>
        <v xml:space="preserve"> </v>
      </c>
      <c r="N22" s="9" t="str">
        <f>IF('Course 1'!$H20='tab1'!N$3,'Course 1'!$I20," ")</f>
        <v xml:space="preserve"> </v>
      </c>
    </row>
    <row r="23" spans="2:14">
      <c r="B23">
        <v>19</v>
      </c>
      <c r="C23" s="7" t="str">
        <f>IF('Course 1'!$H21='tab1'!C$3,'Course 1'!$I21," ")</f>
        <v xml:space="preserve"> </v>
      </c>
      <c r="D23" s="8" t="str">
        <f>IF('Course 1'!$H21='tab1'!D$3,'Course 1'!$I21," ")</f>
        <v xml:space="preserve"> </v>
      </c>
      <c r="E23" s="8" t="str">
        <f>IF('Course 1'!$H21='tab1'!E$3,'Course 1'!$I21," ")</f>
        <v xml:space="preserve"> </v>
      </c>
      <c r="F23" s="8" t="str">
        <f>IF('Course 1'!$H21='tab1'!F$3,'Course 1'!$I21," ")</f>
        <v xml:space="preserve"> </v>
      </c>
      <c r="G23" s="8" t="str">
        <f>IF('Course 1'!$H21='tab1'!G$3,'Course 1'!$I21," ")</f>
        <v xml:space="preserve"> </v>
      </c>
      <c r="H23" s="8" t="str">
        <f>IF('Course 1'!$H21='tab1'!H$3,'Course 1'!$I21," ")</f>
        <v xml:space="preserve"> </v>
      </c>
      <c r="I23" s="8" t="str">
        <f>IF('Course 1'!$H21='tab1'!I$3,'Course 1'!$I21," ")</f>
        <v xml:space="preserve"> </v>
      </c>
      <c r="J23" s="8" t="str">
        <f>IF('Course 1'!$H21='tab1'!J$3,'Course 1'!$I21," ")</f>
        <v xml:space="preserve"> </v>
      </c>
      <c r="K23" s="8" t="str">
        <f>IF('Course 1'!$H21='tab1'!K$3,'Course 1'!$I21," ")</f>
        <v xml:space="preserve"> </v>
      </c>
      <c r="L23" s="8" t="str">
        <f>IF('Course 1'!$H21='tab1'!L$3,'Course 1'!$I21," ")</f>
        <v xml:space="preserve"> </v>
      </c>
      <c r="M23" s="8" t="str">
        <f>IF('Course 1'!$H21='tab1'!M$3,'Course 1'!$I21," ")</f>
        <v xml:space="preserve"> </v>
      </c>
      <c r="N23" s="9" t="str">
        <f>IF('Course 1'!$H21='tab1'!N$3,'Course 1'!$I21," ")</f>
        <v xml:space="preserve"> </v>
      </c>
    </row>
    <row r="24" spans="2:14">
      <c r="B24">
        <v>20</v>
      </c>
      <c r="C24" s="7" t="str">
        <f>IF('Course 1'!$H22='tab1'!C$3,'Course 1'!$I22," ")</f>
        <v xml:space="preserve"> </v>
      </c>
      <c r="D24" s="8" t="str">
        <f>IF('Course 1'!$H22='tab1'!D$3,'Course 1'!$I22," ")</f>
        <v xml:space="preserve"> </v>
      </c>
      <c r="E24" s="8" t="str">
        <f>IF('Course 1'!$H22='tab1'!E$3,'Course 1'!$I22," ")</f>
        <v xml:space="preserve"> </v>
      </c>
      <c r="F24" s="8" t="str">
        <f>IF('Course 1'!$H22='tab1'!F$3,'Course 1'!$I22," ")</f>
        <v xml:space="preserve"> </v>
      </c>
      <c r="G24" s="8" t="str">
        <f>IF('Course 1'!$H22='tab1'!G$3,'Course 1'!$I22," ")</f>
        <v xml:space="preserve"> </v>
      </c>
      <c r="H24" s="8" t="str">
        <f>IF('Course 1'!$H22='tab1'!H$3,'Course 1'!$I22," ")</f>
        <v xml:space="preserve"> </v>
      </c>
      <c r="I24" s="8" t="str">
        <f>IF('Course 1'!$H22='tab1'!I$3,'Course 1'!$I22," ")</f>
        <v xml:space="preserve"> </v>
      </c>
      <c r="J24" s="8" t="str">
        <f>IF('Course 1'!$H22='tab1'!J$3,'Course 1'!$I22," ")</f>
        <v xml:space="preserve"> </v>
      </c>
      <c r="K24" s="8" t="str">
        <f>IF('Course 1'!$H22='tab1'!K$3,'Course 1'!$I22," ")</f>
        <v xml:space="preserve"> </v>
      </c>
      <c r="L24" s="8" t="str">
        <f>IF('Course 1'!$H22='tab1'!L$3,'Course 1'!$I22," ")</f>
        <v xml:space="preserve"> </v>
      </c>
      <c r="M24" s="8" t="str">
        <f>IF('Course 1'!$H22='tab1'!M$3,'Course 1'!$I22," ")</f>
        <v xml:space="preserve"> </v>
      </c>
      <c r="N24" s="9" t="str">
        <f>IF('Course 1'!$H22='tab1'!N$3,'Course 1'!$I22," ")</f>
        <v xml:space="preserve"> </v>
      </c>
    </row>
    <row r="25" spans="2:14">
      <c r="B25">
        <v>21</v>
      </c>
      <c r="C25" s="7" t="str">
        <f>IF('Course 1'!$H23='tab1'!C$3,'Course 1'!$I23," ")</f>
        <v xml:space="preserve"> </v>
      </c>
      <c r="D25" s="8" t="str">
        <f>IF('Course 1'!$H23='tab1'!D$3,'Course 1'!$I23," ")</f>
        <v xml:space="preserve"> </v>
      </c>
      <c r="E25" s="8" t="str">
        <f>IF('Course 1'!$H23='tab1'!E$3,'Course 1'!$I23," ")</f>
        <v xml:space="preserve"> </v>
      </c>
      <c r="F25" s="8" t="str">
        <f>IF('Course 1'!$H23='tab1'!F$3,'Course 1'!$I23," ")</f>
        <v xml:space="preserve"> </v>
      </c>
      <c r="G25" s="8" t="str">
        <f>IF('Course 1'!$H23='tab1'!G$3,'Course 1'!$I23," ")</f>
        <v xml:space="preserve"> </v>
      </c>
      <c r="H25" s="8" t="str">
        <f>IF('Course 1'!$H23='tab1'!H$3,'Course 1'!$I23," ")</f>
        <v xml:space="preserve"> </v>
      </c>
      <c r="I25" s="8" t="str">
        <f>IF('Course 1'!$H23='tab1'!I$3,'Course 1'!$I23," ")</f>
        <v xml:space="preserve"> </v>
      </c>
      <c r="J25" s="8" t="str">
        <f>IF('Course 1'!$H23='tab1'!J$3,'Course 1'!$I23," ")</f>
        <v xml:space="preserve"> </v>
      </c>
      <c r="K25" s="8" t="str">
        <f>IF('Course 1'!$H23='tab1'!K$3,'Course 1'!$I23," ")</f>
        <v xml:space="preserve"> </v>
      </c>
      <c r="L25" s="8" t="str">
        <f>IF('Course 1'!$H23='tab1'!L$3,'Course 1'!$I23," ")</f>
        <v xml:space="preserve"> </v>
      </c>
      <c r="M25" s="8" t="str">
        <f>IF('Course 1'!$H23='tab1'!M$3,'Course 1'!$I23," ")</f>
        <v xml:space="preserve"> </v>
      </c>
      <c r="N25" s="9" t="str">
        <f>IF('Course 1'!$H23='tab1'!N$3,'Course 1'!$I23," ")</f>
        <v xml:space="preserve"> </v>
      </c>
    </row>
    <row r="26" spans="2:14">
      <c r="B26">
        <v>22</v>
      </c>
      <c r="C26" s="7" t="str">
        <f>IF('Course 1'!$H24='tab1'!C$3,'Course 1'!$I24," ")</f>
        <v xml:space="preserve"> </v>
      </c>
      <c r="D26" s="8" t="str">
        <f>IF('Course 1'!$H24='tab1'!D$3,'Course 1'!$I24," ")</f>
        <v xml:space="preserve"> </v>
      </c>
      <c r="E26" s="8" t="str">
        <f>IF('Course 1'!$H24='tab1'!E$3,'Course 1'!$I24," ")</f>
        <v xml:space="preserve"> </v>
      </c>
      <c r="F26" s="8" t="str">
        <f>IF('Course 1'!$H24='tab1'!F$3,'Course 1'!$I24," ")</f>
        <v xml:space="preserve"> </v>
      </c>
      <c r="G26" s="8" t="str">
        <f>IF('Course 1'!$H24='tab1'!G$3,'Course 1'!$I24," ")</f>
        <v xml:space="preserve"> </v>
      </c>
      <c r="H26" s="8" t="str">
        <f>IF('Course 1'!$H24='tab1'!H$3,'Course 1'!$I24," ")</f>
        <v xml:space="preserve"> </v>
      </c>
      <c r="I26" s="8" t="str">
        <f>IF('Course 1'!$H24='tab1'!I$3,'Course 1'!$I24," ")</f>
        <v xml:space="preserve"> </v>
      </c>
      <c r="J26" s="8" t="str">
        <f>IF('Course 1'!$H24='tab1'!J$3,'Course 1'!$I24," ")</f>
        <v xml:space="preserve"> </v>
      </c>
      <c r="K26" s="8" t="str">
        <f>IF('Course 1'!$H24='tab1'!K$3,'Course 1'!$I24," ")</f>
        <v xml:space="preserve"> </v>
      </c>
      <c r="L26" s="8" t="str">
        <f>IF('Course 1'!$H24='tab1'!L$3,'Course 1'!$I24," ")</f>
        <v xml:space="preserve"> </v>
      </c>
      <c r="M26" s="8" t="str">
        <f>IF('Course 1'!$H24='tab1'!M$3,'Course 1'!$I24," ")</f>
        <v xml:space="preserve"> </v>
      </c>
      <c r="N26" s="9" t="str">
        <f>IF('Course 1'!$H24='tab1'!N$3,'Course 1'!$I24," ")</f>
        <v xml:space="preserve"> </v>
      </c>
    </row>
    <row r="27" spans="2:14">
      <c r="B27">
        <v>23</v>
      </c>
      <c r="C27" s="7" t="str">
        <f>IF('Course 1'!$H25='tab1'!C$3,'Course 1'!$I25," ")</f>
        <v xml:space="preserve"> </v>
      </c>
      <c r="D27" s="8">
        <f>IF('Course 1'!$H25='tab1'!D$3,'Course 1'!$I25," ")</f>
        <v>4.2789351851851849E-2</v>
      </c>
      <c r="E27" s="8" t="str">
        <f>IF('Course 1'!$H25='tab1'!E$3,'Course 1'!$I25," ")</f>
        <v xml:space="preserve"> </v>
      </c>
      <c r="F27" s="8" t="str">
        <f>IF('Course 1'!$H25='tab1'!F$3,'Course 1'!$I25," ")</f>
        <v xml:space="preserve"> </v>
      </c>
      <c r="G27" s="8" t="str">
        <f>IF('Course 1'!$H25='tab1'!G$3,'Course 1'!$I25," ")</f>
        <v xml:space="preserve"> </v>
      </c>
      <c r="H27" s="8" t="str">
        <f>IF('Course 1'!$H25='tab1'!H$3,'Course 1'!$I25," ")</f>
        <v xml:space="preserve"> </v>
      </c>
      <c r="I27" s="8" t="str">
        <f>IF('Course 1'!$H25='tab1'!I$3,'Course 1'!$I25," ")</f>
        <v xml:space="preserve"> </v>
      </c>
      <c r="J27" s="8" t="str">
        <f>IF('Course 1'!$H25='tab1'!J$3,'Course 1'!$I25," ")</f>
        <v xml:space="preserve"> </v>
      </c>
      <c r="K27" s="8" t="str">
        <f>IF('Course 1'!$H25='tab1'!K$3,'Course 1'!$I25," ")</f>
        <v xml:space="preserve"> </v>
      </c>
      <c r="L27" s="8" t="str">
        <f>IF('Course 1'!$H25='tab1'!L$3,'Course 1'!$I25," ")</f>
        <v xml:space="preserve"> </v>
      </c>
      <c r="M27" s="8" t="str">
        <f>IF('Course 1'!$H25='tab1'!M$3,'Course 1'!$I25," ")</f>
        <v xml:space="preserve"> </v>
      </c>
      <c r="N27" s="9" t="str">
        <f>IF('Course 1'!$H25='tab1'!N$3,'Course 1'!$I25," ")</f>
        <v xml:space="preserve"> </v>
      </c>
    </row>
    <row r="28" spans="2:14">
      <c r="B28">
        <v>24</v>
      </c>
      <c r="C28" s="7" t="str">
        <f>IF('Course 1'!$H26='tab1'!C$3,'Course 1'!$I26," ")</f>
        <v xml:space="preserve"> </v>
      </c>
      <c r="D28" s="8">
        <f>IF('Course 1'!$H26='tab1'!D$3,'Course 1'!$I26," ")</f>
        <v>8.7500000000000008E-2</v>
      </c>
      <c r="E28" s="8" t="str">
        <f>IF('Course 1'!$H26='tab1'!E$3,'Course 1'!$I26," ")</f>
        <v xml:space="preserve"> </v>
      </c>
      <c r="F28" s="8" t="str">
        <f>IF('Course 1'!$H26='tab1'!F$3,'Course 1'!$I26," ")</f>
        <v xml:space="preserve"> </v>
      </c>
      <c r="G28" s="8" t="str">
        <f>IF('Course 1'!$H26='tab1'!G$3,'Course 1'!$I26," ")</f>
        <v xml:space="preserve"> </v>
      </c>
      <c r="H28" s="8" t="str">
        <f>IF('Course 1'!$H26='tab1'!H$3,'Course 1'!$I26," ")</f>
        <v xml:space="preserve"> </v>
      </c>
      <c r="I28" s="8" t="str">
        <f>IF('Course 1'!$H26='tab1'!I$3,'Course 1'!$I26," ")</f>
        <v xml:space="preserve"> </v>
      </c>
      <c r="J28" s="8" t="str">
        <f>IF('Course 1'!$H26='tab1'!J$3,'Course 1'!$I26," ")</f>
        <v xml:space="preserve"> </v>
      </c>
      <c r="K28" s="8" t="str">
        <f>IF('Course 1'!$H26='tab1'!K$3,'Course 1'!$I26," ")</f>
        <v xml:space="preserve"> </v>
      </c>
      <c r="L28" s="8" t="str">
        <f>IF('Course 1'!$H26='tab1'!L$3,'Course 1'!$I26," ")</f>
        <v xml:space="preserve"> </v>
      </c>
      <c r="M28" s="8" t="str">
        <f>IF('Course 1'!$H26='tab1'!M$3,'Course 1'!$I26," ")</f>
        <v xml:space="preserve"> </v>
      </c>
      <c r="N28" s="9" t="str">
        <f>IF('Course 1'!$H26='tab1'!N$3,'Course 1'!$I26," ")</f>
        <v xml:space="preserve"> </v>
      </c>
    </row>
    <row r="29" spans="2:14">
      <c r="B29">
        <v>25</v>
      </c>
      <c r="C29" s="7" t="str">
        <f>IF('Course 1'!$H27='tab1'!C$3,'Course 1'!$I27," ")</f>
        <v xml:space="preserve"> </v>
      </c>
      <c r="D29" s="8">
        <f>IF('Course 1'!$H27='tab1'!D$3,'Course 1'!$I27," ")</f>
        <v>6.0127314814814814E-2</v>
      </c>
      <c r="E29" s="8" t="str">
        <f>IF('Course 1'!$H27='tab1'!E$3,'Course 1'!$I27," ")</f>
        <v xml:space="preserve"> </v>
      </c>
      <c r="F29" s="8" t="str">
        <f>IF('Course 1'!$H27='tab1'!F$3,'Course 1'!$I27," ")</f>
        <v xml:space="preserve"> </v>
      </c>
      <c r="G29" s="8" t="str">
        <f>IF('Course 1'!$H27='tab1'!G$3,'Course 1'!$I27," ")</f>
        <v xml:space="preserve"> </v>
      </c>
      <c r="H29" s="8" t="str">
        <f>IF('Course 1'!$H27='tab1'!H$3,'Course 1'!$I27," ")</f>
        <v xml:space="preserve"> </v>
      </c>
      <c r="I29" s="8" t="str">
        <f>IF('Course 1'!$H27='tab1'!I$3,'Course 1'!$I27," ")</f>
        <v xml:space="preserve"> </v>
      </c>
      <c r="J29" s="8" t="str">
        <f>IF('Course 1'!$H27='tab1'!J$3,'Course 1'!$I27," ")</f>
        <v xml:space="preserve"> </v>
      </c>
      <c r="K29" s="8" t="str">
        <f>IF('Course 1'!$H27='tab1'!K$3,'Course 1'!$I27," ")</f>
        <v xml:space="preserve"> </v>
      </c>
      <c r="L29" s="8" t="str">
        <f>IF('Course 1'!$H27='tab1'!L$3,'Course 1'!$I27," ")</f>
        <v xml:space="preserve"> </v>
      </c>
      <c r="M29" s="8" t="str">
        <f>IF('Course 1'!$H27='tab1'!M$3,'Course 1'!$I27," ")</f>
        <v xml:space="preserve"> </v>
      </c>
      <c r="N29" s="9" t="str">
        <f>IF('Course 1'!$H27='tab1'!N$3,'Course 1'!$I27," ")</f>
        <v xml:space="preserve"> </v>
      </c>
    </row>
    <row r="30" spans="2:14">
      <c r="B30">
        <v>26</v>
      </c>
      <c r="C30" s="7" t="str">
        <f>IF('Course 1'!$H28='tab1'!C$3,'Course 1'!$I28," ")</f>
        <v xml:space="preserve"> </v>
      </c>
      <c r="D30" s="8">
        <f>IF('Course 1'!$H28='tab1'!D$3,'Course 1'!$I28," ")</f>
        <v>6.4791666666666664E-2</v>
      </c>
      <c r="E30" s="8" t="str">
        <f>IF('Course 1'!$H28='tab1'!E$3,'Course 1'!$I28," ")</f>
        <v xml:space="preserve"> </v>
      </c>
      <c r="F30" s="8" t="str">
        <f>IF('Course 1'!$H28='tab1'!F$3,'Course 1'!$I28," ")</f>
        <v xml:space="preserve"> </v>
      </c>
      <c r="G30" s="8" t="str">
        <f>IF('Course 1'!$H28='tab1'!G$3,'Course 1'!$I28," ")</f>
        <v xml:space="preserve"> </v>
      </c>
      <c r="H30" s="8" t="str">
        <f>IF('Course 1'!$H28='tab1'!H$3,'Course 1'!$I28," ")</f>
        <v xml:space="preserve"> </v>
      </c>
      <c r="I30" s="8" t="str">
        <f>IF('Course 1'!$H28='tab1'!I$3,'Course 1'!$I28," ")</f>
        <v xml:space="preserve"> </v>
      </c>
      <c r="J30" s="8" t="str">
        <f>IF('Course 1'!$H28='tab1'!J$3,'Course 1'!$I28," ")</f>
        <v xml:space="preserve"> </v>
      </c>
      <c r="K30" s="8" t="str">
        <f>IF('Course 1'!$H28='tab1'!K$3,'Course 1'!$I28," ")</f>
        <v xml:space="preserve"> </v>
      </c>
      <c r="L30" s="8" t="str">
        <f>IF('Course 1'!$H28='tab1'!L$3,'Course 1'!$I28," ")</f>
        <v xml:space="preserve"> </v>
      </c>
      <c r="M30" s="8" t="str">
        <f>IF('Course 1'!$H28='tab1'!M$3,'Course 1'!$I28," ")</f>
        <v xml:space="preserve"> </v>
      </c>
      <c r="N30" s="9" t="str">
        <f>IF('Course 1'!$H28='tab1'!N$3,'Course 1'!$I28," ")</f>
        <v xml:space="preserve"> </v>
      </c>
    </row>
    <row r="31" spans="2:14">
      <c r="B31">
        <v>27</v>
      </c>
      <c r="C31" s="7" t="str">
        <f>IF('Course 1'!$H29='tab1'!C$3,'Course 1'!$I29," ")</f>
        <v xml:space="preserve"> </v>
      </c>
      <c r="D31" s="8" t="str">
        <f>IF('Course 1'!$H29='tab1'!D$3,'Course 1'!$I29," ")</f>
        <v xml:space="preserve"> </v>
      </c>
      <c r="E31" s="8" t="str">
        <f>IF('Course 1'!$H29='tab1'!E$3,'Course 1'!$I29," ")</f>
        <v xml:space="preserve"> </v>
      </c>
      <c r="F31" s="8" t="str">
        <f>IF('Course 1'!$H29='tab1'!F$3,'Course 1'!$I29," ")</f>
        <v xml:space="preserve"> </v>
      </c>
      <c r="G31" s="8" t="str">
        <f>IF('Course 1'!$H29='tab1'!G$3,'Course 1'!$I29," ")</f>
        <v xml:space="preserve"> </v>
      </c>
      <c r="H31" s="8" t="str">
        <f>IF('Course 1'!$H29='tab1'!H$3,'Course 1'!$I29," ")</f>
        <v xml:space="preserve"> </v>
      </c>
      <c r="I31" s="8" t="str">
        <f>IF('Course 1'!$H29='tab1'!I$3,'Course 1'!$I29," ")</f>
        <v xml:space="preserve"> </v>
      </c>
      <c r="J31" s="8" t="str">
        <f>IF('Course 1'!$H29='tab1'!J$3,'Course 1'!$I29," ")</f>
        <v xml:space="preserve"> </v>
      </c>
      <c r="K31" s="8" t="str">
        <f>IF('Course 1'!$H29='tab1'!K$3,'Course 1'!$I29," ")</f>
        <v xml:space="preserve"> </v>
      </c>
      <c r="L31" s="8" t="str">
        <f>IF('Course 1'!$H29='tab1'!L$3,'Course 1'!$I29," ")</f>
        <v xml:space="preserve"> </v>
      </c>
      <c r="M31" s="8" t="str">
        <f>IF('Course 1'!$H29='tab1'!M$3,'Course 1'!$I29," ")</f>
        <v xml:space="preserve"> </v>
      </c>
      <c r="N31" s="9" t="str">
        <f>IF('Course 1'!$H29='tab1'!N$3,'Course 1'!$I29," ")</f>
        <v xml:space="preserve"> </v>
      </c>
    </row>
    <row r="32" spans="2:14">
      <c r="B32">
        <v>28</v>
      </c>
      <c r="C32" s="7">
        <f>IF('Course 1'!$H30='tab1'!C$3,'Course 1'!$I30," ")</f>
        <v>5.2627314814814814E-2</v>
      </c>
      <c r="D32" s="8" t="str">
        <f>IF('Course 1'!$H30='tab1'!D$3,'Course 1'!$I30," ")</f>
        <v xml:space="preserve"> </v>
      </c>
      <c r="E32" s="8" t="str">
        <f>IF('Course 1'!$H30='tab1'!E$3,'Course 1'!$I30," ")</f>
        <v xml:space="preserve"> </v>
      </c>
      <c r="F32" s="8" t="str">
        <f>IF('Course 1'!$H30='tab1'!F$3,'Course 1'!$I30," ")</f>
        <v xml:space="preserve"> </v>
      </c>
      <c r="G32" s="8" t="str">
        <f>IF('Course 1'!$H30='tab1'!G$3,'Course 1'!$I30," ")</f>
        <v xml:space="preserve"> </v>
      </c>
      <c r="H32" s="8" t="str">
        <f>IF('Course 1'!$H30='tab1'!H$3,'Course 1'!$I30," ")</f>
        <v xml:space="preserve"> </v>
      </c>
      <c r="I32" s="8" t="str">
        <f>IF('Course 1'!$H30='tab1'!I$3,'Course 1'!$I30," ")</f>
        <v xml:space="preserve"> </v>
      </c>
      <c r="J32" s="8" t="str">
        <f>IF('Course 1'!$H30='tab1'!J$3,'Course 1'!$I30," ")</f>
        <v xml:space="preserve"> </v>
      </c>
      <c r="K32" s="8" t="str">
        <f>IF('Course 1'!$H30='tab1'!K$3,'Course 1'!$I30," ")</f>
        <v xml:space="preserve"> </v>
      </c>
      <c r="L32" s="8" t="str">
        <f>IF('Course 1'!$H30='tab1'!L$3,'Course 1'!$I30," ")</f>
        <v xml:space="preserve"> </v>
      </c>
      <c r="M32" s="8" t="str">
        <f>IF('Course 1'!$H30='tab1'!M$3,'Course 1'!$I30," ")</f>
        <v xml:space="preserve"> </v>
      </c>
      <c r="N32" s="9" t="str">
        <f>IF('Course 1'!$H30='tab1'!N$3,'Course 1'!$I30," ")</f>
        <v xml:space="preserve"> </v>
      </c>
    </row>
    <row r="33" spans="2:14">
      <c r="B33">
        <v>29</v>
      </c>
      <c r="C33" s="7" t="str">
        <f>IF('Course 1'!$H31='tab1'!C$3,'Course 1'!$I31," ")</f>
        <v xml:space="preserve"> </v>
      </c>
      <c r="D33" s="8" t="str">
        <f>IF('Course 1'!$H31='tab1'!D$3,'Course 1'!$I31," ")</f>
        <v xml:space="preserve"> </v>
      </c>
      <c r="E33" s="8">
        <f>IF('Course 1'!$H31='tab1'!E$3,'Course 1'!$I31," ")</f>
        <v>3.1273148148148147E-2</v>
      </c>
      <c r="F33" s="8" t="str">
        <f>IF('Course 1'!$H31='tab1'!F$3,'Course 1'!$I31," ")</f>
        <v xml:space="preserve"> </v>
      </c>
      <c r="G33" s="8" t="str">
        <f>IF('Course 1'!$H31='tab1'!G$3,'Course 1'!$I31," ")</f>
        <v xml:space="preserve"> </v>
      </c>
      <c r="H33" s="8" t="str">
        <f>IF('Course 1'!$H31='tab1'!H$3,'Course 1'!$I31," ")</f>
        <v xml:space="preserve"> </v>
      </c>
      <c r="I33" s="8" t="str">
        <f>IF('Course 1'!$H31='tab1'!I$3,'Course 1'!$I31," ")</f>
        <v xml:space="preserve"> </v>
      </c>
      <c r="J33" s="8" t="str">
        <f>IF('Course 1'!$H31='tab1'!J$3,'Course 1'!$I31," ")</f>
        <v xml:space="preserve"> </v>
      </c>
      <c r="K33" s="8" t="str">
        <f>IF('Course 1'!$H31='tab1'!K$3,'Course 1'!$I31," ")</f>
        <v xml:space="preserve"> </v>
      </c>
      <c r="L33" s="8" t="str">
        <f>IF('Course 1'!$H31='tab1'!L$3,'Course 1'!$I31," ")</f>
        <v xml:space="preserve"> </v>
      </c>
      <c r="M33" s="8" t="str">
        <f>IF('Course 1'!$H31='tab1'!M$3,'Course 1'!$I31," ")</f>
        <v xml:space="preserve"> </v>
      </c>
      <c r="N33" s="9" t="str">
        <f>IF('Course 1'!$H31='tab1'!N$3,'Course 1'!$I31," ")</f>
        <v xml:space="preserve"> </v>
      </c>
    </row>
    <row r="34" spans="2:14">
      <c r="B34">
        <v>30</v>
      </c>
      <c r="C34" s="7" t="str">
        <f>IF('Course 1'!$H32='tab1'!C$3,'Course 1'!$I32," ")</f>
        <v xml:space="preserve"> </v>
      </c>
      <c r="D34" s="8" t="str">
        <f>IF('Course 1'!$H32='tab1'!D$3,'Course 1'!$I32," ")</f>
        <v xml:space="preserve"> </v>
      </c>
      <c r="E34" s="8">
        <f>IF('Course 1'!$H32='tab1'!E$3,'Course 1'!$I32," ")</f>
        <v>4.6261574074074073E-2</v>
      </c>
      <c r="F34" s="8" t="str">
        <f>IF('Course 1'!$H32='tab1'!F$3,'Course 1'!$I32," ")</f>
        <v xml:space="preserve"> </v>
      </c>
      <c r="G34" s="8" t="str">
        <f>IF('Course 1'!$H32='tab1'!G$3,'Course 1'!$I32," ")</f>
        <v xml:space="preserve"> </v>
      </c>
      <c r="H34" s="8" t="str">
        <f>IF('Course 1'!$H32='tab1'!H$3,'Course 1'!$I32," ")</f>
        <v xml:space="preserve"> </v>
      </c>
      <c r="I34" s="8" t="str">
        <f>IF('Course 1'!$H32='tab1'!I$3,'Course 1'!$I32," ")</f>
        <v xml:space="preserve"> </v>
      </c>
      <c r="J34" s="8" t="str">
        <f>IF('Course 1'!$H32='tab1'!J$3,'Course 1'!$I32," ")</f>
        <v xml:space="preserve"> </v>
      </c>
      <c r="K34" s="8" t="str">
        <f>IF('Course 1'!$H32='tab1'!K$3,'Course 1'!$I32," ")</f>
        <v xml:space="preserve"> </v>
      </c>
      <c r="L34" s="8" t="str">
        <f>IF('Course 1'!$H32='tab1'!L$3,'Course 1'!$I32," ")</f>
        <v xml:space="preserve"> </v>
      </c>
      <c r="M34" s="8" t="str">
        <f>IF('Course 1'!$H32='tab1'!M$3,'Course 1'!$I32," ")</f>
        <v xml:space="preserve"> </v>
      </c>
      <c r="N34" s="9" t="str">
        <f>IF('Course 1'!$H32='tab1'!N$3,'Course 1'!$I32," ")</f>
        <v xml:space="preserve"> </v>
      </c>
    </row>
    <row r="35" spans="2:14">
      <c r="B35">
        <v>31</v>
      </c>
      <c r="C35" s="7">
        <f>IF('Course 1'!$H33='tab1'!C$3,'Course 1'!$I33," ")</f>
        <v>6.4386574074074068E-2</v>
      </c>
      <c r="D35" s="8" t="str">
        <f>IF('Course 1'!$H33='tab1'!D$3,'Course 1'!$I33," ")</f>
        <v xml:space="preserve"> </v>
      </c>
      <c r="E35" s="8" t="str">
        <f>IF('Course 1'!$H33='tab1'!E$3,'Course 1'!$I33," ")</f>
        <v xml:space="preserve"> </v>
      </c>
      <c r="F35" s="8" t="str">
        <f>IF('Course 1'!$H33='tab1'!F$3,'Course 1'!$I33," ")</f>
        <v xml:space="preserve"> </v>
      </c>
      <c r="G35" s="8" t="str">
        <f>IF('Course 1'!$H33='tab1'!G$3,'Course 1'!$I33," ")</f>
        <v xml:space="preserve"> </v>
      </c>
      <c r="H35" s="8" t="str">
        <f>IF('Course 1'!$H33='tab1'!H$3,'Course 1'!$I33," ")</f>
        <v xml:space="preserve"> </v>
      </c>
      <c r="I35" s="8" t="str">
        <f>IF('Course 1'!$H33='tab1'!I$3,'Course 1'!$I33," ")</f>
        <v xml:space="preserve"> </v>
      </c>
      <c r="J35" s="8" t="str">
        <f>IF('Course 1'!$H33='tab1'!J$3,'Course 1'!$I33," ")</f>
        <v xml:space="preserve"> </v>
      </c>
      <c r="K35" s="8" t="str">
        <f>IF('Course 1'!$H33='tab1'!K$3,'Course 1'!$I33," ")</f>
        <v xml:space="preserve"> </v>
      </c>
      <c r="L35" s="8" t="str">
        <f>IF('Course 1'!$H33='tab1'!L$3,'Course 1'!$I33," ")</f>
        <v xml:space="preserve"> </v>
      </c>
      <c r="M35" s="8" t="str">
        <f>IF('Course 1'!$H33='tab1'!M$3,'Course 1'!$I33," ")</f>
        <v xml:space="preserve"> </v>
      </c>
      <c r="N35" s="9" t="str">
        <f>IF('Course 1'!$H33='tab1'!N$3,'Course 1'!$I33," ")</f>
        <v xml:space="preserve"> </v>
      </c>
    </row>
    <row r="36" spans="2:14">
      <c r="B36">
        <v>32</v>
      </c>
      <c r="C36" s="7" t="str">
        <f>IF('Course 1'!$H34='tab1'!C$3,'Course 1'!$I34," ")</f>
        <v xml:space="preserve"> </v>
      </c>
      <c r="D36" s="8" t="str">
        <f>IF('Course 1'!$H34='tab1'!D$3,'Course 1'!$I34," ")</f>
        <v xml:space="preserve"> </v>
      </c>
      <c r="E36" s="8" t="str">
        <f>IF('Course 1'!$H34='tab1'!E$3,'Course 1'!$I34," ")</f>
        <v>PM</v>
      </c>
      <c r="F36" s="8" t="str">
        <f>IF('Course 1'!$H34='tab1'!F$3,'Course 1'!$I34," ")</f>
        <v xml:space="preserve"> </v>
      </c>
      <c r="G36" s="8" t="str">
        <f>IF('Course 1'!$H34='tab1'!G$3,'Course 1'!$I34," ")</f>
        <v xml:space="preserve"> </v>
      </c>
      <c r="H36" s="8" t="str">
        <f>IF('Course 1'!$H34='tab1'!H$3,'Course 1'!$I34," ")</f>
        <v xml:space="preserve"> </v>
      </c>
      <c r="I36" s="8" t="str">
        <f>IF('Course 1'!$H34='tab1'!I$3,'Course 1'!$I34," ")</f>
        <v xml:space="preserve"> </v>
      </c>
      <c r="J36" s="8" t="str">
        <f>IF('Course 1'!$H34='tab1'!J$3,'Course 1'!$I34," ")</f>
        <v xml:space="preserve"> </v>
      </c>
      <c r="K36" s="8" t="str">
        <f>IF('Course 1'!$H34='tab1'!K$3,'Course 1'!$I34," ")</f>
        <v xml:space="preserve"> </v>
      </c>
      <c r="L36" s="8" t="str">
        <f>IF('Course 1'!$H34='tab1'!L$3,'Course 1'!$I34," ")</f>
        <v xml:space="preserve"> </v>
      </c>
      <c r="M36" s="8" t="str">
        <f>IF('Course 1'!$H34='tab1'!M$3,'Course 1'!$I34," ")</f>
        <v xml:space="preserve"> </v>
      </c>
      <c r="N36" s="9" t="str">
        <f>IF('Course 1'!$H34='tab1'!N$3,'Course 1'!$I34," ")</f>
        <v xml:space="preserve"> </v>
      </c>
    </row>
    <row r="37" spans="2:14">
      <c r="B37">
        <v>33</v>
      </c>
      <c r="C37" s="7" t="str">
        <f>IF('Course 1'!$H35='tab1'!C$3,'Course 1'!$I35," ")</f>
        <v xml:space="preserve"> </v>
      </c>
      <c r="D37" s="8">
        <f>IF('Course 1'!$H35='tab1'!D$3,'Course 1'!$I35," ")</f>
        <v>5.8263888888888893E-2</v>
      </c>
      <c r="E37" s="8" t="str">
        <f>IF('Course 1'!$H35='tab1'!E$3,'Course 1'!$I35," ")</f>
        <v xml:space="preserve"> </v>
      </c>
      <c r="F37" s="8" t="str">
        <f>IF('Course 1'!$H35='tab1'!F$3,'Course 1'!$I35," ")</f>
        <v xml:space="preserve"> </v>
      </c>
      <c r="G37" s="8" t="str">
        <f>IF('Course 1'!$H35='tab1'!G$3,'Course 1'!$I35," ")</f>
        <v xml:space="preserve"> </v>
      </c>
      <c r="H37" s="8" t="str">
        <f>IF('Course 1'!$H35='tab1'!H$3,'Course 1'!$I35," ")</f>
        <v xml:space="preserve"> </v>
      </c>
      <c r="I37" s="8" t="str">
        <f>IF('Course 1'!$H35='tab1'!I$3,'Course 1'!$I35," ")</f>
        <v xml:space="preserve"> </v>
      </c>
      <c r="J37" s="8" t="str">
        <f>IF('Course 1'!$H35='tab1'!J$3,'Course 1'!$I35," ")</f>
        <v xml:space="preserve"> </v>
      </c>
      <c r="K37" s="8" t="str">
        <f>IF('Course 1'!$H35='tab1'!K$3,'Course 1'!$I35," ")</f>
        <v xml:space="preserve"> </v>
      </c>
      <c r="L37" s="8" t="str">
        <f>IF('Course 1'!$H35='tab1'!L$3,'Course 1'!$I35," ")</f>
        <v xml:space="preserve"> </v>
      </c>
      <c r="M37" s="8" t="str">
        <f>IF('Course 1'!$H35='tab1'!M$3,'Course 1'!$I35," ")</f>
        <v xml:space="preserve"> </v>
      </c>
      <c r="N37" s="9" t="str">
        <f>IF('Course 1'!$H35='tab1'!N$3,'Course 1'!$I35," ")</f>
        <v xml:space="preserve"> </v>
      </c>
    </row>
    <row r="38" spans="2:14">
      <c r="B38">
        <v>34</v>
      </c>
      <c r="C38" s="7" t="str">
        <f>IF('Course 1'!$H36='tab1'!C$3,'Course 1'!$I36," ")</f>
        <v xml:space="preserve"> </v>
      </c>
      <c r="D38" s="8" t="str">
        <f>IF('Course 1'!$H36='tab1'!D$3,'Course 1'!$I36," ")</f>
        <v xml:space="preserve"> </v>
      </c>
      <c r="E38" s="8" t="str">
        <f>IF('Course 1'!$H36='tab1'!E$3,'Course 1'!$I36," ")</f>
        <v xml:space="preserve"> </v>
      </c>
      <c r="F38" s="8" t="str">
        <f>IF('Course 1'!$H36='tab1'!F$3,'Course 1'!$I36," ")</f>
        <v xml:space="preserve"> </v>
      </c>
      <c r="G38" s="8" t="str">
        <f>IF('Course 1'!$H36='tab1'!G$3,'Course 1'!$I36," ")</f>
        <v xml:space="preserve"> </v>
      </c>
      <c r="H38" s="8" t="str">
        <f>IF('Course 1'!$H36='tab1'!H$3,'Course 1'!$I36," ")</f>
        <v xml:space="preserve"> </v>
      </c>
      <c r="I38" s="8" t="str">
        <f>IF('Course 1'!$H36='tab1'!I$3,'Course 1'!$I36," ")</f>
        <v xml:space="preserve"> </v>
      </c>
      <c r="J38" s="8" t="str">
        <f>IF('Course 1'!$H36='tab1'!J$3,'Course 1'!$I36," ")</f>
        <v xml:space="preserve"> </v>
      </c>
      <c r="K38" s="8" t="str">
        <f>IF('Course 1'!$H36='tab1'!K$3,'Course 1'!$I36," ")</f>
        <v xml:space="preserve"> </v>
      </c>
      <c r="L38" s="8" t="str">
        <f>IF('Course 1'!$H36='tab1'!L$3,'Course 1'!$I36," ")</f>
        <v xml:space="preserve"> </v>
      </c>
      <c r="M38" s="8" t="str">
        <f>IF('Course 1'!$H36='tab1'!M$3,'Course 1'!$I36," ")</f>
        <v xml:space="preserve"> </v>
      </c>
      <c r="N38" s="9" t="str">
        <f>IF('Course 1'!$H36='tab1'!N$3,'Course 1'!$I36," ")</f>
        <v xml:space="preserve"> </v>
      </c>
    </row>
    <row r="39" spans="2:14">
      <c r="B39">
        <v>35</v>
      </c>
      <c r="C39" s="7" t="str">
        <f>IF('Course 1'!$H37='tab1'!C$3,'Course 1'!$I37," ")</f>
        <v xml:space="preserve"> </v>
      </c>
      <c r="D39" s="8">
        <f>IF('Course 1'!$H37='tab1'!D$3,'Course 1'!$I37," ")</f>
        <v>6.6458333333333341E-2</v>
      </c>
      <c r="E39" s="8" t="str">
        <f>IF('Course 1'!$H37='tab1'!E$3,'Course 1'!$I37," ")</f>
        <v xml:space="preserve"> </v>
      </c>
      <c r="F39" s="8" t="str">
        <f>IF('Course 1'!$H37='tab1'!F$3,'Course 1'!$I37," ")</f>
        <v xml:space="preserve"> </v>
      </c>
      <c r="G39" s="8" t="str">
        <f>IF('Course 1'!$H37='tab1'!G$3,'Course 1'!$I37," ")</f>
        <v xml:space="preserve"> </v>
      </c>
      <c r="H39" s="8" t="str">
        <f>IF('Course 1'!$H37='tab1'!H$3,'Course 1'!$I37," ")</f>
        <v xml:space="preserve"> </v>
      </c>
      <c r="I39" s="8" t="str">
        <f>IF('Course 1'!$H37='tab1'!I$3,'Course 1'!$I37," ")</f>
        <v xml:space="preserve"> </v>
      </c>
      <c r="J39" s="8" t="str">
        <f>IF('Course 1'!$H37='tab1'!J$3,'Course 1'!$I37," ")</f>
        <v xml:space="preserve"> </v>
      </c>
      <c r="K39" s="8" t="str">
        <f>IF('Course 1'!$H37='tab1'!K$3,'Course 1'!$I37," ")</f>
        <v xml:space="preserve"> </v>
      </c>
      <c r="L39" s="8" t="str">
        <f>IF('Course 1'!$H37='tab1'!L$3,'Course 1'!$I37," ")</f>
        <v xml:space="preserve"> </v>
      </c>
      <c r="M39" s="8" t="str">
        <f>IF('Course 1'!$H37='tab1'!M$3,'Course 1'!$I37," ")</f>
        <v xml:space="preserve"> </v>
      </c>
      <c r="N39" s="9" t="str">
        <f>IF('Course 1'!$H37='tab1'!N$3,'Course 1'!$I37," ")</f>
        <v xml:space="preserve"> </v>
      </c>
    </row>
    <row r="40" spans="2:14">
      <c r="B40">
        <v>36</v>
      </c>
      <c r="C40" s="7" t="str">
        <f>IF('Course 1'!$H38='tab1'!C$3,'Course 1'!$I38," ")</f>
        <v xml:space="preserve"> </v>
      </c>
      <c r="D40" s="8" t="str">
        <f>IF('Course 1'!$H38='tab1'!D$3,'Course 1'!$I38," ")</f>
        <v xml:space="preserve"> </v>
      </c>
      <c r="E40" s="8">
        <f>IF('Course 1'!$H38='tab1'!E$3,'Course 1'!$I38," ")</f>
        <v>4.4861111111111109E-2</v>
      </c>
      <c r="F40" s="8" t="str">
        <f>IF('Course 1'!$H38='tab1'!F$3,'Course 1'!$I38," ")</f>
        <v xml:space="preserve"> </v>
      </c>
      <c r="G40" s="8" t="str">
        <f>IF('Course 1'!$H38='tab1'!G$3,'Course 1'!$I38," ")</f>
        <v xml:space="preserve"> </v>
      </c>
      <c r="H40" s="8" t="str">
        <f>IF('Course 1'!$H38='tab1'!H$3,'Course 1'!$I38," ")</f>
        <v xml:space="preserve"> </v>
      </c>
      <c r="I40" s="8" t="str">
        <f>IF('Course 1'!$H38='tab1'!I$3,'Course 1'!$I38," ")</f>
        <v xml:space="preserve"> </v>
      </c>
      <c r="J40" s="8" t="str">
        <f>IF('Course 1'!$H38='tab1'!J$3,'Course 1'!$I38," ")</f>
        <v xml:space="preserve"> </v>
      </c>
      <c r="K40" s="8" t="str">
        <f>IF('Course 1'!$H38='tab1'!K$3,'Course 1'!$I38," ")</f>
        <v xml:space="preserve"> </v>
      </c>
      <c r="L40" s="8" t="str">
        <f>IF('Course 1'!$H38='tab1'!L$3,'Course 1'!$I38," ")</f>
        <v xml:space="preserve"> </v>
      </c>
      <c r="M40" s="8" t="str">
        <f>IF('Course 1'!$H38='tab1'!M$3,'Course 1'!$I38," ")</f>
        <v xml:space="preserve"> </v>
      </c>
      <c r="N40" s="9" t="str">
        <f>IF('Course 1'!$H38='tab1'!N$3,'Course 1'!$I38," ")</f>
        <v xml:space="preserve"> </v>
      </c>
    </row>
    <row r="41" spans="2:14">
      <c r="B41">
        <v>37</v>
      </c>
      <c r="C41" s="7" t="str">
        <f>IF('Course 1'!$H39='tab1'!C$3,'Course 1'!$I39," ")</f>
        <v xml:space="preserve"> </v>
      </c>
      <c r="D41" s="8">
        <f>IF('Course 1'!$H39='tab1'!D$3,'Course 1'!$I39," ")</f>
        <v>4.5543981481481477E-2</v>
      </c>
      <c r="E41" s="8" t="str">
        <f>IF('Course 1'!$H39='tab1'!E$3,'Course 1'!$I39," ")</f>
        <v xml:space="preserve"> </v>
      </c>
      <c r="F41" s="8" t="str">
        <f>IF('Course 1'!$H39='tab1'!F$3,'Course 1'!$I39," ")</f>
        <v xml:space="preserve"> </v>
      </c>
      <c r="G41" s="8" t="str">
        <f>IF('Course 1'!$H39='tab1'!G$3,'Course 1'!$I39," ")</f>
        <v xml:space="preserve"> </v>
      </c>
      <c r="H41" s="8" t="str">
        <f>IF('Course 1'!$H39='tab1'!H$3,'Course 1'!$I39," ")</f>
        <v xml:space="preserve"> </v>
      </c>
      <c r="I41" s="8" t="str">
        <f>IF('Course 1'!$H39='tab1'!I$3,'Course 1'!$I39," ")</f>
        <v xml:space="preserve"> </v>
      </c>
      <c r="J41" s="8" t="str">
        <f>IF('Course 1'!$H39='tab1'!J$3,'Course 1'!$I39," ")</f>
        <v xml:space="preserve"> </v>
      </c>
      <c r="K41" s="8" t="str">
        <f>IF('Course 1'!$H39='tab1'!K$3,'Course 1'!$I39," ")</f>
        <v xml:space="preserve"> </v>
      </c>
      <c r="L41" s="8" t="str">
        <f>IF('Course 1'!$H39='tab1'!L$3,'Course 1'!$I39," ")</f>
        <v xml:space="preserve"> </v>
      </c>
      <c r="M41" s="8" t="str">
        <f>IF('Course 1'!$H39='tab1'!M$3,'Course 1'!$I39," ")</f>
        <v xml:space="preserve"> </v>
      </c>
      <c r="N41" s="9" t="str">
        <f>IF('Course 1'!$H39='tab1'!N$3,'Course 1'!$I39," ")</f>
        <v xml:space="preserve"> </v>
      </c>
    </row>
    <row r="42" spans="2:14">
      <c r="B42">
        <v>38</v>
      </c>
      <c r="C42" s="7" t="str">
        <f>IF('Course 1'!$H40='tab1'!C$3,'Course 1'!$I40," ")</f>
        <v xml:space="preserve"> </v>
      </c>
      <c r="D42" s="8" t="str">
        <f>IF('Course 1'!$H40='tab1'!D$3,'Course 1'!$I40," ")</f>
        <v xml:space="preserve"> </v>
      </c>
      <c r="E42" s="8">
        <f>IF('Course 1'!$H40='tab1'!E$3,'Course 1'!$I40," ")</f>
        <v>2.3159722222222224E-2</v>
      </c>
      <c r="F42" s="8" t="str">
        <f>IF('Course 1'!$H40='tab1'!F$3,'Course 1'!$I40," ")</f>
        <v xml:space="preserve"> </v>
      </c>
      <c r="G42" s="8" t="str">
        <f>IF('Course 1'!$H40='tab1'!G$3,'Course 1'!$I40," ")</f>
        <v xml:space="preserve"> </v>
      </c>
      <c r="H42" s="8" t="str">
        <f>IF('Course 1'!$H40='tab1'!H$3,'Course 1'!$I40," ")</f>
        <v xml:space="preserve"> </v>
      </c>
      <c r="I42" s="8" t="str">
        <f>IF('Course 1'!$H40='tab1'!I$3,'Course 1'!$I40," ")</f>
        <v xml:space="preserve"> </v>
      </c>
      <c r="J42" s="8" t="str">
        <f>IF('Course 1'!$H40='tab1'!J$3,'Course 1'!$I40," ")</f>
        <v xml:space="preserve"> </v>
      </c>
      <c r="K42" s="8" t="str">
        <f>IF('Course 1'!$H40='tab1'!K$3,'Course 1'!$I40," ")</f>
        <v xml:space="preserve"> </v>
      </c>
      <c r="L42" s="8" t="str">
        <f>IF('Course 1'!$H40='tab1'!L$3,'Course 1'!$I40," ")</f>
        <v xml:space="preserve"> </v>
      </c>
      <c r="M42" s="8" t="str">
        <f>IF('Course 1'!$H40='tab1'!M$3,'Course 1'!$I40," ")</f>
        <v xml:space="preserve"> </v>
      </c>
      <c r="N42" s="9" t="str">
        <f>IF('Course 1'!$H40='tab1'!N$3,'Course 1'!$I40," ")</f>
        <v xml:space="preserve"> </v>
      </c>
    </row>
    <row r="43" spans="2:14">
      <c r="B43">
        <v>39</v>
      </c>
      <c r="C43" s="7" t="str">
        <f>IF('Course 1'!$H41='tab1'!C$3,'Course 1'!$I41," ")</f>
        <v xml:space="preserve"> </v>
      </c>
      <c r="D43" s="8" t="str">
        <f>IF('Course 1'!$H41='tab1'!D$3,'Course 1'!$I41," ")</f>
        <v xml:space="preserve"> </v>
      </c>
      <c r="E43" s="8" t="str">
        <f>IF('Course 1'!$H41='tab1'!E$3,'Course 1'!$I41," ")</f>
        <v xml:space="preserve"> </v>
      </c>
      <c r="F43" s="8" t="str">
        <f>IF('Course 1'!$H41='tab1'!F$3,'Course 1'!$I41," ")</f>
        <v>PM</v>
      </c>
      <c r="G43" s="8" t="str">
        <f>IF('Course 1'!$H41='tab1'!G$3,'Course 1'!$I41," ")</f>
        <v xml:space="preserve"> </v>
      </c>
      <c r="H43" s="8" t="str">
        <f>IF('Course 1'!$H41='tab1'!H$3,'Course 1'!$I41," ")</f>
        <v xml:space="preserve"> </v>
      </c>
      <c r="I43" s="8" t="str">
        <f>IF('Course 1'!$H41='tab1'!I$3,'Course 1'!$I41," ")</f>
        <v xml:space="preserve"> </v>
      </c>
      <c r="J43" s="8" t="str">
        <f>IF('Course 1'!$H41='tab1'!J$3,'Course 1'!$I41," ")</f>
        <v xml:space="preserve"> </v>
      </c>
      <c r="K43" s="8" t="str">
        <f>IF('Course 1'!$H41='tab1'!K$3,'Course 1'!$I41," ")</f>
        <v xml:space="preserve"> </v>
      </c>
      <c r="L43" s="8" t="str">
        <f>IF('Course 1'!$H41='tab1'!L$3,'Course 1'!$I41," ")</f>
        <v xml:space="preserve"> </v>
      </c>
      <c r="M43" s="8" t="str">
        <f>IF('Course 1'!$H41='tab1'!M$3,'Course 1'!$I41," ")</f>
        <v xml:space="preserve"> </v>
      </c>
      <c r="N43" s="9" t="str">
        <f>IF('Course 1'!$H41='tab1'!N$3,'Course 1'!$I41," ")</f>
        <v xml:space="preserve"> </v>
      </c>
    </row>
    <row r="44" spans="2:14">
      <c r="B44">
        <v>40</v>
      </c>
      <c r="C44" s="7" t="str">
        <f>IF('Course 1'!$H42='tab1'!C$3,'Course 1'!$I42," ")</f>
        <v xml:space="preserve"> </v>
      </c>
      <c r="D44" s="8" t="str">
        <f>IF('Course 1'!$H42='tab1'!D$3,'Course 1'!$I42," ")</f>
        <v xml:space="preserve"> </v>
      </c>
      <c r="E44" s="8" t="str">
        <f>IF('Course 1'!$H42='tab1'!E$3,'Course 1'!$I42," ")</f>
        <v xml:space="preserve"> </v>
      </c>
      <c r="F44" s="8">
        <f>IF('Course 1'!$H42='tab1'!F$3,'Course 1'!$I42," ")</f>
        <v>2.0914351851851851E-2</v>
      </c>
      <c r="G44" s="8" t="str">
        <f>IF('Course 1'!$H42='tab1'!G$3,'Course 1'!$I42," ")</f>
        <v xml:space="preserve"> </v>
      </c>
      <c r="H44" s="8" t="str">
        <f>IF('Course 1'!$H42='tab1'!H$3,'Course 1'!$I42," ")</f>
        <v xml:space="preserve"> </v>
      </c>
      <c r="I44" s="8" t="str">
        <f>IF('Course 1'!$H42='tab1'!I$3,'Course 1'!$I42," ")</f>
        <v xml:space="preserve"> </v>
      </c>
      <c r="J44" s="8" t="str">
        <f>IF('Course 1'!$H42='tab1'!J$3,'Course 1'!$I42," ")</f>
        <v xml:space="preserve"> </v>
      </c>
      <c r="K44" s="8" t="str">
        <f>IF('Course 1'!$H42='tab1'!K$3,'Course 1'!$I42," ")</f>
        <v xml:space="preserve"> </v>
      </c>
      <c r="L44" s="8" t="str">
        <f>IF('Course 1'!$H42='tab1'!L$3,'Course 1'!$I42," ")</f>
        <v xml:space="preserve"> </v>
      </c>
      <c r="M44" s="8" t="str">
        <f>IF('Course 1'!$H42='tab1'!M$3,'Course 1'!$I42," ")</f>
        <v xml:space="preserve"> </v>
      </c>
      <c r="N44" s="9" t="str">
        <f>IF('Course 1'!$H42='tab1'!N$3,'Course 1'!$I42," ")</f>
        <v xml:space="preserve"> </v>
      </c>
    </row>
    <row r="45" spans="2:14">
      <c r="B45">
        <v>41</v>
      </c>
      <c r="C45" s="7">
        <f>IF('Course 1'!$H43='tab1'!C$3,'Course 1'!$I43," ")</f>
        <v>6.6018518518518518E-2</v>
      </c>
      <c r="D45" s="8" t="str">
        <f>IF('Course 1'!$H43='tab1'!D$3,'Course 1'!$I43," ")</f>
        <v xml:space="preserve"> </v>
      </c>
      <c r="E45" s="8" t="str">
        <f>IF('Course 1'!$H43='tab1'!E$3,'Course 1'!$I43," ")</f>
        <v xml:space="preserve"> </v>
      </c>
      <c r="F45" s="8" t="str">
        <f>IF('Course 1'!$H43='tab1'!F$3,'Course 1'!$I43," ")</f>
        <v xml:space="preserve"> </v>
      </c>
      <c r="G45" s="8" t="str">
        <f>IF('Course 1'!$H43='tab1'!G$3,'Course 1'!$I43," ")</f>
        <v xml:space="preserve"> </v>
      </c>
      <c r="H45" s="8" t="str">
        <f>IF('Course 1'!$H43='tab1'!H$3,'Course 1'!$I43," ")</f>
        <v xml:space="preserve"> </v>
      </c>
      <c r="I45" s="8" t="str">
        <f>IF('Course 1'!$H43='tab1'!I$3,'Course 1'!$I43," ")</f>
        <v xml:space="preserve"> </v>
      </c>
      <c r="J45" s="8" t="str">
        <f>IF('Course 1'!$H43='tab1'!J$3,'Course 1'!$I43," ")</f>
        <v xml:space="preserve"> </v>
      </c>
      <c r="K45" s="8" t="str">
        <f>IF('Course 1'!$H43='tab1'!K$3,'Course 1'!$I43," ")</f>
        <v xml:space="preserve"> </v>
      </c>
      <c r="L45" s="8" t="str">
        <f>IF('Course 1'!$H43='tab1'!L$3,'Course 1'!$I43," ")</f>
        <v xml:space="preserve"> </v>
      </c>
      <c r="M45" s="8" t="str">
        <f>IF('Course 1'!$H43='tab1'!M$3,'Course 1'!$I43," ")</f>
        <v xml:space="preserve"> </v>
      </c>
      <c r="N45" s="9" t="str">
        <f>IF('Course 1'!$H43='tab1'!N$3,'Course 1'!$I43," ")</f>
        <v xml:space="preserve"> </v>
      </c>
    </row>
    <row r="46" spans="2:14">
      <c r="B46">
        <v>42</v>
      </c>
      <c r="C46" s="7">
        <f>IF('Course 1'!$H44='tab1'!C$3,'Course 1'!$I44," ")</f>
        <v>7.1331018518518516E-2</v>
      </c>
      <c r="D46" s="8" t="str">
        <f>IF('Course 1'!$H44='tab1'!D$3,'Course 1'!$I44," ")</f>
        <v xml:space="preserve"> </v>
      </c>
      <c r="E46" s="8" t="str">
        <f>IF('Course 1'!$H44='tab1'!E$3,'Course 1'!$I44," ")</f>
        <v xml:space="preserve"> </v>
      </c>
      <c r="F46" s="8" t="str">
        <f>IF('Course 1'!$H44='tab1'!F$3,'Course 1'!$I44," ")</f>
        <v xml:space="preserve"> </v>
      </c>
      <c r="G46" s="8" t="str">
        <f>IF('Course 1'!$H44='tab1'!G$3,'Course 1'!$I44," ")</f>
        <v xml:space="preserve"> </v>
      </c>
      <c r="H46" s="8" t="str">
        <f>IF('Course 1'!$H44='tab1'!H$3,'Course 1'!$I44," ")</f>
        <v xml:space="preserve"> </v>
      </c>
      <c r="I46" s="8" t="str">
        <f>IF('Course 1'!$H44='tab1'!I$3,'Course 1'!$I44," ")</f>
        <v xml:space="preserve"> </v>
      </c>
      <c r="J46" s="8" t="str">
        <f>IF('Course 1'!$H44='tab1'!J$3,'Course 1'!$I44," ")</f>
        <v xml:space="preserve"> </v>
      </c>
      <c r="K46" s="8" t="str">
        <f>IF('Course 1'!$H44='tab1'!K$3,'Course 1'!$I44," ")</f>
        <v xml:space="preserve"> </v>
      </c>
      <c r="L46" s="8" t="str">
        <f>IF('Course 1'!$H44='tab1'!L$3,'Course 1'!$I44," ")</f>
        <v xml:space="preserve"> </v>
      </c>
      <c r="M46" s="8" t="str">
        <f>IF('Course 1'!$H44='tab1'!M$3,'Course 1'!$I44," ")</f>
        <v xml:space="preserve"> </v>
      </c>
      <c r="N46" s="9" t="str">
        <f>IF('Course 1'!$H44='tab1'!N$3,'Course 1'!$I44," ")</f>
        <v xml:space="preserve"> </v>
      </c>
    </row>
    <row r="47" spans="2:14">
      <c r="B47">
        <v>43</v>
      </c>
      <c r="C47" s="7" t="str">
        <f>IF('Course 1'!$H45='tab1'!C$3,'Course 1'!$I45," ")</f>
        <v xml:space="preserve"> </v>
      </c>
      <c r="D47" s="8" t="str">
        <f>IF('Course 1'!$H45='tab1'!D$3,'Course 1'!$I45," ")</f>
        <v xml:space="preserve"> </v>
      </c>
      <c r="E47" s="8">
        <f>IF('Course 1'!$H45='tab1'!E$3,'Course 1'!$I45," ")</f>
        <v>2.6331018518518517E-2</v>
      </c>
      <c r="F47" s="8" t="str">
        <f>IF('Course 1'!$H45='tab1'!F$3,'Course 1'!$I45," ")</f>
        <v xml:space="preserve"> </v>
      </c>
      <c r="G47" s="8" t="str">
        <f>IF('Course 1'!$H45='tab1'!G$3,'Course 1'!$I45," ")</f>
        <v xml:space="preserve"> </v>
      </c>
      <c r="H47" s="8" t="str">
        <f>IF('Course 1'!$H45='tab1'!H$3,'Course 1'!$I45," ")</f>
        <v xml:space="preserve"> </v>
      </c>
      <c r="I47" s="8" t="str">
        <f>IF('Course 1'!$H45='tab1'!I$3,'Course 1'!$I45," ")</f>
        <v xml:space="preserve"> </v>
      </c>
      <c r="J47" s="8" t="str">
        <f>IF('Course 1'!$H45='tab1'!J$3,'Course 1'!$I45," ")</f>
        <v xml:space="preserve"> </v>
      </c>
      <c r="K47" s="8" t="str">
        <f>IF('Course 1'!$H45='tab1'!K$3,'Course 1'!$I45," ")</f>
        <v xml:space="preserve"> </v>
      </c>
      <c r="L47" s="8" t="str">
        <f>IF('Course 1'!$H45='tab1'!L$3,'Course 1'!$I45," ")</f>
        <v xml:space="preserve"> </v>
      </c>
      <c r="M47" s="8" t="str">
        <f>IF('Course 1'!$H45='tab1'!M$3,'Course 1'!$I45," ")</f>
        <v xml:space="preserve"> </v>
      </c>
      <c r="N47" s="9" t="str">
        <f>IF('Course 1'!$H45='tab1'!N$3,'Course 1'!$I45," ")</f>
        <v xml:space="preserve"> </v>
      </c>
    </row>
    <row r="48" spans="2:14">
      <c r="B48">
        <v>44</v>
      </c>
      <c r="C48" s="7" t="str">
        <f>IF('Course 1'!$H46='tab1'!C$3,'Course 1'!$I46," ")</f>
        <v xml:space="preserve"> </v>
      </c>
      <c r="D48" s="8">
        <f>IF('Course 1'!$H46='tab1'!D$3,'Course 1'!$I46," ")</f>
        <v>6.9641203703703705E-2</v>
      </c>
      <c r="E48" s="8" t="str">
        <f>IF('Course 1'!$H46='tab1'!E$3,'Course 1'!$I46," ")</f>
        <v xml:space="preserve"> </v>
      </c>
      <c r="F48" s="8" t="str">
        <f>IF('Course 1'!$H46='tab1'!F$3,'Course 1'!$I46," ")</f>
        <v xml:space="preserve"> </v>
      </c>
      <c r="G48" s="8" t="str">
        <f>IF('Course 1'!$H46='tab1'!G$3,'Course 1'!$I46," ")</f>
        <v xml:space="preserve"> </v>
      </c>
      <c r="H48" s="8" t="str">
        <f>IF('Course 1'!$H46='tab1'!H$3,'Course 1'!$I46," ")</f>
        <v xml:space="preserve"> </v>
      </c>
      <c r="I48" s="8" t="str">
        <f>IF('Course 1'!$H46='tab1'!I$3,'Course 1'!$I46," ")</f>
        <v xml:space="preserve"> </v>
      </c>
      <c r="J48" s="8" t="str">
        <f>IF('Course 1'!$H46='tab1'!J$3,'Course 1'!$I46," ")</f>
        <v xml:space="preserve"> </v>
      </c>
      <c r="K48" s="8" t="str">
        <f>IF('Course 1'!$H46='tab1'!K$3,'Course 1'!$I46," ")</f>
        <v xml:space="preserve"> </v>
      </c>
      <c r="L48" s="8" t="str">
        <f>IF('Course 1'!$H46='tab1'!L$3,'Course 1'!$I46," ")</f>
        <v xml:space="preserve"> </v>
      </c>
      <c r="M48" s="8" t="str">
        <f>IF('Course 1'!$H46='tab1'!M$3,'Course 1'!$I46," ")</f>
        <v xml:space="preserve"> </v>
      </c>
      <c r="N48" s="9" t="str">
        <f>IF('Course 1'!$H46='tab1'!N$3,'Course 1'!$I46," ")</f>
        <v xml:space="preserve"> </v>
      </c>
    </row>
    <row r="49" spans="2:14">
      <c r="B49">
        <v>45</v>
      </c>
      <c r="C49" s="7" t="str">
        <f>IF('Course 1'!$H47='tab1'!C$3,'Course 1'!$I47," ")</f>
        <v xml:space="preserve"> </v>
      </c>
      <c r="D49" s="8" t="str">
        <f>IF('Course 1'!$H47='tab1'!D$3,'Course 1'!$I47," ")</f>
        <v xml:space="preserve"> </v>
      </c>
      <c r="E49" s="8" t="str">
        <f>IF('Course 1'!$H47='tab1'!E$3,'Course 1'!$I47," ")</f>
        <v xml:space="preserve"> </v>
      </c>
      <c r="F49" s="8" t="str">
        <f>IF('Course 1'!$H47='tab1'!F$3,'Course 1'!$I47," ")</f>
        <v>PM</v>
      </c>
      <c r="G49" s="8" t="str">
        <f>IF('Course 1'!$H47='tab1'!G$3,'Course 1'!$I47," ")</f>
        <v xml:space="preserve"> </v>
      </c>
      <c r="H49" s="8" t="str">
        <f>IF('Course 1'!$H47='tab1'!H$3,'Course 1'!$I47," ")</f>
        <v xml:space="preserve"> </v>
      </c>
      <c r="I49" s="8" t="str">
        <f>IF('Course 1'!$H47='tab1'!I$3,'Course 1'!$I47," ")</f>
        <v xml:space="preserve"> </v>
      </c>
      <c r="J49" s="8" t="str">
        <f>IF('Course 1'!$H47='tab1'!J$3,'Course 1'!$I47," ")</f>
        <v xml:space="preserve"> </v>
      </c>
      <c r="K49" s="8" t="str">
        <f>IF('Course 1'!$H47='tab1'!K$3,'Course 1'!$I47," ")</f>
        <v xml:space="preserve"> </v>
      </c>
      <c r="L49" s="8" t="str">
        <f>IF('Course 1'!$H47='tab1'!L$3,'Course 1'!$I47," ")</f>
        <v xml:space="preserve"> </v>
      </c>
      <c r="M49" s="8" t="str">
        <f>IF('Course 1'!$H47='tab1'!M$3,'Course 1'!$I47," ")</f>
        <v xml:space="preserve"> </v>
      </c>
      <c r="N49" s="9" t="str">
        <f>IF('Course 1'!$H47='tab1'!N$3,'Course 1'!$I47," ")</f>
        <v xml:space="preserve"> </v>
      </c>
    </row>
    <row r="50" spans="2:14">
      <c r="B50">
        <v>46</v>
      </c>
      <c r="C50" s="7" t="str">
        <f>IF('Course 1'!$H48='tab1'!C$3,'Course 1'!$I48," ")</f>
        <v xml:space="preserve"> </v>
      </c>
      <c r="D50" s="8" t="str">
        <f>IF('Course 1'!$H48='tab1'!D$3,'Course 1'!$I48," ")</f>
        <v xml:space="preserve"> </v>
      </c>
      <c r="E50" s="8">
        <f>IF('Course 1'!$H48='tab1'!E$3,'Course 1'!$I48," ")</f>
        <v>3.2847222222222222E-2</v>
      </c>
      <c r="F50" s="8" t="str">
        <f>IF('Course 1'!$H48='tab1'!F$3,'Course 1'!$I48," ")</f>
        <v xml:space="preserve"> </v>
      </c>
      <c r="G50" s="8" t="str">
        <f>IF('Course 1'!$H48='tab1'!G$3,'Course 1'!$I48," ")</f>
        <v xml:space="preserve"> </v>
      </c>
      <c r="H50" s="8" t="str">
        <f>IF('Course 1'!$H48='tab1'!H$3,'Course 1'!$I48," ")</f>
        <v xml:space="preserve"> </v>
      </c>
      <c r="I50" s="8" t="str">
        <f>IF('Course 1'!$H48='tab1'!I$3,'Course 1'!$I48," ")</f>
        <v xml:space="preserve"> </v>
      </c>
      <c r="J50" s="8" t="str">
        <f>IF('Course 1'!$H48='tab1'!J$3,'Course 1'!$I48," ")</f>
        <v xml:space="preserve"> </v>
      </c>
      <c r="K50" s="8" t="str">
        <f>IF('Course 1'!$H48='tab1'!K$3,'Course 1'!$I48," ")</f>
        <v xml:space="preserve"> </v>
      </c>
      <c r="L50" s="8" t="str">
        <f>IF('Course 1'!$H48='tab1'!L$3,'Course 1'!$I48," ")</f>
        <v xml:space="preserve"> </v>
      </c>
      <c r="M50" s="8" t="str">
        <f>IF('Course 1'!$H48='tab1'!M$3,'Course 1'!$I48," ")</f>
        <v xml:space="preserve"> </v>
      </c>
      <c r="N50" s="9" t="str">
        <f>IF('Course 1'!$H48='tab1'!N$3,'Course 1'!$I48," ")</f>
        <v xml:space="preserve"> </v>
      </c>
    </row>
    <row r="51" spans="2:14">
      <c r="B51">
        <v>47</v>
      </c>
      <c r="C51" s="7" t="str">
        <f>IF('Course 1'!$H49='tab1'!C$3,'Course 1'!$I49," ")</f>
        <v xml:space="preserve"> </v>
      </c>
      <c r="D51" s="8" t="str">
        <f>IF('Course 1'!$H49='tab1'!D$3,'Course 1'!$I49," ")</f>
        <v xml:space="preserve"> </v>
      </c>
      <c r="E51" s="8" t="str">
        <f>IF('Course 1'!$H49='tab1'!E$3,'Course 1'!$I49," ")</f>
        <v xml:space="preserve"> </v>
      </c>
      <c r="F51" s="8">
        <f>IF('Course 1'!$H49='tab1'!F$3,'Course 1'!$I49," ")</f>
        <v>1.5891203703703703E-2</v>
      </c>
      <c r="G51" s="8" t="str">
        <f>IF('Course 1'!$H49='tab1'!G$3,'Course 1'!$I49," ")</f>
        <v xml:space="preserve"> </v>
      </c>
      <c r="H51" s="8" t="str">
        <f>IF('Course 1'!$H49='tab1'!H$3,'Course 1'!$I49," ")</f>
        <v xml:space="preserve"> </v>
      </c>
      <c r="I51" s="8" t="str">
        <f>IF('Course 1'!$H49='tab1'!I$3,'Course 1'!$I49," ")</f>
        <v xml:space="preserve"> </v>
      </c>
      <c r="J51" s="8" t="str">
        <f>IF('Course 1'!$H49='tab1'!J$3,'Course 1'!$I49," ")</f>
        <v xml:space="preserve"> </v>
      </c>
      <c r="K51" s="8" t="str">
        <f>IF('Course 1'!$H49='tab1'!K$3,'Course 1'!$I49," ")</f>
        <v xml:space="preserve"> </v>
      </c>
      <c r="L51" s="8" t="str">
        <f>IF('Course 1'!$H49='tab1'!L$3,'Course 1'!$I49," ")</f>
        <v xml:space="preserve"> </v>
      </c>
      <c r="M51" s="8" t="str">
        <f>IF('Course 1'!$H49='tab1'!M$3,'Course 1'!$I49," ")</f>
        <v xml:space="preserve"> </v>
      </c>
      <c r="N51" s="9" t="str">
        <f>IF('Course 1'!$H49='tab1'!N$3,'Course 1'!$I49," ")</f>
        <v xml:space="preserve"> </v>
      </c>
    </row>
    <row r="52" spans="2:14">
      <c r="B52">
        <v>48</v>
      </c>
      <c r="C52" s="7" t="str">
        <f>IF('Course 1'!$H50='tab1'!C$3,'Course 1'!$I50," ")</f>
        <v xml:space="preserve"> </v>
      </c>
      <c r="D52" s="8" t="str">
        <f>IF('Course 1'!$H50='tab1'!D$3,'Course 1'!$I50," ")</f>
        <v xml:space="preserve"> </v>
      </c>
      <c r="E52" s="8" t="str">
        <f>IF('Course 1'!$H50='tab1'!E$3,'Course 1'!$I50," ")</f>
        <v xml:space="preserve"> </v>
      </c>
      <c r="F52" s="8" t="str">
        <f>IF('Course 1'!$H50='tab1'!F$3,'Course 1'!$I50," ")</f>
        <v xml:space="preserve"> </v>
      </c>
      <c r="G52" s="8" t="str">
        <f>IF('Course 1'!$H50='tab1'!G$3,'Course 1'!$I50," ")</f>
        <v xml:space="preserve"> </v>
      </c>
      <c r="H52" s="8" t="str">
        <f>IF('Course 1'!$H50='tab1'!H$3,'Course 1'!$I50," ")</f>
        <v xml:space="preserve"> </v>
      </c>
      <c r="I52" s="8" t="str">
        <f>IF('Course 1'!$H50='tab1'!I$3,'Course 1'!$I50," ")</f>
        <v xml:space="preserve"> </v>
      </c>
      <c r="J52" s="8" t="str">
        <f>IF('Course 1'!$H50='tab1'!J$3,'Course 1'!$I50," ")</f>
        <v xml:space="preserve"> </v>
      </c>
      <c r="K52" s="8" t="str">
        <f>IF('Course 1'!$H50='tab1'!K$3,'Course 1'!$I50," ")</f>
        <v xml:space="preserve"> </v>
      </c>
      <c r="L52" s="8" t="str">
        <f>IF('Course 1'!$H50='tab1'!L$3,'Course 1'!$I50," ")</f>
        <v xml:space="preserve"> </v>
      </c>
      <c r="M52" s="8" t="str">
        <f>IF('Course 1'!$H50='tab1'!M$3,'Course 1'!$I50," ")</f>
        <v xml:space="preserve"> </v>
      </c>
      <c r="N52" s="9" t="str">
        <f>IF('Course 1'!$H50='tab1'!N$3,'Course 1'!$I50," ")</f>
        <v xml:space="preserve"> </v>
      </c>
    </row>
    <row r="53" spans="2:14">
      <c r="B53">
        <v>49</v>
      </c>
      <c r="C53" s="7" t="str">
        <f>IF('Course 1'!$H51='tab1'!C$3,'Course 1'!$I51," ")</f>
        <v xml:space="preserve"> </v>
      </c>
      <c r="D53" s="8" t="str">
        <f>IF('Course 1'!$H51='tab1'!D$3,'Course 1'!$I51," ")</f>
        <v xml:space="preserve"> </v>
      </c>
      <c r="E53" s="8" t="str">
        <f>IF('Course 1'!$H51='tab1'!E$3,'Course 1'!$I51," ")</f>
        <v xml:space="preserve"> </v>
      </c>
      <c r="F53" s="8" t="str">
        <f>IF('Course 1'!$H51='tab1'!F$3,'Course 1'!$I51," ")</f>
        <v xml:space="preserve"> </v>
      </c>
      <c r="G53" s="8" t="str">
        <f>IF('Course 1'!$H51='tab1'!G$3,'Course 1'!$I51," ")</f>
        <v xml:space="preserve"> </v>
      </c>
      <c r="H53" s="8" t="str">
        <f>IF('Course 1'!$H51='tab1'!H$3,'Course 1'!$I51," ")</f>
        <v xml:space="preserve"> </v>
      </c>
      <c r="I53" s="8" t="str">
        <f>IF('Course 1'!$H51='tab1'!I$3,'Course 1'!$I51," ")</f>
        <v xml:space="preserve"> </v>
      </c>
      <c r="J53" s="8" t="str">
        <f>IF('Course 1'!$H51='tab1'!J$3,'Course 1'!$I51," ")</f>
        <v xml:space="preserve"> </v>
      </c>
      <c r="K53" s="8" t="str">
        <f>IF('Course 1'!$H51='tab1'!K$3,'Course 1'!$I51," ")</f>
        <v xml:space="preserve"> </v>
      </c>
      <c r="L53" s="8" t="str">
        <f>IF('Course 1'!$H51='tab1'!L$3,'Course 1'!$I51," ")</f>
        <v xml:space="preserve"> </v>
      </c>
      <c r="M53" s="8" t="str">
        <f>IF('Course 1'!$H51='tab1'!M$3,'Course 1'!$I51," ")</f>
        <v xml:space="preserve"> </v>
      </c>
      <c r="N53" s="9" t="str">
        <f>IF('Course 1'!$H51='tab1'!N$3,'Course 1'!$I51," ")</f>
        <v xml:space="preserve"> </v>
      </c>
    </row>
    <row r="54" spans="2:14">
      <c r="B54">
        <v>50</v>
      </c>
      <c r="C54" s="7" t="str">
        <f>IF('Course 1'!$H52='tab1'!C$3,'Course 1'!$I52," ")</f>
        <v xml:space="preserve"> </v>
      </c>
      <c r="D54" s="8" t="str">
        <f>IF('Course 1'!$H52='tab1'!D$3,'Course 1'!$I52," ")</f>
        <v xml:space="preserve"> </v>
      </c>
      <c r="E54" s="8" t="str">
        <f>IF('Course 1'!$H52='tab1'!E$3,'Course 1'!$I52," ")</f>
        <v xml:space="preserve"> </v>
      </c>
      <c r="F54" s="8" t="str">
        <f>IF('Course 1'!$H52='tab1'!F$3,'Course 1'!$I52," ")</f>
        <v xml:space="preserve"> </v>
      </c>
      <c r="G54" s="8" t="str">
        <f>IF('Course 1'!$H52='tab1'!G$3,'Course 1'!$I52," ")</f>
        <v xml:space="preserve"> </v>
      </c>
      <c r="H54" s="8" t="str">
        <f>IF('Course 1'!$H52='tab1'!H$3,'Course 1'!$I52," ")</f>
        <v xml:space="preserve"> </v>
      </c>
      <c r="I54" s="8" t="str">
        <f>IF('Course 1'!$H52='tab1'!I$3,'Course 1'!$I52," ")</f>
        <v xml:space="preserve"> </v>
      </c>
      <c r="J54" s="8" t="str">
        <f>IF('Course 1'!$H52='tab1'!J$3,'Course 1'!$I52," ")</f>
        <v xml:space="preserve"> </v>
      </c>
      <c r="K54" s="8" t="str">
        <f>IF('Course 1'!$H52='tab1'!K$3,'Course 1'!$I52," ")</f>
        <v xml:space="preserve"> </v>
      </c>
      <c r="L54" s="8" t="str">
        <f>IF('Course 1'!$H52='tab1'!L$3,'Course 1'!$I52," ")</f>
        <v xml:space="preserve"> </v>
      </c>
      <c r="M54" s="8" t="str">
        <f>IF('Course 1'!$H52='tab1'!M$3,'Course 1'!$I52," ")</f>
        <v xml:space="preserve"> </v>
      </c>
      <c r="N54" s="9" t="str">
        <f>IF('Course 1'!$H52='tab1'!N$3,'Course 1'!$I52," ")</f>
        <v xml:space="preserve"> </v>
      </c>
    </row>
    <row r="55" spans="2:14">
      <c r="B55">
        <v>51</v>
      </c>
      <c r="C55" s="7" t="str">
        <f>IF('Course 1'!$H53='tab1'!C$3,'Course 1'!$I53," ")</f>
        <v xml:space="preserve"> </v>
      </c>
      <c r="D55" s="8" t="str">
        <f>IF('Course 1'!$H53='tab1'!D$3,'Course 1'!$I53," ")</f>
        <v xml:space="preserve"> </v>
      </c>
      <c r="E55" s="8" t="str">
        <f>IF('Course 1'!$H53='tab1'!E$3,'Course 1'!$I53," ")</f>
        <v xml:space="preserve"> </v>
      </c>
      <c r="F55" s="8" t="str">
        <f>IF('Course 1'!$H53='tab1'!F$3,'Course 1'!$I53," ")</f>
        <v xml:space="preserve"> </v>
      </c>
      <c r="G55" s="8" t="str">
        <f>IF('Course 1'!$H53='tab1'!G$3,'Course 1'!$I53," ")</f>
        <v xml:space="preserve"> </v>
      </c>
      <c r="H55" s="8" t="str">
        <f>IF('Course 1'!$H53='tab1'!H$3,'Course 1'!$I53," ")</f>
        <v xml:space="preserve"> </v>
      </c>
      <c r="I55" s="8" t="str">
        <f>IF('Course 1'!$H53='tab1'!I$3,'Course 1'!$I53," ")</f>
        <v xml:space="preserve"> </v>
      </c>
      <c r="J55" s="8" t="str">
        <f>IF('Course 1'!$H53='tab1'!J$3,'Course 1'!$I53," ")</f>
        <v xml:space="preserve"> </v>
      </c>
      <c r="K55" s="8" t="str">
        <f>IF('Course 1'!$H53='tab1'!K$3,'Course 1'!$I53," ")</f>
        <v xml:space="preserve"> </v>
      </c>
      <c r="L55" s="8" t="str">
        <f>IF('Course 1'!$H53='tab1'!L$3,'Course 1'!$I53," ")</f>
        <v xml:space="preserve"> </v>
      </c>
      <c r="M55" s="8" t="str">
        <f>IF('Course 1'!$H53='tab1'!M$3,'Course 1'!$I53," ")</f>
        <v xml:space="preserve"> </v>
      </c>
      <c r="N55" s="9" t="str">
        <f>IF('Course 1'!$H53='tab1'!N$3,'Course 1'!$I53," ")</f>
        <v xml:space="preserve"> </v>
      </c>
    </row>
    <row r="56" spans="2:14">
      <c r="B56">
        <v>52</v>
      </c>
      <c r="C56" s="7" t="str">
        <f>IF('Course 1'!$H54='tab1'!C$3,'Course 1'!$I54," ")</f>
        <v xml:space="preserve"> </v>
      </c>
      <c r="D56" s="8" t="str">
        <f>IF('Course 1'!$H54='tab1'!D$3,'Course 1'!$I54," ")</f>
        <v xml:space="preserve"> </v>
      </c>
      <c r="E56" s="8" t="str">
        <f>IF('Course 1'!$H54='tab1'!E$3,'Course 1'!$I54," ")</f>
        <v xml:space="preserve"> </v>
      </c>
      <c r="F56" s="8" t="str">
        <f>IF('Course 1'!$H54='tab1'!F$3,'Course 1'!$I54," ")</f>
        <v xml:space="preserve"> </v>
      </c>
      <c r="G56" s="8" t="str">
        <f>IF('Course 1'!$H54='tab1'!G$3,'Course 1'!$I54," ")</f>
        <v xml:space="preserve"> </v>
      </c>
      <c r="H56" s="8" t="str">
        <f>IF('Course 1'!$H54='tab1'!H$3,'Course 1'!$I54," ")</f>
        <v xml:space="preserve"> </v>
      </c>
      <c r="I56" s="8" t="str">
        <f>IF('Course 1'!$H54='tab1'!I$3,'Course 1'!$I54," ")</f>
        <v xml:space="preserve"> </v>
      </c>
      <c r="J56" s="8" t="str">
        <f>IF('Course 1'!$H54='tab1'!J$3,'Course 1'!$I54," ")</f>
        <v xml:space="preserve"> </v>
      </c>
      <c r="K56" s="8" t="str">
        <f>IF('Course 1'!$H54='tab1'!K$3,'Course 1'!$I54," ")</f>
        <v xml:space="preserve"> </v>
      </c>
      <c r="L56" s="8" t="str">
        <f>IF('Course 1'!$H54='tab1'!L$3,'Course 1'!$I54," ")</f>
        <v xml:space="preserve"> </v>
      </c>
      <c r="M56" s="8" t="str">
        <f>IF('Course 1'!$H54='tab1'!M$3,'Course 1'!$I54," ")</f>
        <v xml:space="preserve"> </v>
      </c>
      <c r="N56" s="9" t="str">
        <f>IF('Course 1'!$H54='tab1'!N$3,'Course 1'!$I54," ")</f>
        <v xml:space="preserve"> </v>
      </c>
    </row>
    <row r="57" spans="2:14">
      <c r="B57">
        <v>53</v>
      </c>
      <c r="C57" s="7" t="str">
        <f>IF('Course 1'!$H55='tab1'!C$3,'Course 1'!$I55," ")</f>
        <v xml:space="preserve"> </v>
      </c>
      <c r="D57" s="8" t="str">
        <f>IF('Course 1'!$H55='tab1'!D$3,'Course 1'!$I55," ")</f>
        <v xml:space="preserve"> </v>
      </c>
      <c r="E57" s="8" t="str">
        <f>IF('Course 1'!$H55='tab1'!E$3,'Course 1'!$I55," ")</f>
        <v xml:space="preserve"> </v>
      </c>
      <c r="F57" s="8" t="str">
        <f>IF('Course 1'!$H55='tab1'!F$3,'Course 1'!$I55," ")</f>
        <v xml:space="preserve"> </v>
      </c>
      <c r="G57" s="8" t="str">
        <f>IF('Course 1'!$H55='tab1'!G$3,'Course 1'!$I55," ")</f>
        <v xml:space="preserve"> </v>
      </c>
      <c r="H57" s="8" t="str">
        <f>IF('Course 1'!$H55='tab1'!H$3,'Course 1'!$I55," ")</f>
        <v xml:space="preserve"> </v>
      </c>
      <c r="I57" s="8" t="str">
        <f>IF('Course 1'!$H55='tab1'!I$3,'Course 1'!$I55," ")</f>
        <v xml:space="preserve"> </v>
      </c>
      <c r="J57" s="8" t="str">
        <f>IF('Course 1'!$H55='tab1'!J$3,'Course 1'!$I55," ")</f>
        <v xml:space="preserve"> </v>
      </c>
      <c r="K57" s="8" t="str">
        <f>IF('Course 1'!$H55='tab1'!K$3,'Course 1'!$I55," ")</f>
        <v xml:space="preserve"> </v>
      </c>
      <c r="L57" s="8" t="str">
        <f>IF('Course 1'!$H55='tab1'!L$3,'Course 1'!$I55," ")</f>
        <v xml:space="preserve"> </v>
      </c>
      <c r="M57" s="8" t="str">
        <f>IF('Course 1'!$H55='tab1'!M$3,'Course 1'!$I55," ")</f>
        <v xml:space="preserve"> </v>
      </c>
      <c r="N57" s="9" t="str">
        <f>IF('Course 1'!$H55='tab1'!N$3,'Course 1'!$I55," ")</f>
        <v xml:space="preserve"> </v>
      </c>
    </row>
    <row r="58" spans="2:14">
      <c r="B58">
        <v>54</v>
      </c>
      <c r="C58" s="7" t="str">
        <f>IF('Course 1'!$H56='tab1'!C$3,'Course 1'!$I56," ")</f>
        <v xml:space="preserve"> </v>
      </c>
      <c r="D58" s="8" t="str">
        <f>IF('Course 1'!$H56='tab1'!D$3,'Course 1'!$I56," ")</f>
        <v xml:space="preserve"> </v>
      </c>
      <c r="E58" s="8" t="str">
        <f>IF('Course 1'!$H56='tab1'!E$3,'Course 1'!$I56," ")</f>
        <v xml:space="preserve"> </v>
      </c>
      <c r="F58" s="8">
        <f>IF('Course 1'!$H56='tab1'!F$3,'Course 1'!$I56," ")</f>
        <v>2.2268518518518521E-2</v>
      </c>
      <c r="G58" s="8" t="str">
        <f>IF('Course 1'!$H56='tab1'!G$3,'Course 1'!$I56," ")</f>
        <v xml:space="preserve"> </v>
      </c>
      <c r="H58" s="8" t="str">
        <f>IF('Course 1'!$H56='tab1'!H$3,'Course 1'!$I56," ")</f>
        <v xml:space="preserve"> </v>
      </c>
      <c r="I58" s="8" t="str">
        <f>IF('Course 1'!$H56='tab1'!I$3,'Course 1'!$I56," ")</f>
        <v xml:space="preserve"> </v>
      </c>
      <c r="J58" s="8" t="str">
        <f>IF('Course 1'!$H56='tab1'!J$3,'Course 1'!$I56," ")</f>
        <v xml:space="preserve"> </v>
      </c>
      <c r="K58" s="8" t="str">
        <f>IF('Course 1'!$H56='tab1'!K$3,'Course 1'!$I56," ")</f>
        <v xml:space="preserve"> </v>
      </c>
      <c r="L58" s="8" t="str">
        <f>IF('Course 1'!$H56='tab1'!L$3,'Course 1'!$I56," ")</f>
        <v xml:space="preserve"> </v>
      </c>
      <c r="M58" s="8" t="str">
        <f>IF('Course 1'!$H56='tab1'!M$3,'Course 1'!$I56," ")</f>
        <v xml:space="preserve"> </v>
      </c>
      <c r="N58" s="9" t="str">
        <f>IF('Course 1'!$H56='tab1'!N$3,'Course 1'!$I56," ")</f>
        <v xml:space="preserve"> </v>
      </c>
    </row>
    <row r="59" spans="2:14">
      <c r="B59">
        <v>55</v>
      </c>
      <c r="C59" s="7" t="str">
        <f>IF('Course 1'!$H57='tab1'!C$3,'Course 1'!$O57," ")</f>
        <v xml:space="preserve"> </v>
      </c>
      <c r="D59" s="8" t="str">
        <f>IF('Course 1'!$H57='tab1'!D$3,'Course 1'!$O57," ")</f>
        <v xml:space="preserve"> </v>
      </c>
      <c r="E59" s="8" t="str">
        <f>IF('Course 1'!$H57='tab1'!E$3,'Course 1'!$O57," ")</f>
        <v xml:space="preserve"> </v>
      </c>
      <c r="F59" s="8" t="str">
        <f>IF('Course 1'!$H57='tab1'!F$3,'Course 1'!$O57," ")</f>
        <v xml:space="preserve"> </v>
      </c>
      <c r="G59" s="8" t="str">
        <f>IF('Course 1'!$H57='tab1'!G$3,'Course 1'!$O57," ")</f>
        <v xml:space="preserve"> </v>
      </c>
      <c r="H59" s="8" t="str">
        <f>IF('Course 1'!$H57='tab1'!H$3,'Course 1'!$O57," ")</f>
        <v xml:space="preserve"> </v>
      </c>
      <c r="I59" s="8" t="str">
        <f>IF('Course 1'!$H57='tab1'!I$3,'Course 1'!$O57," ")</f>
        <v xml:space="preserve"> </v>
      </c>
      <c r="J59" s="8" t="str">
        <f>IF('Course 1'!$H57='tab1'!J$3,'Course 1'!$O57," ")</f>
        <v xml:space="preserve"> </v>
      </c>
      <c r="K59" s="8" t="str">
        <f>IF('Course 1'!$H57='tab1'!K$3,'Course 1'!$O57," ")</f>
        <v xml:space="preserve"> </v>
      </c>
      <c r="L59" s="8" t="str">
        <f>IF('Course 1'!$H57='tab1'!L$3,'Course 1'!$O57," ")</f>
        <v xml:space="preserve"> </v>
      </c>
      <c r="M59" s="8" t="str">
        <f>IF('Course 1'!$H57='tab1'!M$3,'Course 1'!$O57," ")</f>
        <v xml:space="preserve"> </v>
      </c>
      <c r="N59" s="9" t="str">
        <f>IF('Course 1'!$H57='tab1'!N$3,'Course 1'!$O57," ")</f>
        <v xml:space="preserve"> </v>
      </c>
    </row>
    <row r="60" spans="2:14">
      <c r="B60">
        <v>56</v>
      </c>
      <c r="C60" s="7" t="str">
        <f>IF('Course 1'!$H58='tab1'!C$3,'Course 1'!$I58," ")</f>
        <v xml:space="preserve"> </v>
      </c>
      <c r="D60" s="8">
        <f>IF('Course 1'!$H58='tab1'!D$3,'Course 1'!$I58," ")</f>
        <v>6.4432870370370363E-2</v>
      </c>
      <c r="E60" s="8" t="str">
        <f>IF('Course 1'!$H58='tab1'!E$3,'Course 1'!$I58," ")</f>
        <v xml:space="preserve"> </v>
      </c>
      <c r="F60" s="8" t="str">
        <f>IF('Course 1'!$H58='tab1'!F$3,'Course 1'!$I58," ")</f>
        <v xml:space="preserve"> </v>
      </c>
      <c r="G60" s="8" t="str">
        <f>IF('Course 1'!$H58='tab1'!G$3,'Course 1'!$I58," ")</f>
        <v xml:space="preserve"> </v>
      </c>
      <c r="H60" s="8" t="str">
        <f>IF('Course 1'!$H58='tab1'!H$3,'Course 1'!$I58," ")</f>
        <v xml:space="preserve"> </v>
      </c>
      <c r="I60" s="8" t="str">
        <f>IF('Course 1'!$H58='tab1'!I$3,'Course 1'!$I58," ")</f>
        <v xml:space="preserve"> </v>
      </c>
      <c r="J60" s="8" t="str">
        <f>IF('Course 1'!$H58='tab1'!J$3,'Course 1'!$I58," ")</f>
        <v xml:space="preserve"> </v>
      </c>
      <c r="K60" s="8" t="str">
        <f>IF('Course 1'!$H58='tab1'!K$3,'Course 1'!$I58," ")</f>
        <v xml:space="preserve"> </v>
      </c>
      <c r="L60" s="8" t="str">
        <f>IF('Course 1'!$H58='tab1'!L$3,'Course 1'!$I58," ")</f>
        <v xml:space="preserve"> </v>
      </c>
      <c r="M60" s="8" t="str">
        <f>IF('Course 1'!$H58='tab1'!M$3,'Course 1'!$I58," ")</f>
        <v xml:space="preserve"> </v>
      </c>
      <c r="N60" s="9" t="str">
        <f>IF('Course 1'!$H58='tab1'!N$3,'Course 1'!$I58," ")</f>
        <v xml:space="preserve"> </v>
      </c>
    </row>
    <row r="61" spans="2:14">
      <c r="B61">
        <v>57</v>
      </c>
      <c r="C61" s="7" t="str">
        <f>IF('Course 1'!$H59='tab1'!C$3,'Course 1'!$I59," ")</f>
        <v xml:space="preserve"> </v>
      </c>
      <c r="D61" s="8" t="str">
        <f>IF('Course 1'!$H59='tab1'!D$3,'Course 1'!$I59," ")</f>
        <v xml:space="preserve"> </v>
      </c>
      <c r="E61" s="8" t="str">
        <f>IF('Course 1'!$H59='tab1'!E$3,'Course 1'!$I59," ")</f>
        <v xml:space="preserve"> </v>
      </c>
      <c r="F61" s="8" t="str">
        <f>IF('Course 1'!$H59='tab1'!F$3,'Course 1'!$I59," ")</f>
        <v xml:space="preserve"> </v>
      </c>
      <c r="G61" s="8" t="str">
        <f>IF('Course 1'!$H59='tab1'!G$3,'Course 1'!$I59," ")</f>
        <v xml:space="preserve"> </v>
      </c>
      <c r="H61" s="8" t="str">
        <f>IF('Course 1'!$H59='tab1'!H$3,'Course 1'!$I59," ")</f>
        <v xml:space="preserve"> </v>
      </c>
      <c r="I61" s="8" t="str">
        <f>IF('Course 1'!$H59='tab1'!I$3,'Course 1'!$I59," ")</f>
        <v xml:space="preserve"> </v>
      </c>
      <c r="J61" s="8" t="str">
        <f>IF('Course 1'!$H59='tab1'!J$3,'Course 1'!$I59," ")</f>
        <v xml:space="preserve"> </v>
      </c>
      <c r="K61" s="8" t="str">
        <f>IF('Course 1'!$H59='tab1'!K$3,'Course 1'!$I59," ")</f>
        <v xml:space="preserve"> </v>
      </c>
      <c r="L61" s="8" t="str">
        <f>IF('Course 1'!$H59='tab1'!L$3,'Course 1'!$I59," ")</f>
        <v xml:space="preserve"> </v>
      </c>
      <c r="M61" s="8" t="str">
        <f>IF('Course 1'!$H59='tab1'!M$3,'Course 1'!$I59," ")</f>
        <v xml:space="preserve"> </v>
      </c>
      <c r="N61" s="9" t="str">
        <f>IF('Course 1'!$H59='tab1'!N$3,'Course 1'!$I59," ")</f>
        <v xml:space="preserve"> </v>
      </c>
    </row>
    <row r="62" spans="2:14">
      <c r="B62">
        <v>58</v>
      </c>
      <c r="C62" s="7" t="str">
        <f>IF('Course 1'!$H60='tab1'!C$3,'Course 1'!$I60," ")</f>
        <v xml:space="preserve"> </v>
      </c>
      <c r="D62" s="8" t="str">
        <f>IF('Course 1'!$H60='tab1'!D$3,'Course 1'!$I60," ")</f>
        <v xml:space="preserve"> </v>
      </c>
      <c r="E62" s="8">
        <f>IF('Course 1'!$H60='tab1'!E$3,'Course 1'!$I60," ")</f>
        <v>2.7581018518518519E-2</v>
      </c>
      <c r="F62" s="8" t="str">
        <f>IF('Course 1'!$H60='tab1'!F$3,'Course 1'!$I60," ")</f>
        <v xml:space="preserve"> </v>
      </c>
      <c r="G62" s="8" t="str">
        <f>IF('Course 1'!$H60='tab1'!G$3,'Course 1'!$I60," ")</f>
        <v xml:space="preserve"> </v>
      </c>
      <c r="H62" s="8" t="str">
        <f>IF('Course 1'!$H60='tab1'!H$3,'Course 1'!$I60," ")</f>
        <v xml:space="preserve"> </v>
      </c>
      <c r="I62" s="8" t="str">
        <f>IF('Course 1'!$H60='tab1'!I$3,'Course 1'!$I60," ")</f>
        <v xml:space="preserve"> </v>
      </c>
      <c r="J62" s="8" t="str">
        <f>IF('Course 1'!$H60='tab1'!J$3,'Course 1'!$I60," ")</f>
        <v xml:space="preserve"> </v>
      </c>
      <c r="K62" s="8" t="str">
        <f>IF('Course 1'!$H60='tab1'!K$3,'Course 1'!$I60," ")</f>
        <v xml:space="preserve"> </v>
      </c>
      <c r="L62" s="8" t="str">
        <f>IF('Course 1'!$H60='tab1'!L$3,'Course 1'!$I60," ")</f>
        <v xml:space="preserve"> </v>
      </c>
      <c r="M62" s="8" t="str">
        <f>IF('Course 1'!$H60='tab1'!M$3,'Course 1'!$I60," ")</f>
        <v xml:space="preserve"> </v>
      </c>
      <c r="N62" s="9" t="str">
        <f>IF('Course 1'!$H60='tab1'!N$3,'Course 1'!$I60," ")</f>
        <v xml:space="preserve"> </v>
      </c>
    </row>
    <row r="63" spans="2:14">
      <c r="B63">
        <v>59</v>
      </c>
      <c r="C63" s="7" t="str">
        <f>IF('Course 1'!$H61='tab1'!C$3,'Course 1'!$I61," ")</f>
        <v xml:space="preserve"> </v>
      </c>
      <c r="D63" s="8" t="str">
        <f>IF('Course 1'!$H61='tab1'!D$3,'Course 1'!$I61," ")</f>
        <v xml:space="preserve"> </v>
      </c>
      <c r="E63" s="8">
        <f>IF('Course 1'!$H61='tab1'!E$3,'Course 1'!$I61," ")</f>
        <v>2.2199074074074076E-2</v>
      </c>
      <c r="F63" s="8" t="str">
        <f>IF('Course 1'!$H61='tab1'!F$3,'Course 1'!$I61," ")</f>
        <v xml:space="preserve"> </v>
      </c>
      <c r="G63" s="8" t="str">
        <f>IF('Course 1'!$H61='tab1'!G$3,'Course 1'!$I61," ")</f>
        <v xml:space="preserve"> </v>
      </c>
      <c r="H63" s="8" t="str">
        <f>IF('Course 1'!$H61='tab1'!H$3,'Course 1'!$I61," ")</f>
        <v xml:space="preserve"> </v>
      </c>
      <c r="I63" s="8" t="str">
        <f>IF('Course 1'!$H61='tab1'!I$3,'Course 1'!$I61," ")</f>
        <v xml:space="preserve"> </v>
      </c>
      <c r="J63" s="8" t="str">
        <f>IF('Course 1'!$H61='tab1'!J$3,'Course 1'!$I61," ")</f>
        <v xml:space="preserve"> </v>
      </c>
      <c r="K63" s="8" t="str">
        <f>IF('Course 1'!$H61='tab1'!K$3,'Course 1'!$I61," ")</f>
        <v xml:space="preserve"> </v>
      </c>
      <c r="L63" s="8" t="str">
        <f>IF('Course 1'!$H61='tab1'!L$3,'Course 1'!$I61," ")</f>
        <v xml:space="preserve"> </v>
      </c>
      <c r="M63" s="8" t="str">
        <f>IF('Course 1'!$H61='tab1'!M$3,'Course 1'!$I61," ")</f>
        <v xml:space="preserve"> </v>
      </c>
      <c r="N63" s="9" t="str">
        <f>IF('Course 1'!$H61='tab1'!N$3,'Course 1'!$I61," ")</f>
        <v xml:space="preserve"> </v>
      </c>
    </row>
    <row r="64" spans="2:14">
      <c r="B64">
        <v>60</v>
      </c>
      <c r="C64" s="7" t="str">
        <f>IF('Course 1'!$H62='tab1'!C$3,'Course 1'!$I62," ")</f>
        <v xml:space="preserve"> </v>
      </c>
      <c r="D64" s="8">
        <f>IF('Course 1'!$H62='tab1'!D$3,'Course 1'!$I62," ")</f>
        <v>6.8460648148148159E-2</v>
      </c>
      <c r="E64" s="8" t="str">
        <f>IF('Course 1'!$H62='tab1'!E$3,'Course 1'!$I62," ")</f>
        <v xml:space="preserve"> </v>
      </c>
      <c r="F64" s="8" t="str">
        <f>IF('Course 1'!$H62='tab1'!F$3,'Course 1'!$I62," ")</f>
        <v xml:space="preserve"> </v>
      </c>
      <c r="G64" s="8" t="str">
        <f>IF('Course 1'!$H62='tab1'!G$3,'Course 1'!$I62," ")</f>
        <v xml:space="preserve"> </v>
      </c>
      <c r="H64" s="8" t="str">
        <f>IF('Course 1'!$H62='tab1'!H$3,'Course 1'!$I62," ")</f>
        <v xml:space="preserve"> </v>
      </c>
      <c r="I64" s="8" t="str">
        <f>IF('Course 1'!$H62='tab1'!I$3,'Course 1'!$I62," ")</f>
        <v xml:space="preserve"> </v>
      </c>
      <c r="J64" s="8" t="str">
        <f>IF('Course 1'!$H62='tab1'!J$3,'Course 1'!$I62," ")</f>
        <v xml:space="preserve"> </v>
      </c>
      <c r="K64" s="8" t="str">
        <f>IF('Course 1'!$H62='tab1'!K$3,'Course 1'!$I62," ")</f>
        <v xml:space="preserve"> </v>
      </c>
      <c r="L64" s="8" t="str">
        <f>IF('Course 1'!$H62='tab1'!L$3,'Course 1'!$I62," ")</f>
        <v xml:space="preserve"> </v>
      </c>
      <c r="M64" s="8" t="str">
        <f>IF('Course 1'!$H62='tab1'!M$3,'Course 1'!$I62," ")</f>
        <v xml:space="preserve"> </v>
      </c>
      <c r="N64" s="9" t="str">
        <f>IF('Course 1'!$H62='tab1'!N$3,'Course 1'!$I62," ")</f>
        <v xml:space="preserve"> </v>
      </c>
    </row>
    <row r="65" spans="2:14">
      <c r="B65">
        <v>61</v>
      </c>
      <c r="C65" s="7" t="str">
        <f>IF('Course 1'!$H63='tab1'!C$3,'Course 1'!$I63," ")</f>
        <v xml:space="preserve"> </v>
      </c>
      <c r="D65" s="8" t="str">
        <f>IF('Course 1'!$H63='tab1'!D$3,'Course 1'!$I63," ")</f>
        <v xml:space="preserve"> </v>
      </c>
      <c r="E65" s="8" t="str">
        <f>IF('Course 1'!$H63='tab1'!E$3,'Course 1'!$I63," ")</f>
        <v xml:space="preserve"> </v>
      </c>
      <c r="F65" s="8" t="str">
        <f>IF('Course 1'!$H63='tab1'!F$3,'Course 1'!$I63," ")</f>
        <v xml:space="preserve"> </v>
      </c>
      <c r="G65" s="8" t="str">
        <f>IF('Course 1'!$H63='tab1'!G$3,'Course 1'!$I63," ")</f>
        <v xml:space="preserve"> </v>
      </c>
      <c r="H65" s="8" t="str">
        <f>IF('Course 1'!$H63='tab1'!H$3,'Course 1'!$I63," ")</f>
        <v xml:space="preserve"> </v>
      </c>
      <c r="I65" s="8" t="str">
        <f>IF('Course 1'!$H63='tab1'!I$3,'Course 1'!$I63," ")</f>
        <v xml:space="preserve"> </v>
      </c>
      <c r="J65" s="8" t="str">
        <f>IF('Course 1'!$H63='tab1'!J$3,'Course 1'!$I63," ")</f>
        <v xml:space="preserve"> </v>
      </c>
      <c r="K65" s="8" t="str">
        <f>IF('Course 1'!$H63='tab1'!K$3,'Course 1'!$I63," ")</f>
        <v xml:space="preserve"> </v>
      </c>
      <c r="L65" s="8" t="str">
        <f>IF('Course 1'!$H63='tab1'!L$3,'Course 1'!$I63," ")</f>
        <v xml:space="preserve"> </v>
      </c>
      <c r="M65" s="8" t="str">
        <f>IF('Course 1'!$H63='tab1'!M$3,'Course 1'!$I63," ")</f>
        <v xml:space="preserve"> </v>
      </c>
      <c r="N65" s="9" t="str">
        <f>IF('Course 1'!$H63='tab1'!N$3,'Course 1'!$I63," ")</f>
        <v xml:space="preserve"> </v>
      </c>
    </row>
    <row r="66" spans="2:14">
      <c r="B66">
        <v>62</v>
      </c>
      <c r="C66" s="7" t="str">
        <f>IF('Course 1'!$H64='tab1'!C$3,'Course 1'!$I64," ")</f>
        <v xml:space="preserve"> </v>
      </c>
      <c r="D66" s="8" t="str">
        <f>IF('Course 1'!$H64='tab1'!D$3,'Course 1'!$I64," ")</f>
        <v xml:space="preserve"> </v>
      </c>
      <c r="E66" s="8">
        <f>IF('Course 1'!$H64='tab1'!E$3,'Course 1'!$I64," ")</f>
        <v>2.7708333333333331E-2</v>
      </c>
      <c r="F66" s="8" t="str">
        <f>IF('Course 1'!$H64='tab1'!F$3,'Course 1'!$I64," ")</f>
        <v xml:space="preserve"> </v>
      </c>
      <c r="G66" s="8" t="str">
        <f>IF('Course 1'!$H64='tab1'!G$3,'Course 1'!$I64," ")</f>
        <v xml:space="preserve"> </v>
      </c>
      <c r="H66" s="8" t="str">
        <f>IF('Course 1'!$H64='tab1'!H$3,'Course 1'!$I64," ")</f>
        <v xml:space="preserve"> </v>
      </c>
      <c r="I66" s="8" t="str">
        <f>IF('Course 1'!$H64='tab1'!I$3,'Course 1'!$I64," ")</f>
        <v xml:space="preserve"> </v>
      </c>
      <c r="J66" s="8" t="str">
        <f>IF('Course 1'!$H64='tab1'!J$3,'Course 1'!$I64," ")</f>
        <v xml:space="preserve"> </v>
      </c>
      <c r="K66" s="8" t="str">
        <f>IF('Course 1'!$H64='tab1'!K$3,'Course 1'!$I64," ")</f>
        <v xml:space="preserve"> </v>
      </c>
      <c r="L66" s="8" t="str">
        <f>IF('Course 1'!$H64='tab1'!L$3,'Course 1'!$I64," ")</f>
        <v xml:space="preserve"> </v>
      </c>
      <c r="M66" s="8" t="str">
        <f>IF('Course 1'!$H64='tab1'!M$3,'Course 1'!$I64," ")</f>
        <v xml:space="preserve"> </v>
      </c>
      <c r="N66" s="9" t="str">
        <f>IF('Course 1'!$H64='tab1'!N$3,'Course 1'!$I64," ")</f>
        <v xml:space="preserve"> </v>
      </c>
    </row>
    <row r="67" spans="2:14">
      <c r="B67">
        <v>63</v>
      </c>
      <c r="C67" s="7" t="str">
        <f>IF('Course 1'!$H65='tab1'!C$3,'Course 1'!$I65," ")</f>
        <v xml:space="preserve"> </v>
      </c>
      <c r="D67" s="8" t="str">
        <f>IF('Course 1'!$H65='tab1'!D$3,'Course 1'!$I65," ")</f>
        <v xml:space="preserve"> </v>
      </c>
      <c r="E67" s="8" t="str">
        <f>IF('Course 1'!$H65='tab1'!E$3,'Course 1'!$I65," ")</f>
        <v xml:space="preserve"> </v>
      </c>
      <c r="F67" s="8">
        <f>IF('Course 1'!$H65='tab1'!F$3,'Course 1'!$I65," ")</f>
        <v>2.3969907407407409E-2</v>
      </c>
      <c r="G67" s="8" t="str">
        <f>IF('Course 1'!$H65='tab1'!G$3,'Course 1'!$I65," ")</f>
        <v xml:space="preserve"> </v>
      </c>
      <c r="H67" s="8" t="str">
        <f>IF('Course 1'!$H65='tab1'!H$3,'Course 1'!$I65," ")</f>
        <v xml:space="preserve"> </v>
      </c>
      <c r="I67" s="8" t="str">
        <f>IF('Course 1'!$H65='tab1'!I$3,'Course 1'!$I65," ")</f>
        <v xml:space="preserve"> </v>
      </c>
      <c r="J67" s="8" t="str">
        <f>IF('Course 1'!$H65='tab1'!J$3,'Course 1'!$I65," ")</f>
        <v xml:space="preserve"> </v>
      </c>
      <c r="K67" s="8" t="str">
        <f>IF('Course 1'!$H65='tab1'!K$3,'Course 1'!$I65," ")</f>
        <v xml:space="preserve"> </v>
      </c>
      <c r="L67" s="8" t="str">
        <f>IF('Course 1'!$H65='tab1'!L$3,'Course 1'!$I65," ")</f>
        <v xml:space="preserve"> </v>
      </c>
      <c r="M67" s="8" t="str">
        <f>IF('Course 1'!$H65='tab1'!M$3,'Course 1'!$I65," ")</f>
        <v xml:space="preserve"> </v>
      </c>
      <c r="N67" s="9" t="str">
        <f>IF('Course 1'!$H65='tab1'!N$3,'Course 1'!$I65," ")</f>
        <v xml:space="preserve"> </v>
      </c>
    </row>
    <row r="68" spans="2:14">
      <c r="B68">
        <v>64</v>
      </c>
      <c r="C68" s="7" t="str">
        <f>IF('Course 1'!$H66='tab1'!C$3,'Course 1'!$I66," ")</f>
        <v xml:space="preserve"> </v>
      </c>
      <c r="D68" s="8" t="str">
        <f>IF('Course 1'!$H66='tab1'!D$3,'Course 1'!$I66," ")</f>
        <v xml:space="preserve"> </v>
      </c>
      <c r="E68" s="8" t="str">
        <f>IF('Course 1'!$H66='tab1'!E$3,'Course 1'!$I66," ")</f>
        <v xml:space="preserve"> </v>
      </c>
      <c r="F68" s="8">
        <f>IF('Course 1'!$H66='tab1'!F$3,'Course 1'!$I66," ")</f>
        <v>2.3703703703703703E-2</v>
      </c>
      <c r="G68" s="8" t="str">
        <f>IF('Course 1'!$H66='tab1'!G$3,'Course 1'!$I66," ")</f>
        <v xml:space="preserve"> </v>
      </c>
      <c r="H68" s="8" t="str">
        <f>IF('Course 1'!$H66='tab1'!H$3,'Course 1'!$I66," ")</f>
        <v xml:space="preserve"> </v>
      </c>
      <c r="I68" s="8" t="str">
        <f>IF('Course 1'!$H66='tab1'!I$3,'Course 1'!$I66," ")</f>
        <v xml:space="preserve"> </v>
      </c>
      <c r="J68" s="8" t="str">
        <f>IF('Course 1'!$H66='tab1'!J$3,'Course 1'!$I66," ")</f>
        <v xml:space="preserve"> </v>
      </c>
      <c r="K68" s="8" t="str">
        <f>IF('Course 1'!$H66='tab1'!K$3,'Course 1'!$I66," ")</f>
        <v xml:space="preserve"> </v>
      </c>
      <c r="L68" s="8" t="str">
        <f>IF('Course 1'!$H66='tab1'!L$3,'Course 1'!$I66," ")</f>
        <v xml:space="preserve"> </v>
      </c>
      <c r="M68" s="8" t="str">
        <f>IF('Course 1'!$H66='tab1'!M$3,'Course 1'!$I66," ")</f>
        <v xml:space="preserve"> </v>
      </c>
      <c r="N68" s="9" t="str">
        <f>IF('Course 1'!$H66='tab1'!N$3,'Course 1'!$I66," ")</f>
        <v xml:space="preserve"> </v>
      </c>
    </row>
    <row r="69" spans="2:14">
      <c r="B69">
        <v>65</v>
      </c>
      <c r="C69" s="7" t="str">
        <f>IF('Course 1'!$H67='tab1'!C$3,'Course 1'!$I67," ")</f>
        <v xml:space="preserve"> </v>
      </c>
      <c r="D69" s="8" t="str">
        <f>IF('Course 1'!$H67='tab1'!D$3,'Course 1'!$I67," ")</f>
        <v xml:space="preserve"> </v>
      </c>
      <c r="E69" s="8" t="str">
        <f>IF('Course 1'!$H67='tab1'!E$3,'Course 1'!$I67," ")</f>
        <v xml:space="preserve"> </v>
      </c>
      <c r="F69" s="8" t="str">
        <f>IF('Course 1'!$H67='tab1'!F$3,'Course 1'!$I67," ")</f>
        <v xml:space="preserve"> </v>
      </c>
      <c r="G69" s="8" t="str">
        <f>IF('Course 1'!$H67='tab1'!G$3,'Course 1'!$I67," ")</f>
        <v xml:space="preserve"> </v>
      </c>
      <c r="H69" s="8" t="str">
        <f>IF('Course 1'!$H67='tab1'!H$3,'Course 1'!$I67," ")</f>
        <v xml:space="preserve"> </v>
      </c>
      <c r="I69" s="8" t="str">
        <f>IF('Course 1'!$H67='tab1'!I$3,'Course 1'!$I67," ")</f>
        <v xml:space="preserve"> </v>
      </c>
      <c r="J69" s="8" t="str">
        <f>IF('Course 1'!$H67='tab1'!J$3,'Course 1'!$I67," ")</f>
        <v xml:space="preserve"> </v>
      </c>
      <c r="K69" s="8" t="str">
        <f>IF('Course 1'!$H67='tab1'!K$3,'Course 1'!$I67," ")</f>
        <v xml:space="preserve"> </v>
      </c>
      <c r="L69" s="8" t="str">
        <f>IF('Course 1'!$H67='tab1'!L$3,'Course 1'!$I67," ")</f>
        <v xml:space="preserve"> </v>
      </c>
      <c r="M69" s="8" t="str">
        <f>IF('Course 1'!$H67='tab1'!M$3,'Course 1'!$I67," ")</f>
        <v xml:space="preserve"> </v>
      </c>
      <c r="N69" s="9" t="str">
        <f>IF('Course 1'!$H67='tab1'!N$3,'Course 1'!$I67," ")</f>
        <v xml:space="preserve"> </v>
      </c>
    </row>
    <row r="70" spans="2:14">
      <c r="B70">
        <v>66</v>
      </c>
      <c r="C70" s="7" t="str">
        <f>IF('Course 1'!$H68='tab1'!C$3,'Course 1'!$I68," ")</f>
        <v xml:space="preserve"> </v>
      </c>
      <c r="D70" s="8" t="str">
        <f>IF('Course 1'!$H68='tab1'!D$3,'Course 1'!$I68," ")</f>
        <v xml:space="preserve"> </v>
      </c>
      <c r="E70" s="8" t="str">
        <f>IF('Course 1'!$H68='tab1'!E$3,'Course 1'!$I68," ")</f>
        <v xml:space="preserve"> </v>
      </c>
      <c r="F70" s="8" t="str">
        <f>IF('Course 1'!$H68='tab1'!F$3,'Course 1'!$I68," ")</f>
        <v xml:space="preserve"> </v>
      </c>
      <c r="G70" s="8" t="str">
        <f>IF('Course 1'!$H68='tab1'!G$3,'Course 1'!$I68," ")</f>
        <v xml:space="preserve"> </v>
      </c>
      <c r="H70" s="8" t="str">
        <f>IF('Course 1'!$H68='tab1'!H$3,'Course 1'!$I68," ")</f>
        <v xml:space="preserve"> </v>
      </c>
      <c r="I70" s="8" t="str">
        <f>IF('Course 1'!$H68='tab1'!I$3,'Course 1'!$I68," ")</f>
        <v xml:space="preserve"> </v>
      </c>
      <c r="J70" s="8" t="str">
        <f>IF('Course 1'!$H68='tab1'!J$3,'Course 1'!$I68," ")</f>
        <v xml:space="preserve"> </v>
      </c>
      <c r="K70" s="8" t="str">
        <f>IF('Course 1'!$H68='tab1'!K$3,'Course 1'!$I68," ")</f>
        <v xml:space="preserve"> </v>
      </c>
      <c r="L70" s="8" t="str">
        <f>IF('Course 1'!$H68='tab1'!L$3,'Course 1'!$I68," ")</f>
        <v xml:space="preserve"> </v>
      </c>
      <c r="M70" s="8" t="str">
        <f>IF('Course 1'!$H68='tab1'!M$3,'Course 1'!$I68," ")</f>
        <v xml:space="preserve"> </v>
      </c>
      <c r="N70" s="9" t="str">
        <f>IF('Course 1'!$H68='tab1'!N$3,'Course 1'!$I68," ")</f>
        <v xml:space="preserve"> </v>
      </c>
    </row>
    <row r="71" spans="2:14">
      <c r="B71">
        <v>67</v>
      </c>
      <c r="C71" s="7" t="str">
        <f>IF('Course 1'!$H69='tab1'!C$3,'Course 1'!$I69," ")</f>
        <v xml:space="preserve"> </v>
      </c>
      <c r="D71" s="8" t="str">
        <f>IF('Course 1'!$H69='tab1'!D$3,'Course 1'!$I69," ")</f>
        <v xml:space="preserve"> </v>
      </c>
      <c r="E71" s="8" t="str">
        <f>IF('Course 1'!$H69='tab1'!E$3,'Course 1'!$I69," ")</f>
        <v xml:space="preserve"> </v>
      </c>
      <c r="F71" s="8" t="str">
        <f>IF('Course 1'!$H69='tab1'!F$3,'Course 1'!$I69," ")</f>
        <v xml:space="preserve"> </v>
      </c>
      <c r="G71" s="8" t="str">
        <f>IF('Course 1'!$H69='tab1'!G$3,'Course 1'!$I69," ")</f>
        <v xml:space="preserve"> </v>
      </c>
      <c r="H71" s="8" t="str">
        <f>IF('Course 1'!$H69='tab1'!H$3,'Course 1'!$I69," ")</f>
        <v xml:space="preserve"> </v>
      </c>
      <c r="I71" s="8" t="str">
        <f>IF('Course 1'!$H69='tab1'!I$3,'Course 1'!$I69," ")</f>
        <v xml:space="preserve"> </v>
      </c>
      <c r="J71" s="8" t="str">
        <f>IF('Course 1'!$H69='tab1'!J$3,'Course 1'!$I69," ")</f>
        <v xml:space="preserve"> </v>
      </c>
      <c r="K71" s="8" t="str">
        <f>IF('Course 1'!$H69='tab1'!K$3,'Course 1'!$I69," ")</f>
        <v xml:space="preserve"> </v>
      </c>
      <c r="L71" s="8" t="str">
        <f>IF('Course 1'!$H69='tab1'!L$3,'Course 1'!$I69," ")</f>
        <v xml:space="preserve"> </v>
      </c>
      <c r="M71" s="8" t="str">
        <f>IF('Course 1'!$H69='tab1'!M$3,'Course 1'!$I69," ")</f>
        <v xml:space="preserve"> </v>
      </c>
      <c r="N71" s="9" t="str">
        <f>IF('Course 1'!$H69='tab1'!N$3,'Course 1'!$I69," ")</f>
        <v xml:space="preserve"> </v>
      </c>
    </row>
    <row r="72" spans="2:14">
      <c r="B72">
        <v>68</v>
      </c>
      <c r="C72" s="7" t="str">
        <f>IF('Course 1'!$H70='tab1'!C$3,'Course 1'!$I70," ")</f>
        <v xml:space="preserve"> </v>
      </c>
      <c r="D72" s="8" t="str">
        <f>IF('Course 1'!$H70='tab1'!D$3,'Course 1'!$I70," ")</f>
        <v xml:space="preserve"> </v>
      </c>
      <c r="E72" s="8" t="str">
        <f>IF('Course 1'!$H70='tab1'!E$3,'Course 1'!$I70," ")</f>
        <v xml:space="preserve"> </v>
      </c>
      <c r="F72" s="8" t="str">
        <f>IF('Course 1'!$H70='tab1'!F$3,'Course 1'!$I70," ")</f>
        <v xml:space="preserve"> </v>
      </c>
      <c r="G72" s="8" t="str">
        <f>IF('Course 1'!$H70='tab1'!G$3,'Course 1'!$I70," ")</f>
        <v xml:space="preserve"> </v>
      </c>
      <c r="H72" s="8" t="str">
        <f>IF('Course 1'!$H70='tab1'!H$3,'Course 1'!$I70," ")</f>
        <v xml:space="preserve"> </v>
      </c>
      <c r="I72" s="8" t="str">
        <f>IF('Course 1'!$H70='tab1'!I$3,'Course 1'!$I70," ")</f>
        <v xml:space="preserve"> </v>
      </c>
      <c r="J72" s="8" t="str">
        <f>IF('Course 1'!$H70='tab1'!J$3,'Course 1'!$I70," ")</f>
        <v xml:space="preserve"> </v>
      </c>
      <c r="K72" s="8" t="str">
        <f>IF('Course 1'!$H70='tab1'!K$3,'Course 1'!$I70," ")</f>
        <v xml:space="preserve"> </v>
      </c>
      <c r="L72" s="8" t="str">
        <f>IF('Course 1'!$H70='tab1'!L$3,'Course 1'!$I70," ")</f>
        <v xml:space="preserve"> </v>
      </c>
      <c r="M72" s="8" t="str">
        <f>IF('Course 1'!$H70='tab1'!M$3,'Course 1'!$I70," ")</f>
        <v xml:space="preserve"> </v>
      </c>
      <c r="N72" s="9" t="str">
        <f>IF('Course 1'!$H70='tab1'!N$3,'Course 1'!$I70," ")</f>
        <v xml:space="preserve"> </v>
      </c>
    </row>
    <row r="73" spans="2:14">
      <c r="B73">
        <v>69</v>
      </c>
      <c r="C73" s="7" t="str">
        <f>IF('Course 1'!$H71='tab1'!C$3,'Course 1'!$I71," ")</f>
        <v xml:space="preserve"> </v>
      </c>
      <c r="D73" s="8" t="str">
        <f>IF('Course 1'!$H71='tab1'!D$3,'Course 1'!$I71," ")</f>
        <v xml:space="preserve"> </v>
      </c>
      <c r="E73" s="8" t="str">
        <f>IF('Course 1'!$H71='tab1'!E$3,'Course 1'!$I71," ")</f>
        <v xml:space="preserve"> </v>
      </c>
      <c r="F73" s="8" t="str">
        <f>IF('Course 1'!$H71='tab1'!F$3,'Course 1'!$I71," ")</f>
        <v xml:space="preserve"> </v>
      </c>
      <c r="G73" s="8" t="str">
        <f>IF('Course 1'!$H71='tab1'!G$3,'Course 1'!$I71," ")</f>
        <v xml:space="preserve"> </v>
      </c>
      <c r="H73" s="8" t="str">
        <f>IF('Course 1'!$H71='tab1'!H$3,'Course 1'!$I71," ")</f>
        <v xml:space="preserve"> </v>
      </c>
      <c r="I73" s="8" t="str">
        <f>IF('Course 1'!$H71='tab1'!I$3,'Course 1'!$I71," ")</f>
        <v xml:space="preserve"> </v>
      </c>
      <c r="J73" s="8" t="str">
        <f>IF('Course 1'!$H71='tab1'!J$3,'Course 1'!$I71," ")</f>
        <v xml:space="preserve"> </v>
      </c>
      <c r="K73" s="8" t="str">
        <f>IF('Course 1'!$H71='tab1'!K$3,'Course 1'!$I71," ")</f>
        <v xml:space="preserve"> </v>
      </c>
      <c r="L73" s="8" t="str">
        <f>IF('Course 1'!$H71='tab1'!L$3,'Course 1'!$I71," ")</f>
        <v xml:space="preserve"> </v>
      </c>
      <c r="M73" s="8" t="str">
        <f>IF('Course 1'!$H71='tab1'!M$3,'Course 1'!$I71," ")</f>
        <v xml:space="preserve"> </v>
      </c>
      <c r="N73" s="9" t="str">
        <f>IF('Course 1'!$H71='tab1'!N$3,'Course 1'!$I71," ")</f>
        <v xml:space="preserve"> </v>
      </c>
    </row>
    <row r="74" spans="2:14">
      <c r="B74">
        <v>70</v>
      </c>
      <c r="C74" s="7" t="str">
        <f>IF('Course 1'!$H72='tab1'!C$3,'Course 1'!$I72," ")</f>
        <v xml:space="preserve"> </v>
      </c>
      <c r="D74" s="8" t="str">
        <f>IF('Course 1'!$H72='tab1'!D$3,'Course 1'!$I72," ")</f>
        <v xml:space="preserve"> </v>
      </c>
      <c r="E74" s="8" t="str">
        <f>IF('Course 1'!$H72='tab1'!E$3,'Course 1'!$I72," ")</f>
        <v xml:space="preserve"> </v>
      </c>
      <c r="F74" s="8" t="str">
        <f>IF('Course 1'!$H72='tab1'!F$3,'Course 1'!$I72," ")</f>
        <v xml:space="preserve"> </v>
      </c>
      <c r="G74" s="8" t="str">
        <f>IF('Course 1'!$H72='tab1'!G$3,'Course 1'!$I72," ")</f>
        <v xml:space="preserve"> </v>
      </c>
      <c r="H74" s="8" t="str">
        <f>IF('Course 1'!$H72='tab1'!H$3,'Course 1'!$I72," ")</f>
        <v xml:space="preserve"> </v>
      </c>
      <c r="I74" s="8" t="str">
        <f>IF('Course 1'!$H72='tab1'!I$3,'Course 1'!$I72," ")</f>
        <v xml:space="preserve"> </v>
      </c>
      <c r="J74" s="8" t="str">
        <f>IF('Course 1'!$H72='tab1'!J$3,'Course 1'!$I72," ")</f>
        <v xml:space="preserve"> </v>
      </c>
      <c r="K74" s="8" t="str">
        <f>IF('Course 1'!$H72='tab1'!K$3,'Course 1'!$I72," ")</f>
        <v xml:space="preserve"> </v>
      </c>
      <c r="L74" s="8" t="str">
        <f>IF('Course 1'!$H72='tab1'!L$3,'Course 1'!$I72," ")</f>
        <v xml:space="preserve"> </v>
      </c>
      <c r="M74" s="8" t="str">
        <f>IF('Course 1'!$H72='tab1'!M$3,'Course 1'!$I72," ")</f>
        <v xml:space="preserve"> </v>
      </c>
      <c r="N74" s="9" t="str">
        <f>IF('Course 1'!$H72='tab1'!N$3,'Course 1'!$I72," ")</f>
        <v xml:space="preserve"> </v>
      </c>
    </row>
    <row r="75" spans="2:14">
      <c r="B75">
        <v>71</v>
      </c>
      <c r="C75" s="7">
        <f>IF('Course 1'!$H73='tab1'!C$3,'Course 1'!$I73," ")</f>
        <v>5.9259259259259262E-2</v>
      </c>
      <c r="D75" s="8" t="str">
        <f>IF('Course 1'!$H73='tab1'!D$3,'Course 1'!$I73," ")</f>
        <v xml:space="preserve"> </v>
      </c>
      <c r="E75" s="8" t="str">
        <f>IF('Course 1'!$H73='tab1'!E$3,'Course 1'!$I73," ")</f>
        <v xml:space="preserve"> </v>
      </c>
      <c r="F75" s="8" t="str">
        <f>IF('Course 1'!$H73='tab1'!F$3,'Course 1'!$I73," ")</f>
        <v xml:space="preserve"> </v>
      </c>
      <c r="G75" s="8" t="str">
        <f>IF('Course 1'!$H73='tab1'!G$3,'Course 1'!$I73," ")</f>
        <v xml:space="preserve"> </v>
      </c>
      <c r="H75" s="8" t="str">
        <f>IF('Course 1'!$H73='tab1'!H$3,'Course 1'!$I73," ")</f>
        <v xml:space="preserve"> </v>
      </c>
      <c r="I75" s="8" t="str">
        <f>IF('Course 1'!$H73='tab1'!I$3,'Course 1'!$I73," ")</f>
        <v xml:space="preserve"> </v>
      </c>
      <c r="J75" s="8" t="str">
        <f>IF('Course 1'!$H73='tab1'!J$3,'Course 1'!$I73," ")</f>
        <v xml:space="preserve"> </v>
      </c>
      <c r="K75" s="8" t="str">
        <f>IF('Course 1'!$H73='tab1'!K$3,'Course 1'!$I73," ")</f>
        <v xml:space="preserve"> </v>
      </c>
      <c r="L75" s="8" t="str">
        <f>IF('Course 1'!$H73='tab1'!L$3,'Course 1'!$I73," ")</f>
        <v xml:space="preserve"> </v>
      </c>
      <c r="M75" s="8" t="str">
        <f>IF('Course 1'!$H73='tab1'!M$3,'Course 1'!$I73," ")</f>
        <v xml:space="preserve"> </v>
      </c>
      <c r="N75" s="9" t="str">
        <f>IF('Course 1'!$H73='tab1'!N$3,'Course 1'!$I73," ")</f>
        <v xml:space="preserve"> </v>
      </c>
    </row>
    <row r="76" spans="2:14">
      <c r="B76">
        <v>72</v>
      </c>
      <c r="C76" s="7" t="str">
        <f>IF('Course 1'!$H74='tab1'!C$3,'Course 1'!$I74," ")</f>
        <v xml:space="preserve"> </v>
      </c>
      <c r="D76" s="8" t="str">
        <f>IF('Course 1'!$H74='tab1'!D$3,'Course 1'!$I74," ")</f>
        <v xml:space="preserve"> </v>
      </c>
      <c r="E76" s="8">
        <f>IF('Course 1'!$H74='tab1'!E$3,'Course 1'!$I74," ")</f>
        <v>3.0486111111111113E-2</v>
      </c>
      <c r="F76" s="8" t="str">
        <f>IF('Course 1'!$H74='tab1'!F$3,'Course 1'!$I74," ")</f>
        <v xml:space="preserve"> </v>
      </c>
      <c r="G76" s="8" t="str">
        <f>IF('Course 1'!$H74='tab1'!G$3,'Course 1'!$I74," ")</f>
        <v xml:space="preserve"> </v>
      </c>
      <c r="H76" s="8" t="str">
        <f>IF('Course 1'!$H74='tab1'!H$3,'Course 1'!$I74," ")</f>
        <v xml:space="preserve"> </v>
      </c>
      <c r="I76" s="8" t="str">
        <f>IF('Course 1'!$H74='tab1'!I$3,'Course 1'!$I74," ")</f>
        <v xml:space="preserve"> </v>
      </c>
      <c r="J76" s="8" t="str">
        <f>IF('Course 1'!$H74='tab1'!J$3,'Course 1'!$I74," ")</f>
        <v xml:space="preserve"> </v>
      </c>
      <c r="K76" s="8" t="str">
        <f>IF('Course 1'!$H74='tab1'!K$3,'Course 1'!$I74," ")</f>
        <v xml:space="preserve"> </v>
      </c>
      <c r="L76" s="8" t="str">
        <f>IF('Course 1'!$H74='tab1'!L$3,'Course 1'!$I74," ")</f>
        <v xml:space="preserve"> </v>
      </c>
      <c r="M76" s="8" t="str">
        <f>IF('Course 1'!$H74='tab1'!M$3,'Course 1'!$I74," ")</f>
        <v xml:space="preserve"> </v>
      </c>
      <c r="N76" s="9" t="str">
        <f>IF('Course 1'!$H74='tab1'!N$3,'Course 1'!$I74," ")</f>
        <v xml:space="preserve"> </v>
      </c>
    </row>
    <row r="77" spans="2:14">
      <c r="B77">
        <v>73</v>
      </c>
      <c r="C77" s="7" t="str">
        <f>IF('Course 1'!$H75='tab1'!C$3,'Course 1'!$I75," ")</f>
        <v xml:space="preserve"> </v>
      </c>
      <c r="D77" s="8" t="str">
        <f>IF('Course 1'!$H75='tab1'!D$3,'Course 1'!$I75," ")</f>
        <v xml:space="preserve"> </v>
      </c>
      <c r="E77" s="8" t="str">
        <f>IF('Course 1'!$H75='tab1'!E$3,'Course 1'!$I75," ")</f>
        <v xml:space="preserve"> </v>
      </c>
      <c r="F77" s="8">
        <f>IF('Course 1'!$H75='tab1'!F$3,'Course 1'!$I75," ")</f>
        <v>2.3483796296296298E-2</v>
      </c>
      <c r="G77" s="8" t="str">
        <f>IF('Course 1'!$H75='tab1'!G$3,'Course 1'!$I75," ")</f>
        <v xml:space="preserve"> </v>
      </c>
      <c r="H77" s="8" t="str">
        <f>IF('Course 1'!$H75='tab1'!H$3,'Course 1'!$I75," ")</f>
        <v xml:space="preserve"> </v>
      </c>
      <c r="I77" s="8" t="str">
        <f>IF('Course 1'!$H75='tab1'!I$3,'Course 1'!$I75," ")</f>
        <v xml:space="preserve"> </v>
      </c>
      <c r="J77" s="8" t="str">
        <f>IF('Course 1'!$H75='tab1'!J$3,'Course 1'!$I75," ")</f>
        <v xml:space="preserve"> </v>
      </c>
      <c r="K77" s="8" t="str">
        <f>IF('Course 1'!$H75='tab1'!K$3,'Course 1'!$I75," ")</f>
        <v xml:space="preserve"> </v>
      </c>
      <c r="L77" s="8" t="str">
        <f>IF('Course 1'!$H75='tab1'!L$3,'Course 1'!$I75," ")</f>
        <v xml:space="preserve"> </v>
      </c>
      <c r="M77" s="8" t="str">
        <f>IF('Course 1'!$H75='tab1'!M$3,'Course 1'!$I75," ")</f>
        <v xml:space="preserve"> </v>
      </c>
      <c r="N77" s="9" t="str">
        <f>IF('Course 1'!$H75='tab1'!N$3,'Course 1'!$I75," ")</f>
        <v xml:space="preserve"> </v>
      </c>
    </row>
    <row r="78" spans="2:14">
      <c r="B78">
        <v>74</v>
      </c>
      <c r="C78" s="7" t="str">
        <f>IF('Course 1'!$H76='tab1'!C$3,'Course 1'!$I76," ")</f>
        <v xml:space="preserve"> </v>
      </c>
      <c r="D78" s="8" t="str">
        <f>IF('Course 1'!$H76='tab1'!D$3,'Course 1'!$I76," ")</f>
        <v xml:space="preserve"> </v>
      </c>
      <c r="E78" s="8">
        <f>IF('Course 1'!$H76='tab1'!E$3,'Course 1'!$I76," ")</f>
        <v>3.4166666666666672E-2</v>
      </c>
      <c r="F78" s="8" t="str">
        <f>IF('Course 1'!$H76='tab1'!F$3,'Course 1'!$I76," ")</f>
        <v xml:space="preserve"> </v>
      </c>
      <c r="G78" s="8" t="str">
        <f>IF('Course 1'!$H76='tab1'!G$3,'Course 1'!$I76," ")</f>
        <v xml:space="preserve"> </v>
      </c>
      <c r="H78" s="8" t="str">
        <f>IF('Course 1'!$H76='tab1'!H$3,'Course 1'!$I76," ")</f>
        <v xml:space="preserve"> </v>
      </c>
      <c r="I78" s="8" t="str">
        <f>IF('Course 1'!$H76='tab1'!I$3,'Course 1'!$I76," ")</f>
        <v xml:space="preserve"> </v>
      </c>
      <c r="J78" s="8" t="str">
        <f>IF('Course 1'!$H76='tab1'!J$3,'Course 1'!$I76," ")</f>
        <v xml:space="preserve"> </v>
      </c>
      <c r="K78" s="8" t="str">
        <f>IF('Course 1'!$H76='tab1'!K$3,'Course 1'!$I76," ")</f>
        <v xml:space="preserve"> </v>
      </c>
      <c r="L78" s="8" t="str">
        <f>IF('Course 1'!$H76='tab1'!L$3,'Course 1'!$I76," ")</f>
        <v xml:space="preserve"> </v>
      </c>
      <c r="M78" s="8" t="str">
        <f>IF('Course 1'!$H76='tab1'!M$3,'Course 1'!$I76," ")</f>
        <v xml:space="preserve"> </v>
      </c>
      <c r="N78" s="9" t="str">
        <f>IF('Course 1'!$H76='tab1'!N$3,'Course 1'!$I76," ")</f>
        <v xml:space="preserve"> </v>
      </c>
    </row>
    <row r="79" spans="2:14">
      <c r="B79">
        <v>75</v>
      </c>
      <c r="C79" s="7" t="str">
        <f>IF('Course 1'!$H77='tab1'!C$3,'Course 1'!$I77," ")</f>
        <v xml:space="preserve"> </v>
      </c>
      <c r="D79" s="8" t="str">
        <f>IF('Course 1'!$H77='tab1'!D$3,'Course 1'!$I77," ")</f>
        <v xml:space="preserve"> </v>
      </c>
      <c r="E79" s="8" t="str">
        <f>IF('Course 1'!$H77='tab1'!E$3,'Course 1'!$I77," ")</f>
        <v xml:space="preserve"> </v>
      </c>
      <c r="F79" s="8">
        <f>IF('Course 1'!$H77='tab1'!F$3,'Course 1'!$I77," ")</f>
        <v>5.136574074074074E-2</v>
      </c>
      <c r="G79" s="8" t="str">
        <f>IF('Course 1'!$H77='tab1'!G$3,'Course 1'!$I77," ")</f>
        <v xml:space="preserve"> </v>
      </c>
      <c r="H79" s="8" t="str">
        <f>IF('Course 1'!$H77='tab1'!H$3,'Course 1'!$I77," ")</f>
        <v xml:space="preserve"> </v>
      </c>
      <c r="I79" s="8" t="str">
        <f>IF('Course 1'!$H77='tab1'!I$3,'Course 1'!$I77," ")</f>
        <v xml:space="preserve"> </v>
      </c>
      <c r="J79" s="8" t="str">
        <f>IF('Course 1'!$H77='tab1'!J$3,'Course 1'!$I77," ")</f>
        <v xml:space="preserve"> </v>
      </c>
      <c r="K79" s="8" t="str">
        <f>IF('Course 1'!$H77='tab1'!K$3,'Course 1'!$I77," ")</f>
        <v xml:space="preserve"> </v>
      </c>
      <c r="L79" s="8" t="str">
        <f>IF('Course 1'!$H77='tab1'!L$3,'Course 1'!$I77," ")</f>
        <v xml:space="preserve"> </v>
      </c>
      <c r="M79" s="8" t="str">
        <f>IF('Course 1'!$H77='tab1'!M$3,'Course 1'!$I77," ")</f>
        <v xml:space="preserve"> </v>
      </c>
      <c r="N79" s="9" t="str">
        <f>IF('Course 1'!$H77='tab1'!N$3,'Course 1'!$I77," ")</f>
        <v xml:space="preserve"> </v>
      </c>
    </row>
    <row r="80" spans="2:14">
      <c r="B80">
        <v>76</v>
      </c>
      <c r="C80" s="7" t="str">
        <f>IF('Course 1'!$H78='tab1'!C$3,'Course 1'!$I78," ")</f>
        <v xml:space="preserve"> </v>
      </c>
      <c r="D80" s="8" t="str">
        <f>IF('Course 1'!$H78='tab1'!D$3,'Course 1'!$I78," ")</f>
        <v xml:space="preserve"> </v>
      </c>
      <c r="E80" s="8">
        <f>IF('Course 1'!$H78='tab1'!E$3,'Course 1'!$I78," ")</f>
        <v>2.8599537037037034E-2</v>
      </c>
      <c r="F80" s="8" t="str">
        <f>IF('Course 1'!$H78='tab1'!F$3,'Course 1'!$I78," ")</f>
        <v xml:space="preserve"> </v>
      </c>
      <c r="G80" s="8" t="str">
        <f>IF('Course 1'!$H78='tab1'!G$3,'Course 1'!$I78," ")</f>
        <v xml:space="preserve"> </v>
      </c>
      <c r="H80" s="8" t="str">
        <f>IF('Course 1'!$H78='tab1'!H$3,'Course 1'!$I78," ")</f>
        <v xml:space="preserve"> </v>
      </c>
      <c r="I80" s="8" t="str">
        <f>IF('Course 1'!$H78='tab1'!I$3,'Course 1'!$I78," ")</f>
        <v xml:space="preserve"> </v>
      </c>
      <c r="J80" s="8" t="str">
        <f>IF('Course 1'!$H78='tab1'!J$3,'Course 1'!$I78," ")</f>
        <v xml:space="preserve"> </v>
      </c>
      <c r="K80" s="8" t="str">
        <f>IF('Course 1'!$H78='tab1'!K$3,'Course 1'!$I78," ")</f>
        <v xml:space="preserve"> </v>
      </c>
      <c r="L80" s="8" t="str">
        <f>IF('Course 1'!$H78='tab1'!L$3,'Course 1'!$I78," ")</f>
        <v xml:space="preserve"> </v>
      </c>
      <c r="M80" s="8" t="str">
        <f>IF('Course 1'!$H78='tab1'!M$3,'Course 1'!$I78," ")</f>
        <v xml:space="preserve"> </v>
      </c>
      <c r="N80" s="9" t="str">
        <f>IF('Course 1'!$H78='tab1'!N$3,'Course 1'!$I78," ")</f>
        <v xml:space="preserve"> </v>
      </c>
    </row>
    <row r="81" spans="2:14">
      <c r="B81">
        <v>77</v>
      </c>
      <c r="C81" s="7" t="str">
        <f>IF('Course 1'!$H79='tab1'!C$3,'Course 1'!$I79," ")</f>
        <v xml:space="preserve"> </v>
      </c>
      <c r="D81" s="8" t="str">
        <f>IF('Course 1'!$H79='tab1'!D$3,'Course 1'!$I79," ")</f>
        <v xml:space="preserve"> </v>
      </c>
      <c r="E81" s="8">
        <f>IF('Course 1'!$H79='tab1'!E$3,'Course 1'!$I79," ")</f>
        <v>5.4502314814814816E-2</v>
      </c>
      <c r="F81" s="8" t="str">
        <f>IF('Course 1'!$H79='tab1'!F$3,'Course 1'!$I79," ")</f>
        <v xml:space="preserve"> </v>
      </c>
      <c r="G81" s="8" t="str">
        <f>IF('Course 1'!$H79='tab1'!G$3,'Course 1'!$I79," ")</f>
        <v xml:space="preserve"> </v>
      </c>
      <c r="H81" s="8" t="str">
        <f>IF('Course 1'!$H79='tab1'!H$3,'Course 1'!$I79," ")</f>
        <v xml:space="preserve"> </v>
      </c>
      <c r="I81" s="8" t="str">
        <f>IF('Course 1'!$H79='tab1'!I$3,'Course 1'!$I79," ")</f>
        <v xml:space="preserve"> </v>
      </c>
      <c r="J81" s="8" t="str">
        <f>IF('Course 1'!$H79='tab1'!J$3,'Course 1'!$I79," ")</f>
        <v xml:space="preserve"> </v>
      </c>
      <c r="K81" s="8" t="str">
        <f>IF('Course 1'!$H79='tab1'!K$3,'Course 1'!$I79," ")</f>
        <v xml:space="preserve"> </v>
      </c>
      <c r="L81" s="8" t="str">
        <f>IF('Course 1'!$H79='tab1'!L$3,'Course 1'!$I79," ")</f>
        <v xml:space="preserve"> </v>
      </c>
      <c r="M81" s="8" t="str">
        <f>IF('Course 1'!$H79='tab1'!M$3,'Course 1'!$I79," ")</f>
        <v xml:space="preserve"> </v>
      </c>
      <c r="N81" s="9" t="str">
        <f>IF('Course 1'!$H79='tab1'!N$3,'Course 1'!$I79," ")</f>
        <v xml:space="preserve"> </v>
      </c>
    </row>
    <row r="82" spans="2:14">
      <c r="B82">
        <v>78</v>
      </c>
      <c r="C82" s="7" t="str">
        <f>IF('Course 1'!$H80='tab1'!C$3,'Course 1'!$I80," ")</f>
        <v xml:space="preserve"> </v>
      </c>
      <c r="D82" s="8" t="str">
        <f>IF('Course 1'!$H80='tab1'!D$3,'Course 1'!$I80," ")</f>
        <v xml:space="preserve"> </v>
      </c>
      <c r="E82" s="8" t="str">
        <f>IF('Course 1'!$H80='tab1'!E$3,'Course 1'!$I80," ")</f>
        <v xml:space="preserve"> </v>
      </c>
      <c r="F82" s="8" t="str">
        <f>IF('Course 1'!$H80='tab1'!F$3,'Course 1'!$I80," ")</f>
        <v xml:space="preserve"> </v>
      </c>
      <c r="G82" s="8" t="str">
        <f>IF('Course 1'!$H80='tab1'!G$3,'Course 1'!$I80," ")</f>
        <v xml:space="preserve"> </v>
      </c>
      <c r="H82" s="8" t="str">
        <f>IF('Course 1'!$H80='tab1'!H$3,'Course 1'!$I80," ")</f>
        <v xml:space="preserve"> </v>
      </c>
      <c r="I82" s="8" t="str">
        <f>IF('Course 1'!$H80='tab1'!I$3,'Course 1'!$I80," ")</f>
        <v xml:space="preserve"> </v>
      </c>
      <c r="J82" s="8" t="str">
        <f>IF('Course 1'!$H80='tab1'!J$3,'Course 1'!$I80," ")</f>
        <v xml:space="preserve"> </v>
      </c>
      <c r="K82" s="8" t="str">
        <f>IF('Course 1'!$H80='tab1'!K$3,'Course 1'!$I80," ")</f>
        <v xml:space="preserve"> </v>
      </c>
      <c r="L82" s="8" t="str">
        <f>IF('Course 1'!$H80='tab1'!L$3,'Course 1'!$I80," ")</f>
        <v xml:space="preserve"> </v>
      </c>
      <c r="M82" s="8" t="str">
        <f>IF('Course 1'!$H80='tab1'!M$3,'Course 1'!$I80," ")</f>
        <v xml:space="preserve"> </v>
      </c>
      <c r="N82" s="9" t="str">
        <f>IF('Course 1'!$H80='tab1'!N$3,'Course 1'!$I80," ")</f>
        <v xml:space="preserve"> </v>
      </c>
    </row>
    <row r="83" spans="2:14">
      <c r="B83">
        <v>79</v>
      </c>
      <c r="C83" s="7" t="str">
        <f>IF('Course 1'!$H81='tab1'!C$3,'Course 1'!$I81," ")</f>
        <v xml:space="preserve"> </v>
      </c>
      <c r="D83" s="8" t="str">
        <f>IF('Course 1'!$H81='tab1'!D$3,'Course 1'!$I81," ")</f>
        <v xml:space="preserve"> </v>
      </c>
      <c r="E83" s="8" t="str">
        <f>IF('Course 1'!$H81='tab1'!E$3,'Course 1'!$I81," ")</f>
        <v xml:space="preserve"> </v>
      </c>
      <c r="F83" s="8" t="str">
        <f>IF('Course 1'!$H81='tab1'!F$3,'Course 1'!$I81," ")</f>
        <v xml:space="preserve"> </v>
      </c>
      <c r="G83" s="8" t="str">
        <f>IF('Course 1'!$H81='tab1'!G$3,'Course 1'!$I81," ")</f>
        <v xml:space="preserve"> </v>
      </c>
      <c r="H83" s="8" t="str">
        <f>IF('Course 1'!$H81='tab1'!H$3,'Course 1'!$I81," ")</f>
        <v xml:space="preserve"> </v>
      </c>
      <c r="I83" s="8" t="str">
        <f>IF('Course 1'!$H81='tab1'!I$3,'Course 1'!$I81," ")</f>
        <v xml:space="preserve"> </v>
      </c>
      <c r="J83" s="8" t="str">
        <f>IF('Course 1'!$H81='tab1'!J$3,'Course 1'!$I81," ")</f>
        <v xml:space="preserve"> </v>
      </c>
      <c r="K83" s="8" t="str">
        <f>IF('Course 1'!$H81='tab1'!K$3,'Course 1'!$I81," ")</f>
        <v xml:space="preserve"> </v>
      </c>
      <c r="L83" s="8" t="str">
        <f>IF('Course 1'!$H81='tab1'!L$3,'Course 1'!$I81," ")</f>
        <v xml:space="preserve"> </v>
      </c>
      <c r="M83" s="8" t="str">
        <f>IF('Course 1'!$H81='tab1'!M$3,'Course 1'!$I81," ")</f>
        <v xml:space="preserve"> </v>
      </c>
      <c r="N83" s="9" t="str">
        <f>IF('Course 1'!$H81='tab1'!N$3,'Course 1'!$I81," ")</f>
        <v xml:space="preserve"> </v>
      </c>
    </row>
    <row r="84" spans="2:14">
      <c r="B84">
        <v>80</v>
      </c>
      <c r="C84" s="7" t="str">
        <f>IF('Course 1'!$H82='tab1'!C$3,'Course 1'!$I82," ")</f>
        <v xml:space="preserve"> </v>
      </c>
      <c r="D84" s="8" t="str">
        <f>IF('Course 1'!$H82='tab1'!D$3,'Course 1'!$I82," ")</f>
        <v xml:space="preserve"> </v>
      </c>
      <c r="E84" s="8">
        <f>IF('Course 1'!$H82='tab1'!E$3,'Course 1'!$I82," ")</f>
        <v>3.1597222222222221E-2</v>
      </c>
      <c r="F84" s="8" t="str">
        <f>IF('Course 1'!$H82='tab1'!F$3,'Course 1'!$I82," ")</f>
        <v xml:space="preserve"> </v>
      </c>
      <c r="G84" s="8" t="str">
        <f>IF('Course 1'!$H82='tab1'!G$3,'Course 1'!$I82," ")</f>
        <v xml:space="preserve"> </v>
      </c>
      <c r="H84" s="8" t="str">
        <f>IF('Course 1'!$H82='tab1'!H$3,'Course 1'!$I82," ")</f>
        <v xml:space="preserve"> </v>
      </c>
      <c r="I84" s="8" t="str">
        <f>IF('Course 1'!$H82='tab1'!I$3,'Course 1'!$I82," ")</f>
        <v xml:space="preserve"> </v>
      </c>
      <c r="J84" s="8" t="str">
        <f>IF('Course 1'!$H82='tab1'!J$3,'Course 1'!$I82," ")</f>
        <v xml:space="preserve"> </v>
      </c>
      <c r="K84" s="8" t="str">
        <f>IF('Course 1'!$H82='tab1'!K$3,'Course 1'!$I82," ")</f>
        <v xml:space="preserve"> </v>
      </c>
      <c r="L84" s="8" t="str">
        <f>IF('Course 1'!$H82='tab1'!L$3,'Course 1'!$I82," ")</f>
        <v xml:space="preserve"> </v>
      </c>
      <c r="M84" s="8" t="str">
        <f>IF('Course 1'!$H82='tab1'!M$3,'Course 1'!$I82," ")</f>
        <v xml:space="preserve"> </v>
      </c>
      <c r="N84" s="9" t="str">
        <f>IF('Course 1'!$H82='tab1'!N$3,'Course 1'!$I82," ")</f>
        <v xml:space="preserve"> </v>
      </c>
    </row>
    <row r="85" spans="2:14">
      <c r="B85">
        <v>81</v>
      </c>
      <c r="C85" s="7" t="str">
        <f>IF('Course 1'!$H83='tab1'!C$3,'Course 1'!$I83," ")</f>
        <v xml:space="preserve"> </v>
      </c>
      <c r="D85" s="8" t="str">
        <f>IF('Course 1'!$H83='tab1'!D$3,'Course 1'!$I83," ")</f>
        <v xml:space="preserve"> </v>
      </c>
      <c r="E85" s="8" t="str">
        <f>IF('Course 1'!$H83='tab1'!E$3,'Course 1'!$I83," ")</f>
        <v xml:space="preserve"> </v>
      </c>
      <c r="F85" s="8" t="str">
        <f>IF('Course 1'!$H83='tab1'!F$3,'Course 1'!$I83," ")</f>
        <v xml:space="preserve"> </v>
      </c>
      <c r="G85" s="8" t="str">
        <f>IF('Course 1'!$H83='tab1'!G$3,'Course 1'!$I83," ")</f>
        <v xml:space="preserve"> </v>
      </c>
      <c r="H85" s="8" t="str">
        <f>IF('Course 1'!$H83='tab1'!H$3,'Course 1'!$I83," ")</f>
        <v xml:space="preserve"> </v>
      </c>
      <c r="I85" s="8" t="str">
        <f>IF('Course 1'!$H83='tab1'!I$3,'Course 1'!$I83," ")</f>
        <v xml:space="preserve"> </v>
      </c>
      <c r="J85" s="8" t="str">
        <f>IF('Course 1'!$H83='tab1'!J$3,'Course 1'!$I83," ")</f>
        <v xml:space="preserve"> </v>
      </c>
      <c r="K85" s="8" t="str">
        <f>IF('Course 1'!$H83='tab1'!K$3,'Course 1'!$I83," ")</f>
        <v xml:space="preserve"> </v>
      </c>
      <c r="L85" s="8" t="str">
        <f>IF('Course 1'!$H83='tab1'!L$3,'Course 1'!$I83," ")</f>
        <v xml:space="preserve"> </v>
      </c>
      <c r="M85" s="8" t="str">
        <f>IF('Course 1'!$H83='tab1'!M$3,'Course 1'!$I83," ")</f>
        <v xml:space="preserve"> </v>
      </c>
      <c r="N85" s="9" t="str">
        <f>IF('Course 1'!$H83='tab1'!N$3,'Course 1'!$I83," ")</f>
        <v xml:space="preserve"> </v>
      </c>
    </row>
    <row r="86" spans="2:14">
      <c r="B86">
        <v>82</v>
      </c>
      <c r="C86" s="7" t="str">
        <f>IF('Course 1'!$H84='tab1'!C$3,'Course 1'!$I84," ")</f>
        <v xml:space="preserve"> </v>
      </c>
      <c r="D86" s="8" t="str">
        <f>IF('Course 1'!$H84='tab1'!D$3,'Course 1'!$I84," ")</f>
        <v xml:space="preserve"> </v>
      </c>
      <c r="E86" s="8" t="str">
        <f>IF('Course 1'!$H84='tab1'!E$3,'Course 1'!$I84," ")</f>
        <v xml:space="preserve"> </v>
      </c>
      <c r="F86" s="8" t="str">
        <f>IF('Course 1'!$H84='tab1'!F$3,'Course 1'!$I84," ")</f>
        <v>PM</v>
      </c>
      <c r="G86" s="8" t="str">
        <f>IF('Course 1'!$H84='tab1'!G$3,'Course 1'!$I84," ")</f>
        <v xml:space="preserve"> </v>
      </c>
      <c r="H86" s="8" t="str">
        <f>IF('Course 1'!$H84='tab1'!H$3,'Course 1'!$I84," ")</f>
        <v xml:space="preserve"> </v>
      </c>
      <c r="I86" s="8" t="str">
        <f>IF('Course 1'!$H84='tab1'!I$3,'Course 1'!$I84," ")</f>
        <v xml:space="preserve"> </v>
      </c>
      <c r="J86" s="8" t="str">
        <f>IF('Course 1'!$H84='tab1'!J$3,'Course 1'!$I84," ")</f>
        <v xml:space="preserve"> </v>
      </c>
      <c r="K86" s="8" t="str">
        <f>IF('Course 1'!$H84='tab1'!K$3,'Course 1'!$I84," ")</f>
        <v xml:space="preserve"> </v>
      </c>
      <c r="L86" s="8" t="str">
        <f>IF('Course 1'!$H84='tab1'!L$3,'Course 1'!$I84," ")</f>
        <v xml:space="preserve"> </v>
      </c>
      <c r="M86" s="8" t="str">
        <f>IF('Course 1'!$H84='tab1'!M$3,'Course 1'!$I84," ")</f>
        <v xml:space="preserve"> </v>
      </c>
      <c r="N86" s="9" t="str">
        <f>IF('Course 1'!$H84='tab1'!N$3,'Course 1'!$I84," ")</f>
        <v xml:space="preserve"> </v>
      </c>
    </row>
    <row r="87" spans="2:14">
      <c r="B87">
        <v>83</v>
      </c>
      <c r="C87" s="7" t="str">
        <f>IF('Course 1'!$H85='tab1'!C$3,'Course 1'!$I85," ")</f>
        <v xml:space="preserve"> </v>
      </c>
      <c r="D87" s="8" t="str">
        <f>IF('Course 1'!$H85='tab1'!D$3,'Course 1'!$I85," ")</f>
        <v xml:space="preserve"> </v>
      </c>
      <c r="E87" s="8" t="str">
        <f>IF('Course 1'!$H85='tab1'!E$3,'Course 1'!$I85," ")</f>
        <v xml:space="preserve"> </v>
      </c>
      <c r="F87" s="8" t="str">
        <f>IF('Course 1'!$H85='tab1'!F$3,'Course 1'!$I85," ")</f>
        <v xml:space="preserve"> </v>
      </c>
      <c r="G87" s="8" t="str">
        <f>IF('Course 1'!$H85='tab1'!G$3,'Course 1'!$I85," ")</f>
        <v xml:space="preserve"> </v>
      </c>
      <c r="H87" s="8" t="str">
        <f>IF('Course 1'!$H85='tab1'!H$3,'Course 1'!$I85," ")</f>
        <v xml:space="preserve"> </v>
      </c>
      <c r="I87" s="8" t="str">
        <f>IF('Course 1'!$H85='tab1'!I$3,'Course 1'!$I85," ")</f>
        <v xml:space="preserve"> </v>
      </c>
      <c r="J87" s="8" t="str">
        <f>IF('Course 1'!$H85='tab1'!J$3,'Course 1'!$I85," ")</f>
        <v xml:space="preserve"> </v>
      </c>
      <c r="K87" s="8" t="str">
        <f>IF('Course 1'!$H85='tab1'!K$3,'Course 1'!$I85," ")</f>
        <v xml:space="preserve"> </v>
      </c>
      <c r="L87" s="8" t="str">
        <f>IF('Course 1'!$H85='tab1'!L$3,'Course 1'!$I85," ")</f>
        <v xml:space="preserve"> </v>
      </c>
      <c r="M87" s="8" t="str">
        <f>IF('Course 1'!$H85='tab1'!M$3,'Course 1'!$I85," ")</f>
        <v xml:space="preserve"> </v>
      </c>
      <c r="N87" s="9" t="str">
        <f>IF('Course 1'!$H85='tab1'!N$3,'Course 1'!$I85," ")</f>
        <v xml:space="preserve"> </v>
      </c>
    </row>
    <row r="88" spans="2:14">
      <c r="B88">
        <v>84</v>
      </c>
      <c r="C88" s="7" t="str">
        <f>IF('Course 1'!$H86='tab1'!C$3,'Course 1'!$I86," ")</f>
        <v xml:space="preserve"> </v>
      </c>
      <c r="D88" s="8" t="str">
        <f>IF('Course 1'!$H86='tab1'!D$3,'Course 1'!$I86," ")</f>
        <v xml:space="preserve"> </v>
      </c>
      <c r="E88" s="8" t="str">
        <f>IF('Course 1'!$H86='tab1'!E$3,'Course 1'!$I86," ")</f>
        <v xml:space="preserve"> </v>
      </c>
      <c r="F88" s="8" t="str">
        <f>IF('Course 1'!$H86='tab1'!F$3,'Course 1'!$I86," ")</f>
        <v xml:space="preserve"> </v>
      </c>
      <c r="G88" s="8" t="str">
        <f>IF('Course 1'!$H86='tab1'!G$3,'Course 1'!$I86," ")</f>
        <v xml:space="preserve"> </v>
      </c>
      <c r="H88" s="8" t="str">
        <f>IF('Course 1'!$H86='tab1'!H$3,'Course 1'!$I86," ")</f>
        <v xml:space="preserve"> </v>
      </c>
      <c r="I88" s="8" t="str">
        <f>IF('Course 1'!$H86='tab1'!I$3,'Course 1'!$I86," ")</f>
        <v xml:space="preserve"> </v>
      </c>
      <c r="J88" s="8" t="str">
        <f>IF('Course 1'!$H86='tab1'!J$3,'Course 1'!$I86," ")</f>
        <v xml:space="preserve"> </v>
      </c>
      <c r="K88" s="8" t="str">
        <f>IF('Course 1'!$H86='tab1'!K$3,'Course 1'!$I86," ")</f>
        <v xml:space="preserve"> </v>
      </c>
      <c r="L88" s="8" t="str">
        <f>IF('Course 1'!$H86='tab1'!L$3,'Course 1'!$I86," ")</f>
        <v xml:space="preserve"> </v>
      </c>
      <c r="M88" s="8" t="str">
        <f>IF('Course 1'!$H86='tab1'!M$3,'Course 1'!$I86," ")</f>
        <v xml:space="preserve"> </v>
      </c>
      <c r="N88" s="9" t="str">
        <f>IF('Course 1'!$H86='tab1'!N$3,'Course 1'!$I86," ")</f>
        <v xml:space="preserve"> </v>
      </c>
    </row>
    <row r="89" spans="2:14">
      <c r="B89">
        <v>85</v>
      </c>
      <c r="C89" s="7" t="str">
        <f>IF('Course 1'!$H87='tab1'!C$3,'Course 1'!$I87," ")</f>
        <v xml:space="preserve"> </v>
      </c>
      <c r="D89" s="8" t="str">
        <f>IF('Course 1'!$H87='tab1'!D$3,'Course 1'!$I87," ")</f>
        <v xml:space="preserve"> </v>
      </c>
      <c r="E89" s="8">
        <f>IF('Course 1'!$H87='tab1'!E$3,'Course 1'!$I87," ")</f>
        <v>3.2812500000000001E-2</v>
      </c>
      <c r="F89" s="8" t="str">
        <f>IF('Course 1'!$H87='tab1'!F$3,'Course 1'!$I87," ")</f>
        <v xml:space="preserve"> </v>
      </c>
      <c r="G89" s="8" t="str">
        <f>IF('Course 1'!$H87='tab1'!G$3,'Course 1'!$I87," ")</f>
        <v xml:space="preserve"> </v>
      </c>
      <c r="H89" s="8" t="str">
        <f>IF('Course 1'!$H87='tab1'!H$3,'Course 1'!$I87," ")</f>
        <v xml:space="preserve"> </v>
      </c>
      <c r="I89" s="8" t="str">
        <f>IF('Course 1'!$H87='tab1'!I$3,'Course 1'!$I87," ")</f>
        <v xml:space="preserve"> </v>
      </c>
      <c r="J89" s="8" t="str">
        <f>IF('Course 1'!$H87='tab1'!J$3,'Course 1'!$I87," ")</f>
        <v xml:space="preserve"> </v>
      </c>
      <c r="K89" s="8" t="str">
        <f>IF('Course 1'!$H87='tab1'!K$3,'Course 1'!$I87," ")</f>
        <v xml:space="preserve"> </v>
      </c>
      <c r="L89" s="8" t="str">
        <f>IF('Course 1'!$H87='tab1'!L$3,'Course 1'!$I87," ")</f>
        <v xml:space="preserve"> </v>
      </c>
      <c r="M89" s="8" t="str">
        <f>IF('Course 1'!$H87='tab1'!M$3,'Course 1'!$I87," ")</f>
        <v xml:space="preserve"> </v>
      </c>
      <c r="N89" s="9" t="str">
        <f>IF('Course 1'!$H87='tab1'!N$3,'Course 1'!$I87," ")</f>
        <v xml:space="preserve"> </v>
      </c>
    </row>
    <row r="90" spans="2:14">
      <c r="B90">
        <v>86</v>
      </c>
      <c r="C90" s="7" t="str">
        <f>IF('Course 1'!$H88='tab1'!C$3,'Course 1'!$I88," ")</f>
        <v xml:space="preserve"> </v>
      </c>
      <c r="D90" s="8" t="str">
        <f>IF('Course 1'!$H88='tab1'!D$3,'Course 1'!$I88," ")</f>
        <v xml:space="preserve"> </v>
      </c>
      <c r="E90" s="8" t="str">
        <f>IF('Course 1'!$H88='tab1'!E$3,'Course 1'!$I88," ")</f>
        <v xml:space="preserve"> </v>
      </c>
      <c r="F90" s="8" t="str">
        <f>IF('Course 1'!$H88='tab1'!F$3,'Course 1'!$I88," ")</f>
        <v xml:space="preserve"> </v>
      </c>
      <c r="G90" s="8" t="str">
        <f>IF('Course 1'!$H88='tab1'!G$3,'Course 1'!$I88," ")</f>
        <v xml:space="preserve"> </v>
      </c>
      <c r="H90" s="8" t="str">
        <f>IF('Course 1'!$H88='tab1'!H$3,'Course 1'!$I88," ")</f>
        <v xml:space="preserve"> </v>
      </c>
      <c r="I90" s="8" t="str">
        <f>IF('Course 1'!$H88='tab1'!I$3,'Course 1'!$I88," ")</f>
        <v xml:space="preserve"> </v>
      </c>
      <c r="J90" s="8" t="str">
        <f>IF('Course 1'!$H88='tab1'!J$3,'Course 1'!$I88," ")</f>
        <v xml:space="preserve"> </v>
      </c>
      <c r="K90" s="8" t="str">
        <f>IF('Course 1'!$H88='tab1'!K$3,'Course 1'!$I88," ")</f>
        <v xml:space="preserve"> </v>
      </c>
      <c r="L90" s="8" t="str">
        <f>IF('Course 1'!$H88='tab1'!L$3,'Course 1'!$I88," ")</f>
        <v xml:space="preserve"> </v>
      </c>
      <c r="M90" s="8" t="str">
        <f>IF('Course 1'!$H88='tab1'!M$3,'Course 1'!$I88," ")</f>
        <v xml:space="preserve"> </v>
      </c>
      <c r="N90" s="9" t="str">
        <f>IF('Course 1'!$H88='tab1'!N$3,'Course 1'!$I88," ")</f>
        <v xml:space="preserve"> </v>
      </c>
    </row>
    <row r="91" spans="2:14">
      <c r="B91">
        <v>87</v>
      </c>
      <c r="C91" s="7" t="str">
        <f>IF('Course 1'!$H89='tab1'!C$3,'Course 1'!$I89," ")</f>
        <v xml:space="preserve"> </v>
      </c>
      <c r="D91" s="8" t="str">
        <f>IF('Course 1'!$H89='tab1'!D$3,'Course 1'!$I89," ")</f>
        <v xml:space="preserve"> </v>
      </c>
      <c r="E91" s="8" t="str">
        <f>IF('Course 1'!$H89='tab1'!E$3,'Course 1'!$I89," ")</f>
        <v xml:space="preserve"> </v>
      </c>
      <c r="F91" s="8">
        <f>IF('Course 1'!$H89='tab1'!F$3,'Course 1'!$I89," ")</f>
        <v>5.1898148148148145E-2</v>
      </c>
      <c r="G91" s="8" t="str">
        <f>IF('Course 1'!$H89='tab1'!G$3,'Course 1'!$I89," ")</f>
        <v xml:space="preserve"> </v>
      </c>
      <c r="H91" s="8" t="str">
        <f>IF('Course 1'!$H89='tab1'!H$3,'Course 1'!$I89," ")</f>
        <v xml:space="preserve"> </v>
      </c>
      <c r="I91" s="8" t="str">
        <f>IF('Course 1'!$H89='tab1'!I$3,'Course 1'!$I89," ")</f>
        <v xml:space="preserve"> </v>
      </c>
      <c r="J91" s="8" t="str">
        <f>IF('Course 1'!$H89='tab1'!J$3,'Course 1'!$I89," ")</f>
        <v xml:space="preserve"> </v>
      </c>
      <c r="K91" s="8" t="str">
        <f>IF('Course 1'!$H89='tab1'!K$3,'Course 1'!$I89," ")</f>
        <v xml:space="preserve"> </v>
      </c>
      <c r="L91" s="8" t="str">
        <f>IF('Course 1'!$H89='tab1'!L$3,'Course 1'!$I89," ")</f>
        <v xml:space="preserve"> </v>
      </c>
      <c r="M91" s="8" t="str">
        <f>IF('Course 1'!$H89='tab1'!M$3,'Course 1'!$I89," ")</f>
        <v xml:space="preserve"> </v>
      </c>
      <c r="N91" s="9" t="str">
        <f>IF('Course 1'!$H89='tab1'!N$3,'Course 1'!$I89," ")</f>
        <v xml:space="preserve"> </v>
      </c>
    </row>
    <row r="92" spans="2:14">
      <c r="B92">
        <v>88</v>
      </c>
      <c r="C92" s="7" t="str">
        <f>IF('Course 1'!$H90='tab1'!C$3,'Course 1'!$I90," ")</f>
        <v xml:space="preserve"> </v>
      </c>
      <c r="D92" s="8" t="str">
        <f>IF('Course 1'!$H90='tab1'!D$3,'Course 1'!$I90," ")</f>
        <v xml:space="preserve"> </v>
      </c>
      <c r="E92" s="8" t="str">
        <f>IF('Course 1'!$H90='tab1'!E$3,'Course 1'!$I90," ")</f>
        <v xml:space="preserve"> </v>
      </c>
      <c r="F92" s="8" t="str">
        <f>IF('Course 1'!$H90='tab1'!F$3,'Course 1'!$I90," ")</f>
        <v xml:space="preserve"> </v>
      </c>
      <c r="G92" s="8" t="str">
        <f>IF('Course 1'!$H90='tab1'!G$3,'Course 1'!$I90," ")</f>
        <v xml:space="preserve"> </v>
      </c>
      <c r="H92" s="8" t="str">
        <f>IF('Course 1'!$H90='tab1'!H$3,'Course 1'!$I90," ")</f>
        <v xml:space="preserve"> </v>
      </c>
      <c r="I92" s="8" t="str">
        <f>IF('Course 1'!$H90='tab1'!I$3,'Course 1'!$I90," ")</f>
        <v xml:space="preserve"> </v>
      </c>
      <c r="J92" s="8" t="str">
        <f>IF('Course 1'!$H90='tab1'!J$3,'Course 1'!$I90," ")</f>
        <v xml:space="preserve"> </v>
      </c>
      <c r="K92" s="8" t="str">
        <f>IF('Course 1'!$H90='tab1'!K$3,'Course 1'!$I90," ")</f>
        <v xml:space="preserve"> </v>
      </c>
      <c r="L92" s="8" t="str">
        <f>IF('Course 1'!$H90='tab1'!L$3,'Course 1'!$I90," ")</f>
        <v xml:space="preserve"> </v>
      </c>
      <c r="M92" s="8" t="str">
        <f>IF('Course 1'!$H90='tab1'!M$3,'Course 1'!$I90," ")</f>
        <v xml:space="preserve"> </v>
      </c>
      <c r="N92" s="9" t="str">
        <f>IF('Course 1'!$H90='tab1'!N$3,'Course 1'!$I90," ")</f>
        <v xml:space="preserve"> </v>
      </c>
    </row>
    <row r="93" spans="2:14">
      <c r="B93">
        <v>89</v>
      </c>
      <c r="C93" s="7" t="str">
        <f>IF('Course 1'!$H91='tab1'!C$3,'Course 1'!$I91," ")</f>
        <v xml:space="preserve"> </v>
      </c>
      <c r="D93" s="8" t="str">
        <f>IF('Course 1'!$H91='tab1'!D$3,'Course 1'!$I91," ")</f>
        <v xml:space="preserve"> </v>
      </c>
      <c r="E93" s="8">
        <f>IF('Course 1'!$H91='tab1'!E$3,'Course 1'!$I91," ")</f>
        <v>3.3287037037037039E-2</v>
      </c>
      <c r="F93" s="8" t="str">
        <f>IF('Course 1'!$H91='tab1'!F$3,'Course 1'!$I91," ")</f>
        <v xml:space="preserve"> </v>
      </c>
      <c r="G93" s="8" t="str">
        <f>IF('Course 1'!$H91='tab1'!G$3,'Course 1'!$I91," ")</f>
        <v xml:space="preserve"> </v>
      </c>
      <c r="H93" s="8" t="str">
        <f>IF('Course 1'!$H91='tab1'!H$3,'Course 1'!$I91," ")</f>
        <v xml:space="preserve"> </v>
      </c>
      <c r="I93" s="8" t="str">
        <f>IF('Course 1'!$H91='tab1'!I$3,'Course 1'!$I91," ")</f>
        <v xml:space="preserve"> </v>
      </c>
      <c r="J93" s="8" t="str">
        <f>IF('Course 1'!$H91='tab1'!J$3,'Course 1'!$I91," ")</f>
        <v xml:space="preserve"> </v>
      </c>
      <c r="K93" s="8" t="str">
        <f>IF('Course 1'!$H91='tab1'!K$3,'Course 1'!$I91," ")</f>
        <v xml:space="preserve"> </v>
      </c>
      <c r="L93" s="8" t="str">
        <f>IF('Course 1'!$H91='tab1'!L$3,'Course 1'!$I91," ")</f>
        <v xml:space="preserve"> </v>
      </c>
      <c r="M93" s="8" t="str">
        <f>IF('Course 1'!$H91='tab1'!M$3,'Course 1'!$I91," ")</f>
        <v xml:space="preserve"> </v>
      </c>
      <c r="N93" s="9" t="str">
        <f>IF('Course 1'!$H91='tab1'!N$3,'Course 1'!$I91," ")</f>
        <v xml:space="preserve"> </v>
      </c>
    </row>
    <row r="94" spans="2:14">
      <c r="B94">
        <v>90</v>
      </c>
      <c r="C94" s="7" t="str">
        <f>IF('Course 1'!$H92='tab1'!C$3,'Course 1'!$I92," ")</f>
        <v xml:space="preserve"> </v>
      </c>
      <c r="D94" s="8" t="str">
        <f>IF('Course 1'!$H92='tab1'!D$3,'Course 1'!$I92," ")</f>
        <v xml:space="preserve"> </v>
      </c>
      <c r="E94" s="8" t="str">
        <f>IF('Course 1'!$H92='tab1'!E$3,'Course 1'!$I92," ")</f>
        <v xml:space="preserve"> </v>
      </c>
      <c r="F94" s="8" t="str">
        <f>IF('Course 1'!$H92='tab1'!F$3,'Course 1'!$I92," ")</f>
        <v xml:space="preserve"> </v>
      </c>
      <c r="G94" s="8" t="str">
        <f>IF('Course 1'!$H92='tab1'!G$3,'Course 1'!$I92," ")</f>
        <v xml:space="preserve"> </v>
      </c>
      <c r="H94" s="8" t="str">
        <f>IF('Course 1'!$H92='tab1'!H$3,'Course 1'!$I92," ")</f>
        <v xml:space="preserve"> </v>
      </c>
      <c r="I94" s="8" t="str">
        <f>IF('Course 1'!$H92='tab1'!I$3,'Course 1'!$I92," ")</f>
        <v xml:space="preserve"> </v>
      </c>
      <c r="J94" s="8" t="str">
        <f>IF('Course 1'!$H92='tab1'!J$3,'Course 1'!$I92," ")</f>
        <v xml:space="preserve"> </v>
      </c>
      <c r="K94" s="8" t="str">
        <f>IF('Course 1'!$H92='tab1'!K$3,'Course 1'!$I92," ")</f>
        <v xml:space="preserve"> </v>
      </c>
      <c r="L94" s="8" t="str">
        <f>IF('Course 1'!$H92='tab1'!L$3,'Course 1'!$I92," ")</f>
        <v xml:space="preserve"> </v>
      </c>
      <c r="M94" s="8" t="str">
        <f>IF('Course 1'!$H92='tab1'!M$3,'Course 1'!$I92," ")</f>
        <v xml:space="preserve"> </v>
      </c>
      <c r="N94" s="9" t="str">
        <f>IF('Course 1'!$H92='tab1'!N$3,'Course 1'!$I92," ")</f>
        <v xml:space="preserve"> </v>
      </c>
    </row>
    <row r="95" spans="2:14">
      <c r="B95">
        <v>91</v>
      </c>
      <c r="C95" s="7" t="str">
        <f>IF('Course 1'!$H93='tab1'!C$3,'Course 1'!$I93," ")</f>
        <v xml:space="preserve"> </v>
      </c>
      <c r="D95" s="8" t="str">
        <f>IF('Course 1'!$H93='tab1'!D$3,'Course 1'!$I93," ")</f>
        <v xml:space="preserve"> </v>
      </c>
      <c r="E95" s="8" t="str">
        <f>IF('Course 1'!$H93='tab1'!E$3,'Course 1'!$I93," ")</f>
        <v xml:space="preserve"> </v>
      </c>
      <c r="F95" s="8" t="str">
        <f>IF('Course 1'!$H93='tab1'!F$3,'Course 1'!$I93," ")</f>
        <v xml:space="preserve"> </v>
      </c>
      <c r="G95" s="8" t="str">
        <f>IF('Course 1'!$H93='tab1'!G$3,'Course 1'!$I93," ")</f>
        <v xml:space="preserve"> </v>
      </c>
      <c r="H95" s="8" t="str">
        <f>IF('Course 1'!$H93='tab1'!H$3,'Course 1'!$I93," ")</f>
        <v xml:space="preserve"> </v>
      </c>
      <c r="I95" s="8" t="str">
        <f>IF('Course 1'!$H93='tab1'!I$3,'Course 1'!$I93," ")</f>
        <v xml:space="preserve"> </v>
      </c>
      <c r="J95" s="8" t="str">
        <f>IF('Course 1'!$H93='tab1'!J$3,'Course 1'!$I93," ")</f>
        <v xml:space="preserve"> </v>
      </c>
      <c r="K95" s="8" t="str">
        <f>IF('Course 1'!$H93='tab1'!K$3,'Course 1'!$I93," ")</f>
        <v xml:space="preserve"> </v>
      </c>
      <c r="L95" s="8" t="str">
        <f>IF('Course 1'!$H93='tab1'!L$3,'Course 1'!$I93," ")</f>
        <v xml:space="preserve"> </v>
      </c>
      <c r="M95" s="8" t="str">
        <f>IF('Course 1'!$H93='tab1'!M$3,'Course 1'!$I93," ")</f>
        <v xml:space="preserve"> </v>
      </c>
      <c r="N95" s="9" t="str">
        <f>IF('Course 1'!$H93='tab1'!N$3,'Course 1'!$I93," ")</f>
        <v xml:space="preserve"> </v>
      </c>
    </row>
    <row r="96" spans="2:14">
      <c r="B96">
        <v>92</v>
      </c>
      <c r="C96" s="7" t="str">
        <f>IF('Course 1'!$H94='tab1'!C$3,'Course 1'!$I94," ")</f>
        <v xml:space="preserve"> </v>
      </c>
      <c r="D96" s="8" t="str">
        <f>IF('Course 1'!$H94='tab1'!D$3,'Course 1'!$I94," ")</f>
        <v xml:space="preserve"> </v>
      </c>
      <c r="E96" s="8" t="str">
        <f>IF('Course 1'!$H94='tab1'!E$3,'Course 1'!$I94," ")</f>
        <v xml:space="preserve"> </v>
      </c>
      <c r="F96" s="8" t="str">
        <f>IF('Course 1'!$H94='tab1'!F$3,'Course 1'!$I94," ")</f>
        <v xml:space="preserve"> </v>
      </c>
      <c r="G96" s="8" t="str">
        <f>IF('Course 1'!$H94='tab1'!G$3,'Course 1'!$I94," ")</f>
        <v xml:space="preserve"> </v>
      </c>
      <c r="H96" s="8" t="str">
        <f>IF('Course 1'!$H94='tab1'!H$3,'Course 1'!$I94," ")</f>
        <v xml:space="preserve"> </v>
      </c>
      <c r="I96" s="8" t="str">
        <f>IF('Course 1'!$H94='tab1'!I$3,'Course 1'!$I94," ")</f>
        <v xml:space="preserve"> </v>
      </c>
      <c r="J96" s="8" t="str">
        <f>IF('Course 1'!$H94='tab1'!J$3,'Course 1'!$I94," ")</f>
        <v xml:space="preserve"> </v>
      </c>
      <c r="K96" s="8" t="str">
        <f>IF('Course 1'!$H94='tab1'!K$3,'Course 1'!$I94," ")</f>
        <v xml:space="preserve"> </v>
      </c>
      <c r="L96" s="8" t="str">
        <f>IF('Course 1'!$H94='tab1'!L$3,'Course 1'!$I94," ")</f>
        <v xml:space="preserve"> </v>
      </c>
      <c r="M96" s="8" t="str">
        <f>IF('Course 1'!$H94='tab1'!M$3,'Course 1'!$I94," ")</f>
        <v xml:space="preserve"> </v>
      </c>
      <c r="N96" s="9" t="str">
        <f>IF('Course 1'!$H94='tab1'!N$3,'Course 1'!$I94," ")</f>
        <v xml:space="preserve"> </v>
      </c>
    </row>
    <row r="97" spans="2:14">
      <c r="B97">
        <v>93</v>
      </c>
      <c r="C97" s="7" t="str">
        <f>IF('Course 1'!$H95='tab1'!C$3,'Course 1'!$I95," ")</f>
        <v xml:space="preserve"> </v>
      </c>
      <c r="D97" s="8" t="str">
        <f>IF('Course 1'!$H95='tab1'!D$3,'Course 1'!$I95," ")</f>
        <v xml:space="preserve"> </v>
      </c>
      <c r="E97" s="8" t="str">
        <f>IF('Course 1'!$H95='tab1'!E$3,'Course 1'!$I95," ")</f>
        <v xml:space="preserve"> </v>
      </c>
      <c r="F97" s="8" t="str">
        <f>IF('Course 1'!$H95='tab1'!F$3,'Course 1'!$I95," ")</f>
        <v xml:space="preserve"> </v>
      </c>
      <c r="G97" s="8" t="str">
        <f>IF('Course 1'!$H95='tab1'!G$3,'Course 1'!$I95," ")</f>
        <v xml:space="preserve"> </v>
      </c>
      <c r="H97" s="8" t="str">
        <f>IF('Course 1'!$H95='tab1'!H$3,'Course 1'!$I95," ")</f>
        <v xml:space="preserve"> </v>
      </c>
      <c r="I97" s="8" t="str">
        <f>IF('Course 1'!$H95='tab1'!I$3,'Course 1'!$I95," ")</f>
        <v xml:space="preserve"> </v>
      </c>
      <c r="J97" s="8" t="str">
        <f>IF('Course 1'!$H95='tab1'!J$3,'Course 1'!$I95," ")</f>
        <v xml:space="preserve"> </v>
      </c>
      <c r="K97" s="8" t="str">
        <f>IF('Course 1'!$H95='tab1'!K$3,'Course 1'!$I95," ")</f>
        <v xml:space="preserve"> </v>
      </c>
      <c r="L97" s="8" t="str">
        <f>IF('Course 1'!$H95='tab1'!L$3,'Course 1'!$I95," ")</f>
        <v xml:space="preserve"> </v>
      </c>
      <c r="M97" s="8" t="str">
        <f>IF('Course 1'!$H95='tab1'!M$3,'Course 1'!$I95," ")</f>
        <v xml:space="preserve"> </v>
      </c>
      <c r="N97" s="9" t="str">
        <f>IF('Course 1'!$H95='tab1'!N$3,'Course 1'!$I95," ")</f>
        <v xml:space="preserve"> </v>
      </c>
    </row>
    <row r="98" spans="2:14">
      <c r="B98">
        <v>94</v>
      </c>
      <c r="C98" s="7" t="str">
        <f>IF('Course 1'!$H96='tab1'!C$3,'Course 1'!$I96," ")</f>
        <v xml:space="preserve"> </v>
      </c>
      <c r="D98" s="8" t="str">
        <f>IF('Course 1'!$H96='tab1'!D$3,'Course 1'!$I96," ")</f>
        <v xml:space="preserve"> </v>
      </c>
      <c r="E98" s="8" t="str">
        <f>IF('Course 1'!$H96='tab1'!E$3,'Course 1'!$I96," ")</f>
        <v xml:space="preserve"> </v>
      </c>
      <c r="F98" s="8" t="str">
        <f>IF('Course 1'!$H96='tab1'!F$3,'Course 1'!$I96," ")</f>
        <v xml:space="preserve"> </v>
      </c>
      <c r="G98" s="8" t="str">
        <f>IF('Course 1'!$H96='tab1'!G$3,'Course 1'!$I96," ")</f>
        <v xml:space="preserve"> </v>
      </c>
      <c r="H98" s="8" t="str">
        <f>IF('Course 1'!$H96='tab1'!H$3,'Course 1'!$I96," ")</f>
        <v xml:space="preserve"> </v>
      </c>
      <c r="I98" s="8" t="str">
        <f>IF('Course 1'!$H96='tab1'!I$3,'Course 1'!$I96," ")</f>
        <v xml:space="preserve"> </v>
      </c>
      <c r="J98" s="8" t="str">
        <f>IF('Course 1'!$H96='tab1'!J$3,'Course 1'!$I96," ")</f>
        <v xml:space="preserve"> </v>
      </c>
      <c r="K98" s="8" t="str">
        <f>IF('Course 1'!$H96='tab1'!K$3,'Course 1'!$I96," ")</f>
        <v xml:space="preserve"> </v>
      </c>
      <c r="L98" s="8" t="str">
        <f>IF('Course 1'!$H96='tab1'!L$3,'Course 1'!$I96," ")</f>
        <v xml:space="preserve"> </v>
      </c>
      <c r="M98" s="8" t="str">
        <f>IF('Course 1'!$H96='tab1'!M$3,'Course 1'!$I96," ")</f>
        <v xml:space="preserve"> </v>
      </c>
      <c r="N98" s="9" t="str">
        <f>IF('Course 1'!$H96='tab1'!N$3,'Course 1'!$I96," ")</f>
        <v xml:space="preserve"> </v>
      </c>
    </row>
    <row r="99" spans="2:14">
      <c r="B99">
        <v>95</v>
      </c>
      <c r="C99" s="7" t="str">
        <f>IF('Course 1'!$H97='tab1'!C$3,'Course 1'!$I97," ")</f>
        <v xml:space="preserve"> </v>
      </c>
      <c r="D99" s="8" t="str">
        <f>IF('Course 1'!$H97='tab1'!D$3,'Course 1'!$I97," ")</f>
        <v xml:space="preserve"> </v>
      </c>
      <c r="E99" s="8" t="str">
        <f>IF('Course 1'!$H97='tab1'!E$3,'Course 1'!$I97," ")</f>
        <v xml:space="preserve"> </v>
      </c>
      <c r="F99" s="8" t="str">
        <f>IF('Course 1'!$H97='tab1'!F$3,'Course 1'!$I97," ")</f>
        <v xml:space="preserve"> </v>
      </c>
      <c r="G99" s="8" t="str">
        <f>IF('Course 1'!$H97='tab1'!G$3,'Course 1'!$I97," ")</f>
        <v xml:space="preserve"> </v>
      </c>
      <c r="H99" s="8" t="str">
        <f>IF('Course 1'!$H97='tab1'!H$3,'Course 1'!$I97," ")</f>
        <v xml:space="preserve"> </v>
      </c>
      <c r="I99" s="8" t="str">
        <f>IF('Course 1'!$H97='tab1'!I$3,'Course 1'!$I97," ")</f>
        <v xml:space="preserve"> </v>
      </c>
      <c r="J99" s="8" t="str">
        <f>IF('Course 1'!$H97='tab1'!J$3,'Course 1'!$I97," ")</f>
        <v xml:space="preserve"> </v>
      </c>
      <c r="K99" s="8" t="str">
        <f>IF('Course 1'!$H97='tab1'!K$3,'Course 1'!$I97," ")</f>
        <v xml:space="preserve"> </v>
      </c>
      <c r="L99" s="8" t="str">
        <f>IF('Course 1'!$H97='tab1'!L$3,'Course 1'!$I97," ")</f>
        <v xml:space="preserve"> </v>
      </c>
      <c r="M99" s="8" t="str">
        <f>IF('Course 1'!$H97='tab1'!M$3,'Course 1'!$I97," ")</f>
        <v xml:space="preserve"> </v>
      </c>
      <c r="N99" s="9" t="str">
        <f>IF('Course 1'!$H97='tab1'!N$3,'Course 1'!$I97," ")</f>
        <v xml:space="preserve"> </v>
      </c>
    </row>
    <row r="100" spans="2:14">
      <c r="B100">
        <v>96</v>
      </c>
      <c r="C100" s="7" t="str">
        <f>IF('Course 1'!$H98='tab1'!C$3,'Course 1'!$I98," ")</f>
        <v xml:space="preserve"> </v>
      </c>
      <c r="D100" s="8" t="str">
        <f>IF('Course 1'!$H98='tab1'!D$3,'Course 1'!$I98," ")</f>
        <v xml:space="preserve"> </v>
      </c>
      <c r="E100" s="8" t="str">
        <f>IF('Course 1'!$H98='tab1'!E$3,'Course 1'!$I98," ")</f>
        <v xml:space="preserve"> </v>
      </c>
      <c r="F100" s="8" t="str">
        <f>IF('Course 1'!$H98='tab1'!F$3,'Course 1'!$I98," ")</f>
        <v xml:space="preserve"> </v>
      </c>
      <c r="G100" s="8" t="str">
        <f>IF('Course 1'!$H98='tab1'!G$3,'Course 1'!$I98," ")</f>
        <v xml:space="preserve"> </v>
      </c>
      <c r="H100" s="8" t="str">
        <f>IF('Course 1'!$H98='tab1'!H$3,'Course 1'!$I98," ")</f>
        <v xml:space="preserve"> </v>
      </c>
      <c r="I100" s="8" t="str">
        <f>IF('Course 1'!$H98='tab1'!I$3,'Course 1'!$I98," ")</f>
        <v xml:space="preserve"> </v>
      </c>
      <c r="J100" s="8" t="str">
        <f>IF('Course 1'!$H98='tab1'!J$3,'Course 1'!$I98," ")</f>
        <v xml:space="preserve"> </v>
      </c>
      <c r="K100" s="8" t="str">
        <f>IF('Course 1'!$H98='tab1'!K$3,'Course 1'!$I98," ")</f>
        <v xml:space="preserve"> </v>
      </c>
      <c r="L100" s="8" t="str">
        <f>IF('Course 1'!$H98='tab1'!L$3,'Course 1'!$I98," ")</f>
        <v xml:space="preserve"> </v>
      </c>
      <c r="M100" s="8" t="str">
        <f>IF('Course 1'!$H98='tab1'!M$3,'Course 1'!$I98," ")</f>
        <v xml:space="preserve"> </v>
      </c>
      <c r="N100" s="9" t="str">
        <f>IF('Course 1'!$H98='tab1'!N$3,'Course 1'!$I98," ")</f>
        <v xml:space="preserve"> </v>
      </c>
    </row>
    <row r="101" spans="2:14">
      <c r="B101">
        <v>97</v>
      </c>
      <c r="C101" s="7" t="str">
        <f>IF('Course 1'!$H99='tab1'!C$3,'Course 1'!$I99," ")</f>
        <v xml:space="preserve"> </v>
      </c>
      <c r="D101" s="8" t="str">
        <f>IF('Course 1'!$H99='tab1'!D$3,'Course 1'!$I99," ")</f>
        <v xml:space="preserve"> </v>
      </c>
      <c r="E101" s="8" t="str">
        <f>IF('Course 1'!$H99='tab1'!E$3,'Course 1'!$I99," ")</f>
        <v xml:space="preserve"> </v>
      </c>
      <c r="F101" s="8" t="str">
        <f>IF('Course 1'!$H99='tab1'!F$3,'Course 1'!$I99," ")</f>
        <v xml:space="preserve"> </v>
      </c>
      <c r="G101" s="8" t="str">
        <f>IF('Course 1'!$H99='tab1'!G$3,'Course 1'!$I99," ")</f>
        <v xml:space="preserve"> </v>
      </c>
      <c r="H101" s="8" t="str">
        <f>IF('Course 1'!$H99='tab1'!H$3,'Course 1'!$I99," ")</f>
        <v xml:space="preserve"> </v>
      </c>
      <c r="I101" s="8" t="str">
        <f>IF('Course 1'!$H99='tab1'!I$3,'Course 1'!$I99," ")</f>
        <v xml:space="preserve"> </v>
      </c>
      <c r="J101" s="8" t="str">
        <f>IF('Course 1'!$H99='tab1'!J$3,'Course 1'!$I99," ")</f>
        <v xml:space="preserve"> </v>
      </c>
      <c r="K101" s="8" t="str">
        <f>IF('Course 1'!$H99='tab1'!K$3,'Course 1'!$I99," ")</f>
        <v xml:space="preserve"> </v>
      </c>
      <c r="L101" s="8" t="str">
        <f>IF('Course 1'!$H99='tab1'!L$3,'Course 1'!$I99," ")</f>
        <v xml:space="preserve"> </v>
      </c>
      <c r="M101" s="8" t="str">
        <f>IF('Course 1'!$H99='tab1'!M$3,'Course 1'!$I99," ")</f>
        <v xml:space="preserve"> </v>
      </c>
      <c r="N101" s="9" t="str">
        <f>IF('Course 1'!$H99='tab1'!N$3,'Course 1'!$I99," ")</f>
        <v xml:space="preserve"> </v>
      </c>
    </row>
    <row r="102" spans="2:14">
      <c r="B102">
        <v>98</v>
      </c>
      <c r="C102" s="7" t="str">
        <f>IF('Course 1'!$H100='tab1'!C$3,'Course 1'!$I100," ")</f>
        <v xml:space="preserve"> </v>
      </c>
      <c r="D102" s="8" t="str">
        <f>IF('Course 1'!$H100='tab1'!D$3,'Course 1'!$I100," ")</f>
        <v xml:space="preserve"> </v>
      </c>
      <c r="E102" s="8" t="str">
        <f>IF('Course 1'!$H100='tab1'!E$3,'Course 1'!$I100," ")</f>
        <v xml:space="preserve"> </v>
      </c>
      <c r="F102" s="8" t="str">
        <f>IF('Course 1'!$H100='tab1'!F$3,'Course 1'!$I100," ")</f>
        <v xml:space="preserve"> </v>
      </c>
      <c r="G102" s="8" t="str">
        <f>IF('Course 1'!$H100='tab1'!G$3,'Course 1'!$I100," ")</f>
        <v xml:space="preserve"> </v>
      </c>
      <c r="H102" s="8" t="str">
        <f>IF('Course 1'!$H100='tab1'!H$3,'Course 1'!$I100," ")</f>
        <v xml:space="preserve"> </v>
      </c>
      <c r="I102" s="8" t="str">
        <f>IF('Course 1'!$H100='tab1'!I$3,'Course 1'!$I100," ")</f>
        <v xml:space="preserve"> </v>
      </c>
      <c r="J102" s="8" t="str">
        <f>IF('Course 1'!$H100='tab1'!J$3,'Course 1'!$I100," ")</f>
        <v xml:space="preserve"> </v>
      </c>
      <c r="K102" s="8" t="str">
        <f>IF('Course 1'!$H100='tab1'!K$3,'Course 1'!$I100," ")</f>
        <v xml:space="preserve"> </v>
      </c>
      <c r="L102" s="8" t="str">
        <f>IF('Course 1'!$H100='tab1'!L$3,'Course 1'!$I100," ")</f>
        <v xml:space="preserve"> </v>
      </c>
      <c r="M102" s="8" t="str">
        <f>IF('Course 1'!$H100='tab1'!M$3,'Course 1'!$I100," ")</f>
        <v xml:space="preserve"> </v>
      </c>
      <c r="N102" s="9" t="str">
        <f>IF('Course 1'!$H100='tab1'!N$3,'Course 1'!$I100," ")</f>
        <v xml:space="preserve"> </v>
      </c>
    </row>
    <row r="103" spans="2:14">
      <c r="B103">
        <v>99</v>
      </c>
      <c r="C103" s="7" t="str">
        <f>IF('Course 1'!$H101='tab1'!C$3,'Course 1'!$I101," ")</f>
        <v xml:space="preserve"> </v>
      </c>
      <c r="D103" s="8" t="str">
        <f>IF('Course 1'!$H101='tab1'!D$3,'Course 1'!$I101," ")</f>
        <v xml:space="preserve"> </v>
      </c>
      <c r="E103" s="8" t="str">
        <f>IF('Course 1'!$H101='tab1'!E$3,'Course 1'!$I101," ")</f>
        <v xml:space="preserve"> </v>
      </c>
      <c r="F103" s="8" t="str">
        <f>IF('Course 1'!$H101='tab1'!F$3,'Course 1'!$I101," ")</f>
        <v xml:space="preserve"> </v>
      </c>
      <c r="G103" s="8" t="str">
        <f>IF('Course 1'!$H101='tab1'!G$3,'Course 1'!$I101," ")</f>
        <v xml:space="preserve"> </v>
      </c>
      <c r="H103" s="8" t="str">
        <f>IF('Course 1'!$H101='tab1'!H$3,'Course 1'!$I101," ")</f>
        <v xml:space="preserve"> </v>
      </c>
      <c r="I103" s="8" t="str">
        <f>IF('Course 1'!$H101='tab1'!I$3,'Course 1'!$I101," ")</f>
        <v xml:space="preserve"> </v>
      </c>
      <c r="J103" s="8" t="str">
        <f>IF('Course 1'!$H101='tab1'!J$3,'Course 1'!$I101," ")</f>
        <v xml:space="preserve"> </v>
      </c>
      <c r="K103" s="8" t="str">
        <f>IF('Course 1'!$H101='tab1'!K$3,'Course 1'!$I101," ")</f>
        <v xml:space="preserve"> </v>
      </c>
      <c r="L103" s="8" t="str">
        <f>IF('Course 1'!$H101='tab1'!L$3,'Course 1'!$I101," ")</f>
        <v xml:space="preserve"> </v>
      </c>
      <c r="M103" s="8" t="str">
        <f>IF('Course 1'!$H101='tab1'!M$3,'Course 1'!$I101," ")</f>
        <v xml:space="preserve"> </v>
      </c>
      <c r="N103" s="9" t="str">
        <f>IF('Course 1'!$H101='tab1'!N$3,'Course 1'!$I101," ")</f>
        <v xml:space="preserve"> </v>
      </c>
    </row>
    <row r="104" spans="2:14">
      <c r="B104">
        <v>100</v>
      </c>
      <c r="C104" s="7" t="str">
        <f>IF('Course 1'!$H102='tab1'!C$3,'Course 1'!$I102," ")</f>
        <v xml:space="preserve"> </v>
      </c>
      <c r="D104" s="8" t="str">
        <f>IF('Course 1'!$H102='tab1'!D$3,'Course 1'!$I102," ")</f>
        <v xml:space="preserve"> </v>
      </c>
      <c r="E104" s="8" t="str">
        <f>IF('Course 1'!$H102='tab1'!E$3,'Course 1'!$I102," ")</f>
        <v xml:space="preserve"> </v>
      </c>
      <c r="F104" s="8" t="str">
        <f>IF('Course 1'!$H102='tab1'!F$3,'Course 1'!$I102," ")</f>
        <v xml:space="preserve"> </v>
      </c>
      <c r="G104" s="8" t="str">
        <f>IF('Course 1'!$H102='tab1'!G$3,'Course 1'!$I102," ")</f>
        <v xml:space="preserve"> </v>
      </c>
      <c r="H104" s="8" t="str">
        <f>IF('Course 1'!$H102='tab1'!H$3,'Course 1'!$I102," ")</f>
        <v xml:space="preserve"> </v>
      </c>
      <c r="I104" s="8" t="str">
        <f>IF('Course 1'!$H102='tab1'!I$3,'Course 1'!$I102," ")</f>
        <v xml:space="preserve"> </v>
      </c>
      <c r="J104" s="8" t="str">
        <f>IF('Course 1'!$H102='tab1'!J$3,'Course 1'!$I102," ")</f>
        <v xml:space="preserve"> </v>
      </c>
      <c r="K104" s="8" t="str">
        <f>IF('Course 1'!$H102='tab1'!K$3,'Course 1'!$I102," ")</f>
        <v xml:space="preserve"> </v>
      </c>
      <c r="L104" s="8" t="str">
        <f>IF('Course 1'!$H102='tab1'!L$3,'Course 1'!$I102," ")</f>
        <v xml:space="preserve"> </v>
      </c>
      <c r="M104" s="8" t="str">
        <f>IF('Course 1'!$H102='tab1'!M$3,'Course 1'!$I102," ")</f>
        <v xml:space="preserve"> </v>
      </c>
      <c r="N104" s="9" t="str">
        <f>IF('Course 1'!$H102='tab1'!N$3,'Course 1'!$I102," ")</f>
        <v xml:space="preserve"> </v>
      </c>
    </row>
    <row r="105" spans="2:14">
      <c r="B105">
        <v>101</v>
      </c>
      <c r="C105" s="7" t="str">
        <f>IF('Course 1'!$H103='tab1'!C$3,'Course 1'!$I103," ")</f>
        <v xml:space="preserve"> </v>
      </c>
      <c r="D105" s="8" t="str">
        <f>IF('Course 1'!$H103='tab1'!D$3,'Course 1'!$I103," ")</f>
        <v xml:space="preserve"> </v>
      </c>
      <c r="E105" s="8" t="str">
        <f>IF('Course 1'!$H103='tab1'!E$3,'Course 1'!$I103," ")</f>
        <v xml:space="preserve"> </v>
      </c>
      <c r="F105" s="8" t="str">
        <f>IF('Course 1'!$H103='tab1'!F$3,'Course 1'!$I103," ")</f>
        <v xml:space="preserve"> </v>
      </c>
      <c r="G105" s="8" t="str">
        <f>IF('Course 1'!$H103='tab1'!G$3,'Course 1'!$I103," ")</f>
        <v xml:space="preserve"> </v>
      </c>
      <c r="H105" s="8" t="str">
        <f>IF('Course 1'!$H103='tab1'!H$3,'Course 1'!$I103," ")</f>
        <v xml:space="preserve"> </v>
      </c>
      <c r="I105" s="8" t="str">
        <f>IF('Course 1'!$H103='tab1'!I$3,'Course 1'!$I103," ")</f>
        <v xml:space="preserve"> </v>
      </c>
      <c r="J105" s="8" t="str">
        <f>IF('Course 1'!$H103='tab1'!J$3,'Course 1'!$I103," ")</f>
        <v xml:space="preserve"> </v>
      </c>
      <c r="K105" s="8" t="str">
        <f>IF('Course 1'!$H103='tab1'!K$3,'Course 1'!$I103," ")</f>
        <v xml:space="preserve"> </v>
      </c>
      <c r="L105" s="8" t="str">
        <f>IF('Course 1'!$H103='tab1'!L$3,'Course 1'!$I103," ")</f>
        <v xml:space="preserve"> </v>
      </c>
      <c r="M105" s="8" t="str">
        <f>IF('Course 1'!$H103='tab1'!M$3,'Course 1'!$I103," ")</f>
        <v xml:space="preserve"> </v>
      </c>
      <c r="N105" s="9" t="str">
        <f>IF('Course 1'!$H103='tab1'!N$3,'Course 1'!$I103," ")</f>
        <v xml:space="preserve"> </v>
      </c>
    </row>
    <row r="106" spans="2:14">
      <c r="B106">
        <v>102</v>
      </c>
      <c r="C106" s="7" t="str">
        <f>IF('Course 1'!$H104='tab1'!C$3,'Course 1'!$I104," ")</f>
        <v xml:space="preserve"> </v>
      </c>
      <c r="D106" s="8" t="str">
        <f>IF('Course 1'!$H104='tab1'!D$3,'Course 1'!$I104," ")</f>
        <v xml:space="preserve"> </v>
      </c>
      <c r="E106" s="8" t="str">
        <f>IF('Course 1'!$H104='tab1'!E$3,'Course 1'!$I104," ")</f>
        <v xml:space="preserve"> </v>
      </c>
      <c r="F106" s="8" t="str">
        <f>IF('Course 1'!$H104='tab1'!F$3,'Course 1'!$I104," ")</f>
        <v xml:space="preserve"> </v>
      </c>
      <c r="G106" s="8" t="str">
        <f>IF('Course 1'!$H104='tab1'!G$3,'Course 1'!$I104," ")</f>
        <v xml:space="preserve"> </v>
      </c>
      <c r="H106" s="8" t="str">
        <f>IF('Course 1'!$H104='tab1'!H$3,'Course 1'!$I104," ")</f>
        <v xml:space="preserve"> </v>
      </c>
      <c r="I106" s="8" t="str">
        <f>IF('Course 1'!$H104='tab1'!I$3,'Course 1'!$I104," ")</f>
        <v xml:space="preserve"> </v>
      </c>
      <c r="J106" s="8" t="str">
        <f>IF('Course 1'!$H104='tab1'!J$3,'Course 1'!$I104," ")</f>
        <v xml:space="preserve"> </v>
      </c>
      <c r="K106" s="8" t="str">
        <f>IF('Course 1'!$H104='tab1'!K$3,'Course 1'!$I104," ")</f>
        <v xml:space="preserve"> </v>
      </c>
      <c r="L106" s="8" t="str">
        <f>IF('Course 1'!$H104='tab1'!L$3,'Course 1'!$I104," ")</f>
        <v xml:space="preserve"> </v>
      </c>
      <c r="M106" s="8" t="str">
        <f>IF('Course 1'!$H104='tab1'!M$3,'Course 1'!$I104," ")</f>
        <v xml:space="preserve"> </v>
      </c>
      <c r="N106" s="9" t="str">
        <f>IF('Course 1'!$H104='tab1'!N$3,'Course 1'!$I104," ")</f>
        <v xml:space="preserve"> </v>
      </c>
    </row>
    <row r="107" spans="2:14">
      <c r="B107">
        <v>103</v>
      </c>
      <c r="C107" s="7" t="str">
        <f>IF('Course 1'!$H105='tab1'!C$3,'Course 1'!$I105," ")</f>
        <v xml:space="preserve"> </v>
      </c>
      <c r="D107" s="8" t="str">
        <f>IF('Course 1'!$H105='tab1'!D$3,'Course 1'!$I105," ")</f>
        <v xml:space="preserve"> </v>
      </c>
      <c r="E107" s="8" t="str">
        <f>IF('Course 1'!$H105='tab1'!E$3,'Course 1'!$I105," ")</f>
        <v xml:space="preserve"> </v>
      </c>
      <c r="F107" s="8" t="str">
        <f>IF('Course 1'!$H105='tab1'!F$3,'Course 1'!$I105," ")</f>
        <v xml:space="preserve"> </v>
      </c>
      <c r="G107" s="8" t="str">
        <f>IF('Course 1'!$H105='tab1'!G$3,'Course 1'!$I105," ")</f>
        <v xml:space="preserve"> </v>
      </c>
      <c r="H107" s="8" t="str">
        <f>IF('Course 1'!$H105='tab1'!H$3,'Course 1'!$I105," ")</f>
        <v xml:space="preserve"> </v>
      </c>
      <c r="I107" s="8" t="str">
        <f>IF('Course 1'!$H105='tab1'!I$3,'Course 1'!$I105," ")</f>
        <v xml:space="preserve"> </v>
      </c>
      <c r="J107" s="8" t="str">
        <f>IF('Course 1'!$H105='tab1'!J$3,'Course 1'!$I105," ")</f>
        <v xml:space="preserve"> </v>
      </c>
      <c r="K107" s="8" t="str">
        <f>IF('Course 1'!$H105='tab1'!K$3,'Course 1'!$I105," ")</f>
        <v xml:space="preserve"> </v>
      </c>
      <c r="L107" s="8" t="str">
        <f>IF('Course 1'!$H105='tab1'!L$3,'Course 1'!$I105," ")</f>
        <v xml:space="preserve"> </v>
      </c>
      <c r="M107" s="8" t="str">
        <f>IF('Course 1'!$H105='tab1'!M$3,'Course 1'!$I105," ")</f>
        <v xml:space="preserve"> </v>
      </c>
      <c r="N107" s="9" t="str">
        <f>IF('Course 1'!$H105='tab1'!N$3,'Course 1'!$I105," ")</f>
        <v xml:space="preserve"> </v>
      </c>
    </row>
    <row r="108" spans="2:14">
      <c r="B108">
        <v>104</v>
      </c>
      <c r="C108" s="7" t="str">
        <f>IF('Course 1'!$H106='tab1'!C$3,'Course 1'!$I106," ")</f>
        <v xml:space="preserve"> </v>
      </c>
      <c r="D108" s="8" t="str">
        <f>IF('Course 1'!$H106='tab1'!D$3,'Course 1'!$I106," ")</f>
        <v xml:space="preserve"> </v>
      </c>
      <c r="E108" s="8" t="str">
        <f>IF('Course 1'!$H106='tab1'!E$3,'Course 1'!$I106," ")</f>
        <v xml:space="preserve"> </v>
      </c>
      <c r="F108" s="8" t="str">
        <f>IF('Course 1'!$H106='tab1'!F$3,'Course 1'!$I106," ")</f>
        <v xml:space="preserve"> </v>
      </c>
      <c r="G108" s="8" t="str">
        <f>IF('Course 1'!$H106='tab1'!G$3,'Course 1'!$I106," ")</f>
        <v xml:space="preserve"> </v>
      </c>
      <c r="H108" s="8" t="str">
        <f>IF('Course 1'!$H106='tab1'!H$3,'Course 1'!$I106," ")</f>
        <v xml:space="preserve"> </v>
      </c>
      <c r="I108" s="8" t="str">
        <f>IF('Course 1'!$H106='tab1'!I$3,'Course 1'!$I106," ")</f>
        <v xml:space="preserve"> </v>
      </c>
      <c r="J108" s="8" t="str">
        <f>IF('Course 1'!$H106='tab1'!J$3,'Course 1'!$I106," ")</f>
        <v xml:space="preserve"> </v>
      </c>
      <c r="K108" s="8" t="str">
        <f>IF('Course 1'!$H106='tab1'!K$3,'Course 1'!$I106," ")</f>
        <v xml:space="preserve"> </v>
      </c>
      <c r="L108" s="8" t="str">
        <f>IF('Course 1'!$H106='tab1'!L$3,'Course 1'!$I106," ")</f>
        <v xml:space="preserve"> </v>
      </c>
      <c r="M108" s="8" t="str">
        <f>IF('Course 1'!$H106='tab1'!M$3,'Course 1'!$I106," ")</f>
        <v xml:space="preserve"> </v>
      </c>
      <c r="N108" s="9" t="str">
        <f>IF('Course 1'!$H106='tab1'!N$3,'Course 1'!$I106," ")</f>
        <v xml:space="preserve"> </v>
      </c>
    </row>
    <row r="109" spans="2:14">
      <c r="B109">
        <v>105</v>
      </c>
      <c r="C109" s="7" t="str">
        <f>IF('Course 1'!$H107='tab1'!C$3,'Course 1'!$I107," ")</f>
        <v xml:space="preserve"> </v>
      </c>
      <c r="D109" s="8" t="str">
        <f>IF('Course 1'!$H107='tab1'!D$3,'Course 1'!$I107," ")</f>
        <v xml:space="preserve"> </v>
      </c>
      <c r="E109" s="8" t="str">
        <f>IF('Course 1'!$H107='tab1'!E$3,'Course 1'!$I107," ")</f>
        <v xml:space="preserve"> </v>
      </c>
      <c r="F109" s="8" t="str">
        <f>IF('Course 1'!$H107='tab1'!F$3,'Course 1'!$I107," ")</f>
        <v xml:space="preserve"> </v>
      </c>
      <c r="G109" s="8" t="str">
        <f>IF('Course 1'!$H107='tab1'!G$3,'Course 1'!$I107," ")</f>
        <v xml:space="preserve"> </v>
      </c>
      <c r="H109" s="8" t="str">
        <f>IF('Course 1'!$H107='tab1'!H$3,'Course 1'!$I107," ")</f>
        <v xml:space="preserve"> </v>
      </c>
      <c r="I109" s="8" t="str">
        <f>IF('Course 1'!$H107='tab1'!I$3,'Course 1'!$I107," ")</f>
        <v xml:space="preserve"> </v>
      </c>
      <c r="J109" s="8" t="str">
        <f>IF('Course 1'!$H107='tab1'!J$3,'Course 1'!$I107," ")</f>
        <v xml:space="preserve"> </v>
      </c>
      <c r="K109" s="8" t="str">
        <f>IF('Course 1'!$H107='tab1'!K$3,'Course 1'!$I107," ")</f>
        <v xml:space="preserve"> </v>
      </c>
      <c r="L109" s="8" t="str">
        <f>IF('Course 1'!$H107='tab1'!L$3,'Course 1'!$I107," ")</f>
        <v xml:space="preserve"> </v>
      </c>
      <c r="M109" s="8" t="str">
        <f>IF('Course 1'!$H107='tab1'!M$3,'Course 1'!$I107," ")</f>
        <v xml:space="preserve"> </v>
      </c>
      <c r="N109" s="9" t="str">
        <f>IF('Course 1'!$H107='tab1'!N$3,'Course 1'!$I107," ")</f>
        <v xml:space="preserve"> </v>
      </c>
    </row>
    <row r="110" spans="2:14">
      <c r="B110">
        <v>106</v>
      </c>
      <c r="C110" s="7" t="str">
        <f>IF('Course 1'!$H108='tab1'!C$3,'Course 1'!$I108," ")</f>
        <v xml:space="preserve"> </v>
      </c>
      <c r="D110" s="8" t="str">
        <f>IF('Course 1'!$H108='tab1'!D$3,'Course 1'!$I108," ")</f>
        <v xml:space="preserve"> </v>
      </c>
      <c r="E110" s="8" t="str">
        <f>IF('Course 1'!$H108='tab1'!E$3,'Course 1'!$I108," ")</f>
        <v xml:space="preserve"> </v>
      </c>
      <c r="F110" s="8" t="str">
        <f>IF('Course 1'!$H108='tab1'!F$3,'Course 1'!$I108," ")</f>
        <v xml:space="preserve"> </v>
      </c>
      <c r="G110" s="8" t="str">
        <f>IF('Course 1'!$H108='tab1'!G$3,'Course 1'!$I108," ")</f>
        <v xml:space="preserve"> </v>
      </c>
      <c r="H110" s="8" t="str">
        <f>IF('Course 1'!$H108='tab1'!H$3,'Course 1'!$I108," ")</f>
        <v xml:space="preserve"> </v>
      </c>
      <c r="I110" s="8" t="str">
        <f>IF('Course 1'!$H108='tab1'!I$3,'Course 1'!$I108," ")</f>
        <v xml:space="preserve"> </v>
      </c>
      <c r="J110" s="8" t="str">
        <f>IF('Course 1'!$H108='tab1'!J$3,'Course 1'!$I108," ")</f>
        <v xml:space="preserve"> </v>
      </c>
      <c r="K110" s="8" t="str">
        <f>IF('Course 1'!$H108='tab1'!K$3,'Course 1'!$I108," ")</f>
        <v xml:space="preserve"> </v>
      </c>
      <c r="L110" s="8" t="str">
        <f>IF('Course 1'!$H108='tab1'!L$3,'Course 1'!$I108," ")</f>
        <v xml:space="preserve"> </v>
      </c>
      <c r="M110" s="8" t="str">
        <f>IF('Course 1'!$H108='tab1'!M$3,'Course 1'!$I108," ")</f>
        <v xml:space="preserve"> </v>
      </c>
      <c r="N110" s="9" t="str">
        <f>IF('Course 1'!$H108='tab1'!N$3,'Course 1'!$I108," ")</f>
        <v xml:space="preserve"> </v>
      </c>
    </row>
    <row r="111" spans="2:14">
      <c r="B111">
        <v>107</v>
      </c>
      <c r="C111" s="7" t="str">
        <f>IF('Course 1'!$H109='tab1'!C$3,'Course 1'!$I109," ")</f>
        <v xml:space="preserve"> </v>
      </c>
      <c r="D111" s="8" t="str">
        <f>IF('Course 1'!$H109='tab1'!D$3,'Course 1'!$I109," ")</f>
        <v xml:space="preserve"> </v>
      </c>
      <c r="E111" s="8" t="str">
        <f>IF('Course 1'!$H109='tab1'!E$3,'Course 1'!$I109," ")</f>
        <v xml:space="preserve"> </v>
      </c>
      <c r="F111" s="8" t="str">
        <f>IF('Course 1'!$H109='tab1'!F$3,'Course 1'!$I109," ")</f>
        <v xml:space="preserve"> </v>
      </c>
      <c r="G111" s="8" t="str">
        <f>IF('Course 1'!$H109='tab1'!G$3,'Course 1'!$I109," ")</f>
        <v xml:space="preserve"> </v>
      </c>
      <c r="H111" s="8" t="str">
        <f>IF('Course 1'!$H109='tab1'!H$3,'Course 1'!$I109," ")</f>
        <v xml:space="preserve"> </v>
      </c>
      <c r="I111" s="8" t="str">
        <f>IF('Course 1'!$H109='tab1'!I$3,'Course 1'!$I109," ")</f>
        <v xml:space="preserve"> </v>
      </c>
      <c r="J111" s="8" t="str">
        <f>IF('Course 1'!$H109='tab1'!J$3,'Course 1'!$I109," ")</f>
        <v xml:space="preserve"> </v>
      </c>
      <c r="K111" s="8" t="str">
        <f>IF('Course 1'!$H109='tab1'!K$3,'Course 1'!$I109," ")</f>
        <v xml:space="preserve"> </v>
      </c>
      <c r="L111" s="8" t="str">
        <f>IF('Course 1'!$H109='tab1'!L$3,'Course 1'!$I109," ")</f>
        <v xml:space="preserve"> </v>
      </c>
      <c r="M111" s="8" t="str">
        <f>IF('Course 1'!$H109='tab1'!M$3,'Course 1'!$I109," ")</f>
        <v xml:space="preserve"> </v>
      </c>
      <c r="N111" s="9" t="str">
        <f>IF('Course 1'!$H109='tab1'!N$3,'Course 1'!$I109," ")</f>
        <v xml:space="preserve"> </v>
      </c>
    </row>
    <row r="112" spans="2:14">
      <c r="B112">
        <v>108</v>
      </c>
      <c r="C112" s="7" t="str">
        <f>IF('Course 1'!$H110='tab1'!C$3,'Course 1'!$I110," ")</f>
        <v xml:space="preserve"> </v>
      </c>
      <c r="D112" s="8" t="str">
        <f>IF('Course 1'!$H110='tab1'!D$3,'Course 1'!$I110," ")</f>
        <v xml:space="preserve"> </v>
      </c>
      <c r="E112" s="8" t="str">
        <f>IF('Course 1'!$H110='tab1'!E$3,'Course 1'!$I110," ")</f>
        <v xml:space="preserve"> </v>
      </c>
      <c r="F112" s="8" t="str">
        <f>IF('Course 1'!$H110='tab1'!F$3,'Course 1'!$I110," ")</f>
        <v xml:space="preserve"> </v>
      </c>
      <c r="G112" s="8" t="str">
        <f>IF('Course 1'!$H110='tab1'!G$3,'Course 1'!$I110," ")</f>
        <v xml:space="preserve"> </v>
      </c>
      <c r="H112" s="8" t="str">
        <f>IF('Course 1'!$H110='tab1'!H$3,'Course 1'!$I110," ")</f>
        <v xml:space="preserve"> </v>
      </c>
      <c r="I112" s="8" t="str">
        <f>IF('Course 1'!$H110='tab1'!I$3,'Course 1'!$I110," ")</f>
        <v xml:space="preserve"> </v>
      </c>
      <c r="J112" s="8" t="str">
        <f>IF('Course 1'!$H110='tab1'!J$3,'Course 1'!$I110," ")</f>
        <v xml:space="preserve"> </v>
      </c>
      <c r="K112" s="8" t="str">
        <f>IF('Course 1'!$H110='tab1'!K$3,'Course 1'!$I110," ")</f>
        <v xml:space="preserve"> </v>
      </c>
      <c r="L112" s="8" t="str">
        <f>IF('Course 1'!$H110='tab1'!L$3,'Course 1'!$I110," ")</f>
        <v xml:space="preserve"> </v>
      </c>
      <c r="M112" s="8" t="str">
        <f>IF('Course 1'!$H110='tab1'!M$3,'Course 1'!$I110," ")</f>
        <v xml:space="preserve"> </v>
      </c>
      <c r="N112" s="9" t="str">
        <f>IF('Course 1'!$H110='tab1'!N$3,'Course 1'!$I110," ")</f>
        <v xml:space="preserve"> </v>
      </c>
    </row>
    <row r="113" spans="2:14">
      <c r="B113">
        <v>109</v>
      </c>
      <c r="C113" s="7" t="str">
        <f>IF('Course 1'!$H111='tab1'!C$3,'Course 1'!$I111," ")</f>
        <v xml:space="preserve"> </v>
      </c>
      <c r="D113" s="8" t="str">
        <f>IF('Course 1'!$H111='tab1'!D$3,'Course 1'!$I111," ")</f>
        <v xml:space="preserve"> </v>
      </c>
      <c r="E113" s="8" t="str">
        <f>IF('Course 1'!$H111='tab1'!E$3,'Course 1'!$I111," ")</f>
        <v xml:space="preserve"> </v>
      </c>
      <c r="F113" s="8" t="str">
        <f>IF('Course 1'!$H111='tab1'!F$3,'Course 1'!$I111," ")</f>
        <v xml:space="preserve"> </v>
      </c>
      <c r="G113" s="8" t="str">
        <f>IF('Course 1'!$H111='tab1'!G$3,'Course 1'!$I111," ")</f>
        <v xml:space="preserve"> </v>
      </c>
      <c r="H113" s="8" t="str">
        <f>IF('Course 1'!$H111='tab1'!H$3,'Course 1'!$I111," ")</f>
        <v xml:space="preserve"> </v>
      </c>
      <c r="I113" s="8" t="str">
        <f>IF('Course 1'!$H111='tab1'!I$3,'Course 1'!$I111," ")</f>
        <v xml:space="preserve"> </v>
      </c>
      <c r="J113" s="8" t="str">
        <f>IF('Course 1'!$H111='tab1'!J$3,'Course 1'!$I111," ")</f>
        <v xml:space="preserve"> </v>
      </c>
      <c r="K113" s="8" t="str">
        <f>IF('Course 1'!$H111='tab1'!K$3,'Course 1'!$I111," ")</f>
        <v xml:space="preserve"> </v>
      </c>
      <c r="L113" s="8" t="str">
        <f>IF('Course 1'!$H111='tab1'!L$3,'Course 1'!$I111," ")</f>
        <v xml:space="preserve"> </v>
      </c>
      <c r="M113" s="8" t="str">
        <f>IF('Course 1'!$H111='tab1'!M$3,'Course 1'!$I111," ")</f>
        <v xml:space="preserve"> </v>
      </c>
      <c r="N113" s="9" t="str">
        <f>IF('Course 1'!$H111='tab1'!N$3,'Course 1'!$I111," ")</f>
        <v xml:space="preserve"> </v>
      </c>
    </row>
    <row r="114" spans="2:14">
      <c r="B114">
        <v>110</v>
      </c>
      <c r="C114" s="7" t="str">
        <f>IF('Course 1'!$H112='tab1'!C$3,'Course 1'!$I112," ")</f>
        <v xml:space="preserve"> </v>
      </c>
      <c r="D114" s="8" t="str">
        <f>IF('Course 1'!$H112='tab1'!D$3,'Course 1'!$I112," ")</f>
        <v xml:space="preserve"> </v>
      </c>
      <c r="E114" s="8" t="str">
        <f>IF('Course 1'!$H112='tab1'!E$3,'Course 1'!$I112," ")</f>
        <v xml:space="preserve"> </v>
      </c>
      <c r="F114" s="8" t="str">
        <f>IF('Course 1'!$H112='tab1'!F$3,'Course 1'!$I112," ")</f>
        <v xml:space="preserve"> </v>
      </c>
      <c r="G114" s="8" t="str">
        <f>IF('Course 1'!$H112='tab1'!G$3,'Course 1'!$I112," ")</f>
        <v xml:space="preserve"> </v>
      </c>
      <c r="H114" s="8" t="str">
        <f>IF('Course 1'!$H112='tab1'!H$3,'Course 1'!$I112," ")</f>
        <v xml:space="preserve"> </v>
      </c>
      <c r="I114" s="8" t="str">
        <f>IF('Course 1'!$H112='tab1'!I$3,'Course 1'!$I112," ")</f>
        <v xml:space="preserve"> </v>
      </c>
      <c r="J114" s="8" t="str">
        <f>IF('Course 1'!$H112='tab1'!J$3,'Course 1'!$I112," ")</f>
        <v xml:space="preserve"> </v>
      </c>
      <c r="K114" s="8" t="str">
        <f>IF('Course 1'!$H112='tab1'!K$3,'Course 1'!$I112," ")</f>
        <v xml:space="preserve"> </v>
      </c>
      <c r="L114" s="8" t="str">
        <f>IF('Course 1'!$H112='tab1'!L$3,'Course 1'!$I112," ")</f>
        <v xml:space="preserve"> </v>
      </c>
      <c r="M114" s="8" t="str">
        <f>IF('Course 1'!$H112='tab1'!M$3,'Course 1'!$I112," ")</f>
        <v xml:space="preserve"> </v>
      </c>
      <c r="N114" s="9" t="str">
        <f>IF('Course 1'!$H112='tab1'!N$3,'Course 1'!$I112," ")</f>
        <v xml:space="preserve"> </v>
      </c>
    </row>
    <row r="115" spans="2:14">
      <c r="B115">
        <v>111</v>
      </c>
      <c r="C115" s="7" t="str">
        <f>IF('Course 1'!$H113='tab1'!C$3,'Course 1'!$I113," ")</f>
        <v xml:space="preserve"> </v>
      </c>
      <c r="D115" s="8" t="str">
        <f>IF('Course 1'!$H113='tab1'!D$3,'Course 1'!$I113," ")</f>
        <v xml:space="preserve"> </v>
      </c>
      <c r="E115" s="8" t="str">
        <f>IF('Course 1'!$H113='tab1'!E$3,'Course 1'!$I113," ")</f>
        <v xml:space="preserve"> </v>
      </c>
      <c r="F115" s="8" t="str">
        <f>IF('Course 1'!$H113='tab1'!F$3,'Course 1'!$I113," ")</f>
        <v xml:space="preserve"> </v>
      </c>
      <c r="G115" s="8" t="str">
        <f>IF('Course 1'!$H113='tab1'!G$3,'Course 1'!$I113," ")</f>
        <v xml:space="preserve"> </v>
      </c>
      <c r="H115" s="8" t="str">
        <f>IF('Course 1'!$H113='tab1'!H$3,'Course 1'!$I113," ")</f>
        <v xml:space="preserve"> </v>
      </c>
      <c r="I115" s="8" t="str">
        <f>IF('Course 1'!$H113='tab1'!I$3,'Course 1'!$I113," ")</f>
        <v xml:space="preserve"> </v>
      </c>
      <c r="J115" s="8" t="str">
        <f>IF('Course 1'!$H113='tab1'!J$3,'Course 1'!$I113," ")</f>
        <v xml:space="preserve"> </v>
      </c>
      <c r="K115" s="8" t="str">
        <f>IF('Course 1'!$H113='tab1'!K$3,'Course 1'!$I113," ")</f>
        <v xml:space="preserve"> </v>
      </c>
      <c r="L115" s="8" t="str">
        <f>IF('Course 1'!$H113='tab1'!L$3,'Course 1'!$I113," ")</f>
        <v xml:space="preserve"> </v>
      </c>
      <c r="M115" s="8" t="str">
        <f>IF('Course 1'!$H113='tab1'!M$3,'Course 1'!$I113," ")</f>
        <v xml:space="preserve"> </v>
      </c>
      <c r="N115" s="9" t="str">
        <f>IF('Course 1'!$H113='tab1'!N$3,'Course 1'!$I113," ")</f>
        <v xml:space="preserve"> </v>
      </c>
    </row>
    <row r="116" spans="2:14">
      <c r="B116">
        <v>112</v>
      </c>
      <c r="C116" s="7" t="str">
        <f>IF('Course 1'!$H114='tab1'!C$3,'Course 1'!$I114," ")</f>
        <v xml:space="preserve"> </v>
      </c>
      <c r="D116" s="8" t="str">
        <f>IF('Course 1'!$H114='tab1'!D$3,'Course 1'!$I114," ")</f>
        <v xml:space="preserve"> </v>
      </c>
      <c r="E116" s="8" t="str">
        <f>IF('Course 1'!$H114='tab1'!E$3,'Course 1'!$I114," ")</f>
        <v xml:space="preserve"> </v>
      </c>
      <c r="F116" s="8" t="str">
        <f>IF('Course 1'!$H114='tab1'!F$3,'Course 1'!$I114," ")</f>
        <v xml:space="preserve"> </v>
      </c>
      <c r="G116" s="8" t="str">
        <f>IF('Course 1'!$H114='tab1'!G$3,'Course 1'!$I114," ")</f>
        <v xml:space="preserve"> </v>
      </c>
      <c r="H116" s="8" t="str">
        <f>IF('Course 1'!$H114='tab1'!H$3,'Course 1'!$I114," ")</f>
        <v xml:space="preserve"> </v>
      </c>
      <c r="I116" s="8" t="str">
        <f>IF('Course 1'!$H114='tab1'!I$3,'Course 1'!$I114," ")</f>
        <v xml:space="preserve"> </v>
      </c>
      <c r="J116" s="8" t="str">
        <f>IF('Course 1'!$H114='tab1'!J$3,'Course 1'!$I114," ")</f>
        <v xml:space="preserve"> </v>
      </c>
      <c r="K116" s="8" t="str">
        <f>IF('Course 1'!$H114='tab1'!K$3,'Course 1'!$I114," ")</f>
        <v xml:space="preserve"> </v>
      </c>
      <c r="L116" s="8" t="str">
        <f>IF('Course 1'!$H114='tab1'!L$3,'Course 1'!$I114," ")</f>
        <v xml:space="preserve"> </v>
      </c>
      <c r="M116" s="8" t="str">
        <f>IF('Course 1'!$H114='tab1'!M$3,'Course 1'!$I114," ")</f>
        <v xml:space="preserve"> </v>
      </c>
      <c r="N116" s="9" t="str">
        <f>IF('Course 1'!$H114='tab1'!N$3,'Course 1'!$I114," ")</f>
        <v xml:space="preserve"> </v>
      </c>
    </row>
    <row r="117" spans="2:14">
      <c r="B117">
        <v>113</v>
      </c>
      <c r="C117" s="7" t="str">
        <f>IF('Course 1'!$H115='tab1'!C$3,'Course 1'!$I115," ")</f>
        <v xml:space="preserve"> </v>
      </c>
      <c r="D117" s="8" t="str">
        <f>IF('Course 1'!$H115='tab1'!D$3,'Course 1'!$I115," ")</f>
        <v xml:space="preserve"> </v>
      </c>
      <c r="E117" s="8" t="str">
        <f>IF('Course 1'!$H115='tab1'!E$3,'Course 1'!$I115," ")</f>
        <v xml:space="preserve"> </v>
      </c>
      <c r="F117" s="8" t="str">
        <f>IF('Course 1'!$H115='tab1'!F$3,'Course 1'!$I115," ")</f>
        <v xml:space="preserve"> </v>
      </c>
      <c r="G117" s="8" t="str">
        <f>IF('Course 1'!$H115='tab1'!G$3,'Course 1'!$I115," ")</f>
        <v xml:space="preserve"> </v>
      </c>
      <c r="H117" s="8" t="str">
        <f>IF('Course 1'!$H115='tab1'!H$3,'Course 1'!$I115," ")</f>
        <v xml:space="preserve"> </v>
      </c>
      <c r="I117" s="8" t="str">
        <f>IF('Course 1'!$H115='tab1'!I$3,'Course 1'!$I115," ")</f>
        <v xml:space="preserve"> </v>
      </c>
      <c r="J117" s="8" t="str">
        <f>IF('Course 1'!$H115='tab1'!J$3,'Course 1'!$I115," ")</f>
        <v xml:space="preserve"> </v>
      </c>
      <c r="K117" s="8" t="str">
        <f>IF('Course 1'!$H115='tab1'!K$3,'Course 1'!$I115," ")</f>
        <v xml:space="preserve"> </v>
      </c>
      <c r="L117" s="8" t="str">
        <f>IF('Course 1'!$H115='tab1'!L$3,'Course 1'!$I115," ")</f>
        <v xml:space="preserve"> </v>
      </c>
      <c r="M117" s="8" t="str">
        <f>IF('Course 1'!$H115='tab1'!M$3,'Course 1'!$I115," ")</f>
        <v xml:space="preserve"> </v>
      </c>
      <c r="N117" s="9" t="str">
        <f>IF('Course 1'!$H115='tab1'!N$3,'Course 1'!$I115," ")</f>
        <v xml:space="preserve"> </v>
      </c>
    </row>
    <row r="118" spans="2:14">
      <c r="B118">
        <v>114</v>
      </c>
      <c r="C118" s="7" t="str">
        <f>IF('Course 1'!$H116='tab1'!C$3,'Course 1'!$I116," ")</f>
        <v xml:space="preserve"> </v>
      </c>
      <c r="D118" s="8" t="str">
        <f>IF('Course 1'!$H116='tab1'!D$3,'Course 1'!$I116," ")</f>
        <v xml:space="preserve"> </v>
      </c>
      <c r="E118" s="8" t="str">
        <f>IF('Course 1'!$H116='tab1'!E$3,'Course 1'!$I116," ")</f>
        <v xml:space="preserve"> </v>
      </c>
      <c r="F118" s="8" t="str">
        <f>IF('Course 1'!$H116='tab1'!F$3,'Course 1'!$I116," ")</f>
        <v xml:space="preserve"> </v>
      </c>
      <c r="G118" s="8" t="str">
        <f>IF('Course 1'!$H116='tab1'!G$3,'Course 1'!$I116," ")</f>
        <v xml:space="preserve"> </v>
      </c>
      <c r="H118" s="8" t="str">
        <f>IF('Course 1'!$H116='tab1'!H$3,'Course 1'!$I116," ")</f>
        <v xml:space="preserve"> </v>
      </c>
      <c r="I118" s="8" t="str">
        <f>IF('Course 1'!$H116='tab1'!I$3,'Course 1'!$I116," ")</f>
        <v xml:space="preserve"> </v>
      </c>
      <c r="J118" s="8" t="str">
        <f>IF('Course 1'!$H116='tab1'!J$3,'Course 1'!$I116," ")</f>
        <v xml:space="preserve"> </v>
      </c>
      <c r="K118" s="8" t="str">
        <f>IF('Course 1'!$H116='tab1'!K$3,'Course 1'!$I116," ")</f>
        <v xml:space="preserve"> </v>
      </c>
      <c r="L118" s="8" t="str">
        <f>IF('Course 1'!$H116='tab1'!L$3,'Course 1'!$I116," ")</f>
        <v xml:space="preserve"> </v>
      </c>
      <c r="M118" s="8" t="str">
        <f>IF('Course 1'!$H116='tab1'!M$3,'Course 1'!$I116," ")</f>
        <v xml:space="preserve"> </v>
      </c>
      <c r="N118" s="9" t="str">
        <f>IF('Course 1'!$H116='tab1'!N$3,'Course 1'!$I116," ")</f>
        <v xml:space="preserve"> </v>
      </c>
    </row>
    <row r="119" spans="2:14">
      <c r="B119">
        <v>115</v>
      </c>
      <c r="C119" s="7" t="str">
        <f>IF('Course 1'!$H117='tab1'!C$3,'Course 1'!$I117," ")</f>
        <v xml:space="preserve"> </v>
      </c>
      <c r="D119" s="8" t="str">
        <f>IF('Course 1'!$H117='tab1'!D$3,'Course 1'!$I117," ")</f>
        <v xml:space="preserve"> </v>
      </c>
      <c r="E119" s="8" t="str">
        <f>IF('Course 1'!$H117='tab1'!E$3,'Course 1'!$I117," ")</f>
        <v xml:space="preserve"> </v>
      </c>
      <c r="F119" s="8" t="str">
        <f>IF('Course 1'!$H117='tab1'!F$3,'Course 1'!$I117," ")</f>
        <v xml:space="preserve"> </v>
      </c>
      <c r="G119" s="8" t="str">
        <f>IF('Course 1'!$H117='tab1'!G$3,'Course 1'!$I117," ")</f>
        <v xml:space="preserve"> </v>
      </c>
      <c r="H119" s="8" t="str">
        <f>IF('Course 1'!$H117='tab1'!H$3,'Course 1'!$I117," ")</f>
        <v xml:space="preserve"> </v>
      </c>
      <c r="I119" s="8" t="str">
        <f>IF('Course 1'!$H117='tab1'!I$3,'Course 1'!$I117," ")</f>
        <v xml:space="preserve"> </v>
      </c>
      <c r="J119" s="8" t="str">
        <f>IF('Course 1'!$H117='tab1'!J$3,'Course 1'!$I117," ")</f>
        <v xml:space="preserve"> </v>
      </c>
      <c r="K119" s="8" t="str">
        <f>IF('Course 1'!$H117='tab1'!K$3,'Course 1'!$I117," ")</f>
        <v xml:space="preserve"> </v>
      </c>
      <c r="L119" s="8" t="str">
        <f>IF('Course 1'!$H117='tab1'!L$3,'Course 1'!$I117," ")</f>
        <v xml:space="preserve"> </v>
      </c>
      <c r="M119" s="8" t="str">
        <f>IF('Course 1'!$H117='tab1'!M$3,'Course 1'!$I117," ")</f>
        <v xml:space="preserve"> </v>
      </c>
      <c r="N119" s="9" t="str">
        <f>IF('Course 1'!$H117='tab1'!N$3,'Course 1'!$I117," ")</f>
        <v xml:space="preserve"> </v>
      </c>
    </row>
    <row r="120" spans="2:14">
      <c r="B120">
        <v>116</v>
      </c>
      <c r="C120" s="7" t="str">
        <f>IF('Course 1'!$H118='tab1'!C$3,'Course 1'!$I118," ")</f>
        <v xml:space="preserve"> </v>
      </c>
      <c r="D120" s="8" t="str">
        <f>IF('Course 1'!$H118='tab1'!D$3,'Course 1'!$I118," ")</f>
        <v xml:space="preserve"> </v>
      </c>
      <c r="E120" s="8" t="str">
        <f>IF('Course 1'!$H118='tab1'!E$3,'Course 1'!$I118," ")</f>
        <v xml:space="preserve"> </v>
      </c>
      <c r="F120" s="8" t="str">
        <f>IF('Course 1'!$H118='tab1'!F$3,'Course 1'!$I118," ")</f>
        <v xml:space="preserve"> </v>
      </c>
      <c r="G120" s="8" t="str">
        <f>IF('Course 1'!$H118='tab1'!G$3,'Course 1'!$I118," ")</f>
        <v xml:space="preserve"> </v>
      </c>
      <c r="H120" s="8" t="str">
        <f>IF('Course 1'!$H118='tab1'!H$3,'Course 1'!$I118," ")</f>
        <v xml:space="preserve"> </v>
      </c>
      <c r="I120" s="8" t="str">
        <f>IF('Course 1'!$H118='tab1'!I$3,'Course 1'!$I118," ")</f>
        <v xml:space="preserve"> </v>
      </c>
      <c r="J120" s="8" t="str">
        <f>IF('Course 1'!$H118='tab1'!J$3,'Course 1'!$I118," ")</f>
        <v xml:space="preserve"> </v>
      </c>
      <c r="K120" s="8" t="str">
        <f>IF('Course 1'!$H118='tab1'!K$3,'Course 1'!$I118," ")</f>
        <v xml:space="preserve"> </v>
      </c>
      <c r="L120" s="8" t="str">
        <f>IF('Course 1'!$H118='tab1'!L$3,'Course 1'!$I118," ")</f>
        <v xml:space="preserve"> </v>
      </c>
      <c r="M120" s="8" t="str">
        <f>IF('Course 1'!$H118='tab1'!M$3,'Course 1'!$I118," ")</f>
        <v xml:space="preserve"> </v>
      </c>
      <c r="N120" s="9" t="str">
        <f>IF('Course 1'!$H118='tab1'!N$3,'Course 1'!$I118," ")</f>
        <v xml:space="preserve"> </v>
      </c>
    </row>
    <row r="121" spans="2:14">
      <c r="B121">
        <v>117</v>
      </c>
      <c r="C121" s="7" t="str">
        <f>IF('Course 1'!$H119='tab1'!C$3,'Course 1'!$I119," ")</f>
        <v xml:space="preserve"> </v>
      </c>
      <c r="D121" s="8" t="str">
        <f>IF('Course 1'!$H119='tab1'!D$3,'Course 1'!$I119," ")</f>
        <v xml:space="preserve"> </v>
      </c>
      <c r="E121" s="8" t="str">
        <f>IF('Course 1'!$H119='tab1'!E$3,'Course 1'!$I119," ")</f>
        <v xml:space="preserve"> </v>
      </c>
      <c r="F121" s="8" t="str">
        <f>IF('Course 1'!$H119='tab1'!F$3,'Course 1'!$I119," ")</f>
        <v xml:space="preserve"> </v>
      </c>
      <c r="G121" s="8" t="str">
        <f>IF('Course 1'!$H119='tab1'!G$3,'Course 1'!$I119," ")</f>
        <v xml:space="preserve"> </v>
      </c>
      <c r="H121" s="8" t="str">
        <f>IF('Course 1'!$H119='tab1'!H$3,'Course 1'!$I119," ")</f>
        <v xml:space="preserve"> </v>
      </c>
      <c r="I121" s="8" t="str">
        <f>IF('Course 1'!$H119='tab1'!I$3,'Course 1'!$I119," ")</f>
        <v xml:space="preserve"> </v>
      </c>
      <c r="J121" s="8" t="str">
        <f>IF('Course 1'!$H119='tab1'!J$3,'Course 1'!$I119," ")</f>
        <v xml:space="preserve"> </v>
      </c>
      <c r="K121" s="8" t="str">
        <f>IF('Course 1'!$H119='tab1'!K$3,'Course 1'!$I119," ")</f>
        <v xml:space="preserve"> </v>
      </c>
      <c r="L121" s="8" t="str">
        <f>IF('Course 1'!$H119='tab1'!L$3,'Course 1'!$I119," ")</f>
        <v xml:space="preserve"> </v>
      </c>
      <c r="M121" s="8" t="str">
        <f>IF('Course 1'!$H119='tab1'!M$3,'Course 1'!$I119," ")</f>
        <v xml:space="preserve"> </v>
      </c>
      <c r="N121" s="9" t="str">
        <f>IF('Course 1'!$H119='tab1'!N$3,'Course 1'!$I119," ")</f>
        <v xml:space="preserve"> </v>
      </c>
    </row>
    <row r="122" spans="2:14">
      <c r="B122">
        <v>118</v>
      </c>
      <c r="C122" s="7" t="str">
        <f>IF('Course 1'!$H120='tab1'!C$3,'Course 1'!$I120," ")</f>
        <v xml:space="preserve"> </v>
      </c>
      <c r="D122" s="8" t="str">
        <f>IF('Course 1'!$H120='tab1'!D$3,'Course 1'!$I120," ")</f>
        <v xml:space="preserve"> </v>
      </c>
      <c r="E122" s="8" t="str">
        <f>IF('Course 1'!$H120='tab1'!E$3,'Course 1'!$I120," ")</f>
        <v xml:space="preserve"> </v>
      </c>
      <c r="F122" s="8" t="str">
        <f>IF('Course 1'!$H120='tab1'!F$3,'Course 1'!$I120," ")</f>
        <v xml:space="preserve"> </v>
      </c>
      <c r="G122" s="8" t="str">
        <f>IF('Course 1'!$H120='tab1'!G$3,'Course 1'!$I120," ")</f>
        <v xml:space="preserve"> </v>
      </c>
      <c r="H122" s="8" t="str">
        <f>IF('Course 1'!$H120='tab1'!H$3,'Course 1'!$I120," ")</f>
        <v xml:space="preserve"> </v>
      </c>
      <c r="I122" s="8" t="str">
        <f>IF('Course 1'!$H120='tab1'!I$3,'Course 1'!$I120," ")</f>
        <v xml:space="preserve"> </v>
      </c>
      <c r="J122" s="8" t="str">
        <f>IF('Course 1'!$H120='tab1'!J$3,'Course 1'!$I120," ")</f>
        <v xml:space="preserve"> </v>
      </c>
      <c r="K122" s="8" t="str">
        <f>IF('Course 1'!$H120='tab1'!K$3,'Course 1'!$I120," ")</f>
        <v xml:space="preserve"> </v>
      </c>
      <c r="L122" s="8" t="str">
        <f>IF('Course 1'!$H120='tab1'!L$3,'Course 1'!$I120," ")</f>
        <v xml:space="preserve"> </v>
      </c>
      <c r="M122" s="8" t="str">
        <f>IF('Course 1'!$H120='tab1'!M$3,'Course 1'!$I120," ")</f>
        <v xml:space="preserve"> </v>
      </c>
      <c r="N122" s="9" t="str">
        <f>IF('Course 1'!$H120='tab1'!N$3,'Course 1'!$I120," ")</f>
        <v xml:space="preserve"> </v>
      </c>
    </row>
    <row r="123" spans="2:14">
      <c r="B123">
        <v>119</v>
      </c>
      <c r="C123" s="7" t="str">
        <f>IF('Course 1'!$H121='tab1'!C$3,'Course 1'!$I121," ")</f>
        <v xml:space="preserve"> </v>
      </c>
      <c r="D123" s="8" t="str">
        <f>IF('Course 1'!$H121='tab1'!D$3,'Course 1'!$I121," ")</f>
        <v xml:space="preserve"> </v>
      </c>
      <c r="E123" s="8" t="str">
        <f>IF('Course 1'!$H121='tab1'!E$3,'Course 1'!$I121," ")</f>
        <v xml:space="preserve"> </v>
      </c>
      <c r="F123" s="8" t="str">
        <f>IF('Course 1'!$H121='tab1'!F$3,'Course 1'!$I121," ")</f>
        <v xml:space="preserve"> </v>
      </c>
      <c r="G123" s="8" t="str">
        <f>IF('Course 1'!$H121='tab1'!G$3,'Course 1'!$I121," ")</f>
        <v xml:space="preserve"> </v>
      </c>
      <c r="H123" s="8" t="str">
        <f>IF('Course 1'!$H121='tab1'!H$3,'Course 1'!$I121," ")</f>
        <v xml:space="preserve"> </v>
      </c>
      <c r="I123" s="8" t="str">
        <f>IF('Course 1'!$H121='tab1'!I$3,'Course 1'!$I121," ")</f>
        <v xml:space="preserve"> </v>
      </c>
      <c r="J123" s="8" t="str">
        <f>IF('Course 1'!$H121='tab1'!J$3,'Course 1'!$I121," ")</f>
        <v xml:space="preserve"> </v>
      </c>
      <c r="K123" s="8" t="str">
        <f>IF('Course 1'!$H121='tab1'!K$3,'Course 1'!$I121," ")</f>
        <v xml:space="preserve"> </v>
      </c>
      <c r="L123" s="8" t="str">
        <f>IF('Course 1'!$H121='tab1'!L$3,'Course 1'!$I121," ")</f>
        <v xml:space="preserve"> </v>
      </c>
      <c r="M123" s="8" t="str">
        <f>IF('Course 1'!$H121='tab1'!M$3,'Course 1'!$I121," ")</f>
        <v xml:space="preserve"> </v>
      </c>
      <c r="N123" s="9" t="str">
        <f>IF('Course 1'!$H121='tab1'!N$3,'Course 1'!$I121," ")</f>
        <v xml:space="preserve"> </v>
      </c>
    </row>
    <row r="124" spans="2:14">
      <c r="B124">
        <v>120</v>
      </c>
      <c r="C124" s="7" t="str">
        <f>IF('Course 1'!$H122='tab1'!C$3,'Course 1'!$I122," ")</f>
        <v xml:space="preserve"> </v>
      </c>
      <c r="D124" s="8" t="str">
        <f>IF('Course 1'!$H122='tab1'!D$3,'Course 1'!$I122," ")</f>
        <v xml:space="preserve"> </v>
      </c>
      <c r="E124" s="8" t="str">
        <f>IF('Course 1'!$H122='tab1'!E$3,'Course 1'!$I122," ")</f>
        <v xml:space="preserve"> </v>
      </c>
      <c r="F124" s="8" t="str">
        <f>IF('Course 1'!$H122='tab1'!F$3,'Course 1'!$I122," ")</f>
        <v xml:space="preserve"> </v>
      </c>
      <c r="G124" s="8" t="str">
        <f>IF('Course 1'!$H122='tab1'!G$3,'Course 1'!$I122," ")</f>
        <v xml:space="preserve"> </v>
      </c>
      <c r="H124" s="8" t="str">
        <f>IF('Course 1'!$H122='tab1'!H$3,'Course 1'!$I122," ")</f>
        <v xml:space="preserve"> </v>
      </c>
      <c r="I124" s="8" t="str">
        <f>IF('Course 1'!$H122='tab1'!I$3,'Course 1'!$I122," ")</f>
        <v xml:space="preserve"> </v>
      </c>
      <c r="J124" s="8" t="str">
        <f>IF('Course 1'!$H122='tab1'!J$3,'Course 1'!$I122," ")</f>
        <v xml:space="preserve"> </v>
      </c>
      <c r="K124" s="8" t="str">
        <f>IF('Course 1'!$H122='tab1'!K$3,'Course 1'!$I122," ")</f>
        <v xml:space="preserve"> </v>
      </c>
      <c r="L124" s="8" t="str">
        <f>IF('Course 1'!$H122='tab1'!L$3,'Course 1'!$I122," ")</f>
        <v xml:space="preserve"> </v>
      </c>
      <c r="M124" s="8" t="str">
        <f>IF('Course 1'!$H122='tab1'!M$3,'Course 1'!$I122," ")</f>
        <v xml:space="preserve"> </v>
      </c>
      <c r="N124" s="9" t="str">
        <f>IF('Course 1'!$H122='tab1'!N$3,'Course 1'!$I122," ")</f>
        <v xml:space="preserve"> </v>
      </c>
    </row>
    <row r="125" spans="2:14">
      <c r="B125">
        <v>121</v>
      </c>
      <c r="C125" s="7" t="str">
        <f>IF('Course 1'!$H123='tab1'!C$3,'Course 1'!$I123," ")</f>
        <v xml:space="preserve"> </v>
      </c>
      <c r="D125" s="8" t="str">
        <f>IF('Course 1'!$H123='tab1'!D$3,'Course 1'!$I123," ")</f>
        <v xml:space="preserve"> </v>
      </c>
      <c r="E125" s="8" t="str">
        <f>IF('Course 1'!$H123='tab1'!E$3,'Course 1'!$I123," ")</f>
        <v xml:space="preserve"> </v>
      </c>
      <c r="F125" s="8" t="str">
        <f>IF('Course 1'!$H123='tab1'!F$3,'Course 1'!$I123," ")</f>
        <v xml:space="preserve"> </v>
      </c>
      <c r="G125" s="8" t="str">
        <f>IF('Course 1'!$H123='tab1'!G$3,'Course 1'!$I123," ")</f>
        <v xml:space="preserve"> </v>
      </c>
      <c r="H125" s="8" t="str">
        <f>IF('Course 1'!$H123='tab1'!H$3,'Course 1'!$I123," ")</f>
        <v xml:space="preserve"> </v>
      </c>
      <c r="I125" s="8" t="str">
        <f>IF('Course 1'!$H123='tab1'!I$3,'Course 1'!$I123," ")</f>
        <v xml:space="preserve"> </v>
      </c>
      <c r="J125" s="8" t="str">
        <f>IF('Course 1'!$H123='tab1'!J$3,'Course 1'!$I123," ")</f>
        <v xml:space="preserve"> </v>
      </c>
      <c r="K125" s="8" t="str">
        <f>IF('Course 1'!$H123='tab1'!K$3,'Course 1'!$I123," ")</f>
        <v xml:space="preserve"> </v>
      </c>
      <c r="L125" s="8" t="str">
        <f>IF('Course 1'!$H123='tab1'!L$3,'Course 1'!$I123," ")</f>
        <v xml:space="preserve"> </v>
      </c>
      <c r="M125" s="8" t="str">
        <f>IF('Course 1'!$H123='tab1'!M$3,'Course 1'!$I123," ")</f>
        <v xml:space="preserve"> </v>
      </c>
      <c r="N125" s="9" t="str">
        <f>IF('Course 1'!$H123='tab1'!N$3,'Course 1'!$I123," ")</f>
        <v xml:space="preserve"> </v>
      </c>
    </row>
    <row r="126" spans="2:14">
      <c r="B126">
        <v>122</v>
      </c>
      <c r="C126" s="7" t="str">
        <f>IF('Course 1'!$H124='tab1'!C$3,'Course 1'!$I124," ")</f>
        <v xml:space="preserve"> </v>
      </c>
      <c r="D126" s="8" t="str">
        <f>IF('Course 1'!$H124='tab1'!D$3,'Course 1'!$I124," ")</f>
        <v xml:space="preserve"> </v>
      </c>
      <c r="E126" s="8" t="str">
        <f>IF('Course 1'!$H124='tab1'!E$3,'Course 1'!$I124," ")</f>
        <v xml:space="preserve"> </v>
      </c>
      <c r="F126" s="8" t="str">
        <f>IF('Course 1'!$H124='tab1'!F$3,'Course 1'!$I124," ")</f>
        <v xml:space="preserve"> </v>
      </c>
      <c r="G126" s="8" t="str">
        <f>IF('Course 1'!$H124='tab1'!G$3,'Course 1'!$I124," ")</f>
        <v xml:space="preserve"> </v>
      </c>
      <c r="H126" s="8" t="str">
        <f>IF('Course 1'!$H124='tab1'!H$3,'Course 1'!$I124," ")</f>
        <v xml:space="preserve"> </v>
      </c>
      <c r="I126" s="8" t="str">
        <f>IF('Course 1'!$H124='tab1'!I$3,'Course 1'!$I124," ")</f>
        <v xml:space="preserve"> </v>
      </c>
      <c r="J126" s="8" t="str">
        <f>IF('Course 1'!$H124='tab1'!J$3,'Course 1'!$I124," ")</f>
        <v xml:space="preserve"> </v>
      </c>
      <c r="K126" s="8" t="str">
        <f>IF('Course 1'!$H124='tab1'!K$3,'Course 1'!$I124," ")</f>
        <v xml:space="preserve"> </v>
      </c>
      <c r="L126" s="8" t="str">
        <f>IF('Course 1'!$H124='tab1'!L$3,'Course 1'!$I124," ")</f>
        <v xml:space="preserve"> </v>
      </c>
      <c r="M126" s="8" t="str">
        <f>IF('Course 1'!$H124='tab1'!M$3,'Course 1'!$I124," ")</f>
        <v xml:space="preserve"> </v>
      </c>
      <c r="N126" s="9" t="str">
        <f>IF('Course 1'!$H124='tab1'!N$3,'Course 1'!$I124," ")</f>
        <v xml:space="preserve"> </v>
      </c>
    </row>
    <row r="127" spans="2:14">
      <c r="B127">
        <v>123</v>
      </c>
      <c r="C127" s="7" t="str">
        <f>IF('Course 1'!$H125='tab1'!C$3,'Course 1'!$I125," ")</f>
        <v xml:space="preserve"> </v>
      </c>
      <c r="D127" s="8" t="str">
        <f>IF('Course 1'!$H125='tab1'!D$3,'Course 1'!$I125," ")</f>
        <v xml:space="preserve"> </v>
      </c>
      <c r="E127" s="8" t="str">
        <f>IF('Course 1'!$H125='tab1'!E$3,'Course 1'!$I125," ")</f>
        <v xml:space="preserve"> </v>
      </c>
      <c r="F127" s="8" t="str">
        <f>IF('Course 1'!$H125='tab1'!F$3,'Course 1'!$I125," ")</f>
        <v xml:space="preserve"> </v>
      </c>
      <c r="G127" s="8" t="str">
        <f>IF('Course 1'!$H125='tab1'!G$3,'Course 1'!$I125," ")</f>
        <v xml:space="preserve"> </v>
      </c>
      <c r="H127" s="8" t="str">
        <f>IF('Course 1'!$H125='tab1'!H$3,'Course 1'!$I125," ")</f>
        <v xml:space="preserve"> </v>
      </c>
      <c r="I127" s="8" t="str">
        <f>IF('Course 1'!$H125='tab1'!I$3,'Course 1'!$I125," ")</f>
        <v xml:space="preserve"> </v>
      </c>
      <c r="J127" s="8" t="str">
        <f>IF('Course 1'!$H125='tab1'!J$3,'Course 1'!$I125," ")</f>
        <v xml:space="preserve"> </v>
      </c>
      <c r="K127" s="8" t="str">
        <f>IF('Course 1'!$H125='tab1'!K$3,'Course 1'!$I125," ")</f>
        <v xml:space="preserve"> </v>
      </c>
      <c r="L127" s="8" t="str">
        <f>IF('Course 1'!$H125='tab1'!L$3,'Course 1'!$I125," ")</f>
        <v xml:space="preserve"> </v>
      </c>
      <c r="M127" s="8" t="str">
        <f>IF('Course 1'!$H125='tab1'!M$3,'Course 1'!$I125," ")</f>
        <v xml:space="preserve"> </v>
      </c>
      <c r="N127" s="9" t="str">
        <f>IF('Course 1'!$H125='tab1'!N$3,'Course 1'!$I125," ")</f>
        <v xml:space="preserve"> </v>
      </c>
    </row>
    <row r="128" spans="2:14">
      <c r="B128">
        <v>124</v>
      </c>
      <c r="C128" s="7" t="str">
        <f>IF('Course 1'!$H126='tab1'!C$3,'Course 1'!$I126," ")</f>
        <v xml:space="preserve"> </v>
      </c>
      <c r="D128" s="8" t="str">
        <f>IF('Course 1'!$H126='tab1'!D$3,'Course 1'!$I126," ")</f>
        <v xml:space="preserve"> </v>
      </c>
      <c r="E128" s="8" t="str">
        <f>IF('Course 1'!$H126='tab1'!E$3,'Course 1'!$I126," ")</f>
        <v xml:space="preserve"> </v>
      </c>
      <c r="F128" s="8" t="str">
        <f>IF('Course 1'!$H126='tab1'!F$3,'Course 1'!$I126," ")</f>
        <v xml:space="preserve"> </v>
      </c>
      <c r="G128" s="8" t="str">
        <f>IF('Course 1'!$H126='tab1'!G$3,'Course 1'!$I126," ")</f>
        <v xml:space="preserve"> </v>
      </c>
      <c r="H128" s="8" t="str">
        <f>IF('Course 1'!$H126='tab1'!H$3,'Course 1'!$I126," ")</f>
        <v xml:space="preserve"> </v>
      </c>
      <c r="I128" s="8" t="str">
        <f>IF('Course 1'!$H126='tab1'!I$3,'Course 1'!$I126," ")</f>
        <v xml:space="preserve"> </v>
      </c>
      <c r="J128" s="8" t="str">
        <f>IF('Course 1'!$H126='tab1'!J$3,'Course 1'!$I126," ")</f>
        <v xml:space="preserve"> </v>
      </c>
      <c r="K128" s="8" t="str">
        <f>IF('Course 1'!$H126='tab1'!K$3,'Course 1'!$I126," ")</f>
        <v xml:space="preserve"> </v>
      </c>
      <c r="L128" s="8" t="str">
        <f>IF('Course 1'!$H126='tab1'!L$3,'Course 1'!$I126," ")</f>
        <v xml:space="preserve"> </v>
      </c>
      <c r="M128" s="8" t="str">
        <f>IF('Course 1'!$H126='tab1'!M$3,'Course 1'!$I126," ")</f>
        <v xml:space="preserve"> </v>
      </c>
      <c r="N128" s="9" t="str">
        <f>IF('Course 1'!$H126='tab1'!N$3,'Course 1'!$I126," ")</f>
        <v xml:space="preserve"> </v>
      </c>
    </row>
    <row r="129" spans="2:14">
      <c r="B129">
        <v>125</v>
      </c>
      <c r="C129" s="7" t="str">
        <f>IF('Course 1'!$H127='tab1'!C$3,'Course 1'!$I127," ")</f>
        <v xml:space="preserve"> </v>
      </c>
      <c r="D129" s="8" t="str">
        <f>IF('Course 1'!$H127='tab1'!D$3,'Course 1'!$I127," ")</f>
        <v xml:space="preserve"> </v>
      </c>
      <c r="E129" s="8" t="str">
        <f>IF('Course 1'!$H127='tab1'!E$3,'Course 1'!$I127," ")</f>
        <v xml:space="preserve"> </v>
      </c>
      <c r="F129" s="8" t="str">
        <f>IF('Course 1'!$H127='tab1'!F$3,'Course 1'!$I127," ")</f>
        <v xml:space="preserve"> </v>
      </c>
      <c r="G129" s="8" t="str">
        <f>IF('Course 1'!$H127='tab1'!G$3,'Course 1'!$I127," ")</f>
        <v xml:space="preserve"> </v>
      </c>
      <c r="H129" s="8" t="str">
        <f>IF('Course 1'!$H127='tab1'!H$3,'Course 1'!$I127," ")</f>
        <v xml:space="preserve"> </v>
      </c>
      <c r="I129" s="8" t="str">
        <f>IF('Course 1'!$H127='tab1'!I$3,'Course 1'!$I127," ")</f>
        <v xml:space="preserve"> </v>
      </c>
      <c r="J129" s="8" t="str">
        <f>IF('Course 1'!$H127='tab1'!J$3,'Course 1'!$I127," ")</f>
        <v xml:space="preserve"> </v>
      </c>
      <c r="K129" s="8" t="str">
        <f>IF('Course 1'!$H127='tab1'!K$3,'Course 1'!$I127," ")</f>
        <v xml:space="preserve"> </v>
      </c>
      <c r="L129" s="8" t="str">
        <f>IF('Course 1'!$H127='tab1'!L$3,'Course 1'!$I127," ")</f>
        <v xml:space="preserve"> </v>
      </c>
      <c r="M129" s="8" t="str">
        <f>IF('Course 1'!$H127='tab1'!M$3,'Course 1'!$I127," ")</f>
        <v xml:space="preserve"> </v>
      </c>
      <c r="N129" s="9" t="str">
        <f>IF('Course 1'!$H127='tab1'!N$3,'Course 1'!$I127," ")</f>
        <v xml:space="preserve"> </v>
      </c>
    </row>
    <row r="130" spans="2:14">
      <c r="B130">
        <v>126</v>
      </c>
      <c r="C130" s="7" t="str">
        <f>IF('Course 1'!$H128='tab1'!C$3,'Course 1'!$I128," ")</f>
        <v xml:space="preserve"> </v>
      </c>
      <c r="D130" s="8" t="str">
        <f>IF('Course 1'!$H128='tab1'!D$3,'Course 1'!$I128," ")</f>
        <v xml:space="preserve"> </v>
      </c>
      <c r="E130" s="8" t="str">
        <f>IF('Course 1'!$H128='tab1'!E$3,'Course 1'!$I128," ")</f>
        <v xml:space="preserve"> </v>
      </c>
      <c r="F130" s="8" t="str">
        <f>IF('Course 1'!$H128='tab1'!F$3,'Course 1'!$I128," ")</f>
        <v xml:space="preserve"> </v>
      </c>
      <c r="G130" s="8" t="str">
        <f>IF('Course 1'!$H128='tab1'!G$3,'Course 1'!$I128," ")</f>
        <v xml:space="preserve"> </v>
      </c>
      <c r="H130" s="8" t="str">
        <f>IF('Course 1'!$H128='tab1'!H$3,'Course 1'!$I128," ")</f>
        <v xml:space="preserve"> </v>
      </c>
      <c r="I130" s="8" t="str">
        <f>IF('Course 1'!$H128='tab1'!I$3,'Course 1'!$I128," ")</f>
        <v xml:space="preserve"> </v>
      </c>
      <c r="J130" s="8" t="str">
        <f>IF('Course 1'!$H128='tab1'!J$3,'Course 1'!$I128," ")</f>
        <v xml:space="preserve"> </v>
      </c>
      <c r="K130" s="8" t="str">
        <f>IF('Course 1'!$H128='tab1'!K$3,'Course 1'!$I128," ")</f>
        <v xml:space="preserve"> </v>
      </c>
      <c r="L130" s="8" t="str">
        <f>IF('Course 1'!$H128='tab1'!L$3,'Course 1'!$I128," ")</f>
        <v xml:space="preserve"> </v>
      </c>
      <c r="M130" s="8" t="str">
        <f>IF('Course 1'!$H128='tab1'!M$3,'Course 1'!$I128," ")</f>
        <v xml:space="preserve"> </v>
      </c>
      <c r="N130" s="9" t="str">
        <f>IF('Course 1'!$H128='tab1'!N$3,'Course 1'!$I128," ")</f>
        <v xml:space="preserve"> </v>
      </c>
    </row>
    <row r="131" spans="2:14">
      <c r="B131">
        <v>127</v>
      </c>
      <c r="C131" s="7" t="str">
        <f>IF('Course 1'!$H129='tab1'!C$3,'Course 1'!$I129," ")</f>
        <v xml:space="preserve"> </v>
      </c>
      <c r="D131" s="8" t="str">
        <f>IF('Course 1'!$H129='tab1'!D$3,'Course 1'!$I129," ")</f>
        <v xml:space="preserve"> </v>
      </c>
      <c r="E131" s="8" t="str">
        <f>IF('Course 1'!$H129='tab1'!E$3,'Course 1'!$I129," ")</f>
        <v xml:space="preserve"> </v>
      </c>
      <c r="F131" s="8" t="str">
        <f>IF('Course 1'!$H129='tab1'!F$3,'Course 1'!$I129," ")</f>
        <v xml:space="preserve"> </v>
      </c>
      <c r="G131" s="8" t="str">
        <f>IF('Course 1'!$H129='tab1'!G$3,'Course 1'!$I129," ")</f>
        <v xml:space="preserve"> </v>
      </c>
      <c r="H131" s="8" t="str">
        <f>IF('Course 1'!$H129='tab1'!H$3,'Course 1'!$I129," ")</f>
        <v xml:space="preserve"> </v>
      </c>
      <c r="I131" s="8" t="str">
        <f>IF('Course 1'!$H129='tab1'!I$3,'Course 1'!$I129," ")</f>
        <v xml:space="preserve"> </v>
      </c>
      <c r="J131" s="8" t="str">
        <f>IF('Course 1'!$H129='tab1'!J$3,'Course 1'!$I129," ")</f>
        <v xml:space="preserve"> </v>
      </c>
      <c r="K131" s="8" t="str">
        <f>IF('Course 1'!$H129='tab1'!K$3,'Course 1'!$I129," ")</f>
        <v xml:space="preserve"> </v>
      </c>
      <c r="L131" s="8" t="str">
        <f>IF('Course 1'!$H129='tab1'!L$3,'Course 1'!$I129," ")</f>
        <v xml:space="preserve"> </v>
      </c>
      <c r="M131" s="8" t="str">
        <f>IF('Course 1'!$H129='tab1'!M$3,'Course 1'!$I129," ")</f>
        <v xml:space="preserve"> </v>
      </c>
      <c r="N131" s="9" t="str">
        <f>IF('Course 1'!$H129='tab1'!N$3,'Course 1'!$I129," ")</f>
        <v xml:space="preserve"> </v>
      </c>
    </row>
    <row r="132" spans="2:14">
      <c r="B132">
        <v>128</v>
      </c>
      <c r="C132" s="7" t="str">
        <f>IF('Course 1'!$H130='tab1'!C$3,'Course 1'!$I130," ")</f>
        <v xml:space="preserve"> </v>
      </c>
      <c r="D132" s="8" t="str">
        <f>IF('Course 1'!$H130='tab1'!D$3,'Course 1'!$I130," ")</f>
        <v xml:space="preserve"> </v>
      </c>
      <c r="E132" s="8" t="str">
        <f>IF('Course 1'!$H130='tab1'!E$3,'Course 1'!$I130," ")</f>
        <v xml:space="preserve"> </v>
      </c>
      <c r="F132" s="8" t="str">
        <f>IF('Course 1'!$H130='tab1'!F$3,'Course 1'!$I130," ")</f>
        <v xml:space="preserve"> </v>
      </c>
      <c r="G132" s="8" t="str">
        <f>IF('Course 1'!$H130='tab1'!G$3,'Course 1'!$I130," ")</f>
        <v xml:space="preserve"> </v>
      </c>
      <c r="H132" s="8" t="str">
        <f>IF('Course 1'!$H130='tab1'!H$3,'Course 1'!$I130," ")</f>
        <v xml:space="preserve"> </v>
      </c>
      <c r="I132" s="8" t="str">
        <f>IF('Course 1'!$H130='tab1'!I$3,'Course 1'!$I130," ")</f>
        <v xml:space="preserve"> </v>
      </c>
      <c r="J132" s="8" t="str">
        <f>IF('Course 1'!$H130='tab1'!J$3,'Course 1'!$I130," ")</f>
        <v xml:space="preserve"> </v>
      </c>
      <c r="K132" s="8" t="str">
        <f>IF('Course 1'!$H130='tab1'!K$3,'Course 1'!$I130," ")</f>
        <v xml:space="preserve"> </v>
      </c>
      <c r="L132" s="8" t="str">
        <f>IF('Course 1'!$H130='tab1'!L$3,'Course 1'!$I130," ")</f>
        <v xml:space="preserve"> </v>
      </c>
      <c r="M132" s="8" t="str">
        <f>IF('Course 1'!$H130='tab1'!M$3,'Course 1'!$I130," ")</f>
        <v xml:space="preserve"> </v>
      </c>
      <c r="N132" s="9" t="str">
        <f>IF('Course 1'!$H130='tab1'!N$3,'Course 1'!$I130," ")</f>
        <v xml:space="preserve"> </v>
      </c>
    </row>
    <row r="133" spans="2:14">
      <c r="B133">
        <v>129</v>
      </c>
      <c r="C133" s="7" t="str">
        <f>IF('Course 1'!$H131='tab1'!C$3,'Course 1'!$I131," ")</f>
        <v xml:space="preserve"> </v>
      </c>
      <c r="D133" s="8" t="str">
        <f>IF('Course 1'!$H131='tab1'!D$3,'Course 1'!$I131," ")</f>
        <v xml:space="preserve"> </v>
      </c>
      <c r="E133" s="8" t="str">
        <f>IF('Course 1'!$H131='tab1'!E$3,'Course 1'!$I131," ")</f>
        <v xml:space="preserve"> </v>
      </c>
      <c r="F133" s="8" t="str">
        <f>IF('Course 1'!$H131='tab1'!F$3,'Course 1'!$I131," ")</f>
        <v xml:space="preserve"> </v>
      </c>
      <c r="G133" s="8" t="str">
        <f>IF('Course 1'!$H131='tab1'!G$3,'Course 1'!$I131," ")</f>
        <v xml:space="preserve"> </v>
      </c>
      <c r="H133" s="8" t="str">
        <f>IF('Course 1'!$H131='tab1'!H$3,'Course 1'!$I131," ")</f>
        <v xml:space="preserve"> </v>
      </c>
      <c r="I133" s="8" t="str">
        <f>IF('Course 1'!$H131='tab1'!I$3,'Course 1'!$I131," ")</f>
        <v xml:space="preserve"> </v>
      </c>
      <c r="J133" s="8" t="str">
        <f>IF('Course 1'!$H131='tab1'!J$3,'Course 1'!$I131," ")</f>
        <v xml:space="preserve"> </v>
      </c>
      <c r="K133" s="8" t="str">
        <f>IF('Course 1'!$H131='tab1'!K$3,'Course 1'!$I131," ")</f>
        <v xml:space="preserve"> </v>
      </c>
      <c r="L133" s="8" t="str">
        <f>IF('Course 1'!$H131='tab1'!L$3,'Course 1'!$I131," ")</f>
        <v xml:space="preserve"> </v>
      </c>
      <c r="M133" s="8" t="str">
        <f>IF('Course 1'!$H131='tab1'!M$3,'Course 1'!$I131," ")</f>
        <v xml:space="preserve"> </v>
      </c>
      <c r="N133" s="9" t="str">
        <f>IF('Course 1'!$H131='tab1'!N$3,'Course 1'!$I131," ")</f>
        <v xml:space="preserve"> </v>
      </c>
    </row>
    <row r="134" spans="2:14">
      <c r="B134">
        <v>130</v>
      </c>
      <c r="C134" s="7" t="str">
        <f>IF('Course 1'!$H132='tab1'!C$3,'Course 1'!$I132," ")</f>
        <v xml:space="preserve"> </v>
      </c>
      <c r="D134" s="8" t="str">
        <f>IF('Course 1'!$H132='tab1'!D$3,'Course 1'!$I132," ")</f>
        <v xml:space="preserve"> </v>
      </c>
      <c r="E134" s="8" t="str">
        <f>IF('Course 1'!$H132='tab1'!E$3,'Course 1'!$I132," ")</f>
        <v xml:space="preserve"> </v>
      </c>
      <c r="F134" s="8" t="str">
        <f>IF('Course 1'!$H132='tab1'!F$3,'Course 1'!$I132," ")</f>
        <v xml:space="preserve"> </v>
      </c>
      <c r="G134" s="8" t="str">
        <f>IF('Course 1'!$H132='tab1'!G$3,'Course 1'!$I132," ")</f>
        <v xml:space="preserve"> </v>
      </c>
      <c r="H134" s="8" t="str">
        <f>IF('Course 1'!$H132='tab1'!H$3,'Course 1'!$I132," ")</f>
        <v xml:space="preserve"> </v>
      </c>
      <c r="I134" s="8" t="str">
        <f>IF('Course 1'!$H132='tab1'!I$3,'Course 1'!$I132," ")</f>
        <v xml:space="preserve"> </v>
      </c>
      <c r="J134" s="8" t="str">
        <f>IF('Course 1'!$H132='tab1'!J$3,'Course 1'!$I132," ")</f>
        <v xml:space="preserve"> </v>
      </c>
      <c r="K134" s="8" t="str">
        <f>IF('Course 1'!$H132='tab1'!K$3,'Course 1'!$I132," ")</f>
        <v xml:space="preserve"> </v>
      </c>
      <c r="L134" s="8" t="str">
        <f>IF('Course 1'!$H132='tab1'!L$3,'Course 1'!$I132," ")</f>
        <v xml:space="preserve"> </v>
      </c>
      <c r="M134" s="8" t="str">
        <f>IF('Course 1'!$H132='tab1'!M$3,'Course 1'!$I132," ")</f>
        <v xml:space="preserve"> </v>
      </c>
      <c r="N134" s="9" t="str">
        <f>IF('Course 1'!$H132='tab1'!N$3,'Course 1'!$I132," ")</f>
        <v xml:space="preserve"> </v>
      </c>
    </row>
    <row r="135" spans="2:14">
      <c r="B135">
        <v>131</v>
      </c>
      <c r="C135" s="7" t="str">
        <f>IF('Course 1'!$H133='tab1'!C$3,'Course 1'!$I133," ")</f>
        <v xml:space="preserve"> </v>
      </c>
      <c r="D135" s="8" t="str">
        <f>IF('Course 1'!$H133='tab1'!D$3,'Course 1'!$I133," ")</f>
        <v xml:space="preserve"> </v>
      </c>
      <c r="E135" s="8" t="str">
        <f>IF('Course 1'!$H133='tab1'!E$3,'Course 1'!$I133," ")</f>
        <v xml:space="preserve"> </v>
      </c>
      <c r="F135" s="8" t="str">
        <f>IF('Course 1'!$H133='tab1'!F$3,'Course 1'!$I133," ")</f>
        <v xml:space="preserve"> </v>
      </c>
      <c r="G135" s="8" t="str">
        <f>IF('Course 1'!$H133='tab1'!G$3,'Course 1'!$I133," ")</f>
        <v xml:space="preserve"> </v>
      </c>
      <c r="H135" s="8" t="str">
        <f>IF('Course 1'!$H133='tab1'!H$3,'Course 1'!$I133," ")</f>
        <v xml:space="preserve"> </v>
      </c>
      <c r="I135" s="8" t="str">
        <f>IF('Course 1'!$H133='tab1'!I$3,'Course 1'!$I133," ")</f>
        <v xml:space="preserve"> </v>
      </c>
      <c r="J135" s="8" t="str">
        <f>IF('Course 1'!$H133='tab1'!J$3,'Course 1'!$I133," ")</f>
        <v xml:space="preserve"> </v>
      </c>
      <c r="K135" s="8" t="str">
        <f>IF('Course 1'!$H133='tab1'!K$3,'Course 1'!$I133," ")</f>
        <v xml:space="preserve"> </v>
      </c>
      <c r="L135" s="8" t="str">
        <f>IF('Course 1'!$H133='tab1'!L$3,'Course 1'!$I133," ")</f>
        <v xml:space="preserve"> </v>
      </c>
      <c r="M135" s="8" t="str">
        <f>IF('Course 1'!$H133='tab1'!M$3,'Course 1'!$I133," ")</f>
        <v xml:space="preserve"> </v>
      </c>
      <c r="N135" s="9" t="str">
        <f>IF('Course 1'!$H133='tab1'!N$3,'Course 1'!$I133," ")</f>
        <v xml:space="preserve"> </v>
      </c>
    </row>
    <row r="136" spans="2:14">
      <c r="B136">
        <v>132</v>
      </c>
      <c r="C136" s="7" t="str">
        <f>IF('Course 1'!$H134='tab1'!C$3,'Course 1'!$I134," ")</f>
        <v xml:space="preserve"> </v>
      </c>
      <c r="D136" s="8" t="str">
        <f>IF('Course 1'!$H134='tab1'!D$3,'Course 1'!$I134," ")</f>
        <v xml:space="preserve"> </v>
      </c>
      <c r="E136" s="8" t="str">
        <f>IF('Course 1'!$H134='tab1'!E$3,'Course 1'!$I134," ")</f>
        <v xml:space="preserve"> </v>
      </c>
      <c r="F136" s="8" t="str">
        <f>IF('Course 1'!$H134='tab1'!F$3,'Course 1'!$I134," ")</f>
        <v xml:space="preserve"> </v>
      </c>
      <c r="G136" s="8" t="str">
        <f>IF('Course 1'!$H134='tab1'!G$3,'Course 1'!$I134," ")</f>
        <v xml:space="preserve"> </v>
      </c>
      <c r="H136" s="8" t="str">
        <f>IF('Course 1'!$H134='tab1'!H$3,'Course 1'!$I134," ")</f>
        <v xml:space="preserve"> </v>
      </c>
      <c r="I136" s="8" t="str">
        <f>IF('Course 1'!$H134='tab1'!I$3,'Course 1'!$I134," ")</f>
        <v xml:space="preserve"> </v>
      </c>
      <c r="J136" s="8" t="str">
        <f>IF('Course 1'!$H134='tab1'!J$3,'Course 1'!$I134," ")</f>
        <v xml:space="preserve"> </v>
      </c>
      <c r="K136" s="8" t="str">
        <f>IF('Course 1'!$H134='tab1'!K$3,'Course 1'!$I134," ")</f>
        <v xml:space="preserve"> </v>
      </c>
      <c r="L136" s="8" t="str">
        <f>IF('Course 1'!$H134='tab1'!L$3,'Course 1'!$I134," ")</f>
        <v xml:space="preserve"> </v>
      </c>
      <c r="M136" s="8" t="str">
        <f>IF('Course 1'!$H134='tab1'!M$3,'Course 1'!$I134," ")</f>
        <v xml:space="preserve"> </v>
      </c>
      <c r="N136" s="9" t="str">
        <f>IF('Course 1'!$H134='tab1'!N$3,'Course 1'!$I134," ")</f>
        <v xml:space="preserve"> </v>
      </c>
    </row>
    <row r="137" spans="2:14">
      <c r="B137">
        <v>133</v>
      </c>
      <c r="C137" s="7" t="str">
        <f>IF('Course 1'!$H135='tab1'!C$3,'Course 1'!$I135," ")</f>
        <v xml:space="preserve"> </v>
      </c>
      <c r="D137" s="8" t="str">
        <f>IF('Course 1'!$H135='tab1'!D$3,'Course 1'!$I135," ")</f>
        <v xml:space="preserve"> </v>
      </c>
      <c r="E137" s="8" t="str">
        <f>IF('Course 1'!$H135='tab1'!E$3,'Course 1'!$I135," ")</f>
        <v xml:space="preserve"> </v>
      </c>
      <c r="F137" s="8" t="str">
        <f>IF('Course 1'!$H135='tab1'!F$3,'Course 1'!$I135," ")</f>
        <v xml:space="preserve"> </v>
      </c>
      <c r="G137" s="8" t="str">
        <f>IF('Course 1'!$H135='tab1'!G$3,'Course 1'!$I135," ")</f>
        <v xml:space="preserve"> </v>
      </c>
      <c r="H137" s="8" t="str">
        <f>IF('Course 1'!$H135='tab1'!H$3,'Course 1'!$I135," ")</f>
        <v xml:space="preserve"> </v>
      </c>
      <c r="I137" s="8" t="str">
        <f>IF('Course 1'!$H135='tab1'!I$3,'Course 1'!$I135," ")</f>
        <v xml:space="preserve"> </v>
      </c>
      <c r="J137" s="8" t="str">
        <f>IF('Course 1'!$H135='tab1'!J$3,'Course 1'!$I135," ")</f>
        <v xml:space="preserve"> </v>
      </c>
      <c r="K137" s="8" t="str">
        <f>IF('Course 1'!$H135='tab1'!K$3,'Course 1'!$I135," ")</f>
        <v xml:space="preserve"> </v>
      </c>
      <c r="L137" s="8" t="str">
        <f>IF('Course 1'!$H135='tab1'!L$3,'Course 1'!$I135," ")</f>
        <v xml:space="preserve"> </v>
      </c>
      <c r="M137" s="8" t="str">
        <f>IF('Course 1'!$H135='tab1'!M$3,'Course 1'!$I135," ")</f>
        <v xml:space="preserve"> </v>
      </c>
      <c r="N137" s="9" t="str">
        <f>IF('Course 1'!$H135='tab1'!N$3,'Course 1'!$I135," ")</f>
        <v xml:space="preserve"> </v>
      </c>
    </row>
    <row r="138" spans="2:14">
      <c r="B138">
        <v>134</v>
      </c>
      <c r="C138" s="7" t="str">
        <f>IF('Course 1'!$H136='tab1'!C$3,'Course 1'!$I136," ")</f>
        <v xml:space="preserve"> </v>
      </c>
      <c r="D138" s="8" t="str">
        <f>IF('Course 1'!$H136='tab1'!D$3,'Course 1'!$I136," ")</f>
        <v xml:space="preserve"> </v>
      </c>
      <c r="E138" s="8" t="str">
        <f>IF('Course 1'!$H136='tab1'!E$3,'Course 1'!$I136," ")</f>
        <v xml:space="preserve"> </v>
      </c>
      <c r="F138" s="8" t="str">
        <f>IF('Course 1'!$H136='tab1'!F$3,'Course 1'!$I136," ")</f>
        <v xml:space="preserve"> </v>
      </c>
      <c r="G138" s="8" t="str">
        <f>IF('Course 1'!$H136='tab1'!G$3,'Course 1'!$I136," ")</f>
        <v xml:space="preserve"> </v>
      </c>
      <c r="H138" s="8" t="str">
        <f>IF('Course 1'!$H136='tab1'!H$3,'Course 1'!$I136," ")</f>
        <v xml:space="preserve"> </v>
      </c>
      <c r="I138" s="8" t="str">
        <f>IF('Course 1'!$H136='tab1'!I$3,'Course 1'!$I136," ")</f>
        <v xml:space="preserve"> </v>
      </c>
      <c r="J138" s="8" t="str">
        <f>IF('Course 1'!$H136='tab1'!J$3,'Course 1'!$I136," ")</f>
        <v xml:space="preserve"> </v>
      </c>
      <c r="K138" s="8" t="str">
        <f>IF('Course 1'!$H136='tab1'!K$3,'Course 1'!$I136," ")</f>
        <v xml:space="preserve"> </v>
      </c>
      <c r="L138" s="8" t="str">
        <f>IF('Course 1'!$H136='tab1'!L$3,'Course 1'!$I136," ")</f>
        <v xml:space="preserve"> </v>
      </c>
      <c r="M138" s="8" t="str">
        <f>IF('Course 1'!$H136='tab1'!M$3,'Course 1'!$I136," ")</f>
        <v xml:space="preserve"> </v>
      </c>
      <c r="N138" s="9" t="str">
        <f>IF('Course 1'!$H136='tab1'!N$3,'Course 1'!$I136," ")</f>
        <v xml:space="preserve"> </v>
      </c>
    </row>
    <row r="139" spans="2:14">
      <c r="B139">
        <v>135</v>
      </c>
      <c r="C139" s="7" t="str">
        <f>IF('Course 1'!$H137='tab1'!C$3,'Course 1'!$I137," ")</f>
        <v xml:space="preserve"> </v>
      </c>
      <c r="D139" s="8" t="str">
        <f>IF('Course 1'!$H137='tab1'!D$3,'Course 1'!$I137," ")</f>
        <v xml:space="preserve"> </v>
      </c>
      <c r="E139" s="8" t="str">
        <f>IF('Course 1'!$H137='tab1'!E$3,'Course 1'!$I137," ")</f>
        <v xml:space="preserve"> </v>
      </c>
      <c r="F139" s="8" t="str">
        <f>IF('Course 1'!$H137='tab1'!F$3,'Course 1'!$I137," ")</f>
        <v xml:space="preserve"> </v>
      </c>
      <c r="G139" s="8" t="str">
        <f>IF('Course 1'!$H137='tab1'!G$3,'Course 1'!$I137," ")</f>
        <v xml:space="preserve"> </v>
      </c>
      <c r="H139" s="8" t="str">
        <f>IF('Course 1'!$H137='tab1'!H$3,'Course 1'!$I137," ")</f>
        <v xml:space="preserve"> </v>
      </c>
      <c r="I139" s="8" t="str">
        <f>IF('Course 1'!$H137='tab1'!I$3,'Course 1'!$I137," ")</f>
        <v xml:space="preserve"> </v>
      </c>
      <c r="J139" s="8" t="str">
        <f>IF('Course 1'!$H137='tab1'!J$3,'Course 1'!$I137," ")</f>
        <v xml:space="preserve"> </v>
      </c>
      <c r="K139" s="8" t="str">
        <f>IF('Course 1'!$H137='tab1'!K$3,'Course 1'!$I137," ")</f>
        <v xml:space="preserve"> </v>
      </c>
      <c r="L139" s="8" t="str">
        <f>IF('Course 1'!$H137='tab1'!L$3,'Course 1'!$I137," ")</f>
        <v xml:space="preserve"> </v>
      </c>
      <c r="M139" s="8" t="str">
        <f>IF('Course 1'!$H137='tab1'!M$3,'Course 1'!$I137," ")</f>
        <v xml:space="preserve"> </v>
      </c>
      <c r="N139" s="9" t="str">
        <f>IF('Course 1'!$H137='tab1'!N$3,'Course 1'!$I137," ")</f>
        <v xml:space="preserve"> </v>
      </c>
    </row>
    <row r="140" spans="2:14">
      <c r="B140">
        <v>136</v>
      </c>
      <c r="C140" s="7" t="str">
        <f>IF('Course 1'!$H138='tab1'!C$3,'Course 1'!$I138," ")</f>
        <v xml:space="preserve"> </v>
      </c>
      <c r="D140" s="8" t="str">
        <f>IF('Course 1'!$H138='tab1'!D$3,'Course 1'!$I138," ")</f>
        <v xml:space="preserve"> </v>
      </c>
      <c r="E140" s="8" t="str">
        <f>IF('Course 1'!$H138='tab1'!E$3,'Course 1'!$I138," ")</f>
        <v xml:space="preserve"> </v>
      </c>
      <c r="F140" s="8" t="str">
        <f>IF('Course 1'!$H138='tab1'!F$3,'Course 1'!$I138," ")</f>
        <v xml:space="preserve"> </v>
      </c>
      <c r="G140" s="8" t="str">
        <f>IF('Course 1'!$H138='tab1'!G$3,'Course 1'!$I138," ")</f>
        <v xml:space="preserve"> </v>
      </c>
      <c r="H140" s="8" t="str">
        <f>IF('Course 1'!$H138='tab1'!H$3,'Course 1'!$I138," ")</f>
        <v xml:space="preserve"> </v>
      </c>
      <c r="I140" s="8" t="str">
        <f>IF('Course 1'!$H138='tab1'!I$3,'Course 1'!$I138," ")</f>
        <v xml:space="preserve"> </v>
      </c>
      <c r="J140" s="8" t="str">
        <f>IF('Course 1'!$H138='tab1'!J$3,'Course 1'!$I138," ")</f>
        <v xml:space="preserve"> </v>
      </c>
      <c r="K140" s="8" t="str">
        <f>IF('Course 1'!$H138='tab1'!K$3,'Course 1'!$I138," ")</f>
        <v xml:space="preserve"> </v>
      </c>
      <c r="L140" s="8" t="str">
        <f>IF('Course 1'!$H138='tab1'!L$3,'Course 1'!$I138," ")</f>
        <v xml:space="preserve"> </v>
      </c>
      <c r="M140" s="8" t="str">
        <f>IF('Course 1'!$H138='tab1'!M$3,'Course 1'!$I138," ")</f>
        <v xml:space="preserve"> </v>
      </c>
      <c r="N140" s="9" t="str">
        <f>IF('Course 1'!$H138='tab1'!N$3,'Course 1'!$I138," ")</f>
        <v xml:space="preserve"> </v>
      </c>
    </row>
    <row r="141" spans="2:14">
      <c r="B141">
        <v>137</v>
      </c>
      <c r="C141" s="7" t="str">
        <f>IF('Course 1'!$H139='tab1'!C$3,'Course 1'!$I139," ")</f>
        <v xml:space="preserve"> </v>
      </c>
      <c r="D141" s="8" t="str">
        <f>IF('Course 1'!$H139='tab1'!D$3,'Course 1'!$I139," ")</f>
        <v xml:space="preserve"> </v>
      </c>
      <c r="E141" s="8" t="str">
        <f>IF('Course 1'!$H139='tab1'!E$3,'Course 1'!$I139," ")</f>
        <v xml:space="preserve"> </v>
      </c>
      <c r="F141" s="8" t="str">
        <f>IF('Course 1'!$H139='tab1'!F$3,'Course 1'!$I139," ")</f>
        <v xml:space="preserve"> </v>
      </c>
      <c r="G141" s="8" t="str">
        <f>IF('Course 1'!$H139='tab1'!G$3,'Course 1'!$I139," ")</f>
        <v xml:space="preserve"> </v>
      </c>
      <c r="H141" s="8" t="str">
        <f>IF('Course 1'!$H139='tab1'!H$3,'Course 1'!$I139," ")</f>
        <v xml:space="preserve"> </v>
      </c>
      <c r="I141" s="8" t="str">
        <f>IF('Course 1'!$H139='tab1'!I$3,'Course 1'!$I139," ")</f>
        <v xml:space="preserve"> </v>
      </c>
      <c r="J141" s="8" t="str">
        <f>IF('Course 1'!$H139='tab1'!J$3,'Course 1'!$I139," ")</f>
        <v xml:space="preserve"> </v>
      </c>
      <c r="K141" s="8" t="str">
        <f>IF('Course 1'!$H139='tab1'!K$3,'Course 1'!$I139," ")</f>
        <v xml:space="preserve"> </v>
      </c>
      <c r="L141" s="8" t="str">
        <f>IF('Course 1'!$H139='tab1'!L$3,'Course 1'!$I139," ")</f>
        <v xml:space="preserve"> </v>
      </c>
      <c r="M141" s="8" t="str">
        <f>IF('Course 1'!$H139='tab1'!M$3,'Course 1'!$I139," ")</f>
        <v xml:space="preserve"> </v>
      </c>
      <c r="N141" s="9" t="str">
        <f>IF('Course 1'!$H139='tab1'!N$3,'Course 1'!$I139," ")</f>
        <v xml:space="preserve"> </v>
      </c>
    </row>
    <row r="142" spans="2:14">
      <c r="B142">
        <v>138</v>
      </c>
      <c r="C142" s="7" t="str">
        <f>IF('Course 1'!$H140='tab1'!C$3,'Course 1'!$I140," ")</f>
        <v xml:space="preserve"> </v>
      </c>
      <c r="D142" s="8" t="str">
        <f>IF('Course 1'!$H140='tab1'!D$3,'Course 1'!$I140," ")</f>
        <v xml:space="preserve"> </v>
      </c>
      <c r="E142" s="8" t="str">
        <f>IF('Course 1'!$H140='tab1'!E$3,'Course 1'!$I140," ")</f>
        <v xml:space="preserve"> </v>
      </c>
      <c r="F142" s="8" t="str">
        <f>IF('Course 1'!$H140='tab1'!F$3,'Course 1'!$I140," ")</f>
        <v xml:space="preserve"> </v>
      </c>
      <c r="G142" s="8" t="str">
        <f>IF('Course 1'!$H140='tab1'!G$3,'Course 1'!$I140," ")</f>
        <v xml:space="preserve"> </v>
      </c>
      <c r="H142" s="8" t="str">
        <f>IF('Course 1'!$H140='tab1'!H$3,'Course 1'!$I140," ")</f>
        <v xml:space="preserve"> </v>
      </c>
      <c r="I142" s="8" t="str">
        <f>IF('Course 1'!$H140='tab1'!I$3,'Course 1'!$I140," ")</f>
        <v xml:space="preserve"> </v>
      </c>
      <c r="J142" s="8" t="str">
        <f>IF('Course 1'!$H140='tab1'!J$3,'Course 1'!$I140," ")</f>
        <v xml:space="preserve"> </v>
      </c>
      <c r="K142" s="8" t="str">
        <f>IF('Course 1'!$H140='tab1'!K$3,'Course 1'!$I140," ")</f>
        <v xml:space="preserve"> </v>
      </c>
      <c r="L142" s="8" t="str">
        <f>IF('Course 1'!$H140='tab1'!L$3,'Course 1'!$I140," ")</f>
        <v xml:space="preserve"> </v>
      </c>
      <c r="M142" s="8" t="str">
        <f>IF('Course 1'!$H140='tab1'!M$3,'Course 1'!$I140," ")</f>
        <v xml:space="preserve"> </v>
      </c>
      <c r="N142" s="9" t="str">
        <f>IF('Course 1'!$H140='tab1'!N$3,'Course 1'!$I140," ")</f>
        <v xml:space="preserve"> </v>
      </c>
    </row>
    <row r="143" spans="2:14">
      <c r="B143">
        <v>139</v>
      </c>
      <c r="C143" s="7" t="str">
        <f>IF('Course 1'!$H141='tab1'!C$3,'Course 1'!$I141," ")</f>
        <v xml:space="preserve"> </v>
      </c>
      <c r="D143" s="8" t="str">
        <f>IF('Course 1'!$H141='tab1'!D$3,'Course 1'!$I141," ")</f>
        <v xml:space="preserve"> </v>
      </c>
      <c r="E143" s="8" t="str">
        <f>IF('Course 1'!$H141='tab1'!E$3,'Course 1'!$I141," ")</f>
        <v xml:space="preserve"> </v>
      </c>
      <c r="F143" s="8" t="str">
        <f>IF('Course 1'!$H141='tab1'!F$3,'Course 1'!$I141," ")</f>
        <v xml:space="preserve"> </v>
      </c>
      <c r="G143" s="8" t="str">
        <f>IF('Course 1'!$H141='tab1'!G$3,'Course 1'!$I141," ")</f>
        <v xml:space="preserve"> </v>
      </c>
      <c r="H143" s="8" t="str">
        <f>IF('Course 1'!$H141='tab1'!H$3,'Course 1'!$I141," ")</f>
        <v xml:space="preserve"> </v>
      </c>
      <c r="I143" s="8" t="str">
        <f>IF('Course 1'!$H141='tab1'!I$3,'Course 1'!$I141," ")</f>
        <v xml:space="preserve"> </v>
      </c>
      <c r="J143" s="8" t="str">
        <f>IF('Course 1'!$H141='tab1'!J$3,'Course 1'!$I141," ")</f>
        <v xml:space="preserve"> </v>
      </c>
      <c r="K143" s="8" t="str">
        <f>IF('Course 1'!$H141='tab1'!K$3,'Course 1'!$I141," ")</f>
        <v xml:space="preserve"> </v>
      </c>
      <c r="L143" s="8" t="str">
        <f>IF('Course 1'!$H141='tab1'!L$3,'Course 1'!$I141," ")</f>
        <v xml:space="preserve"> </v>
      </c>
      <c r="M143" s="8" t="str">
        <f>IF('Course 1'!$H141='tab1'!M$3,'Course 1'!$I141," ")</f>
        <v xml:space="preserve"> </v>
      </c>
      <c r="N143" s="9" t="str">
        <f>IF('Course 1'!$H141='tab1'!N$3,'Course 1'!$I141," ")</f>
        <v xml:space="preserve"> </v>
      </c>
    </row>
    <row r="144" spans="2:14">
      <c r="B144">
        <v>140</v>
      </c>
      <c r="C144" s="7" t="str">
        <f>IF('Course 1'!$H142='tab1'!C$3,'Course 1'!$I142," ")</f>
        <v xml:space="preserve"> </v>
      </c>
      <c r="D144" s="8" t="str">
        <f>IF('Course 1'!$H142='tab1'!D$3,'Course 1'!$I142," ")</f>
        <v xml:space="preserve"> </v>
      </c>
      <c r="E144" s="8" t="str">
        <f>IF('Course 1'!$H142='tab1'!E$3,'Course 1'!$I142," ")</f>
        <v xml:space="preserve"> </v>
      </c>
      <c r="F144" s="8" t="str">
        <f>IF('Course 1'!$H142='tab1'!F$3,'Course 1'!$I142," ")</f>
        <v xml:space="preserve"> </v>
      </c>
      <c r="G144" s="8" t="str">
        <f>IF('Course 1'!$H142='tab1'!G$3,'Course 1'!$I142," ")</f>
        <v xml:space="preserve"> </v>
      </c>
      <c r="H144" s="8" t="str">
        <f>IF('Course 1'!$H142='tab1'!H$3,'Course 1'!$I142," ")</f>
        <v xml:space="preserve"> </v>
      </c>
      <c r="I144" s="8" t="str">
        <f>IF('Course 1'!$H142='tab1'!I$3,'Course 1'!$I142," ")</f>
        <v xml:space="preserve"> </v>
      </c>
      <c r="J144" s="8" t="str">
        <f>IF('Course 1'!$H142='tab1'!J$3,'Course 1'!$I142," ")</f>
        <v xml:space="preserve"> </v>
      </c>
      <c r="K144" s="8" t="str">
        <f>IF('Course 1'!$H142='tab1'!K$3,'Course 1'!$I142," ")</f>
        <v xml:space="preserve"> </v>
      </c>
      <c r="L144" s="8" t="str">
        <f>IF('Course 1'!$H142='tab1'!L$3,'Course 1'!$I142," ")</f>
        <v xml:space="preserve"> </v>
      </c>
      <c r="M144" s="8" t="str">
        <f>IF('Course 1'!$H142='tab1'!M$3,'Course 1'!$I142," ")</f>
        <v xml:space="preserve"> </v>
      </c>
      <c r="N144" s="9" t="str">
        <f>IF('Course 1'!$H142='tab1'!N$3,'Course 1'!$I142," ")</f>
        <v xml:space="preserve"> </v>
      </c>
    </row>
    <row r="145" spans="2:14">
      <c r="B145">
        <v>141</v>
      </c>
      <c r="C145" s="7" t="str">
        <f>IF('Course 1'!$H143='tab1'!C$3,'Course 1'!$I143," ")</f>
        <v xml:space="preserve"> </v>
      </c>
      <c r="D145" s="8" t="str">
        <f>IF('Course 1'!$H143='tab1'!D$3,'Course 1'!$I143," ")</f>
        <v xml:space="preserve"> </v>
      </c>
      <c r="E145" s="8" t="str">
        <f>IF('Course 1'!$H143='tab1'!E$3,'Course 1'!$I143," ")</f>
        <v xml:space="preserve"> </v>
      </c>
      <c r="F145" s="8" t="str">
        <f>IF('Course 1'!$H143='tab1'!F$3,'Course 1'!$I143," ")</f>
        <v xml:space="preserve"> </v>
      </c>
      <c r="G145" s="8" t="str">
        <f>IF('Course 1'!$H143='tab1'!G$3,'Course 1'!$I143," ")</f>
        <v xml:space="preserve"> </v>
      </c>
      <c r="H145" s="8" t="str">
        <f>IF('Course 1'!$H143='tab1'!H$3,'Course 1'!$I143," ")</f>
        <v xml:space="preserve"> </v>
      </c>
      <c r="I145" s="8" t="str">
        <f>IF('Course 1'!$H143='tab1'!I$3,'Course 1'!$I143," ")</f>
        <v xml:space="preserve"> </v>
      </c>
      <c r="J145" s="8" t="str">
        <f>IF('Course 1'!$H143='tab1'!J$3,'Course 1'!$I143," ")</f>
        <v xml:space="preserve"> </v>
      </c>
      <c r="K145" s="8" t="str">
        <f>IF('Course 1'!$H143='tab1'!K$3,'Course 1'!$I143," ")</f>
        <v xml:space="preserve"> </v>
      </c>
      <c r="L145" s="8" t="str">
        <f>IF('Course 1'!$H143='tab1'!L$3,'Course 1'!$I143," ")</f>
        <v xml:space="preserve"> </v>
      </c>
      <c r="M145" s="8" t="str">
        <f>IF('Course 1'!$H143='tab1'!M$3,'Course 1'!$I143," ")</f>
        <v xml:space="preserve"> </v>
      </c>
      <c r="N145" s="9" t="str">
        <f>IF('Course 1'!$H143='tab1'!N$3,'Course 1'!$I143," ")</f>
        <v xml:space="preserve"> </v>
      </c>
    </row>
    <row r="146" spans="2:14">
      <c r="B146">
        <v>142</v>
      </c>
      <c r="C146" s="7" t="str">
        <f>IF('Course 1'!$H144='tab1'!C$3,'Course 1'!$I144," ")</f>
        <v xml:space="preserve"> </v>
      </c>
      <c r="D146" s="8" t="str">
        <f>IF('Course 1'!$H144='tab1'!D$3,'Course 1'!$I144," ")</f>
        <v xml:space="preserve"> </v>
      </c>
      <c r="E146" s="8" t="str">
        <f>IF('Course 1'!$H144='tab1'!E$3,'Course 1'!$I144," ")</f>
        <v xml:space="preserve"> </v>
      </c>
      <c r="F146" s="8" t="str">
        <f>IF('Course 1'!$H144='tab1'!F$3,'Course 1'!$I144," ")</f>
        <v xml:space="preserve"> </v>
      </c>
      <c r="G146" s="8" t="str">
        <f>IF('Course 1'!$H144='tab1'!G$3,'Course 1'!$I144," ")</f>
        <v xml:space="preserve"> </v>
      </c>
      <c r="H146" s="8" t="str">
        <f>IF('Course 1'!$H144='tab1'!H$3,'Course 1'!$I144," ")</f>
        <v xml:space="preserve"> </v>
      </c>
      <c r="I146" s="8" t="str">
        <f>IF('Course 1'!$H144='tab1'!I$3,'Course 1'!$I144," ")</f>
        <v xml:space="preserve"> </v>
      </c>
      <c r="J146" s="8" t="str">
        <f>IF('Course 1'!$H144='tab1'!J$3,'Course 1'!$I144," ")</f>
        <v xml:space="preserve"> </v>
      </c>
      <c r="K146" s="8" t="str">
        <f>IF('Course 1'!$H144='tab1'!K$3,'Course 1'!$I144," ")</f>
        <v xml:space="preserve"> </v>
      </c>
      <c r="L146" s="8" t="str">
        <f>IF('Course 1'!$H144='tab1'!L$3,'Course 1'!$I144," ")</f>
        <v xml:space="preserve"> </v>
      </c>
      <c r="M146" s="8" t="str">
        <f>IF('Course 1'!$H144='tab1'!M$3,'Course 1'!$I144," ")</f>
        <v xml:space="preserve"> </v>
      </c>
      <c r="N146" s="9" t="str">
        <f>IF('Course 1'!$H144='tab1'!N$3,'Course 1'!$I144," ")</f>
        <v xml:space="preserve"> </v>
      </c>
    </row>
    <row r="147" spans="2:14">
      <c r="B147">
        <v>143</v>
      </c>
      <c r="C147" s="7" t="str">
        <f>IF('Course 1'!$H145='tab1'!C$3,'Course 1'!$I145," ")</f>
        <v xml:space="preserve"> </v>
      </c>
      <c r="D147" s="8" t="str">
        <f>IF('Course 1'!$H145='tab1'!D$3,'Course 1'!$I145," ")</f>
        <v xml:space="preserve"> </v>
      </c>
      <c r="E147" s="8" t="str">
        <f>IF('Course 1'!$H145='tab1'!E$3,'Course 1'!$I145," ")</f>
        <v xml:space="preserve"> </v>
      </c>
      <c r="F147" s="8" t="str">
        <f>IF('Course 1'!$H145='tab1'!F$3,'Course 1'!$I145," ")</f>
        <v xml:space="preserve"> </v>
      </c>
      <c r="G147" s="8" t="str">
        <f>IF('Course 1'!$H145='tab1'!G$3,'Course 1'!$I145," ")</f>
        <v xml:space="preserve"> </v>
      </c>
      <c r="H147" s="8" t="str">
        <f>IF('Course 1'!$H145='tab1'!H$3,'Course 1'!$I145," ")</f>
        <v xml:space="preserve"> </v>
      </c>
      <c r="I147" s="8" t="str">
        <f>IF('Course 1'!$H145='tab1'!I$3,'Course 1'!$I145," ")</f>
        <v xml:space="preserve"> </v>
      </c>
      <c r="J147" s="8" t="str">
        <f>IF('Course 1'!$H145='tab1'!J$3,'Course 1'!$I145," ")</f>
        <v xml:space="preserve"> </v>
      </c>
      <c r="K147" s="8" t="str">
        <f>IF('Course 1'!$H145='tab1'!K$3,'Course 1'!$I145," ")</f>
        <v xml:space="preserve"> </v>
      </c>
      <c r="L147" s="8" t="str">
        <f>IF('Course 1'!$H145='tab1'!L$3,'Course 1'!$I145," ")</f>
        <v xml:space="preserve"> </v>
      </c>
      <c r="M147" s="8" t="str">
        <f>IF('Course 1'!$H145='tab1'!M$3,'Course 1'!$I145," ")</f>
        <v xml:space="preserve"> </v>
      </c>
      <c r="N147" s="9" t="str">
        <f>IF('Course 1'!$H145='tab1'!N$3,'Course 1'!$I145," ")</f>
        <v xml:space="preserve"> </v>
      </c>
    </row>
    <row r="148" spans="2:14">
      <c r="B148">
        <v>144</v>
      </c>
      <c r="C148" s="7" t="str">
        <f>IF('Course 1'!$H146='tab1'!C$3,'Course 1'!$I146," ")</f>
        <v xml:space="preserve"> </v>
      </c>
      <c r="D148" s="8" t="str">
        <f>IF('Course 1'!$H146='tab1'!D$3,'Course 1'!$I146," ")</f>
        <v xml:space="preserve"> </v>
      </c>
      <c r="E148" s="8" t="str">
        <f>IF('Course 1'!$H146='tab1'!E$3,'Course 1'!$I146," ")</f>
        <v xml:space="preserve"> </v>
      </c>
      <c r="F148" s="8" t="str">
        <f>IF('Course 1'!$H146='tab1'!F$3,'Course 1'!$I146," ")</f>
        <v xml:space="preserve"> </v>
      </c>
      <c r="G148" s="8" t="str">
        <f>IF('Course 1'!$H146='tab1'!G$3,'Course 1'!$I146," ")</f>
        <v xml:space="preserve"> </v>
      </c>
      <c r="H148" s="8" t="str">
        <f>IF('Course 1'!$H146='tab1'!H$3,'Course 1'!$I146," ")</f>
        <v xml:space="preserve"> </v>
      </c>
      <c r="I148" s="8" t="str">
        <f>IF('Course 1'!$H146='tab1'!I$3,'Course 1'!$I146," ")</f>
        <v xml:space="preserve"> </v>
      </c>
      <c r="J148" s="8" t="str">
        <f>IF('Course 1'!$H146='tab1'!J$3,'Course 1'!$I146," ")</f>
        <v xml:space="preserve"> </v>
      </c>
      <c r="K148" s="8" t="str">
        <f>IF('Course 1'!$H146='tab1'!K$3,'Course 1'!$I146," ")</f>
        <v xml:space="preserve"> </v>
      </c>
      <c r="L148" s="8" t="str">
        <f>IF('Course 1'!$H146='tab1'!L$3,'Course 1'!$I146," ")</f>
        <v xml:space="preserve"> </v>
      </c>
      <c r="M148" s="8" t="str">
        <f>IF('Course 1'!$H146='tab1'!M$3,'Course 1'!$I146," ")</f>
        <v xml:space="preserve"> </v>
      </c>
      <c r="N148" s="9" t="str">
        <f>IF('Course 1'!$H146='tab1'!N$3,'Course 1'!$I146," ")</f>
        <v xml:space="preserve"> </v>
      </c>
    </row>
    <row r="149" spans="2:14">
      <c r="B149">
        <v>145</v>
      </c>
      <c r="C149" s="7" t="str">
        <f>IF('Course 1'!$H147='tab1'!C$3,'Course 1'!$I147," ")</f>
        <v xml:space="preserve"> </v>
      </c>
      <c r="D149" s="8" t="str">
        <f>IF('Course 1'!$H147='tab1'!D$3,'Course 1'!$I147," ")</f>
        <v xml:space="preserve"> </v>
      </c>
      <c r="E149" s="8" t="str">
        <f>IF('Course 1'!$H147='tab1'!E$3,'Course 1'!$I147," ")</f>
        <v xml:space="preserve"> </v>
      </c>
      <c r="F149" s="8" t="str">
        <f>IF('Course 1'!$H147='tab1'!F$3,'Course 1'!$I147," ")</f>
        <v xml:space="preserve"> </v>
      </c>
      <c r="G149" s="8" t="str">
        <f>IF('Course 1'!$H147='tab1'!G$3,'Course 1'!$I147," ")</f>
        <v xml:space="preserve"> </v>
      </c>
      <c r="H149" s="8" t="str">
        <f>IF('Course 1'!$H147='tab1'!H$3,'Course 1'!$I147," ")</f>
        <v xml:space="preserve"> </v>
      </c>
      <c r="I149" s="8" t="str">
        <f>IF('Course 1'!$H147='tab1'!I$3,'Course 1'!$I147," ")</f>
        <v xml:space="preserve"> </v>
      </c>
      <c r="J149" s="8" t="str">
        <f>IF('Course 1'!$H147='tab1'!J$3,'Course 1'!$I147," ")</f>
        <v xml:space="preserve"> </v>
      </c>
      <c r="K149" s="8" t="str">
        <f>IF('Course 1'!$H147='tab1'!K$3,'Course 1'!$I147," ")</f>
        <v xml:space="preserve"> </v>
      </c>
      <c r="L149" s="8" t="str">
        <f>IF('Course 1'!$H147='tab1'!L$3,'Course 1'!$I147," ")</f>
        <v xml:space="preserve"> </v>
      </c>
      <c r="M149" s="8" t="str">
        <f>IF('Course 1'!$H147='tab1'!M$3,'Course 1'!$I147," ")</f>
        <v xml:space="preserve"> </v>
      </c>
      <c r="N149" s="9" t="str">
        <f>IF('Course 1'!$H147='tab1'!N$3,'Course 1'!$I147," ")</f>
        <v xml:space="preserve"> </v>
      </c>
    </row>
    <row r="150" spans="2:14">
      <c r="B150">
        <v>146</v>
      </c>
      <c r="C150" s="7" t="str">
        <f>IF('Course 1'!$H148='tab1'!C$3,'Course 1'!$I148," ")</f>
        <v xml:space="preserve"> </v>
      </c>
      <c r="D150" s="8" t="str">
        <f>IF('Course 1'!$H148='tab1'!D$3,'Course 1'!$I148," ")</f>
        <v xml:space="preserve"> </v>
      </c>
      <c r="E150" s="8" t="str">
        <f>IF('Course 1'!$H148='tab1'!E$3,'Course 1'!$I148," ")</f>
        <v xml:space="preserve"> </v>
      </c>
      <c r="F150" s="8" t="str">
        <f>IF('Course 1'!$H148='tab1'!F$3,'Course 1'!$I148," ")</f>
        <v xml:space="preserve"> </v>
      </c>
      <c r="G150" s="8" t="str">
        <f>IF('Course 1'!$H148='tab1'!G$3,'Course 1'!$I148," ")</f>
        <v xml:space="preserve"> </v>
      </c>
      <c r="H150" s="8" t="str">
        <f>IF('Course 1'!$H148='tab1'!H$3,'Course 1'!$I148," ")</f>
        <v xml:space="preserve"> </v>
      </c>
      <c r="I150" s="8" t="str">
        <f>IF('Course 1'!$H148='tab1'!I$3,'Course 1'!$I148," ")</f>
        <v xml:space="preserve"> </v>
      </c>
      <c r="J150" s="8" t="str">
        <f>IF('Course 1'!$H148='tab1'!J$3,'Course 1'!$I148," ")</f>
        <v xml:space="preserve"> </v>
      </c>
      <c r="K150" s="8" t="str">
        <f>IF('Course 1'!$H148='tab1'!K$3,'Course 1'!$I148," ")</f>
        <v xml:space="preserve"> </v>
      </c>
      <c r="L150" s="8" t="str">
        <f>IF('Course 1'!$H148='tab1'!L$3,'Course 1'!$I148," ")</f>
        <v xml:space="preserve"> </v>
      </c>
      <c r="M150" s="8" t="str">
        <f>IF('Course 1'!$H148='tab1'!M$3,'Course 1'!$I148," ")</f>
        <v xml:space="preserve"> </v>
      </c>
      <c r="N150" s="9" t="str">
        <f>IF('Course 1'!$H148='tab1'!N$3,'Course 1'!$I148," ")</f>
        <v xml:space="preserve"> </v>
      </c>
    </row>
    <row r="151" spans="2:14">
      <c r="B151">
        <v>147</v>
      </c>
      <c r="C151" s="7" t="str">
        <f>IF('Course 1'!$H149='tab1'!C$3,'Course 1'!$I149," ")</f>
        <v xml:space="preserve"> </v>
      </c>
      <c r="D151" s="8" t="str">
        <f>IF('Course 1'!$H149='tab1'!D$3,'Course 1'!$I149," ")</f>
        <v xml:space="preserve"> </v>
      </c>
      <c r="E151" s="8" t="str">
        <f>IF('Course 1'!$H149='tab1'!E$3,'Course 1'!$I149," ")</f>
        <v xml:space="preserve"> </v>
      </c>
      <c r="F151" s="8" t="str">
        <f>IF('Course 1'!$H149='tab1'!F$3,'Course 1'!$I149," ")</f>
        <v xml:space="preserve"> </v>
      </c>
      <c r="G151" s="8" t="str">
        <f>IF('Course 1'!$H149='tab1'!G$3,'Course 1'!$I149," ")</f>
        <v xml:space="preserve"> </v>
      </c>
      <c r="H151" s="8" t="str">
        <f>IF('Course 1'!$H149='tab1'!H$3,'Course 1'!$I149," ")</f>
        <v xml:space="preserve"> </v>
      </c>
      <c r="I151" s="8" t="str">
        <f>IF('Course 1'!$H149='tab1'!I$3,'Course 1'!$I149," ")</f>
        <v xml:space="preserve"> </v>
      </c>
      <c r="J151" s="8" t="str">
        <f>IF('Course 1'!$H149='tab1'!J$3,'Course 1'!$I149," ")</f>
        <v xml:space="preserve"> </v>
      </c>
      <c r="K151" s="8" t="str">
        <f>IF('Course 1'!$H149='tab1'!K$3,'Course 1'!$I149," ")</f>
        <v xml:space="preserve"> </v>
      </c>
      <c r="L151" s="8" t="str">
        <f>IF('Course 1'!$H149='tab1'!L$3,'Course 1'!$I149," ")</f>
        <v xml:space="preserve"> </v>
      </c>
      <c r="M151" s="8" t="str">
        <f>IF('Course 1'!$H149='tab1'!M$3,'Course 1'!$I149," ")</f>
        <v xml:space="preserve"> </v>
      </c>
      <c r="N151" s="9" t="str">
        <f>IF('Course 1'!$H149='tab1'!N$3,'Course 1'!$I149," ")</f>
        <v xml:space="preserve"> </v>
      </c>
    </row>
    <row r="152" spans="2:14">
      <c r="B152">
        <v>148</v>
      </c>
      <c r="C152" s="7" t="str">
        <f>IF('Course 1'!$H150='tab1'!C$3,'Course 1'!$I150," ")</f>
        <v xml:space="preserve"> </v>
      </c>
      <c r="D152" s="8" t="str">
        <f>IF('Course 1'!$H150='tab1'!D$3,'Course 1'!$I150," ")</f>
        <v xml:space="preserve"> </v>
      </c>
      <c r="E152" s="8" t="str">
        <f>IF('Course 1'!$H150='tab1'!E$3,'Course 1'!$I150," ")</f>
        <v xml:space="preserve"> </v>
      </c>
      <c r="F152" s="8" t="str">
        <f>IF('Course 1'!$H150='tab1'!F$3,'Course 1'!$I150," ")</f>
        <v xml:space="preserve"> </v>
      </c>
      <c r="G152" s="8" t="str">
        <f>IF('Course 1'!$H150='tab1'!G$3,'Course 1'!$I150," ")</f>
        <v xml:space="preserve"> </v>
      </c>
      <c r="H152" s="8" t="str">
        <f>IF('Course 1'!$H150='tab1'!H$3,'Course 1'!$I150," ")</f>
        <v xml:space="preserve"> </v>
      </c>
      <c r="I152" s="8" t="str">
        <f>IF('Course 1'!$H150='tab1'!I$3,'Course 1'!$I150," ")</f>
        <v xml:space="preserve"> </v>
      </c>
      <c r="J152" s="8" t="str">
        <f>IF('Course 1'!$H150='tab1'!J$3,'Course 1'!$I150," ")</f>
        <v xml:space="preserve"> </v>
      </c>
      <c r="K152" s="8" t="str">
        <f>IF('Course 1'!$H150='tab1'!K$3,'Course 1'!$I150," ")</f>
        <v xml:space="preserve"> </v>
      </c>
      <c r="L152" s="8" t="str">
        <f>IF('Course 1'!$H150='tab1'!L$3,'Course 1'!$I150," ")</f>
        <v xml:space="preserve"> </v>
      </c>
      <c r="M152" s="8" t="str">
        <f>IF('Course 1'!$H150='tab1'!M$3,'Course 1'!$I150," ")</f>
        <v xml:space="preserve"> </v>
      </c>
      <c r="N152" s="9" t="str">
        <f>IF('Course 1'!$H150='tab1'!N$3,'Course 1'!$I150," ")</f>
        <v xml:space="preserve"> </v>
      </c>
    </row>
    <row r="153" spans="2:14">
      <c r="B153">
        <v>149</v>
      </c>
      <c r="C153" s="7" t="str">
        <f>IF('Course 1'!$H151='tab1'!C$3,'Course 1'!$I151," ")</f>
        <v xml:space="preserve"> </v>
      </c>
      <c r="D153" s="8" t="str">
        <f>IF('Course 1'!$H151='tab1'!D$3,'Course 1'!$I151," ")</f>
        <v xml:space="preserve"> </v>
      </c>
      <c r="E153" s="8" t="str">
        <f>IF('Course 1'!$H151='tab1'!E$3,'Course 1'!$I151," ")</f>
        <v xml:space="preserve"> </v>
      </c>
      <c r="F153" s="8" t="str">
        <f>IF('Course 1'!$H151='tab1'!F$3,'Course 1'!$I151," ")</f>
        <v xml:space="preserve"> </v>
      </c>
      <c r="G153" s="8" t="str">
        <f>IF('Course 1'!$H151='tab1'!G$3,'Course 1'!$I151," ")</f>
        <v xml:space="preserve"> </v>
      </c>
      <c r="H153" s="8" t="str">
        <f>IF('Course 1'!$H151='tab1'!H$3,'Course 1'!$I151," ")</f>
        <v xml:space="preserve"> </v>
      </c>
      <c r="I153" s="8" t="str">
        <f>IF('Course 1'!$H151='tab1'!I$3,'Course 1'!$I151," ")</f>
        <v xml:space="preserve"> </v>
      </c>
      <c r="J153" s="8" t="str">
        <f>IF('Course 1'!$H151='tab1'!J$3,'Course 1'!$I151," ")</f>
        <v xml:space="preserve"> </v>
      </c>
      <c r="K153" s="8" t="str">
        <f>IF('Course 1'!$H151='tab1'!K$3,'Course 1'!$I151," ")</f>
        <v xml:space="preserve"> </v>
      </c>
      <c r="L153" s="8" t="str">
        <f>IF('Course 1'!$H151='tab1'!L$3,'Course 1'!$I151," ")</f>
        <v xml:space="preserve"> </v>
      </c>
      <c r="M153" s="8" t="str">
        <f>IF('Course 1'!$H151='tab1'!M$3,'Course 1'!$I151," ")</f>
        <v xml:space="preserve"> </v>
      </c>
      <c r="N153" s="9" t="str">
        <f>IF('Course 1'!$H151='tab1'!N$3,'Course 1'!$I151," ")</f>
        <v xml:space="preserve"> </v>
      </c>
    </row>
    <row r="154" spans="2:14">
      <c r="B154">
        <v>150</v>
      </c>
      <c r="C154" s="7" t="str">
        <f>IF('Course 1'!$H152='tab1'!C$3,'Course 1'!$I152," ")</f>
        <v xml:space="preserve"> </v>
      </c>
      <c r="D154" s="8" t="str">
        <f>IF('Course 1'!$H152='tab1'!D$3,'Course 1'!$I152," ")</f>
        <v xml:space="preserve"> </v>
      </c>
      <c r="E154" s="8" t="str">
        <f>IF('Course 1'!$H152='tab1'!E$3,'Course 1'!$I152," ")</f>
        <v xml:space="preserve"> </v>
      </c>
      <c r="F154" s="8" t="str">
        <f>IF('Course 1'!$H152='tab1'!F$3,'Course 1'!$I152," ")</f>
        <v xml:space="preserve"> </v>
      </c>
      <c r="G154" s="8" t="str">
        <f>IF('Course 1'!$H152='tab1'!G$3,'Course 1'!$I152," ")</f>
        <v xml:space="preserve"> </v>
      </c>
      <c r="H154" s="8" t="str">
        <f>IF('Course 1'!$H152='tab1'!H$3,'Course 1'!$I152," ")</f>
        <v xml:space="preserve"> </v>
      </c>
      <c r="I154" s="8" t="str">
        <f>IF('Course 1'!$H152='tab1'!I$3,'Course 1'!$I152," ")</f>
        <v xml:space="preserve"> </v>
      </c>
      <c r="J154" s="8" t="str">
        <f>IF('Course 1'!$H152='tab1'!J$3,'Course 1'!$I152," ")</f>
        <v xml:space="preserve"> </v>
      </c>
      <c r="K154" s="8" t="str">
        <f>IF('Course 1'!$H152='tab1'!K$3,'Course 1'!$I152," ")</f>
        <v xml:space="preserve"> </v>
      </c>
      <c r="L154" s="8" t="str">
        <f>IF('Course 1'!$H152='tab1'!L$3,'Course 1'!$I152," ")</f>
        <v xml:space="preserve"> </v>
      </c>
      <c r="M154" s="8" t="str">
        <f>IF('Course 1'!$H152='tab1'!M$3,'Course 1'!$I152," ")</f>
        <v xml:space="preserve"> </v>
      </c>
      <c r="N154" s="9" t="str">
        <f>IF('Course 1'!$H152='tab1'!N$3,'Course 1'!$I152," ")</f>
        <v xml:space="preserve"> </v>
      </c>
    </row>
    <row r="155" spans="2:14">
      <c r="B155">
        <v>151</v>
      </c>
      <c r="C155" s="7" t="str">
        <f>IF('Course 1'!$H153='tab1'!C$3,'Course 1'!$I153," ")</f>
        <v xml:space="preserve"> </v>
      </c>
      <c r="D155" s="8" t="str">
        <f>IF('Course 1'!$H153='tab1'!D$3,'Course 1'!$I153," ")</f>
        <v xml:space="preserve"> </v>
      </c>
      <c r="E155" s="8" t="str">
        <f>IF('Course 1'!$H153='tab1'!E$3,'Course 1'!$I153," ")</f>
        <v xml:space="preserve"> </v>
      </c>
      <c r="F155" s="8" t="str">
        <f>IF('Course 1'!$H153='tab1'!F$3,'Course 1'!$I153," ")</f>
        <v xml:space="preserve"> </v>
      </c>
      <c r="G155" s="8" t="str">
        <f>IF('Course 1'!$H153='tab1'!G$3,'Course 1'!$I153," ")</f>
        <v xml:space="preserve"> </v>
      </c>
      <c r="H155" s="8" t="str">
        <f>IF('Course 1'!$H153='tab1'!H$3,'Course 1'!$I153," ")</f>
        <v xml:space="preserve"> </v>
      </c>
      <c r="I155" s="8" t="str">
        <f>IF('Course 1'!$H153='tab1'!I$3,'Course 1'!$I153," ")</f>
        <v xml:space="preserve"> </v>
      </c>
      <c r="J155" s="8" t="str">
        <f>IF('Course 1'!$H153='tab1'!J$3,'Course 1'!$I153," ")</f>
        <v xml:space="preserve"> </v>
      </c>
      <c r="K155" s="8" t="str">
        <f>IF('Course 1'!$H153='tab1'!K$3,'Course 1'!$I153," ")</f>
        <v xml:space="preserve"> </v>
      </c>
      <c r="L155" s="8" t="str">
        <f>IF('Course 1'!$H153='tab1'!L$3,'Course 1'!$I153," ")</f>
        <v xml:space="preserve"> </v>
      </c>
      <c r="M155" s="8" t="str">
        <f>IF('Course 1'!$H153='tab1'!M$3,'Course 1'!$I153," ")</f>
        <v xml:space="preserve"> </v>
      </c>
      <c r="N155" s="9" t="str">
        <f>IF('Course 1'!$H153='tab1'!N$3,'Course 1'!$I153," ")</f>
        <v xml:space="preserve"> </v>
      </c>
    </row>
    <row r="156" spans="2:14">
      <c r="B156">
        <v>152</v>
      </c>
      <c r="C156" s="7" t="str">
        <f>IF('Course 1'!$H154='tab1'!C$3,'Course 1'!$I154," ")</f>
        <v xml:space="preserve"> </v>
      </c>
      <c r="D156" s="8" t="str">
        <f>IF('Course 1'!$H154='tab1'!D$3,'Course 1'!$I154," ")</f>
        <v xml:space="preserve"> </v>
      </c>
      <c r="E156" s="8" t="str">
        <f>IF('Course 1'!$H154='tab1'!E$3,'Course 1'!$I154," ")</f>
        <v xml:space="preserve"> </v>
      </c>
      <c r="F156" s="8" t="str">
        <f>IF('Course 1'!$H154='tab1'!F$3,'Course 1'!$I154," ")</f>
        <v xml:space="preserve"> </v>
      </c>
      <c r="G156" s="8" t="str">
        <f>IF('Course 1'!$H154='tab1'!G$3,'Course 1'!$I154," ")</f>
        <v xml:space="preserve"> </v>
      </c>
      <c r="H156" s="8" t="str">
        <f>IF('Course 1'!$H154='tab1'!H$3,'Course 1'!$I154," ")</f>
        <v xml:space="preserve"> </v>
      </c>
      <c r="I156" s="8" t="str">
        <f>IF('Course 1'!$H154='tab1'!I$3,'Course 1'!$I154," ")</f>
        <v xml:space="preserve"> </v>
      </c>
      <c r="J156" s="8" t="str">
        <f>IF('Course 1'!$H154='tab1'!J$3,'Course 1'!$I154," ")</f>
        <v xml:space="preserve"> </v>
      </c>
      <c r="K156" s="8" t="str">
        <f>IF('Course 1'!$H154='tab1'!K$3,'Course 1'!$I154," ")</f>
        <v xml:space="preserve"> </v>
      </c>
      <c r="L156" s="8" t="str">
        <f>IF('Course 1'!$H154='tab1'!L$3,'Course 1'!$I154," ")</f>
        <v xml:space="preserve"> </v>
      </c>
      <c r="M156" s="8" t="str">
        <f>IF('Course 1'!$H154='tab1'!M$3,'Course 1'!$I154," ")</f>
        <v xml:space="preserve"> </v>
      </c>
      <c r="N156" s="9" t="str">
        <f>IF('Course 1'!$H154='tab1'!N$3,'Course 1'!$I154," ")</f>
        <v xml:space="preserve"> </v>
      </c>
    </row>
    <row r="157" spans="2:14">
      <c r="B157">
        <v>153</v>
      </c>
      <c r="C157" s="7" t="str">
        <f>IF('Course 1'!$H155='tab1'!C$3,'Course 1'!$I155," ")</f>
        <v xml:space="preserve"> </v>
      </c>
      <c r="D157" s="8" t="str">
        <f>IF('Course 1'!$H155='tab1'!D$3,'Course 1'!$I155," ")</f>
        <v xml:space="preserve"> </v>
      </c>
      <c r="E157" s="8" t="str">
        <f>IF('Course 1'!$H155='tab1'!E$3,'Course 1'!$I155," ")</f>
        <v xml:space="preserve"> </v>
      </c>
      <c r="F157" s="8" t="str">
        <f>IF('Course 1'!$H155='tab1'!F$3,'Course 1'!$I155," ")</f>
        <v xml:space="preserve"> </v>
      </c>
      <c r="G157" s="8" t="str">
        <f>IF('Course 1'!$H155='tab1'!G$3,'Course 1'!$I155," ")</f>
        <v xml:space="preserve"> </v>
      </c>
      <c r="H157" s="8" t="str">
        <f>IF('Course 1'!$H155='tab1'!H$3,'Course 1'!$I155," ")</f>
        <v xml:space="preserve"> </v>
      </c>
      <c r="I157" s="8" t="str">
        <f>IF('Course 1'!$H155='tab1'!I$3,'Course 1'!$I155," ")</f>
        <v xml:space="preserve"> </v>
      </c>
      <c r="J157" s="8" t="str">
        <f>IF('Course 1'!$H155='tab1'!J$3,'Course 1'!$I155," ")</f>
        <v xml:space="preserve"> </v>
      </c>
      <c r="K157" s="8" t="str">
        <f>IF('Course 1'!$H155='tab1'!K$3,'Course 1'!$I155," ")</f>
        <v xml:space="preserve"> </v>
      </c>
      <c r="L157" s="8" t="str">
        <f>IF('Course 1'!$H155='tab1'!L$3,'Course 1'!$I155," ")</f>
        <v xml:space="preserve"> </v>
      </c>
      <c r="M157" s="8" t="str">
        <f>IF('Course 1'!$H155='tab1'!M$3,'Course 1'!$I155," ")</f>
        <v xml:space="preserve"> </v>
      </c>
      <c r="N157" s="9" t="str">
        <f>IF('Course 1'!$H155='tab1'!N$3,'Course 1'!$I155," ")</f>
        <v xml:space="preserve"> </v>
      </c>
    </row>
    <row r="158" spans="2:14">
      <c r="B158">
        <v>154</v>
      </c>
      <c r="C158" s="7" t="str">
        <f>IF('Course 1'!$H156='tab1'!C$3,'Course 1'!$I156," ")</f>
        <v xml:space="preserve"> </v>
      </c>
      <c r="D158" s="8" t="str">
        <f>IF('Course 1'!$H156='tab1'!D$3,'Course 1'!$I156," ")</f>
        <v xml:space="preserve"> </v>
      </c>
      <c r="E158" s="8" t="str">
        <f>IF('Course 1'!$H156='tab1'!E$3,'Course 1'!$I156," ")</f>
        <v xml:space="preserve"> </v>
      </c>
      <c r="F158" s="8" t="str">
        <f>IF('Course 1'!$H156='tab1'!F$3,'Course 1'!$I156," ")</f>
        <v xml:space="preserve"> </v>
      </c>
      <c r="G158" s="8" t="str">
        <f>IF('Course 1'!$H156='tab1'!G$3,'Course 1'!$I156," ")</f>
        <v xml:space="preserve"> </v>
      </c>
      <c r="H158" s="8" t="str">
        <f>IF('Course 1'!$H156='tab1'!H$3,'Course 1'!$I156," ")</f>
        <v xml:space="preserve"> </v>
      </c>
      <c r="I158" s="8" t="str">
        <f>IF('Course 1'!$H156='tab1'!I$3,'Course 1'!$I156," ")</f>
        <v xml:space="preserve"> </v>
      </c>
      <c r="J158" s="8" t="str">
        <f>IF('Course 1'!$H156='tab1'!J$3,'Course 1'!$I156," ")</f>
        <v xml:space="preserve"> </v>
      </c>
      <c r="K158" s="8" t="str">
        <f>IF('Course 1'!$H156='tab1'!K$3,'Course 1'!$I156," ")</f>
        <v xml:space="preserve"> </v>
      </c>
      <c r="L158" s="8" t="str">
        <f>IF('Course 1'!$H156='tab1'!L$3,'Course 1'!$I156," ")</f>
        <v xml:space="preserve"> </v>
      </c>
      <c r="M158" s="8" t="str">
        <f>IF('Course 1'!$H156='tab1'!M$3,'Course 1'!$I156," ")</f>
        <v xml:space="preserve"> </v>
      </c>
      <c r="N158" s="9" t="str">
        <f>IF('Course 1'!$H156='tab1'!N$3,'Course 1'!$I156," ")</f>
        <v xml:space="preserve"> </v>
      </c>
    </row>
    <row r="159" spans="2:14">
      <c r="B159">
        <v>155</v>
      </c>
      <c r="C159" s="7" t="str">
        <f>IF('Course 1'!$H157='tab1'!C$3,'Course 1'!$I157," ")</f>
        <v xml:space="preserve"> </v>
      </c>
      <c r="D159" s="8" t="str">
        <f>IF('Course 1'!$H157='tab1'!D$3,'Course 1'!$I157," ")</f>
        <v xml:space="preserve"> </v>
      </c>
      <c r="E159" s="8" t="str">
        <f>IF('Course 1'!$H157='tab1'!E$3,'Course 1'!$I157," ")</f>
        <v xml:space="preserve"> </v>
      </c>
      <c r="F159" s="8" t="str">
        <f>IF('Course 1'!$H157='tab1'!F$3,'Course 1'!$I157," ")</f>
        <v xml:space="preserve"> </v>
      </c>
      <c r="G159" s="8" t="str">
        <f>IF('Course 1'!$H157='tab1'!G$3,'Course 1'!$I157," ")</f>
        <v xml:space="preserve"> </v>
      </c>
      <c r="H159" s="8" t="str">
        <f>IF('Course 1'!$H157='tab1'!H$3,'Course 1'!$I157," ")</f>
        <v xml:space="preserve"> </v>
      </c>
      <c r="I159" s="8" t="str">
        <f>IF('Course 1'!$H157='tab1'!I$3,'Course 1'!$I157," ")</f>
        <v xml:space="preserve"> </v>
      </c>
      <c r="J159" s="8" t="str">
        <f>IF('Course 1'!$H157='tab1'!J$3,'Course 1'!$I157," ")</f>
        <v xml:space="preserve"> </v>
      </c>
      <c r="K159" s="8" t="str">
        <f>IF('Course 1'!$H157='tab1'!K$3,'Course 1'!$I157," ")</f>
        <v xml:space="preserve"> </v>
      </c>
      <c r="L159" s="8" t="str">
        <f>IF('Course 1'!$H157='tab1'!L$3,'Course 1'!$I157," ")</f>
        <v xml:space="preserve"> </v>
      </c>
      <c r="M159" s="8" t="str">
        <f>IF('Course 1'!$H157='tab1'!M$3,'Course 1'!$I157," ")</f>
        <v xml:space="preserve"> </v>
      </c>
      <c r="N159" s="9" t="str">
        <f>IF('Course 1'!$H157='tab1'!N$3,'Course 1'!$I157," ")</f>
        <v xml:space="preserve"> </v>
      </c>
    </row>
    <row r="160" spans="2:14">
      <c r="B160">
        <v>156</v>
      </c>
      <c r="C160" s="7" t="str">
        <f>IF('Course 1'!$H158='tab1'!C$3,'Course 1'!$I158," ")</f>
        <v xml:space="preserve"> </v>
      </c>
      <c r="D160" s="8" t="str">
        <f>IF('Course 1'!$H158='tab1'!D$3,'Course 1'!$I158," ")</f>
        <v xml:space="preserve"> </v>
      </c>
      <c r="E160" s="8" t="str">
        <f>IF('Course 1'!$H158='tab1'!E$3,'Course 1'!$I158," ")</f>
        <v xml:space="preserve"> </v>
      </c>
      <c r="F160" s="8" t="str">
        <f>IF('Course 1'!$H158='tab1'!F$3,'Course 1'!$I158," ")</f>
        <v xml:space="preserve"> </v>
      </c>
      <c r="G160" s="8" t="str">
        <f>IF('Course 1'!$H158='tab1'!G$3,'Course 1'!$I158," ")</f>
        <v xml:space="preserve"> </v>
      </c>
      <c r="H160" s="8" t="str">
        <f>IF('Course 1'!$H158='tab1'!H$3,'Course 1'!$I158," ")</f>
        <v xml:space="preserve"> </v>
      </c>
      <c r="I160" s="8" t="str">
        <f>IF('Course 1'!$H158='tab1'!I$3,'Course 1'!$I158," ")</f>
        <v xml:space="preserve"> </v>
      </c>
      <c r="J160" s="8" t="str">
        <f>IF('Course 1'!$H158='tab1'!J$3,'Course 1'!$I158," ")</f>
        <v xml:space="preserve"> </v>
      </c>
      <c r="K160" s="8" t="str">
        <f>IF('Course 1'!$H158='tab1'!K$3,'Course 1'!$I158," ")</f>
        <v xml:space="preserve"> </v>
      </c>
      <c r="L160" s="8" t="str">
        <f>IF('Course 1'!$H158='tab1'!L$3,'Course 1'!$I158," ")</f>
        <v xml:space="preserve"> </v>
      </c>
      <c r="M160" s="8" t="str">
        <f>IF('Course 1'!$H158='tab1'!M$3,'Course 1'!$I158," ")</f>
        <v xml:space="preserve"> </v>
      </c>
      <c r="N160" s="9" t="str">
        <f>IF('Course 1'!$H158='tab1'!N$3,'Course 1'!$I158," ")</f>
        <v xml:space="preserve"> </v>
      </c>
    </row>
    <row r="161" spans="2:14">
      <c r="B161">
        <v>157</v>
      </c>
      <c r="C161" s="7" t="str">
        <f>IF('Course 1'!$H159='tab1'!C$3,'Course 1'!$I159," ")</f>
        <v xml:space="preserve"> </v>
      </c>
      <c r="D161" s="8" t="str">
        <f>IF('Course 1'!$H159='tab1'!D$3,'Course 1'!$I159," ")</f>
        <v xml:space="preserve"> </v>
      </c>
      <c r="E161" s="8" t="str">
        <f>IF('Course 1'!$H159='tab1'!E$3,'Course 1'!$I159," ")</f>
        <v xml:space="preserve"> </v>
      </c>
      <c r="F161" s="8" t="str">
        <f>IF('Course 1'!$H159='tab1'!F$3,'Course 1'!$I159," ")</f>
        <v xml:space="preserve"> </v>
      </c>
      <c r="G161" s="8" t="str">
        <f>IF('Course 1'!$H159='tab1'!G$3,'Course 1'!$I159," ")</f>
        <v xml:space="preserve"> </v>
      </c>
      <c r="H161" s="8" t="str">
        <f>IF('Course 1'!$H159='tab1'!H$3,'Course 1'!$I159," ")</f>
        <v xml:space="preserve"> </v>
      </c>
      <c r="I161" s="8" t="str">
        <f>IF('Course 1'!$H159='tab1'!I$3,'Course 1'!$I159," ")</f>
        <v xml:space="preserve"> </v>
      </c>
      <c r="J161" s="8" t="str">
        <f>IF('Course 1'!$H159='tab1'!J$3,'Course 1'!$I159," ")</f>
        <v xml:space="preserve"> </v>
      </c>
      <c r="K161" s="8" t="str">
        <f>IF('Course 1'!$H159='tab1'!K$3,'Course 1'!$I159," ")</f>
        <v xml:space="preserve"> </v>
      </c>
      <c r="L161" s="8" t="str">
        <f>IF('Course 1'!$H159='tab1'!L$3,'Course 1'!$I159," ")</f>
        <v xml:space="preserve"> </v>
      </c>
      <c r="M161" s="8" t="str">
        <f>IF('Course 1'!$H159='tab1'!M$3,'Course 1'!$I159," ")</f>
        <v xml:space="preserve"> </v>
      </c>
      <c r="N161" s="9" t="str">
        <f>IF('Course 1'!$H159='tab1'!N$3,'Course 1'!$I159," ")</f>
        <v xml:space="preserve"> </v>
      </c>
    </row>
    <row r="162" spans="2:14">
      <c r="B162">
        <v>158</v>
      </c>
      <c r="C162" s="7" t="str">
        <f>IF('Course 1'!$H160='tab1'!C$3,'Course 1'!$I160," ")</f>
        <v xml:space="preserve"> </v>
      </c>
      <c r="D162" s="8" t="str">
        <f>IF('Course 1'!$H160='tab1'!D$3,'Course 1'!$I160," ")</f>
        <v xml:space="preserve"> </v>
      </c>
      <c r="E162" s="8" t="str">
        <f>IF('Course 1'!$H160='tab1'!E$3,'Course 1'!$I160," ")</f>
        <v xml:space="preserve"> </v>
      </c>
      <c r="F162" s="8" t="str">
        <f>IF('Course 1'!$H160='tab1'!F$3,'Course 1'!$I160," ")</f>
        <v xml:space="preserve"> </v>
      </c>
      <c r="G162" s="8" t="str">
        <f>IF('Course 1'!$H160='tab1'!G$3,'Course 1'!$I160," ")</f>
        <v xml:space="preserve"> </v>
      </c>
      <c r="H162" s="8" t="str">
        <f>IF('Course 1'!$H160='tab1'!H$3,'Course 1'!$I160," ")</f>
        <v xml:space="preserve"> </v>
      </c>
      <c r="I162" s="8" t="str">
        <f>IF('Course 1'!$H160='tab1'!I$3,'Course 1'!$I160," ")</f>
        <v xml:space="preserve"> </v>
      </c>
      <c r="J162" s="8" t="str">
        <f>IF('Course 1'!$H160='tab1'!J$3,'Course 1'!$I160," ")</f>
        <v xml:space="preserve"> </v>
      </c>
      <c r="K162" s="8" t="str">
        <f>IF('Course 1'!$H160='tab1'!K$3,'Course 1'!$I160," ")</f>
        <v xml:space="preserve"> </v>
      </c>
      <c r="L162" s="8" t="str">
        <f>IF('Course 1'!$H160='tab1'!L$3,'Course 1'!$I160," ")</f>
        <v xml:space="preserve"> </v>
      </c>
      <c r="M162" s="8" t="str">
        <f>IF('Course 1'!$H160='tab1'!M$3,'Course 1'!$I160," ")</f>
        <v xml:space="preserve"> </v>
      </c>
      <c r="N162" s="9" t="str">
        <f>IF('Course 1'!$H160='tab1'!N$3,'Course 1'!$I160," ")</f>
        <v xml:space="preserve"> </v>
      </c>
    </row>
    <row r="163" spans="2:14">
      <c r="B163">
        <v>159</v>
      </c>
      <c r="C163" s="7" t="str">
        <f>IF('Course 1'!$H161='tab1'!C$3,'Course 1'!$I161," ")</f>
        <v xml:space="preserve"> </v>
      </c>
      <c r="D163" s="8" t="str">
        <f>IF('Course 1'!$H161='tab1'!D$3,'Course 1'!$I161," ")</f>
        <v xml:space="preserve"> </v>
      </c>
      <c r="E163" s="8" t="str">
        <f>IF('Course 1'!$H161='tab1'!E$3,'Course 1'!$I161," ")</f>
        <v xml:space="preserve"> </v>
      </c>
      <c r="F163" s="8" t="str">
        <f>IF('Course 1'!$H161='tab1'!F$3,'Course 1'!$I161," ")</f>
        <v xml:space="preserve"> </v>
      </c>
      <c r="G163" s="8" t="str">
        <f>IF('Course 1'!$H161='tab1'!G$3,'Course 1'!$I161," ")</f>
        <v xml:space="preserve"> </v>
      </c>
      <c r="H163" s="8" t="str">
        <f>IF('Course 1'!$H161='tab1'!H$3,'Course 1'!$I161," ")</f>
        <v xml:space="preserve"> </v>
      </c>
      <c r="I163" s="8" t="str">
        <f>IF('Course 1'!$H161='tab1'!I$3,'Course 1'!$I161," ")</f>
        <v xml:space="preserve"> </v>
      </c>
      <c r="J163" s="8" t="str">
        <f>IF('Course 1'!$H161='tab1'!J$3,'Course 1'!$I161," ")</f>
        <v xml:space="preserve"> </v>
      </c>
      <c r="K163" s="8" t="str">
        <f>IF('Course 1'!$H161='tab1'!K$3,'Course 1'!$I161," ")</f>
        <v xml:space="preserve"> </v>
      </c>
      <c r="L163" s="8" t="str">
        <f>IF('Course 1'!$H161='tab1'!L$3,'Course 1'!$I161," ")</f>
        <v xml:space="preserve"> </v>
      </c>
      <c r="M163" s="8" t="str">
        <f>IF('Course 1'!$H161='tab1'!M$3,'Course 1'!$I161," ")</f>
        <v xml:space="preserve"> </v>
      </c>
      <c r="N163" s="9" t="str">
        <f>IF('Course 1'!$H161='tab1'!N$3,'Course 1'!$I161," ")</f>
        <v xml:space="preserve"> </v>
      </c>
    </row>
    <row r="164" spans="2:14">
      <c r="B164">
        <v>160</v>
      </c>
      <c r="C164" s="7" t="str">
        <f>IF('Course 1'!$H162='tab1'!C$3,'Course 1'!$I162," ")</f>
        <v xml:space="preserve"> </v>
      </c>
      <c r="D164" s="8" t="str">
        <f>IF('Course 1'!$H162='tab1'!D$3,'Course 1'!$I162," ")</f>
        <v xml:space="preserve"> </v>
      </c>
      <c r="E164" s="8" t="str">
        <f>IF('Course 1'!$H162='tab1'!E$3,'Course 1'!$I162," ")</f>
        <v xml:space="preserve"> </v>
      </c>
      <c r="F164" s="8" t="str">
        <f>IF('Course 1'!$H162='tab1'!F$3,'Course 1'!$I162," ")</f>
        <v xml:space="preserve"> </v>
      </c>
      <c r="G164" s="8" t="str">
        <f>IF('Course 1'!$H162='tab1'!G$3,'Course 1'!$I162," ")</f>
        <v xml:space="preserve"> </v>
      </c>
      <c r="H164" s="8" t="str">
        <f>IF('Course 1'!$H162='tab1'!H$3,'Course 1'!$I162," ")</f>
        <v xml:space="preserve"> </v>
      </c>
      <c r="I164" s="8" t="str">
        <f>IF('Course 1'!$H162='tab1'!I$3,'Course 1'!$I162," ")</f>
        <v xml:space="preserve"> </v>
      </c>
      <c r="J164" s="8" t="str">
        <f>IF('Course 1'!$H162='tab1'!J$3,'Course 1'!$I162," ")</f>
        <v xml:space="preserve"> </v>
      </c>
      <c r="K164" s="8" t="str">
        <f>IF('Course 1'!$H162='tab1'!K$3,'Course 1'!$I162," ")</f>
        <v xml:space="preserve"> </v>
      </c>
      <c r="L164" s="8" t="str">
        <f>IF('Course 1'!$H162='tab1'!L$3,'Course 1'!$I162," ")</f>
        <v xml:space="preserve"> </v>
      </c>
      <c r="M164" s="8" t="str">
        <f>IF('Course 1'!$H162='tab1'!M$3,'Course 1'!$I162," ")</f>
        <v xml:space="preserve"> </v>
      </c>
      <c r="N164" s="9" t="str">
        <f>IF('Course 1'!$H162='tab1'!N$3,'Course 1'!$I162," ")</f>
        <v xml:space="preserve"> </v>
      </c>
    </row>
    <row r="165" spans="2:14">
      <c r="B165">
        <v>161</v>
      </c>
      <c r="C165" s="7" t="str">
        <f>IF('Course 1'!$H163='tab1'!C$3,'Course 1'!$I163," ")</f>
        <v xml:space="preserve"> </v>
      </c>
      <c r="D165" s="8" t="str">
        <f>IF('Course 1'!$H163='tab1'!D$3,'Course 1'!$I163," ")</f>
        <v xml:space="preserve"> </v>
      </c>
      <c r="E165" s="8" t="str">
        <f>IF('Course 1'!$H163='tab1'!E$3,'Course 1'!$I163," ")</f>
        <v xml:space="preserve"> </v>
      </c>
      <c r="F165" s="8" t="str">
        <f>IF('Course 1'!$H163='tab1'!F$3,'Course 1'!$I163," ")</f>
        <v xml:space="preserve"> </v>
      </c>
      <c r="G165" s="8" t="str">
        <f>IF('Course 1'!$H163='tab1'!G$3,'Course 1'!$I163," ")</f>
        <v xml:space="preserve"> </v>
      </c>
      <c r="H165" s="8" t="str">
        <f>IF('Course 1'!$H163='tab1'!H$3,'Course 1'!$I163," ")</f>
        <v xml:space="preserve"> </v>
      </c>
      <c r="I165" s="8" t="str">
        <f>IF('Course 1'!$H163='tab1'!I$3,'Course 1'!$I163," ")</f>
        <v xml:space="preserve"> </v>
      </c>
      <c r="J165" s="8" t="str">
        <f>IF('Course 1'!$H163='tab1'!J$3,'Course 1'!$I163," ")</f>
        <v xml:space="preserve"> </v>
      </c>
      <c r="K165" s="8" t="str">
        <f>IF('Course 1'!$H163='tab1'!K$3,'Course 1'!$I163," ")</f>
        <v xml:space="preserve"> </v>
      </c>
      <c r="L165" s="8" t="str">
        <f>IF('Course 1'!$H163='tab1'!L$3,'Course 1'!$I163," ")</f>
        <v xml:space="preserve"> </v>
      </c>
      <c r="M165" s="8" t="str">
        <f>IF('Course 1'!$H163='tab1'!M$3,'Course 1'!$I163," ")</f>
        <v xml:space="preserve"> </v>
      </c>
      <c r="N165" s="9" t="str">
        <f>IF('Course 1'!$H163='tab1'!N$3,'Course 1'!$I163," ")</f>
        <v xml:space="preserve"> </v>
      </c>
    </row>
    <row r="166" spans="2:14">
      <c r="B166">
        <v>162</v>
      </c>
      <c r="C166" s="7" t="str">
        <f>IF('Course 1'!$H164='tab1'!C$3,'Course 1'!$I164," ")</f>
        <v xml:space="preserve"> </v>
      </c>
      <c r="D166" s="8" t="str">
        <f>IF('Course 1'!$H164='tab1'!D$3,'Course 1'!$I164," ")</f>
        <v xml:space="preserve"> </v>
      </c>
      <c r="E166" s="8" t="str">
        <f>IF('Course 1'!$H164='tab1'!E$3,'Course 1'!$I164," ")</f>
        <v xml:space="preserve"> </v>
      </c>
      <c r="F166" s="8" t="str">
        <f>IF('Course 1'!$H164='tab1'!F$3,'Course 1'!$I164," ")</f>
        <v xml:space="preserve"> </v>
      </c>
      <c r="G166" s="8" t="str">
        <f>IF('Course 1'!$H164='tab1'!G$3,'Course 1'!$I164," ")</f>
        <v xml:space="preserve"> </v>
      </c>
      <c r="H166" s="8" t="str">
        <f>IF('Course 1'!$H164='tab1'!H$3,'Course 1'!$I164," ")</f>
        <v xml:space="preserve"> </v>
      </c>
      <c r="I166" s="8" t="str">
        <f>IF('Course 1'!$H164='tab1'!I$3,'Course 1'!$I164," ")</f>
        <v xml:space="preserve"> </v>
      </c>
      <c r="J166" s="8" t="str">
        <f>IF('Course 1'!$H164='tab1'!J$3,'Course 1'!$I164," ")</f>
        <v xml:space="preserve"> </v>
      </c>
      <c r="K166" s="8" t="str">
        <f>IF('Course 1'!$H164='tab1'!K$3,'Course 1'!$I164," ")</f>
        <v xml:space="preserve"> </v>
      </c>
      <c r="L166" s="8" t="str">
        <f>IF('Course 1'!$H164='tab1'!L$3,'Course 1'!$I164," ")</f>
        <v xml:space="preserve"> </v>
      </c>
      <c r="M166" s="8" t="str">
        <f>IF('Course 1'!$H164='tab1'!M$3,'Course 1'!$I164," ")</f>
        <v xml:space="preserve"> </v>
      </c>
      <c r="N166" s="9" t="str">
        <f>IF('Course 1'!$H164='tab1'!N$3,'Course 1'!$I164," ")</f>
        <v xml:space="preserve"> </v>
      </c>
    </row>
    <row r="167" spans="2:14">
      <c r="B167">
        <v>163</v>
      </c>
      <c r="C167" s="7" t="str">
        <f>IF('Course 1'!$H165='tab1'!C$3,'Course 1'!$I165," ")</f>
        <v xml:space="preserve"> </v>
      </c>
      <c r="D167" s="8" t="str">
        <f>IF('Course 1'!$H165='tab1'!D$3,'Course 1'!$I165," ")</f>
        <v xml:space="preserve"> </v>
      </c>
      <c r="E167" s="8" t="str">
        <f>IF('Course 1'!$H165='tab1'!E$3,'Course 1'!$I165," ")</f>
        <v xml:space="preserve"> </v>
      </c>
      <c r="F167" s="8" t="str">
        <f>IF('Course 1'!$H165='tab1'!F$3,'Course 1'!$I165," ")</f>
        <v xml:space="preserve"> </v>
      </c>
      <c r="G167" s="8" t="str">
        <f>IF('Course 1'!$H165='tab1'!G$3,'Course 1'!$I165," ")</f>
        <v xml:space="preserve"> </v>
      </c>
      <c r="H167" s="8" t="str">
        <f>IF('Course 1'!$H165='tab1'!H$3,'Course 1'!$I165," ")</f>
        <v xml:space="preserve"> </v>
      </c>
      <c r="I167" s="8" t="str">
        <f>IF('Course 1'!$H165='tab1'!I$3,'Course 1'!$I165," ")</f>
        <v xml:space="preserve"> </v>
      </c>
      <c r="J167" s="8" t="str">
        <f>IF('Course 1'!$H165='tab1'!J$3,'Course 1'!$I165," ")</f>
        <v xml:space="preserve"> </v>
      </c>
      <c r="K167" s="8" t="str">
        <f>IF('Course 1'!$H165='tab1'!K$3,'Course 1'!$I165," ")</f>
        <v xml:space="preserve"> </v>
      </c>
      <c r="L167" s="8" t="str">
        <f>IF('Course 1'!$H165='tab1'!L$3,'Course 1'!$I165," ")</f>
        <v xml:space="preserve"> </v>
      </c>
      <c r="M167" s="8" t="str">
        <f>IF('Course 1'!$H165='tab1'!M$3,'Course 1'!$I165," ")</f>
        <v xml:space="preserve"> </v>
      </c>
      <c r="N167" s="9" t="str">
        <f>IF('Course 1'!$H165='tab1'!N$3,'Course 1'!$I165," ")</f>
        <v xml:space="preserve"> </v>
      </c>
    </row>
    <row r="168" spans="2:14">
      <c r="B168">
        <v>164</v>
      </c>
      <c r="C168" s="7" t="str">
        <f>IF('Course 1'!$H166='tab1'!C$3,'Course 1'!$I166," ")</f>
        <v xml:space="preserve"> </v>
      </c>
      <c r="D168" s="8" t="str">
        <f>IF('Course 1'!$H166='tab1'!D$3,'Course 1'!$I166," ")</f>
        <v xml:space="preserve"> </v>
      </c>
      <c r="E168" s="8" t="str">
        <f>IF('Course 1'!$H166='tab1'!E$3,'Course 1'!$I166," ")</f>
        <v xml:space="preserve"> </v>
      </c>
      <c r="F168" s="8" t="str">
        <f>IF('Course 1'!$H166='tab1'!F$3,'Course 1'!$I166," ")</f>
        <v xml:space="preserve"> </v>
      </c>
      <c r="G168" s="8" t="str">
        <f>IF('Course 1'!$H166='tab1'!G$3,'Course 1'!$I166," ")</f>
        <v xml:space="preserve"> </v>
      </c>
      <c r="H168" s="8" t="str">
        <f>IF('Course 1'!$H166='tab1'!H$3,'Course 1'!$I166," ")</f>
        <v xml:space="preserve"> </v>
      </c>
      <c r="I168" s="8" t="str">
        <f>IF('Course 1'!$H166='tab1'!I$3,'Course 1'!$I166," ")</f>
        <v xml:space="preserve"> </v>
      </c>
      <c r="J168" s="8" t="str">
        <f>IF('Course 1'!$H166='tab1'!J$3,'Course 1'!$I166," ")</f>
        <v xml:space="preserve"> </v>
      </c>
      <c r="K168" s="8" t="str">
        <f>IF('Course 1'!$H166='tab1'!K$3,'Course 1'!$I166," ")</f>
        <v xml:space="preserve"> </v>
      </c>
      <c r="L168" s="8" t="str">
        <f>IF('Course 1'!$H166='tab1'!L$3,'Course 1'!$I166," ")</f>
        <v xml:space="preserve"> </v>
      </c>
      <c r="M168" s="8" t="str">
        <f>IF('Course 1'!$H166='tab1'!M$3,'Course 1'!$I166," ")</f>
        <v xml:space="preserve"> </v>
      </c>
      <c r="N168" s="9" t="str">
        <f>IF('Course 1'!$H166='tab1'!N$3,'Course 1'!$I166," ")</f>
        <v xml:space="preserve"> </v>
      </c>
    </row>
    <row r="169" spans="2:14">
      <c r="B169">
        <v>165</v>
      </c>
      <c r="C169" s="7" t="str">
        <f>IF('Course 1'!$H167='tab1'!C$3,'Course 1'!$I167," ")</f>
        <v xml:space="preserve"> </v>
      </c>
      <c r="D169" s="8" t="str">
        <f>IF('Course 1'!$H167='tab1'!D$3,'Course 1'!$I167," ")</f>
        <v xml:space="preserve"> </v>
      </c>
      <c r="E169" s="8" t="str">
        <f>IF('Course 1'!$H167='tab1'!E$3,'Course 1'!$I167," ")</f>
        <v xml:space="preserve"> </v>
      </c>
      <c r="F169" s="8" t="str">
        <f>IF('Course 1'!$H167='tab1'!F$3,'Course 1'!$I167," ")</f>
        <v xml:space="preserve"> </v>
      </c>
      <c r="G169" s="8" t="str">
        <f>IF('Course 1'!$H167='tab1'!G$3,'Course 1'!$I167," ")</f>
        <v xml:space="preserve"> </v>
      </c>
      <c r="H169" s="8" t="str">
        <f>IF('Course 1'!$H167='tab1'!H$3,'Course 1'!$I167," ")</f>
        <v xml:space="preserve"> </v>
      </c>
      <c r="I169" s="8" t="str">
        <f>IF('Course 1'!$H167='tab1'!I$3,'Course 1'!$I167," ")</f>
        <v xml:space="preserve"> </v>
      </c>
      <c r="J169" s="8" t="str">
        <f>IF('Course 1'!$H167='tab1'!J$3,'Course 1'!$I167," ")</f>
        <v xml:space="preserve"> </v>
      </c>
      <c r="K169" s="8" t="str">
        <f>IF('Course 1'!$H167='tab1'!K$3,'Course 1'!$I167," ")</f>
        <v xml:space="preserve"> </v>
      </c>
      <c r="L169" s="8" t="str">
        <f>IF('Course 1'!$H167='tab1'!L$3,'Course 1'!$I167," ")</f>
        <v xml:space="preserve"> </v>
      </c>
      <c r="M169" s="8" t="str">
        <f>IF('Course 1'!$H167='tab1'!M$3,'Course 1'!$I167," ")</f>
        <v xml:space="preserve"> </v>
      </c>
      <c r="N169" s="9" t="str">
        <f>IF('Course 1'!$H167='tab1'!N$3,'Course 1'!$I167," ")</f>
        <v xml:space="preserve"> </v>
      </c>
    </row>
    <row r="170" spans="2:14">
      <c r="B170">
        <v>166</v>
      </c>
      <c r="C170" s="7" t="str">
        <f>IF('Course 1'!$H168='tab1'!C$3,'Course 1'!$I168," ")</f>
        <v xml:space="preserve"> </v>
      </c>
      <c r="D170" s="8" t="str">
        <f>IF('Course 1'!$H168='tab1'!D$3,'Course 1'!$I168," ")</f>
        <v xml:space="preserve"> </v>
      </c>
      <c r="E170" s="8" t="str">
        <f>IF('Course 1'!$H168='tab1'!E$3,'Course 1'!$I168," ")</f>
        <v xml:space="preserve"> </v>
      </c>
      <c r="F170" s="8" t="str">
        <f>IF('Course 1'!$H168='tab1'!F$3,'Course 1'!$I168," ")</f>
        <v xml:space="preserve"> </v>
      </c>
      <c r="G170" s="8" t="str">
        <f>IF('Course 1'!$H168='tab1'!G$3,'Course 1'!$I168," ")</f>
        <v xml:space="preserve"> </v>
      </c>
      <c r="H170" s="8" t="str">
        <f>IF('Course 1'!$H168='tab1'!H$3,'Course 1'!$I168," ")</f>
        <v xml:space="preserve"> </v>
      </c>
      <c r="I170" s="8" t="str">
        <f>IF('Course 1'!$H168='tab1'!I$3,'Course 1'!$I168," ")</f>
        <v xml:space="preserve"> </v>
      </c>
      <c r="J170" s="8" t="str">
        <f>IF('Course 1'!$H168='tab1'!J$3,'Course 1'!$I168," ")</f>
        <v xml:space="preserve"> </v>
      </c>
      <c r="K170" s="8" t="str">
        <f>IF('Course 1'!$H168='tab1'!K$3,'Course 1'!$I168," ")</f>
        <v xml:space="preserve"> </v>
      </c>
      <c r="L170" s="8" t="str">
        <f>IF('Course 1'!$H168='tab1'!L$3,'Course 1'!$I168," ")</f>
        <v xml:space="preserve"> </v>
      </c>
      <c r="M170" s="8" t="str">
        <f>IF('Course 1'!$H168='tab1'!M$3,'Course 1'!$I168," ")</f>
        <v xml:space="preserve"> </v>
      </c>
      <c r="N170" s="9" t="str">
        <f>IF('Course 1'!$H168='tab1'!N$3,'Course 1'!$I168," ")</f>
        <v xml:space="preserve"> </v>
      </c>
    </row>
    <row r="171" spans="2:14">
      <c r="B171">
        <v>167</v>
      </c>
      <c r="C171" s="7" t="str">
        <f>IF('Course 1'!$H169='tab1'!C$3,'Course 1'!$I169," ")</f>
        <v xml:space="preserve"> </v>
      </c>
      <c r="D171" s="8" t="str">
        <f>IF('Course 1'!$H169='tab1'!D$3,'Course 1'!$I169," ")</f>
        <v xml:space="preserve"> </v>
      </c>
      <c r="E171" s="8" t="str">
        <f>IF('Course 1'!$H169='tab1'!E$3,'Course 1'!$I169," ")</f>
        <v xml:space="preserve"> </v>
      </c>
      <c r="F171" s="8" t="str">
        <f>IF('Course 1'!$H169='tab1'!F$3,'Course 1'!$I169," ")</f>
        <v xml:space="preserve"> </v>
      </c>
      <c r="G171" s="8" t="str">
        <f>IF('Course 1'!$H169='tab1'!G$3,'Course 1'!$I169," ")</f>
        <v xml:space="preserve"> </v>
      </c>
      <c r="H171" s="8" t="str">
        <f>IF('Course 1'!$H169='tab1'!H$3,'Course 1'!$I169," ")</f>
        <v xml:space="preserve"> </v>
      </c>
      <c r="I171" s="8" t="str">
        <f>IF('Course 1'!$H169='tab1'!I$3,'Course 1'!$I169," ")</f>
        <v xml:space="preserve"> </v>
      </c>
      <c r="J171" s="8" t="str">
        <f>IF('Course 1'!$H169='tab1'!J$3,'Course 1'!$I169," ")</f>
        <v xml:space="preserve"> </v>
      </c>
      <c r="K171" s="8" t="str">
        <f>IF('Course 1'!$H169='tab1'!K$3,'Course 1'!$I169," ")</f>
        <v xml:space="preserve"> </v>
      </c>
      <c r="L171" s="8" t="str">
        <f>IF('Course 1'!$H169='tab1'!L$3,'Course 1'!$I169," ")</f>
        <v xml:space="preserve"> </v>
      </c>
      <c r="M171" s="8" t="str">
        <f>IF('Course 1'!$H169='tab1'!M$3,'Course 1'!$I169," ")</f>
        <v xml:space="preserve"> </v>
      </c>
      <c r="N171" s="9" t="str">
        <f>IF('Course 1'!$H169='tab1'!N$3,'Course 1'!$I169," ")</f>
        <v xml:space="preserve"> </v>
      </c>
    </row>
    <row r="172" spans="2:14">
      <c r="B172">
        <v>168</v>
      </c>
      <c r="C172" s="7" t="str">
        <f>IF('Course 1'!$H170='tab1'!C$3,'Course 1'!$I170," ")</f>
        <v xml:space="preserve"> </v>
      </c>
      <c r="D172" s="8" t="str">
        <f>IF('Course 1'!$H170='tab1'!D$3,'Course 1'!$I170," ")</f>
        <v xml:space="preserve"> </v>
      </c>
      <c r="E172" s="8" t="str">
        <f>IF('Course 1'!$H170='tab1'!E$3,'Course 1'!$I170," ")</f>
        <v xml:space="preserve"> </v>
      </c>
      <c r="F172" s="8" t="str">
        <f>IF('Course 1'!$H170='tab1'!F$3,'Course 1'!$I170," ")</f>
        <v xml:space="preserve"> </v>
      </c>
      <c r="G172" s="8" t="str">
        <f>IF('Course 1'!$H170='tab1'!G$3,'Course 1'!$I170," ")</f>
        <v xml:space="preserve"> </v>
      </c>
      <c r="H172" s="8" t="str">
        <f>IF('Course 1'!$H170='tab1'!H$3,'Course 1'!$I170," ")</f>
        <v xml:space="preserve"> </v>
      </c>
      <c r="I172" s="8" t="str">
        <f>IF('Course 1'!$H170='tab1'!I$3,'Course 1'!$I170," ")</f>
        <v xml:space="preserve"> </v>
      </c>
      <c r="J172" s="8" t="str">
        <f>IF('Course 1'!$H170='tab1'!J$3,'Course 1'!$I170," ")</f>
        <v xml:space="preserve"> </v>
      </c>
      <c r="K172" s="8" t="str">
        <f>IF('Course 1'!$H170='tab1'!K$3,'Course 1'!$I170," ")</f>
        <v xml:space="preserve"> </v>
      </c>
      <c r="L172" s="8" t="str">
        <f>IF('Course 1'!$H170='tab1'!L$3,'Course 1'!$I170," ")</f>
        <v xml:space="preserve"> </v>
      </c>
      <c r="M172" s="8" t="str">
        <f>IF('Course 1'!$H170='tab1'!M$3,'Course 1'!$I170," ")</f>
        <v xml:space="preserve"> </v>
      </c>
      <c r="N172" s="9" t="str">
        <f>IF('Course 1'!$H170='tab1'!N$3,'Course 1'!$I170," ")</f>
        <v xml:space="preserve"> </v>
      </c>
    </row>
    <row r="173" spans="2:14">
      <c r="B173">
        <v>169</v>
      </c>
      <c r="C173" s="7" t="str">
        <f>IF('Course 1'!$H171='tab1'!C$3,'Course 1'!$I171," ")</f>
        <v xml:space="preserve"> </v>
      </c>
      <c r="D173" s="8" t="str">
        <f>IF('Course 1'!$H171='tab1'!D$3,'Course 1'!$I171," ")</f>
        <v xml:space="preserve"> </v>
      </c>
      <c r="E173" s="8" t="str">
        <f>IF('Course 1'!$H171='tab1'!E$3,'Course 1'!$I171," ")</f>
        <v xml:space="preserve"> </v>
      </c>
      <c r="F173" s="8" t="str">
        <f>IF('Course 1'!$H171='tab1'!F$3,'Course 1'!$I171," ")</f>
        <v xml:space="preserve"> </v>
      </c>
      <c r="G173" s="8" t="str">
        <f>IF('Course 1'!$H171='tab1'!G$3,'Course 1'!$I171," ")</f>
        <v xml:space="preserve"> </v>
      </c>
      <c r="H173" s="8" t="str">
        <f>IF('Course 1'!$H171='tab1'!H$3,'Course 1'!$I171," ")</f>
        <v xml:space="preserve"> </v>
      </c>
      <c r="I173" s="8" t="str">
        <f>IF('Course 1'!$H171='tab1'!I$3,'Course 1'!$I171," ")</f>
        <v xml:space="preserve"> </v>
      </c>
      <c r="J173" s="8" t="str">
        <f>IF('Course 1'!$H171='tab1'!J$3,'Course 1'!$I171," ")</f>
        <v xml:space="preserve"> </v>
      </c>
      <c r="K173" s="8" t="str">
        <f>IF('Course 1'!$H171='tab1'!K$3,'Course 1'!$I171," ")</f>
        <v xml:space="preserve"> </v>
      </c>
      <c r="L173" s="8" t="str">
        <f>IF('Course 1'!$H171='tab1'!L$3,'Course 1'!$I171," ")</f>
        <v xml:space="preserve"> </v>
      </c>
      <c r="M173" s="8" t="str">
        <f>IF('Course 1'!$H171='tab1'!M$3,'Course 1'!$I171," ")</f>
        <v xml:space="preserve"> </v>
      </c>
      <c r="N173" s="9" t="str">
        <f>IF('Course 1'!$H171='tab1'!N$3,'Course 1'!$I171," ")</f>
        <v xml:space="preserve"> </v>
      </c>
    </row>
    <row r="174" spans="2:14">
      <c r="B174">
        <v>170</v>
      </c>
      <c r="C174" s="7" t="str">
        <f>IF('Course 1'!$H172='tab1'!C$3,'Course 1'!$I172," ")</f>
        <v xml:space="preserve"> </v>
      </c>
      <c r="D174" s="8" t="str">
        <f>IF('Course 1'!$H172='tab1'!D$3,'Course 1'!$I172," ")</f>
        <v xml:space="preserve"> </v>
      </c>
      <c r="E174" s="8" t="str">
        <f>IF('Course 1'!$H172='tab1'!E$3,'Course 1'!$I172," ")</f>
        <v xml:space="preserve"> </v>
      </c>
      <c r="F174" s="8" t="str">
        <f>IF('Course 1'!$H172='tab1'!F$3,'Course 1'!$I172," ")</f>
        <v xml:space="preserve"> </v>
      </c>
      <c r="G174" s="8" t="str">
        <f>IF('Course 1'!$H172='tab1'!G$3,'Course 1'!$I172," ")</f>
        <v xml:space="preserve"> </v>
      </c>
      <c r="H174" s="8" t="str">
        <f>IF('Course 1'!$H172='tab1'!H$3,'Course 1'!$I172," ")</f>
        <v xml:space="preserve"> </v>
      </c>
      <c r="I174" s="8" t="str">
        <f>IF('Course 1'!$H172='tab1'!I$3,'Course 1'!$I172," ")</f>
        <v xml:space="preserve"> </v>
      </c>
      <c r="J174" s="8" t="str">
        <f>IF('Course 1'!$H172='tab1'!J$3,'Course 1'!$I172," ")</f>
        <v xml:space="preserve"> </v>
      </c>
      <c r="K174" s="8" t="str">
        <f>IF('Course 1'!$H172='tab1'!K$3,'Course 1'!$I172," ")</f>
        <v xml:space="preserve"> </v>
      </c>
      <c r="L174" s="8" t="str">
        <f>IF('Course 1'!$H172='tab1'!L$3,'Course 1'!$I172," ")</f>
        <v xml:space="preserve"> </v>
      </c>
      <c r="M174" s="8" t="str">
        <f>IF('Course 1'!$H172='tab1'!M$3,'Course 1'!$I172," ")</f>
        <v xml:space="preserve"> </v>
      </c>
      <c r="N174" s="9" t="str">
        <f>IF('Course 1'!$H172='tab1'!N$3,'Course 1'!$I172," ")</f>
        <v xml:space="preserve"> </v>
      </c>
    </row>
    <row r="175" spans="2:14">
      <c r="B175">
        <v>171</v>
      </c>
      <c r="C175" s="7" t="str">
        <f>IF('Course 1'!$H173='tab1'!C$3,'Course 1'!$I173," ")</f>
        <v xml:space="preserve"> </v>
      </c>
      <c r="D175" s="8" t="str">
        <f>IF('Course 1'!$H173='tab1'!D$3,'Course 1'!$I173," ")</f>
        <v xml:space="preserve"> </v>
      </c>
      <c r="E175" s="8" t="str">
        <f>IF('Course 1'!$H173='tab1'!E$3,'Course 1'!$I173," ")</f>
        <v xml:space="preserve"> </v>
      </c>
      <c r="F175" s="8" t="str">
        <f>IF('Course 1'!$H173='tab1'!F$3,'Course 1'!$I173," ")</f>
        <v xml:space="preserve"> </v>
      </c>
      <c r="G175" s="8" t="str">
        <f>IF('Course 1'!$H173='tab1'!G$3,'Course 1'!$I173," ")</f>
        <v xml:space="preserve"> </v>
      </c>
      <c r="H175" s="8" t="str">
        <f>IF('Course 1'!$H173='tab1'!H$3,'Course 1'!$I173," ")</f>
        <v xml:space="preserve"> </v>
      </c>
      <c r="I175" s="8" t="str">
        <f>IF('Course 1'!$H173='tab1'!I$3,'Course 1'!$I173," ")</f>
        <v xml:space="preserve"> </v>
      </c>
      <c r="J175" s="8" t="str">
        <f>IF('Course 1'!$H173='tab1'!J$3,'Course 1'!$I173," ")</f>
        <v xml:space="preserve"> </v>
      </c>
      <c r="K175" s="8" t="str">
        <f>IF('Course 1'!$H173='tab1'!K$3,'Course 1'!$I173," ")</f>
        <v xml:space="preserve"> </v>
      </c>
      <c r="L175" s="8" t="str">
        <f>IF('Course 1'!$H173='tab1'!L$3,'Course 1'!$I173," ")</f>
        <v xml:space="preserve"> </v>
      </c>
      <c r="M175" s="8" t="str">
        <f>IF('Course 1'!$H173='tab1'!M$3,'Course 1'!$I173," ")</f>
        <v xml:space="preserve"> </v>
      </c>
      <c r="N175" s="9" t="str">
        <f>IF('Course 1'!$H173='tab1'!N$3,'Course 1'!$I173," ")</f>
        <v xml:space="preserve"> </v>
      </c>
    </row>
    <row r="176" spans="2:14">
      <c r="B176">
        <v>172</v>
      </c>
      <c r="C176" s="7" t="str">
        <f>IF('Course 1'!$H174='tab1'!C$3,'Course 1'!$I174," ")</f>
        <v xml:space="preserve"> </v>
      </c>
      <c r="D176" s="8" t="str">
        <f>IF('Course 1'!$H174='tab1'!D$3,'Course 1'!$I174," ")</f>
        <v xml:space="preserve"> </v>
      </c>
      <c r="E176" s="8" t="str">
        <f>IF('Course 1'!$H174='tab1'!E$3,'Course 1'!$I174," ")</f>
        <v xml:space="preserve"> </v>
      </c>
      <c r="F176" s="8" t="str">
        <f>IF('Course 1'!$H174='tab1'!F$3,'Course 1'!$I174," ")</f>
        <v xml:space="preserve"> </v>
      </c>
      <c r="G176" s="8" t="str">
        <f>IF('Course 1'!$H174='tab1'!G$3,'Course 1'!$I174," ")</f>
        <v xml:space="preserve"> </v>
      </c>
      <c r="H176" s="8" t="str">
        <f>IF('Course 1'!$H174='tab1'!H$3,'Course 1'!$I174," ")</f>
        <v xml:space="preserve"> </v>
      </c>
      <c r="I176" s="8" t="str">
        <f>IF('Course 1'!$H174='tab1'!I$3,'Course 1'!$I174," ")</f>
        <v xml:space="preserve"> </v>
      </c>
      <c r="J176" s="8" t="str">
        <f>IF('Course 1'!$H174='tab1'!J$3,'Course 1'!$I174," ")</f>
        <v xml:space="preserve"> </v>
      </c>
      <c r="K176" s="8" t="str">
        <f>IF('Course 1'!$H174='tab1'!K$3,'Course 1'!$I174," ")</f>
        <v xml:space="preserve"> </v>
      </c>
      <c r="L176" s="8" t="str">
        <f>IF('Course 1'!$H174='tab1'!L$3,'Course 1'!$I174," ")</f>
        <v xml:space="preserve"> </v>
      </c>
      <c r="M176" s="8" t="str">
        <f>IF('Course 1'!$H174='tab1'!M$3,'Course 1'!$I174," ")</f>
        <v xml:space="preserve"> </v>
      </c>
      <c r="N176" s="9" t="str">
        <f>IF('Course 1'!$H174='tab1'!N$3,'Course 1'!$I174," ")</f>
        <v xml:space="preserve"> </v>
      </c>
    </row>
    <row r="177" spans="2:14">
      <c r="B177">
        <v>173</v>
      </c>
      <c r="C177" s="7" t="str">
        <f>IF('Course 1'!$H175='tab1'!C$3,'Course 1'!$I175," ")</f>
        <v xml:space="preserve"> </v>
      </c>
      <c r="D177" s="8" t="str">
        <f>IF('Course 1'!$H175='tab1'!D$3,'Course 1'!$I175," ")</f>
        <v xml:space="preserve"> </v>
      </c>
      <c r="E177" s="8" t="str">
        <f>IF('Course 1'!$H175='tab1'!E$3,'Course 1'!$I175," ")</f>
        <v xml:space="preserve"> </v>
      </c>
      <c r="F177" s="8" t="str">
        <f>IF('Course 1'!$H175='tab1'!F$3,'Course 1'!$I175," ")</f>
        <v xml:space="preserve"> </v>
      </c>
      <c r="G177" s="8" t="str">
        <f>IF('Course 1'!$H175='tab1'!G$3,'Course 1'!$I175," ")</f>
        <v xml:space="preserve"> </v>
      </c>
      <c r="H177" s="8" t="str">
        <f>IF('Course 1'!$H175='tab1'!H$3,'Course 1'!$I175," ")</f>
        <v xml:space="preserve"> </v>
      </c>
      <c r="I177" s="8" t="str">
        <f>IF('Course 1'!$H175='tab1'!I$3,'Course 1'!$I175," ")</f>
        <v xml:space="preserve"> </v>
      </c>
      <c r="J177" s="8" t="str">
        <f>IF('Course 1'!$H175='tab1'!J$3,'Course 1'!$I175," ")</f>
        <v xml:space="preserve"> </v>
      </c>
      <c r="K177" s="8" t="str">
        <f>IF('Course 1'!$H175='tab1'!K$3,'Course 1'!$I175," ")</f>
        <v xml:space="preserve"> </v>
      </c>
      <c r="L177" s="8" t="str">
        <f>IF('Course 1'!$H175='tab1'!L$3,'Course 1'!$I175," ")</f>
        <v xml:space="preserve"> </v>
      </c>
      <c r="M177" s="8" t="str">
        <f>IF('Course 1'!$H175='tab1'!M$3,'Course 1'!$I175," ")</f>
        <v xml:space="preserve"> </v>
      </c>
      <c r="N177" s="9" t="str">
        <f>IF('Course 1'!$H175='tab1'!N$3,'Course 1'!$I175," ")</f>
        <v xml:space="preserve"> </v>
      </c>
    </row>
    <row r="178" spans="2:14">
      <c r="B178">
        <v>174</v>
      </c>
      <c r="C178" s="7" t="str">
        <f>IF('Course 1'!$H176='tab1'!C$3,'Course 1'!$I176," ")</f>
        <v xml:space="preserve"> </v>
      </c>
      <c r="D178" s="8" t="str">
        <f>IF('Course 1'!$H176='tab1'!D$3,'Course 1'!$I176," ")</f>
        <v xml:space="preserve"> </v>
      </c>
      <c r="E178" s="8" t="str">
        <f>IF('Course 1'!$H176='tab1'!E$3,'Course 1'!$I176," ")</f>
        <v xml:space="preserve"> </v>
      </c>
      <c r="F178" s="8" t="str">
        <f>IF('Course 1'!$H176='tab1'!F$3,'Course 1'!$I176," ")</f>
        <v xml:space="preserve"> </v>
      </c>
      <c r="G178" s="8" t="str">
        <f>IF('Course 1'!$H176='tab1'!G$3,'Course 1'!$I176," ")</f>
        <v xml:space="preserve"> </v>
      </c>
      <c r="H178" s="8" t="str">
        <f>IF('Course 1'!$H176='tab1'!H$3,'Course 1'!$I176," ")</f>
        <v xml:space="preserve"> </v>
      </c>
      <c r="I178" s="8" t="str">
        <f>IF('Course 1'!$H176='tab1'!I$3,'Course 1'!$I176," ")</f>
        <v xml:space="preserve"> </v>
      </c>
      <c r="J178" s="8" t="str">
        <f>IF('Course 1'!$H176='tab1'!J$3,'Course 1'!$I176," ")</f>
        <v xml:space="preserve"> </v>
      </c>
      <c r="K178" s="8" t="str">
        <f>IF('Course 1'!$H176='tab1'!K$3,'Course 1'!$I176," ")</f>
        <v xml:space="preserve"> </v>
      </c>
      <c r="L178" s="8" t="str">
        <f>IF('Course 1'!$H176='tab1'!L$3,'Course 1'!$I176," ")</f>
        <v xml:space="preserve"> </v>
      </c>
      <c r="M178" s="8" t="str">
        <f>IF('Course 1'!$H176='tab1'!M$3,'Course 1'!$I176," ")</f>
        <v xml:space="preserve"> </v>
      </c>
      <c r="N178" s="9" t="str">
        <f>IF('Course 1'!$H176='tab1'!N$3,'Course 1'!$I176," ")</f>
        <v xml:space="preserve"> </v>
      </c>
    </row>
    <row r="179" spans="2:14">
      <c r="B179">
        <v>175</v>
      </c>
      <c r="C179" s="7" t="str">
        <f>IF('Course 1'!$H177='tab1'!C$3,'Course 1'!$I177," ")</f>
        <v xml:space="preserve"> </v>
      </c>
      <c r="D179" s="8" t="str">
        <f>IF('Course 1'!$H177='tab1'!D$3,'Course 1'!$I177," ")</f>
        <v xml:space="preserve"> </v>
      </c>
      <c r="E179" s="8" t="str">
        <f>IF('Course 1'!$H177='tab1'!E$3,'Course 1'!$I177," ")</f>
        <v xml:space="preserve"> </v>
      </c>
      <c r="F179" s="8" t="str">
        <f>IF('Course 1'!$H177='tab1'!F$3,'Course 1'!$I177," ")</f>
        <v xml:space="preserve"> </v>
      </c>
      <c r="G179" s="8" t="str">
        <f>IF('Course 1'!$H177='tab1'!G$3,'Course 1'!$I177," ")</f>
        <v xml:space="preserve"> </v>
      </c>
      <c r="H179" s="8" t="str">
        <f>IF('Course 1'!$H177='tab1'!H$3,'Course 1'!$I177," ")</f>
        <v xml:space="preserve"> </v>
      </c>
      <c r="I179" s="8" t="str">
        <f>IF('Course 1'!$H177='tab1'!I$3,'Course 1'!$I177," ")</f>
        <v xml:space="preserve"> </v>
      </c>
      <c r="J179" s="8" t="str">
        <f>IF('Course 1'!$H177='tab1'!J$3,'Course 1'!$I177," ")</f>
        <v xml:space="preserve"> </v>
      </c>
      <c r="K179" s="8" t="str">
        <f>IF('Course 1'!$H177='tab1'!K$3,'Course 1'!$I177," ")</f>
        <v xml:space="preserve"> </v>
      </c>
      <c r="L179" s="8" t="str">
        <f>IF('Course 1'!$H177='tab1'!L$3,'Course 1'!$I177," ")</f>
        <v xml:space="preserve"> </v>
      </c>
      <c r="M179" s="8" t="str">
        <f>IF('Course 1'!$H177='tab1'!M$3,'Course 1'!$I177," ")</f>
        <v xml:space="preserve"> </v>
      </c>
      <c r="N179" s="9" t="str">
        <f>IF('Course 1'!$H177='tab1'!N$3,'Course 1'!$I177," ")</f>
        <v xml:space="preserve"> </v>
      </c>
    </row>
    <row r="180" spans="2:14">
      <c r="B180">
        <v>176</v>
      </c>
      <c r="C180" s="7" t="str">
        <f>IF('Course 1'!$H178='tab1'!C$3,'Course 1'!$I178," ")</f>
        <v xml:space="preserve"> </v>
      </c>
      <c r="D180" s="8" t="str">
        <f>IF('Course 1'!$H178='tab1'!D$3,'Course 1'!$I178," ")</f>
        <v xml:space="preserve"> </v>
      </c>
      <c r="E180" s="8" t="str">
        <f>IF('Course 1'!$H178='tab1'!E$3,'Course 1'!$I178," ")</f>
        <v xml:space="preserve"> </v>
      </c>
      <c r="F180" s="8" t="str">
        <f>IF('Course 1'!$H178='tab1'!F$3,'Course 1'!$I178," ")</f>
        <v xml:space="preserve"> </v>
      </c>
      <c r="G180" s="8" t="str">
        <f>IF('Course 1'!$H178='tab1'!G$3,'Course 1'!$I178," ")</f>
        <v xml:space="preserve"> </v>
      </c>
      <c r="H180" s="8" t="str">
        <f>IF('Course 1'!$H178='tab1'!H$3,'Course 1'!$I178," ")</f>
        <v xml:space="preserve"> </v>
      </c>
      <c r="I180" s="8" t="str">
        <f>IF('Course 1'!$H178='tab1'!I$3,'Course 1'!$I178," ")</f>
        <v xml:space="preserve"> </v>
      </c>
      <c r="J180" s="8" t="str">
        <f>IF('Course 1'!$H178='tab1'!J$3,'Course 1'!$I178," ")</f>
        <v xml:space="preserve"> </v>
      </c>
      <c r="K180" s="8" t="str">
        <f>IF('Course 1'!$H178='tab1'!K$3,'Course 1'!$I178," ")</f>
        <v xml:space="preserve"> </v>
      </c>
      <c r="L180" s="8" t="str">
        <f>IF('Course 1'!$H178='tab1'!L$3,'Course 1'!$I178," ")</f>
        <v xml:space="preserve"> </v>
      </c>
      <c r="M180" s="8" t="str">
        <f>IF('Course 1'!$H178='tab1'!M$3,'Course 1'!$I178," ")</f>
        <v xml:space="preserve"> </v>
      </c>
      <c r="N180" s="9" t="str">
        <f>IF('Course 1'!$H178='tab1'!N$3,'Course 1'!$I178," ")</f>
        <v xml:space="preserve"> </v>
      </c>
    </row>
    <row r="181" spans="2:14">
      <c r="B181">
        <v>177</v>
      </c>
      <c r="C181" s="7" t="str">
        <f>IF('Course 1'!$H179='tab1'!C$3,'Course 1'!$I179," ")</f>
        <v xml:space="preserve"> </v>
      </c>
      <c r="D181" s="8" t="str">
        <f>IF('Course 1'!$H179='tab1'!D$3,'Course 1'!$I179," ")</f>
        <v xml:space="preserve"> </v>
      </c>
      <c r="E181" s="8" t="str">
        <f>IF('Course 1'!$H179='tab1'!E$3,'Course 1'!$I179," ")</f>
        <v xml:space="preserve"> </v>
      </c>
      <c r="F181" s="8" t="str">
        <f>IF('Course 1'!$H179='tab1'!F$3,'Course 1'!$I179," ")</f>
        <v xml:space="preserve"> </v>
      </c>
      <c r="G181" s="8" t="str">
        <f>IF('Course 1'!$H179='tab1'!G$3,'Course 1'!$I179," ")</f>
        <v xml:space="preserve"> </v>
      </c>
      <c r="H181" s="8" t="str">
        <f>IF('Course 1'!$H179='tab1'!H$3,'Course 1'!$I179," ")</f>
        <v xml:space="preserve"> </v>
      </c>
      <c r="I181" s="8" t="str">
        <f>IF('Course 1'!$H179='tab1'!I$3,'Course 1'!$I179," ")</f>
        <v xml:space="preserve"> </v>
      </c>
      <c r="J181" s="8" t="str">
        <f>IF('Course 1'!$H179='tab1'!J$3,'Course 1'!$I179," ")</f>
        <v xml:space="preserve"> </v>
      </c>
      <c r="K181" s="8" t="str">
        <f>IF('Course 1'!$H179='tab1'!K$3,'Course 1'!$I179," ")</f>
        <v xml:space="preserve"> </v>
      </c>
      <c r="L181" s="8" t="str">
        <f>IF('Course 1'!$H179='tab1'!L$3,'Course 1'!$I179," ")</f>
        <v xml:space="preserve"> </v>
      </c>
      <c r="M181" s="8" t="str">
        <f>IF('Course 1'!$H179='tab1'!M$3,'Course 1'!$I179," ")</f>
        <v xml:space="preserve"> </v>
      </c>
      <c r="N181" s="9" t="str">
        <f>IF('Course 1'!$H179='tab1'!N$3,'Course 1'!$I179," ")</f>
        <v xml:space="preserve"> </v>
      </c>
    </row>
    <row r="182" spans="2:14">
      <c r="B182">
        <v>178</v>
      </c>
      <c r="C182" s="7" t="str">
        <f>IF('Course 1'!$H180='tab1'!C$3,'Course 1'!$I180," ")</f>
        <v xml:space="preserve"> </v>
      </c>
      <c r="D182" s="8" t="str">
        <f>IF('Course 1'!$H180='tab1'!D$3,'Course 1'!$I180," ")</f>
        <v xml:space="preserve"> </v>
      </c>
      <c r="E182" s="8" t="str">
        <f>IF('Course 1'!$H180='tab1'!E$3,'Course 1'!$I180," ")</f>
        <v xml:space="preserve"> </v>
      </c>
      <c r="F182" s="8" t="str">
        <f>IF('Course 1'!$H180='tab1'!F$3,'Course 1'!$I180," ")</f>
        <v xml:space="preserve"> </v>
      </c>
      <c r="G182" s="8" t="str">
        <f>IF('Course 1'!$H180='tab1'!G$3,'Course 1'!$I180," ")</f>
        <v xml:space="preserve"> </v>
      </c>
      <c r="H182" s="8" t="str">
        <f>IF('Course 1'!$H180='tab1'!H$3,'Course 1'!$I180," ")</f>
        <v xml:space="preserve"> </v>
      </c>
      <c r="I182" s="8" t="str">
        <f>IF('Course 1'!$H180='tab1'!I$3,'Course 1'!$I180," ")</f>
        <v xml:space="preserve"> </v>
      </c>
      <c r="J182" s="8" t="str">
        <f>IF('Course 1'!$H180='tab1'!J$3,'Course 1'!$I180," ")</f>
        <v xml:space="preserve"> </v>
      </c>
      <c r="K182" s="8" t="str">
        <f>IF('Course 1'!$H180='tab1'!K$3,'Course 1'!$I180," ")</f>
        <v xml:space="preserve"> </v>
      </c>
      <c r="L182" s="8" t="str">
        <f>IF('Course 1'!$H180='tab1'!L$3,'Course 1'!$I180," ")</f>
        <v xml:space="preserve"> </v>
      </c>
      <c r="M182" s="8" t="str">
        <f>IF('Course 1'!$H180='tab1'!M$3,'Course 1'!$I180," ")</f>
        <v xml:space="preserve"> </v>
      </c>
      <c r="N182" s="9" t="str">
        <f>IF('Course 1'!$H180='tab1'!N$3,'Course 1'!$I180," ")</f>
        <v xml:space="preserve"> </v>
      </c>
    </row>
    <row r="183" spans="2:14">
      <c r="B183">
        <v>179</v>
      </c>
      <c r="C183" s="7" t="str">
        <f>IF('Course 1'!$H181='tab1'!C$3,'Course 1'!$I181," ")</f>
        <v xml:space="preserve"> </v>
      </c>
      <c r="D183" s="8" t="str">
        <f>IF('Course 1'!$H181='tab1'!D$3,'Course 1'!$I181," ")</f>
        <v xml:space="preserve"> </v>
      </c>
      <c r="E183" s="8" t="str">
        <f>IF('Course 1'!$H181='tab1'!E$3,'Course 1'!$I181," ")</f>
        <v xml:space="preserve"> </v>
      </c>
      <c r="F183" s="8" t="str">
        <f>IF('Course 1'!$H181='tab1'!F$3,'Course 1'!$I181," ")</f>
        <v xml:space="preserve"> </v>
      </c>
      <c r="G183" s="8" t="str">
        <f>IF('Course 1'!$H181='tab1'!G$3,'Course 1'!$I181," ")</f>
        <v xml:space="preserve"> </v>
      </c>
      <c r="H183" s="8" t="str">
        <f>IF('Course 1'!$H181='tab1'!H$3,'Course 1'!$I181," ")</f>
        <v xml:space="preserve"> </v>
      </c>
      <c r="I183" s="8" t="str">
        <f>IF('Course 1'!$H181='tab1'!I$3,'Course 1'!$I181," ")</f>
        <v xml:space="preserve"> </v>
      </c>
      <c r="J183" s="8" t="str">
        <f>IF('Course 1'!$H181='tab1'!J$3,'Course 1'!$I181," ")</f>
        <v xml:space="preserve"> </v>
      </c>
      <c r="K183" s="8" t="str">
        <f>IF('Course 1'!$H181='tab1'!K$3,'Course 1'!$I181," ")</f>
        <v xml:space="preserve"> </v>
      </c>
      <c r="L183" s="8" t="str">
        <f>IF('Course 1'!$H181='tab1'!L$3,'Course 1'!$I181," ")</f>
        <v xml:space="preserve"> </v>
      </c>
      <c r="M183" s="8" t="str">
        <f>IF('Course 1'!$H181='tab1'!M$3,'Course 1'!$I181," ")</f>
        <v xml:space="preserve"> </v>
      </c>
      <c r="N183" s="9" t="str">
        <f>IF('Course 1'!$H181='tab1'!N$3,'Course 1'!$I181," ")</f>
        <v xml:space="preserve"> </v>
      </c>
    </row>
    <row r="184" spans="2:14">
      <c r="B184">
        <v>180</v>
      </c>
      <c r="C184" s="7" t="str">
        <f>IF('Course 1'!$H182='tab1'!C$3,'Course 1'!$I182," ")</f>
        <v xml:space="preserve"> </v>
      </c>
      <c r="D184" s="8" t="str">
        <f>IF('Course 1'!$H182='tab1'!D$3,'Course 1'!$I182," ")</f>
        <v xml:space="preserve"> </v>
      </c>
      <c r="E184" s="8" t="str">
        <f>IF('Course 1'!$H182='tab1'!E$3,'Course 1'!$I182," ")</f>
        <v xml:space="preserve"> </v>
      </c>
      <c r="F184" s="8" t="str">
        <f>IF('Course 1'!$H182='tab1'!F$3,'Course 1'!$I182," ")</f>
        <v xml:space="preserve"> </v>
      </c>
      <c r="G184" s="8" t="str">
        <f>IF('Course 1'!$H182='tab1'!G$3,'Course 1'!$I182," ")</f>
        <v xml:space="preserve"> </v>
      </c>
      <c r="H184" s="8" t="str">
        <f>IF('Course 1'!$H182='tab1'!H$3,'Course 1'!$I182," ")</f>
        <v xml:space="preserve"> </v>
      </c>
      <c r="I184" s="8" t="str">
        <f>IF('Course 1'!$H182='tab1'!I$3,'Course 1'!$I182," ")</f>
        <v xml:space="preserve"> </v>
      </c>
      <c r="J184" s="8" t="str">
        <f>IF('Course 1'!$H182='tab1'!J$3,'Course 1'!$I182," ")</f>
        <v xml:space="preserve"> </v>
      </c>
      <c r="K184" s="8" t="str">
        <f>IF('Course 1'!$H182='tab1'!K$3,'Course 1'!$I182," ")</f>
        <v xml:space="preserve"> </v>
      </c>
      <c r="L184" s="8" t="str">
        <f>IF('Course 1'!$H182='tab1'!L$3,'Course 1'!$I182," ")</f>
        <v xml:space="preserve"> </v>
      </c>
      <c r="M184" s="8" t="str">
        <f>IF('Course 1'!$H182='tab1'!M$3,'Course 1'!$I182," ")</f>
        <v xml:space="preserve"> </v>
      </c>
      <c r="N184" s="9" t="str">
        <f>IF('Course 1'!$H182='tab1'!N$3,'Course 1'!$I182," ")</f>
        <v xml:space="preserve"> </v>
      </c>
    </row>
    <row r="185" spans="2:14">
      <c r="B185">
        <v>181</v>
      </c>
      <c r="C185" s="7" t="str">
        <f>IF('Course 1'!$H183='tab1'!C$3,'Course 1'!$I183," ")</f>
        <v xml:space="preserve"> </v>
      </c>
      <c r="D185" s="8" t="str">
        <f>IF('Course 1'!$H183='tab1'!D$3,'Course 1'!$I183," ")</f>
        <v xml:space="preserve"> </v>
      </c>
      <c r="E185" s="8" t="str">
        <f>IF('Course 1'!$H183='tab1'!E$3,'Course 1'!$I183," ")</f>
        <v xml:space="preserve"> </v>
      </c>
      <c r="F185" s="8" t="str">
        <f>IF('Course 1'!$H183='tab1'!F$3,'Course 1'!$I183," ")</f>
        <v xml:space="preserve"> </v>
      </c>
      <c r="G185" s="8" t="str">
        <f>IF('Course 1'!$H183='tab1'!G$3,'Course 1'!$I183," ")</f>
        <v xml:space="preserve"> </v>
      </c>
      <c r="H185" s="8" t="str">
        <f>IF('Course 1'!$H183='tab1'!H$3,'Course 1'!$I183," ")</f>
        <v xml:space="preserve"> </v>
      </c>
      <c r="I185" s="8" t="str">
        <f>IF('Course 1'!$H183='tab1'!I$3,'Course 1'!$I183," ")</f>
        <v xml:space="preserve"> </v>
      </c>
      <c r="J185" s="8" t="str">
        <f>IF('Course 1'!$H183='tab1'!J$3,'Course 1'!$I183," ")</f>
        <v xml:space="preserve"> </v>
      </c>
      <c r="K185" s="8" t="str">
        <f>IF('Course 1'!$H183='tab1'!K$3,'Course 1'!$I183," ")</f>
        <v xml:space="preserve"> </v>
      </c>
      <c r="L185" s="8" t="str">
        <f>IF('Course 1'!$H183='tab1'!L$3,'Course 1'!$I183," ")</f>
        <v xml:space="preserve"> </v>
      </c>
      <c r="M185" s="8" t="str">
        <f>IF('Course 1'!$H183='tab1'!M$3,'Course 1'!$I183," ")</f>
        <v xml:space="preserve"> </v>
      </c>
      <c r="N185" s="9" t="str">
        <f>IF('Course 1'!$H183='tab1'!N$3,'Course 1'!$I183," ")</f>
        <v xml:space="preserve"> </v>
      </c>
    </row>
    <row r="186" spans="2:14">
      <c r="B186">
        <v>182</v>
      </c>
      <c r="C186" s="7" t="str">
        <f>IF('Course 1'!$H184='tab1'!C$3,'Course 1'!$I184," ")</f>
        <v xml:space="preserve"> </v>
      </c>
      <c r="D186" s="8" t="str">
        <f>IF('Course 1'!$H184='tab1'!D$3,'Course 1'!$I184," ")</f>
        <v xml:space="preserve"> </v>
      </c>
      <c r="E186" s="8" t="str">
        <f>IF('Course 1'!$H184='tab1'!E$3,'Course 1'!$I184," ")</f>
        <v xml:space="preserve"> </v>
      </c>
      <c r="F186" s="8" t="str">
        <f>IF('Course 1'!$H184='tab1'!F$3,'Course 1'!$I184," ")</f>
        <v xml:space="preserve"> </v>
      </c>
      <c r="G186" s="8" t="str">
        <f>IF('Course 1'!$H184='tab1'!G$3,'Course 1'!$I184," ")</f>
        <v xml:space="preserve"> </v>
      </c>
      <c r="H186" s="8" t="str">
        <f>IF('Course 1'!$H184='tab1'!H$3,'Course 1'!$I184," ")</f>
        <v xml:space="preserve"> </v>
      </c>
      <c r="I186" s="8" t="str">
        <f>IF('Course 1'!$H184='tab1'!I$3,'Course 1'!$I184," ")</f>
        <v xml:space="preserve"> </v>
      </c>
      <c r="J186" s="8" t="str">
        <f>IF('Course 1'!$H184='tab1'!J$3,'Course 1'!$I184," ")</f>
        <v xml:space="preserve"> </v>
      </c>
      <c r="K186" s="8" t="str">
        <f>IF('Course 1'!$H184='tab1'!K$3,'Course 1'!$I184," ")</f>
        <v xml:space="preserve"> </v>
      </c>
      <c r="L186" s="8" t="str">
        <f>IF('Course 1'!$H184='tab1'!L$3,'Course 1'!$I184," ")</f>
        <v xml:space="preserve"> </v>
      </c>
      <c r="M186" s="8" t="str">
        <f>IF('Course 1'!$H184='tab1'!M$3,'Course 1'!$I184," ")</f>
        <v xml:space="preserve"> </v>
      </c>
      <c r="N186" s="9" t="str">
        <f>IF('Course 1'!$H184='tab1'!N$3,'Course 1'!$I184," ")</f>
        <v xml:space="preserve"> </v>
      </c>
    </row>
    <row r="187" spans="2:14">
      <c r="B187">
        <v>183</v>
      </c>
      <c r="C187" s="7" t="str">
        <f>IF('Course 1'!$H185='tab1'!C$3,'Course 1'!$I185," ")</f>
        <v xml:space="preserve"> </v>
      </c>
      <c r="D187" s="8" t="str">
        <f>IF('Course 1'!$H185='tab1'!D$3,'Course 1'!$I185," ")</f>
        <v xml:space="preserve"> </v>
      </c>
      <c r="E187" s="8" t="str">
        <f>IF('Course 1'!$H185='tab1'!E$3,'Course 1'!$I185," ")</f>
        <v xml:space="preserve"> </v>
      </c>
      <c r="F187" s="8" t="str">
        <f>IF('Course 1'!$H185='tab1'!F$3,'Course 1'!$I185," ")</f>
        <v xml:space="preserve"> </v>
      </c>
      <c r="G187" s="8" t="str">
        <f>IF('Course 1'!$H185='tab1'!G$3,'Course 1'!$I185," ")</f>
        <v xml:space="preserve"> </v>
      </c>
      <c r="H187" s="8" t="str">
        <f>IF('Course 1'!$H185='tab1'!H$3,'Course 1'!$I185," ")</f>
        <v xml:space="preserve"> </v>
      </c>
      <c r="I187" s="8" t="str">
        <f>IF('Course 1'!$H185='tab1'!I$3,'Course 1'!$I185," ")</f>
        <v xml:space="preserve"> </v>
      </c>
      <c r="J187" s="8" t="str">
        <f>IF('Course 1'!$H185='tab1'!J$3,'Course 1'!$I185," ")</f>
        <v xml:space="preserve"> </v>
      </c>
      <c r="K187" s="8" t="str">
        <f>IF('Course 1'!$H185='tab1'!K$3,'Course 1'!$I185," ")</f>
        <v xml:space="preserve"> </v>
      </c>
      <c r="L187" s="8" t="str">
        <f>IF('Course 1'!$H185='tab1'!L$3,'Course 1'!$I185," ")</f>
        <v xml:space="preserve"> </v>
      </c>
      <c r="M187" s="8" t="str">
        <f>IF('Course 1'!$H185='tab1'!M$3,'Course 1'!$I185," ")</f>
        <v xml:space="preserve"> </v>
      </c>
      <c r="N187" s="9" t="str">
        <f>IF('Course 1'!$H185='tab1'!N$3,'Course 1'!$I185," ")</f>
        <v xml:space="preserve"> </v>
      </c>
    </row>
    <row r="188" spans="2:14">
      <c r="B188">
        <v>184</v>
      </c>
      <c r="C188" s="7" t="str">
        <f>IF('Course 1'!$H186='tab1'!C$3,'Course 1'!$I186," ")</f>
        <v xml:space="preserve"> </v>
      </c>
      <c r="D188" s="8" t="str">
        <f>IF('Course 1'!$H186='tab1'!D$3,'Course 1'!$I186," ")</f>
        <v xml:space="preserve"> </v>
      </c>
      <c r="E188" s="8" t="str">
        <f>IF('Course 1'!$H186='tab1'!E$3,'Course 1'!$I186," ")</f>
        <v xml:space="preserve"> </v>
      </c>
      <c r="F188" s="8" t="str">
        <f>IF('Course 1'!$H186='tab1'!F$3,'Course 1'!$I186," ")</f>
        <v xml:space="preserve"> </v>
      </c>
      <c r="G188" s="8" t="str">
        <f>IF('Course 1'!$H186='tab1'!G$3,'Course 1'!$I186," ")</f>
        <v xml:space="preserve"> </v>
      </c>
      <c r="H188" s="8" t="str">
        <f>IF('Course 1'!$H186='tab1'!H$3,'Course 1'!$I186," ")</f>
        <v xml:space="preserve"> </v>
      </c>
      <c r="I188" s="8" t="str">
        <f>IF('Course 1'!$H186='tab1'!I$3,'Course 1'!$I186," ")</f>
        <v xml:space="preserve"> </v>
      </c>
      <c r="J188" s="8" t="str">
        <f>IF('Course 1'!$H186='tab1'!J$3,'Course 1'!$I186," ")</f>
        <v xml:space="preserve"> </v>
      </c>
      <c r="K188" s="8" t="str">
        <f>IF('Course 1'!$H186='tab1'!K$3,'Course 1'!$I186," ")</f>
        <v xml:space="preserve"> </v>
      </c>
      <c r="L188" s="8" t="str">
        <f>IF('Course 1'!$H186='tab1'!L$3,'Course 1'!$I186," ")</f>
        <v xml:space="preserve"> </v>
      </c>
      <c r="M188" s="8" t="str">
        <f>IF('Course 1'!$H186='tab1'!M$3,'Course 1'!$I186," ")</f>
        <v xml:space="preserve"> </v>
      </c>
      <c r="N188" s="9" t="str">
        <f>IF('Course 1'!$H186='tab1'!N$3,'Course 1'!$I186," ")</f>
        <v xml:space="preserve"> </v>
      </c>
    </row>
    <row r="189" spans="2:14">
      <c r="B189">
        <v>185</v>
      </c>
      <c r="C189" s="7" t="str">
        <f>IF('Course 1'!$H187='tab1'!C$3,'Course 1'!$I187," ")</f>
        <v xml:space="preserve"> </v>
      </c>
      <c r="D189" s="8" t="str">
        <f>IF('Course 1'!$H187='tab1'!D$3,'Course 1'!$I187," ")</f>
        <v xml:space="preserve"> </v>
      </c>
      <c r="E189" s="8" t="str">
        <f>IF('Course 1'!$H187='tab1'!E$3,'Course 1'!$I187," ")</f>
        <v xml:space="preserve"> </v>
      </c>
      <c r="F189" s="8" t="str">
        <f>IF('Course 1'!$H187='tab1'!F$3,'Course 1'!$I187," ")</f>
        <v xml:space="preserve"> </v>
      </c>
      <c r="G189" s="8" t="str">
        <f>IF('Course 1'!$H187='tab1'!G$3,'Course 1'!$I187," ")</f>
        <v xml:space="preserve"> </v>
      </c>
      <c r="H189" s="8" t="str">
        <f>IF('Course 1'!$H187='tab1'!H$3,'Course 1'!$I187," ")</f>
        <v xml:space="preserve"> </v>
      </c>
      <c r="I189" s="8" t="str">
        <f>IF('Course 1'!$H187='tab1'!I$3,'Course 1'!$I187," ")</f>
        <v xml:space="preserve"> </v>
      </c>
      <c r="J189" s="8" t="str">
        <f>IF('Course 1'!$H187='tab1'!J$3,'Course 1'!$I187," ")</f>
        <v xml:space="preserve"> </v>
      </c>
      <c r="K189" s="8" t="str">
        <f>IF('Course 1'!$H187='tab1'!K$3,'Course 1'!$I187," ")</f>
        <v xml:space="preserve"> </v>
      </c>
      <c r="L189" s="8" t="str">
        <f>IF('Course 1'!$H187='tab1'!L$3,'Course 1'!$I187," ")</f>
        <v xml:space="preserve"> </v>
      </c>
      <c r="M189" s="8" t="str">
        <f>IF('Course 1'!$H187='tab1'!M$3,'Course 1'!$I187," ")</f>
        <v xml:space="preserve"> </v>
      </c>
      <c r="N189" s="9" t="str">
        <f>IF('Course 1'!$H187='tab1'!N$3,'Course 1'!$I187," ")</f>
        <v xml:space="preserve"> </v>
      </c>
    </row>
    <row r="190" spans="2:14">
      <c r="B190">
        <v>186</v>
      </c>
      <c r="C190" s="7" t="str">
        <f>IF('Course 1'!$H188='tab1'!C$3,'Course 1'!$I188," ")</f>
        <v xml:space="preserve"> </v>
      </c>
      <c r="D190" s="8" t="str">
        <f>IF('Course 1'!$H188='tab1'!D$3,'Course 1'!$I188," ")</f>
        <v xml:space="preserve"> </v>
      </c>
      <c r="E190" s="8" t="str">
        <f>IF('Course 1'!$H188='tab1'!E$3,'Course 1'!$I188," ")</f>
        <v xml:space="preserve"> </v>
      </c>
      <c r="F190" s="8" t="str">
        <f>IF('Course 1'!$H188='tab1'!F$3,'Course 1'!$I188," ")</f>
        <v xml:space="preserve"> </v>
      </c>
      <c r="G190" s="8" t="str">
        <f>IF('Course 1'!$H188='tab1'!G$3,'Course 1'!$I188," ")</f>
        <v xml:space="preserve"> </v>
      </c>
      <c r="H190" s="8" t="str">
        <f>IF('Course 1'!$H188='tab1'!H$3,'Course 1'!$I188," ")</f>
        <v xml:space="preserve"> </v>
      </c>
      <c r="I190" s="8" t="str">
        <f>IF('Course 1'!$H188='tab1'!I$3,'Course 1'!$I188," ")</f>
        <v xml:space="preserve"> </v>
      </c>
      <c r="J190" s="8" t="str">
        <f>IF('Course 1'!$H188='tab1'!J$3,'Course 1'!$I188," ")</f>
        <v xml:space="preserve"> </v>
      </c>
      <c r="K190" s="8" t="str">
        <f>IF('Course 1'!$H188='tab1'!K$3,'Course 1'!$I188," ")</f>
        <v xml:space="preserve"> </v>
      </c>
      <c r="L190" s="8" t="str">
        <f>IF('Course 1'!$H188='tab1'!L$3,'Course 1'!$I188," ")</f>
        <v xml:space="preserve"> </v>
      </c>
      <c r="M190" s="8" t="str">
        <f>IF('Course 1'!$H188='tab1'!M$3,'Course 1'!$I188," ")</f>
        <v xml:space="preserve"> </v>
      </c>
      <c r="N190" s="9" t="str">
        <f>IF('Course 1'!$H188='tab1'!N$3,'Course 1'!$I188," ")</f>
        <v xml:space="preserve"> </v>
      </c>
    </row>
    <row r="191" spans="2:14">
      <c r="B191">
        <v>187</v>
      </c>
      <c r="C191" s="7" t="str">
        <f>IF('Course 1'!$H189='tab1'!C$3,'Course 1'!$I189," ")</f>
        <v xml:space="preserve"> </v>
      </c>
      <c r="D191" s="8" t="str">
        <f>IF('Course 1'!$H189='tab1'!D$3,'Course 1'!$I189," ")</f>
        <v xml:space="preserve"> </v>
      </c>
      <c r="E191" s="8" t="str">
        <f>IF('Course 1'!$H189='tab1'!E$3,'Course 1'!$I189," ")</f>
        <v xml:space="preserve"> </v>
      </c>
      <c r="F191" s="8" t="str">
        <f>IF('Course 1'!$H189='tab1'!F$3,'Course 1'!$I189," ")</f>
        <v xml:space="preserve"> </v>
      </c>
      <c r="G191" s="8" t="str">
        <f>IF('Course 1'!$H189='tab1'!G$3,'Course 1'!$I189," ")</f>
        <v xml:space="preserve"> </v>
      </c>
      <c r="H191" s="8" t="str">
        <f>IF('Course 1'!$H189='tab1'!H$3,'Course 1'!$I189," ")</f>
        <v xml:space="preserve"> </v>
      </c>
      <c r="I191" s="8" t="str">
        <f>IF('Course 1'!$H189='tab1'!I$3,'Course 1'!$I189," ")</f>
        <v xml:space="preserve"> </v>
      </c>
      <c r="J191" s="8" t="str">
        <f>IF('Course 1'!$H189='tab1'!J$3,'Course 1'!$I189," ")</f>
        <v xml:space="preserve"> </v>
      </c>
      <c r="K191" s="8" t="str">
        <f>IF('Course 1'!$H189='tab1'!K$3,'Course 1'!$I189," ")</f>
        <v xml:space="preserve"> </v>
      </c>
      <c r="L191" s="8" t="str">
        <f>IF('Course 1'!$H189='tab1'!L$3,'Course 1'!$I189," ")</f>
        <v xml:space="preserve"> </v>
      </c>
      <c r="M191" s="8" t="str">
        <f>IF('Course 1'!$H189='tab1'!M$3,'Course 1'!$I189," ")</f>
        <v xml:space="preserve"> </v>
      </c>
      <c r="N191" s="9" t="str">
        <f>IF('Course 1'!$H189='tab1'!N$3,'Course 1'!$I189," ")</f>
        <v xml:space="preserve"> </v>
      </c>
    </row>
    <row r="192" spans="2:14">
      <c r="B192">
        <v>188</v>
      </c>
      <c r="C192" s="7" t="str">
        <f>IF('Course 1'!$H190='tab1'!C$3,'Course 1'!$I190," ")</f>
        <v xml:space="preserve"> </v>
      </c>
      <c r="D192" s="8" t="str">
        <f>IF('Course 1'!$H190='tab1'!D$3,'Course 1'!$I190," ")</f>
        <v xml:space="preserve"> </v>
      </c>
      <c r="E192" s="8" t="str">
        <f>IF('Course 1'!$H190='tab1'!E$3,'Course 1'!$I190," ")</f>
        <v xml:space="preserve"> </v>
      </c>
      <c r="F192" s="8" t="str">
        <f>IF('Course 1'!$H190='tab1'!F$3,'Course 1'!$I190," ")</f>
        <v xml:space="preserve"> </v>
      </c>
      <c r="G192" s="8" t="str">
        <f>IF('Course 1'!$H190='tab1'!G$3,'Course 1'!$I190," ")</f>
        <v xml:space="preserve"> </v>
      </c>
      <c r="H192" s="8" t="str">
        <f>IF('Course 1'!$H190='tab1'!H$3,'Course 1'!$I190," ")</f>
        <v xml:space="preserve"> </v>
      </c>
      <c r="I192" s="8" t="str">
        <f>IF('Course 1'!$H190='tab1'!I$3,'Course 1'!$I190," ")</f>
        <v xml:space="preserve"> </v>
      </c>
      <c r="J192" s="8" t="str">
        <f>IF('Course 1'!$H190='tab1'!J$3,'Course 1'!$I190," ")</f>
        <v xml:space="preserve"> </v>
      </c>
      <c r="K192" s="8" t="str">
        <f>IF('Course 1'!$H190='tab1'!K$3,'Course 1'!$I190," ")</f>
        <v xml:space="preserve"> </v>
      </c>
      <c r="L192" s="8" t="str">
        <f>IF('Course 1'!$H190='tab1'!L$3,'Course 1'!$I190," ")</f>
        <v xml:space="preserve"> </v>
      </c>
      <c r="M192" s="8" t="str">
        <f>IF('Course 1'!$H190='tab1'!M$3,'Course 1'!$I190," ")</f>
        <v xml:space="preserve"> </v>
      </c>
      <c r="N192" s="9" t="str">
        <f>IF('Course 1'!$H190='tab1'!N$3,'Course 1'!$I190," ")</f>
        <v xml:space="preserve"> </v>
      </c>
    </row>
    <row r="193" spans="2:14">
      <c r="B193">
        <v>189</v>
      </c>
      <c r="C193" s="7" t="str">
        <f>IF('Course 1'!$H191='tab1'!C$3,'Course 1'!$I191," ")</f>
        <v xml:space="preserve"> </v>
      </c>
      <c r="D193" s="8" t="str">
        <f>IF('Course 1'!$H191='tab1'!D$3,'Course 1'!$I191," ")</f>
        <v xml:space="preserve"> </v>
      </c>
      <c r="E193" s="8" t="str">
        <f>IF('Course 1'!$H191='tab1'!E$3,'Course 1'!$I191," ")</f>
        <v xml:space="preserve"> </v>
      </c>
      <c r="F193" s="8" t="str">
        <f>IF('Course 1'!$H191='tab1'!F$3,'Course 1'!$I191," ")</f>
        <v xml:space="preserve"> </v>
      </c>
      <c r="G193" s="8" t="str">
        <f>IF('Course 1'!$H191='tab1'!G$3,'Course 1'!$I191," ")</f>
        <v xml:space="preserve"> </v>
      </c>
      <c r="H193" s="8" t="str">
        <f>IF('Course 1'!$H191='tab1'!H$3,'Course 1'!$I191," ")</f>
        <v xml:space="preserve"> </v>
      </c>
      <c r="I193" s="8" t="str">
        <f>IF('Course 1'!$H191='tab1'!I$3,'Course 1'!$I191," ")</f>
        <v xml:space="preserve"> </v>
      </c>
      <c r="J193" s="8" t="str">
        <f>IF('Course 1'!$H191='tab1'!J$3,'Course 1'!$I191," ")</f>
        <v xml:space="preserve"> </v>
      </c>
      <c r="K193" s="8" t="str">
        <f>IF('Course 1'!$H191='tab1'!K$3,'Course 1'!$I191," ")</f>
        <v xml:space="preserve"> </v>
      </c>
      <c r="L193" s="8" t="str">
        <f>IF('Course 1'!$H191='tab1'!L$3,'Course 1'!$I191," ")</f>
        <v xml:space="preserve"> </v>
      </c>
      <c r="M193" s="8" t="str">
        <f>IF('Course 1'!$H191='tab1'!M$3,'Course 1'!$I191," ")</f>
        <v xml:space="preserve"> </v>
      </c>
      <c r="N193" s="9" t="str">
        <f>IF('Course 1'!$H191='tab1'!N$3,'Course 1'!$I191," ")</f>
        <v xml:space="preserve"> </v>
      </c>
    </row>
    <row r="194" spans="2:14">
      <c r="B194">
        <v>190</v>
      </c>
      <c r="C194" s="7" t="str">
        <f>IF('Course 1'!$H192='tab1'!C$3,'Course 1'!$I192," ")</f>
        <v xml:space="preserve"> </v>
      </c>
      <c r="D194" s="8" t="str">
        <f>IF('Course 1'!$H192='tab1'!D$3,'Course 1'!$I192," ")</f>
        <v xml:space="preserve"> </v>
      </c>
      <c r="E194" s="8" t="str">
        <f>IF('Course 1'!$H192='tab1'!E$3,'Course 1'!$I192," ")</f>
        <v xml:space="preserve"> </v>
      </c>
      <c r="F194" s="8" t="str">
        <f>IF('Course 1'!$H192='tab1'!F$3,'Course 1'!$I192," ")</f>
        <v xml:space="preserve"> </v>
      </c>
      <c r="G194" s="8" t="str">
        <f>IF('Course 1'!$H192='tab1'!G$3,'Course 1'!$I192," ")</f>
        <v xml:space="preserve"> </v>
      </c>
      <c r="H194" s="8" t="str">
        <f>IF('Course 1'!$H192='tab1'!H$3,'Course 1'!$I192," ")</f>
        <v xml:space="preserve"> </v>
      </c>
      <c r="I194" s="8" t="str">
        <f>IF('Course 1'!$H192='tab1'!I$3,'Course 1'!$I192," ")</f>
        <v xml:space="preserve"> </v>
      </c>
      <c r="J194" s="8" t="str">
        <f>IF('Course 1'!$H192='tab1'!J$3,'Course 1'!$I192," ")</f>
        <v xml:space="preserve"> </v>
      </c>
      <c r="K194" s="8" t="str">
        <f>IF('Course 1'!$H192='tab1'!K$3,'Course 1'!$I192," ")</f>
        <v xml:space="preserve"> </v>
      </c>
      <c r="L194" s="8" t="str">
        <f>IF('Course 1'!$H192='tab1'!L$3,'Course 1'!$I192," ")</f>
        <v xml:space="preserve"> </v>
      </c>
      <c r="M194" s="8" t="str">
        <f>IF('Course 1'!$H192='tab1'!M$3,'Course 1'!$I192," ")</f>
        <v xml:space="preserve"> </v>
      </c>
      <c r="N194" s="9" t="str">
        <f>IF('Course 1'!$H192='tab1'!N$3,'Course 1'!$I192," ")</f>
        <v xml:space="preserve"> </v>
      </c>
    </row>
    <row r="195" spans="2:14">
      <c r="B195">
        <v>191</v>
      </c>
      <c r="C195" s="7" t="str">
        <f>IF('Course 1'!$H193='tab1'!C$3,'Course 1'!$I193," ")</f>
        <v xml:space="preserve"> </v>
      </c>
      <c r="D195" s="8" t="str">
        <f>IF('Course 1'!$H193='tab1'!D$3,'Course 1'!$I193," ")</f>
        <v xml:space="preserve"> </v>
      </c>
      <c r="E195" s="8" t="str">
        <f>IF('Course 1'!$H193='tab1'!E$3,'Course 1'!$I193," ")</f>
        <v xml:space="preserve"> </v>
      </c>
      <c r="F195" s="8" t="str">
        <f>IF('Course 1'!$H193='tab1'!F$3,'Course 1'!$I193," ")</f>
        <v xml:space="preserve"> </v>
      </c>
      <c r="G195" s="8" t="str">
        <f>IF('Course 1'!$H193='tab1'!G$3,'Course 1'!$I193," ")</f>
        <v xml:space="preserve"> </v>
      </c>
      <c r="H195" s="8" t="str">
        <f>IF('Course 1'!$H193='tab1'!H$3,'Course 1'!$I193," ")</f>
        <v xml:space="preserve"> </v>
      </c>
      <c r="I195" s="8" t="str">
        <f>IF('Course 1'!$H193='tab1'!I$3,'Course 1'!$I193," ")</f>
        <v xml:space="preserve"> </v>
      </c>
      <c r="J195" s="8" t="str">
        <f>IF('Course 1'!$H193='tab1'!J$3,'Course 1'!$I193," ")</f>
        <v xml:space="preserve"> </v>
      </c>
      <c r="K195" s="8" t="str">
        <f>IF('Course 1'!$H193='tab1'!K$3,'Course 1'!$I193," ")</f>
        <v xml:space="preserve"> </v>
      </c>
      <c r="L195" s="8" t="str">
        <f>IF('Course 1'!$H193='tab1'!L$3,'Course 1'!$I193," ")</f>
        <v xml:space="preserve"> </v>
      </c>
      <c r="M195" s="8" t="str">
        <f>IF('Course 1'!$H193='tab1'!M$3,'Course 1'!$I193," ")</f>
        <v xml:space="preserve"> </v>
      </c>
      <c r="N195" s="9" t="str">
        <f>IF('Course 1'!$H193='tab1'!N$3,'Course 1'!$I193," ")</f>
        <v xml:space="preserve"> </v>
      </c>
    </row>
    <row r="196" spans="2:14">
      <c r="B196">
        <v>192</v>
      </c>
      <c r="C196" s="7" t="str">
        <f>IF('Course 1'!$H194='tab1'!C$3,'Course 1'!$I194," ")</f>
        <v xml:space="preserve"> </v>
      </c>
      <c r="D196" s="8" t="str">
        <f>IF('Course 1'!$H194='tab1'!D$3,'Course 1'!$I194," ")</f>
        <v xml:space="preserve"> </v>
      </c>
      <c r="E196" s="8" t="str">
        <f>IF('Course 1'!$H194='tab1'!E$3,'Course 1'!$I194," ")</f>
        <v xml:space="preserve"> </v>
      </c>
      <c r="F196" s="8" t="str">
        <f>IF('Course 1'!$H194='tab1'!F$3,'Course 1'!$I194," ")</f>
        <v xml:space="preserve"> </v>
      </c>
      <c r="G196" s="8" t="str">
        <f>IF('Course 1'!$H194='tab1'!G$3,'Course 1'!$I194," ")</f>
        <v xml:space="preserve"> </v>
      </c>
      <c r="H196" s="8" t="str">
        <f>IF('Course 1'!$H194='tab1'!H$3,'Course 1'!$I194," ")</f>
        <v xml:space="preserve"> </v>
      </c>
      <c r="I196" s="8" t="str">
        <f>IF('Course 1'!$H194='tab1'!I$3,'Course 1'!$I194," ")</f>
        <v xml:space="preserve"> </v>
      </c>
      <c r="J196" s="8" t="str">
        <f>IF('Course 1'!$H194='tab1'!J$3,'Course 1'!$I194," ")</f>
        <v xml:space="preserve"> </v>
      </c>
      <c r="K196" s="8" t="str">
        <f>IF('Course 1'!$H194='tab1'!K$3,'Course 1'!$I194," ")</f>
        <v xml:space="preserve"> </v>
      </c>
      <c r="L196" s="8" t="str">
        <f>IF('Course 1'!$H194='tab1'!L$3,'Course 1'!$I194," ")</f>
        <v xml:space="preserve"> </v>
      </c>
      <c r="M196" s="8" t="str">
        <f>IF('Course 1'!$H194='tab1'!M$3,'Course 1'!$I194," ")</f>
        <v xml:space="preserve"> </v>
      </c>
      <c r="N196" s="9" t="str">
        <f>IF('Course 1'!$H194='tab1'!N$3,'Course 1'!$I194," ")</f>
        <v xml:space="preserve"> </v>
      </c>
    </row>
    <row r="197" spans="2:14">
      <c r="B197">
        <v>193</v>
      </c>
      <c r="C197" s="7" t="str">
        <f>IF('Course 1'!$H195='tab1'!C$3,'Course 1'!$I195," ")</f>
        <v xml:space="preserve"> </v>
      </c>
      <c r="D197" s="8" t="str">
        <f>IF('Course 1'!$H195='tab1'!D$3,'Course 1'!$I195," ")</f>
        <v xml:space="preserve"> </v>
      </c>
      <c r="E197" s="8" t="str">
        <f>IF('Course 1'!$H195='tab1'!E$3,'Course 1'!$I195," ")</f>
        <v xml:space="preserve"> </v>
      </c>
      <c r="F197" s="8" t="str">
        <f>IF('Course 1'!$H195='tab1'!F$3,'Course 1'!$I195," ")</f>
        <v xml:space="preserve"> </v>
      </c>
      <c r="G197" s="8" t="str">
        <f>IF('Course 1'!$H195='tab1'!G$3,'Course 1'!$I195," ")</f>
        <v xml:space="preserve"> </v>
      </c>
      <c r="H197" s="8" t="str">
        <f>IF('Course 1'!$H195='tab1'!H$3,'Course 1'!$I195," ")</f>
        <v xml:space="preserve"> </v>
      </c>
      <c r="I197" s="8" t="str">
        <f>IF('Course 1'!$H195='tab1'!I$3,'Course 1'!$I195," ")</f>
        <v xml:space="preserve"> </v>
      </c>
      <c r="J197" s="8" t="str">
        <f>IF('Course 1'!$H195='tab1'!J$3,'Course 1'!$I195," ")</f>
        <v xml:space="preserve"> </v>
      </c>
      <c r="K197" s="8" t="str">
        <f>IF('Course 1'!$H195='tab1'!K$3,'Course 1'!$I195," ")</f>
        <v xml:space="preserve"> </v>
      </c>
      <c r="L197" s="8" t="str">
        <f>IF('Course 1'!$H195='tab1'!L$3,'Course 1'!$I195," ")</f>
        <v xml:space="preserve"> </v>
      </c>
      <c r="M197" s="8" t="str">
        <f>IF('Course 1'!$H195='tab1'!M$3,'Course 1'!$I195," ")</f>
        <v xml:space="preserve"> </v>
      </c>
      <c r="N197" s="9" t="str">
        <f>IF('Course 1'!$H195='tab1'!N$3,'Course 1'!$I195," ")</f>
        <v xml:space="preserve"> </v>
      </c>
    </row>
    <row r="198" spans="2:14">
      <c r="B198">
        <v>194</v>
      </c>
      <c r="C198" s="7" t="str">
        <f>IF('Course 1'!$H196='tab1'!C$3,'Course 1'!$I196," ")</f>
        <v xml:space="preserve"> </v>
      </c>
      <c r="D198" s="8" t="str">
        <f>IF('Course 1'!$H196='tab1'!D$3,'Course 1'!$I196," ")</f>
        <v xml:space="preserve"> </v>
      </c>
      <c r="E198" s="8" t="str">
        <f>IF('Course 1'!$H196='tab1'!E$3,'Course 1'!$I196," ")</f>
        <v xml:space="preserve"> </v>
      </c>
      <c r="F198" s="8" t="str">
        <f>IF('Course 1'!$H196='tab1'!F$3,'Course 1'!$I196," ")</f>
        <v xml:space="preserve"> </v>
      </c>
      <c r="G198" s="8" t="str">
        <f>IF('Course 1'!$H196='tab1'!G$3,'Course 1'!$I196," ")</f>
        <v xml:space="preserve"> </v>
      </c>
      <c r="H198" s="8" t="str">
        <f>IF('Course 1'!$H196='tab1'!H$3,'Course 1'!$I196," ")</f>
        <v xml:space="preserve"> </v>
      </c>
      <c r="I198" s="8" t="str">
        <f>IF('Course 1'!$H196='tab1'!I$3,'Course 1'!$I196," ")</f>
        <v xml:space="preserve"> </v>
      </c>
      <c r="J198" s="8" t="str">
        <f>IF('Course 1'!$H196='tab1'!J$3,'Course 1'!$I196," ")</f>
        <v xml:space="preserve"> </v>
      </c>
      <c r="K198" s="8" t="str">
        <f>IF('Course 1'!$H196='tab1'!K$3,'Course 1'!$I196," ")</f>
        <v xml:space="preserve"> </v>
      </c>
      <c r="L198" s="8" t="str">
        <f>IF('Course 1'!$H196='tab1'!L$3,'Course 1'!$I196," ")</f>
        <v xml:space="preserve"> </v>
      </c>
      <c r="M198" s="8" t="str">
        <f>IF('Course 1'!$H196='tab1'!M$3,'Course 1'!$I196," ")</f>
        <v xml:space="preserve"> </v>
      </c>
      <c r="N198" s="9" t="str">
        <f>IF('Course 1'!$H196='tab1'!N$3,'Course 1'!$I196," ")</f>
        <v xml:space="preserve"> </v>
      </c>
    </row>
    <row r="199" spans="2:14">
      <c r="B199">
        <v>195</v>
      </c>
      <c r="C199" s="7" t="str">
        <f>IF('Course 1'!$H197='tab1'!C$3,'Course 1'!$I197," ")</f>
        <v xml:space="preserve"> </v>
      </c>
      <c r="D199" s="8" t="str">
        <f>IF('Course 1'!$H197='tab1'!D$3,'Course 1'!$I197," ")</f>
        <v xml:space="preserve"> </v>
      </c>
      <c r="E199" s="8" t="str">
        <f>IF('Course 1'!$H197='tab1'!E$3,'Course 1'!$I197," ")</f>
        <v xml:space="preserve"> </v>
      </c>
      <c r="F199" s="8" t="str">
        <f>IF('Course 1'!$H197='tab1'!F$3,'Course 1'!$I197," ")</f>
        <v xml:space="preserve"> </v>
      </c>
      <c r="G199" s="8" t="str">
        <f>IF('Course 1'!$H197='tab1'!G$3,'Course 1'!$I197," ")</f>
        <v xml:space="preserve"> </v>
      </c>
      <c r="H199" s="8" t="str">
        <f>IF('Course 1'!$H197='tab1'!H$3,'Course 1'!$I197," ")</f>
        <v xml:space="preserve"> </v>
      </c>
      <c r="I199" s="8" t="str">
        <f>IF('Course 1'!$H197='tab1'!I$3,'Course 1'!$I197," ")</f>
        <v xml:space="preserve"> </v>
      </c>
      <c r="J199" s="8" t="str">
        <f>IF('Course 1'!$H197='tab1'!J$3,'Course 1'!$I197," ")</f>
        <v xml:space="preserve"> </v>
      </c>
      <c r="K199" s="8" t="str">
        <f>IF('Course 1'!$H197='tab1'!K$3,'Course 1'!$I197," ")</f>
        <v xml:space="preserve"> </v>
      </c>
      <c r="L199" s="8" t="str">
        <f>IF('Course 1'!$H197='tab1'!L$3,'Course 1'!$I197," ")</f>
        <v xml:space="preserve"> </v>
      </c>
      <c r="M199" s="8" t="str">
        <f>IF('Course 1'!$H197='tab1'!M$3,'Course 1'!$I197," ")</f>
        <v xml:space="preserve"> </v>
      </c>
      <c r="N199" s="9" t="str">
        <f>IF('Course 1'!$H197='tab1'!N$3,'Course 1'!$I197," ")</f>
        <v xml:space="preserve"> </v>
      </c>
    </row>
    <row r="200" spans="2:14">
      <c r="B200">
        <v>196</v>
      </c>
      <c r="C200" s="7" t="str">
        <f>IF('Course 1'!$H198='tab1'!C$3,'Course 1'!$I198," ")</f>
        <v xml:space="preserve"> </v>
      </c>
      <c r="D200" s="8" t="str">
        <f>IF('Course 1'!$H198='tab1'!D$3,'Course 1'!$I198," ")</f>
        <v xml:space="preserve"> </v>
      </c>
      <c r="E200" s="8" t="str">
        <f>IF('Course 1'!$H198='tab1'!E$3,'Course 1'!$I198," ")</f>
        <v xml:space="preserve"> </v>
      </c>
      <c r="F200" s="8" t="str">
        <f>IF('Course 1'!$H198='tab1'!F$3,'Course 1'!$I198," ")</f>
        <v xml:space="preserve"> </v>
      </c>
      <c r="G200" s="8" t="str">
        <f>IF('Course 1'!$H198='tab1'!G$3,'Course 1'!$I198," ")</f>
        <v xml:space="preserve"> </v>
      </c>
      <c r="H200" s="8" t="str">
        <f>IF('Course 1'!$H198='tab1'!H$3,'Course 1'!$I198," ")</f>
        <v xml:space="preserve"> </v>
      </c>
      <c r="I200" s="8" t="str">
        <f>IF('Course 1'!$H198='tab1'!I$3,'Course 1'!$I198," ")</f>
        <v xml:space="preserve"> </v>
      </c>
      <c r="J200" s="8" t="str">
        <f>IF('Course 1'!$H198='tab1'!J$3,'Course 1'!$I198," ")</f>
        <v xml:space="preserve"> </v>
      </c>
      <c r="K200" s="8" t="str">
        <f>IF('Course 1'!$H198='tab1'!K$3,'Course 1'!$I198," ")</f>
        <v xml:space="preserve"> </v>
      </c>
      <c r="L200" s="8" t="str">
        <f>IF('Course 1'!$H198='tab1'!L$3,'Course 1'!$I198," ")</f>
        <v xml:space="preserve"> </v>
      </c>
      <c r="M200" s="8" t="str">
        <f>IF('Course 1'!$H198='tab1'!M$3,'Course 1'!$I198," ")</f>
        <v xml:space="preserve"> </v>
      </c>
      <c r="N200" s="9" t="str">
        <f>IF('Course 1'!$H198='tab1'!N$3,'Course 1'!$I198," ")</f>
        <v xml:space="preserve"> </v>
      </c>
    </row>
    <row r="201" spans="2:14">
      <c r="B201">
        <v>197</v>
      </c>
      <c r="C201" s="7" t="str">
        <f>IF('Course 1'!$H199='tab1'!C$3,'Course 1'!$I199," ")</f>
        <v xml:space="preserve"> </v>
      </c>
      <c r="D201" s="8" t="str">
        <f>IF('Course 1'!$H199='tab1'!D$3,'Course 1'!$I199," ")</f>
        <v xml:space="preserve"> </v>
      </c>
      <c r="E201" s="8" t="str">
        <f>IF('Course 1'!$H199='tab1'!E$3,'Course 1'!$I199," ")</f>
        <v xml:space="preserve"> </v>
      </c>
      <c r="F201" s="8" t="str">
        <f>IF('Course 1'!$H199='tab1'!F$3,'Course 1'!$I199," ")</f>
        <v xml:space="preserve"> </v>
      </c>
      <c r="G201" s="8" t="str">
        <f>IF('Course 1'!$H199='tab1'!G$3,'Course 1'!$I199," ")</f>
        <v xml:space="preserve"> </v>
      </c>
      <c r="H201" s="8" t="str">
        <f>IF('Course 1'!$H199='tab1'!H$3,'Course 1'!$I199," ")</f>
        <v xml:space="preserve"> </v>
      </c>
      <c r="I201" s="8" t="str">
        <f>IF('Course 1'!$H199='tab1'!I$3,'Course 1'!$I199," ")</f>
        <v xml:space="preserve"> </v>
      </c>
      <c r="J201" s="8" t="str">
        <f>IF('Course 1'!$H199='tab1'!J$3,'Course 1'!$I199," ")</f>
        <v xml:space="preserve"> </v>
      </c>
      <c r="K201" s="8" t="str">
        <f>IF('Course 1'!$H199='tab1'!K$3,'Course 1'!$I199," ")</f>
        <v xml:space="preserve"> </v>
      </c>
      <c r="L201" s="8" t="str">
        <f>IF('Course 1'!$H199='tab1'!L$3,'Course 1'!$I199," ")</f>
        <v xml:space="preserve"> </v>
      </c>
      <c r="M201" s="8" t="str">
        <f>IF('Course 1'!$H199='tab1'!M$3,'Course 1'!$I199," ")</f>
        <v xml:space="preserve"> </v>
      </c>
      <c r="N201" s="9" t="str">
        <f>IF('Course 1'!$H199='tab1'!N$3,'Course 1'!$I199," ")</f>
        <v xml:space="preserve"> </v>
      </c>
    </row>
    <row r="202" spans="2:14">
      <c r="B202">
        <v>198</v>
      </c>
      <c r="C202" s="7" t="str">
        <f>IF('Course 1'!$H200='tab1'!C$3,'Course 1'!$I200," ")</f>
        <v xml:space="preserve"> </v>
      </c>
      <c r="D202" s="8" t="str">
        <f>IF('Course 1'!$H200='tab1'!D$3,'Course 1'!$I200," ")</f>
        <v xml:space="preserve"> </v>
      </c>
      <c r="E202" s="8" t="str">
        <f>IF('Course 1'!$H200='tab1'!E$3,'Course 1'!$I200," ")</f>
        <v xml:space="preserve"> </v>
      </c>
      <c r="F202" s="8" t="str">
        <f>IF('Course 1'!$H200='tab1'!F$3,'Course 1'!$I200," ")</f>
        <v xml:space="preserve"> </v>
      </c>
      <c r="G202" s="8" t="str">
        <f>IF('Course 1'!$H200='tab1'!G$3,'Course 1'!$I200," ")</f>
        <v xml:space="preserve"> </v>
      </c>
      <c r="H202" s="8" t="str">
        <f>IF('Course 1'!$H200='tab1'!H$3,'Course 1'!$I200," ")</f>
        <v xml:space="preserve"> </v>
      </c>
      <c r="I202" s="8" t="str">
        <f>IF('Course 1'!$H200='tab1'!I$3,'Course 1'!$I200," ")</f>
        <v xml:space="preserve"> </v>
      </c>
      <c r="J202" s="8" t="str">
        <f>IF('Course 1'!$H200='tab1'!J$3,'Course 1'!$I200," ")</f>
        <v xml:space="preserve"> </v>
      </c>
      <c r="K202" s="8" t="str">
        <f>IF('Course 1'!$H200='tab1'!K$3,'Course 1'!$I200," ")</f>
        <v xml:space="preserve"> </v>
      </c>
      <c r="L202" s="8" t="str">
        <f>IF('Course 1'!$H200='tab1'!L$3,'Course 1'!$I200," ")</f>
        <v xml:space="preserve"> </v>
      </c>
      <c r="M202" s="8" t="str">
        <f>IF('Course 1'!$H200='tab1'!M$3,'Course 1'!$I200," ")</f>
        <v xml:space="preserve"> </v>
      </c>
      <c r="N202" s="9" t="str">
        <f>IF('Course 1'!$H200='tab1'!N$3,'Course 1'!$I200," ")</f>
        <v xml:space="preserve"> </v>
      </c>
    </row>
    <row r="203" spans="2:14">
      <c r="B203">
        <v>199</v>
      </c>
      <c r="C203" s="7" t="str">
        <f>IF('Course 1'!$H201='tab1'!C$3,'Course 1'!$I201," ")</f>
        <v xml:space="preserve"> </v>
      </c>
      <c r="D203" s="8" t="str">
        <f>IF('Course 1'!$H201='tab1'!D$3,'Course 1'!$I201," ")</f>
        <v xml:space="preserve"> </v>
      </c>
      <c r="E203" s="8" t="str">
        <f>IF('Course 1'!$H201='tab1'!E$3,'Course 1'!$I201," ")</f>
        <v xml:space="preserve"> </v>
      </c>
      <c r="F203" s="8" t="str">
        <f>IF('Course 1'!$H201='tab1'!F$3,'Course 1'!$I201," ")</f>
        <v xml:space="preserve"> </v>
      </c>
      <c r="G203" s="8" t="str">
        <f>IF('Course 1'!$H201='tab1'!G$3,'Course 1'!$I201," ")</f>
        <v xml:space="preserve"> </v>
      </c>
      <c r="H203" s="8" t="str">
        <f>IF('Course 1'!$H201='tab1'!H$3,'Course 1'!$I201," ")</f>
        <v xml:space="preserve"> </v>
      </c>
      <c r="I203" s="8" t="str">
        <f>IF('Course 1'!$H201='tab1'!I$3,'Course 1'!$I201," ")</f>
        <v xml:space="preserve"> </v>
      </c>
      <c r="J203" s="8" t="str">
        <f>IF('Course 1'!$H201='tab1'!J$3,'Course 1'!$I201," ")</f>
        <v xml:space="preserve"> </v>
      </c>
      <c r="K203" s="8" t="str">
        <f>IF('Course 1'!$H201='tab1'!K$3,'Course 1'!$I201," ")</f>
        <v xml:space="preserve"> </v>
      </c>
      <c r="L203" s="8" t="str">
        <f>IF('Course 1'!$H201='tab1'!L$3,'Course 1'!$I201," ")</f>
        <v xml:space="preserve"> </v>
      </c>
      <c r="M203" s="8" t="str">
        <f>IF('Course 1'!$H201='tab1'!M$3,'Course 1'!$I201," ")</f>
        <v xml:space="preserve"> </v>
      </c>
      <c r="N203" s="9" t="str">
        <f>IF('Course 1'!$H201='tab1'!N$3,'Course 1'!$I201," ")</f>
        <v xml:space="preserve"> </v>
      </c>
    </row>
    <row r="204" spans="2:14">
      <c r="B204">
        <v>200</v>
      </c>
      <c r="C204" s="7" t="str">
        <f>IF('Course 1'!$H202='tab1'!C$3,'Course 1'!$I202," ")</f>
        <v xml:space="preserve"> </v>
      </c>
      <c r="D204" s="8" t="str">
        <f>IF('Course 1'!$H202='tab1'!D$3,'Course 1'!$I202," ")</f>
        <v xml:space="preserve"> </v>
      </c>
      <c r="E204" s="8" t="str">
        <f>IF('Course 1'!$H202='tab1'!E$3,'Course 1'!$I202," ")</f>
        <v xml:space="preserve"> </v>
      </c>
      <c r="F204" s="8" t="str">
        <f>IF('Course 1'!$H202='tab1'!F$3,'Course 1'!$I202," ")</f>
        <v xml:space="preserve"> </v>
      </c>
      <c r="G204" s="8" t="str">
        <f>IF('Course 1'!$H202='tab1'!G$3,'Course 1'!$I202," ")</f>
        <v xml:space="preserve"> </v>
      </c>
      <c r="H204" s="8" t="str">
        <f>IF('Course 1'!$H202='tab1'!H$3,'Course 1'!$I202," ")</f>
        <v xml:space="preserve"> </v>
      </c>
      <c r="I204" s="8" t="str">
        <f>IF('Course 1'!$H202='tab1'!I$3,'Course 1'!$I202," ")</f>
        <v xml:space="preserve"> </v>
      </c>
      <c r="J204" s="8" t="str">
        <f>IF('Course 1'!$H202='tab1'!J$3,'Course 1'!$I202," ")</f>
        <v xml:space="preserve"> </v>
      </c>
      <c r="K204" s="8" t="str">
        <f>IF('Course 1'!$H202='tab1'!K$3,'Course 1'!$I202," ")</f>
        <v xml:space="preserve"> </v>
      </c>
      <c r="L204" s="8" t="str">
        <f>IF('Course 1'!$H202='tab1'!L$3,'Course 1'!$I202," ")</f>
        <v xml:space="preserve"> </v>
      </c>
      <c r="M204" s="8" t="str">
        <f>IF('Course 1'!$H202='tab1'!M$3,'Course 1'!$I202," ")</f>
        <v xml:space="preserve"> </v>
      </c>
      <c r="N204" s="9" t="str">
        <f>IF('Course 1'!$H202='tab1'!N$3,'Course 1'!$I202," ")</f>
        <v xml:space="preserve"> </v>
      </c>
    </row>
    <row r="205" spans="2:14">
      <c r="B205">
        <v>201</v>
      </c>
      <c r="C205" s="7" t="str">
        <f>IF('Course 1'!$H203='tab1'!C$3,'Course 1'!$I203," ")</f>
        <v xml:space="preserve"> </v>
      </c>
      <c r="D205" s="8" t="str">
        <f>IF('Course 1'!$H203='tab1'!D$3,'Course 1'!$I203," ")</f>
        <v xml:space="preserve"> </v>
      </c>
      <c r="E205" s="8" t="str">
        <f>IF('Course 1'!$H203='tab1'!E$3,'Course 1'!$I203," ")</f>
        <v xml:space="preserve"> </v>
      </c>
      <c r="F205" s="8" t="str">
        <f>IF('Course 1'!$H203='tab1'!F$3,'Course 1'!$I203," ")</f>
        <v xml:space="preserve"> </v>
      </c>
      <c r="G205" s="8" t="str">
        <f>IF('Course 1'!$H203='tab1'!G$3,'Course 1'!$I203," ")</f>
        <v xml:space="preserve"> </v>
      </c>
      <c r="H205" s="8" t="str">
        <f>IF('Course 1'!$H203='tab1'!H$3,'Course 1'!$I203," ")</f>
        <v xml:space="preserve"> </v>
      </c>
      <c r="I205" s="8" t="str">
        <f>IF('Course 1'!$H203='tab1'!I$3,'Course 1'!$I203," ")</f>
        <v xml:space="preserve"> </v>
      </c>
      <c r="J205" s="8" t="str">
        <f>IF('Course 1'!$H203='tab1'!J$3,'Course 1'!$I203," ")</f>
        <v xml:space="preserve"> </v>
      </c>
      <c r="K205" s="8" t="str">
        <f>IF('Course 1'!$H203='tab1'!K$3,'Course 1'!$I203," ")</f>
        <v xml:space="preserve"> </v>
      </c>
      <c r="L205" s="8" t="str">
        <f>IF('Course 1'!$H203='tab1'!L$3,'Course 1'!$I203," ")</f>
        <v xml:space="preserve"> </v>
      </c>
      <c r="M205" s="8" t="str">
        <f>IF('Course 1'!$H203='tab1'!M$3,'Course 1'!$I203," ")</f>
        <v xml:space="preserve"> </v>
      </c>
      <c r="N205" s="9" t="str">
        <f>IF('Course 1'!$H203='tab1'!N$3,'Course 1'!$I203," ")</f>
        <v xml:space="preserve"> </v>
      </c>
    </row>
    <row r="206" spans="2:14">
      <c r="B206">
        <v>202</v>
      </c>
      <c r="C206" s="7" t="str">
        <f>IF('Course 1'!$H204='tab1'!C$3,'Course 1'!$I204," ")</f>
        <v xml:space="preserve"> </v>
      </c>
      <c r="D206" s="8" t="str">
        <f>IF('Course 1'!$H204='tab1'!D$3,'Course 1'!$I204," ")</f>
        <v xml:space="preserve"> </v>
      </c>
      <c r="E206" s="8" t="str">
        <f>IF('Course 1'!$H204='tab1'!E$3,'Course 1'!$I204," ")</f>
        <v xml:space="preserve"> </v>
      </c>
      <c r="F206" s="8" t="str">
        <f>IF('Course 1'!$H204='tab1'!F$3,'Course 1'!$I204," ")</f>
        <v xml:space="preserve"> </v>
      </c>
      <c r="G206" s="8" t="str">
        <f>IF('Course 1'!$H204='tab1'!G$3,'Course 1'!$I204," ")</f>
        <v xml:space="preserve"> </v>
      </c>
      <c r="H206" s="8" t="str">
        <f>IF('Course 1'!$H204='tab1'!H$3,'Course 1'!$I204," ")</f>
        <v xml:space="preserve"> </v>
      </c>
      <c r="I206" s="8" t="str">
        <f>IF('Course 1'!$H204='tab1'!I$3,'Course 1'!$I204," ")</f>
        <v xml:space="preserve"> </v>
      </c>
      <c r="J206" s="8" t="str">
        <f>IF('Course 1'!$H204='tab1'!J$3,'Course 1'!$I204," ")</f>
        <v xml:space="preserve"> </v>
      </c>
      <c r="K206" s="8" t="str">
        <f>IF('Course 1'!$H204='tab1'!K$3,'Course 1'!$I204," ")</f>
        <v xml:space="preserve"> </v>
      </c>
      <c r="L206" s="8" t="str">
        <f>IF('Course 1'!$H204='tab1'!L$3,'Course 1'!$I204," ")</f>
        <v xml:space="preserve"> </v>
      </c>
      <c r="M206" s="8" t="str">
        <f>IF('Course 1'!$H204='tab1'!M$3,'Course 1'!$I204," ")</f>
        <v xml:space="preserve"> </v>
      </c>
      <c r="N206" s="9" t="str">
        <f>IF('Course 1'!$H204='tab1'!N$3,'Course 1'!$I204," ")</f>
        <v xml:space="preserve"> </v>
      </c>
    </row>
    <row r="207" spans="2:14">
      <c r="B207">
        <v>203</v>
      </c>
      <c r="C207" s="7" t="str">
        <f>IF('Course 1'!$H205='tab1'!C$3,'Course 1'!$I205," ")</f>
        <v xml:space="preserve"> </v>
      </c>
      <c r="D207" s="8" t="str">
        <f>IF('Course 1'!$H205='tab1'!D$3,'Course 1'!$I205," ")</f>
        <v xml:space="preserve"> </v>
      </c>
      <c r="E207" s="8" t="str">
        <f>IF('Course 1'!$H205='tab1'!E$3,'Course 1'!$I205," ")</f>
        <v xml:space="preserve"> </v>
      </c>
      <c r="F207" s="8" t="str">
        <f>IF('Course 1'!$H205='tab1'!F$3,'Course 1'!$I205," ")</f>
        <v xml:space="preserve"> </v>
      </c>
      <c r="G207" s="8" t="str">
        <f>IF('Course 1'!$H205='tab1'!G$3,'Course 1'!$I205," ")</f>
        <v xml:space="preserve"> </v>
      </c>
      <c r="H207" s="8" t="str">
        <f>IF('Course 1'!$H205='tab1'!H$3,'Course 1'!$I205," ")</f>
        <v xml:space="preserve"> </v>
      </c>
      <c r="I207" s="8" t="str">
        <f>IF('Course 1'!$H205='tab1'!I$3,'Course 1'!$I205," ")</f>
        <v xml:space="preserve"> </v>
      </c>
      <c r="J207" s="8" t="str">
        <f>IF('Course 1'!$H205='tab1'!J$3,'Course 1'!$I205," ")</f>
        <v xml:space="preserve"> </v>
      </c>
      <c r="K207" s="8" t="str">
        <f>IF('Course 1'!$H205='tab1'!K$3,'Course 1'!$I205," ")</f>
        <v xml:space="preserve"> </v>
      </c>
      <c r="L207" s="8" t="str">
        <f>IF('Course 1'!$H205='tab1'!L$3,'Course 1'!$I205," ")</f>
        <v xml:space="preserve"> </v>
      </c>
      <c r="M207" s="8" t="str">
        <f>IF('Course 1'!$H205='tab1'!M$3,'Course 1'!$I205," ")</f>
        <v xml:space="preserve"> </v>
      </c>
      <c r="N207" s="9" t="str">
        <f>IF('Course 1'!$H205='tab1'!N$3,'Course 1'!$I205," ")</f>
        <v xml:space="preserve"> </v>
      </c>
    </row>
    <row r="208" spans="2:14">
      <c r="B208">
        <v>204</v>
      </c>
      <c r="C208" s="7" t="str">
        <f>IF('Course 1'!$H206='tab1'!C$3,'Course 1'!$I206," ")</f>
        <v xml:space="preserve"> </v>
      </c>
      <c r="D208" s="8" t="str">
        <f>IF('Course 1'!$H206='tab1'!D$3,'Course 1'!$I206," ")</f>
        <v xml:space="preserve"> </v>
      </c>
      <c r="E208" s="8" t="str">
        <f>IF('Course 1'!$H206='tab1'!E$3,'Course 1'!$I206," ")</f>
        <v xml:space="preserve"> </v>
      </c>
      <c r="F208" s="8" t="str">
        <f>IF('Course 1'!$H206='tab1'!F$3,'Course 1'!$I206," ")</f>
        <v xml:space="preserve"> </v>
      </c>
      <c r="G208" s="8" t="str">
        <f>IF('Course 1'!$H206='tab1'!G$3,'Course 1'!$I206," ")</f>
        <v xml:space="preserve"> </v>
      </c>
      <c r="H208" s="8" t="str">
        <f>IF('Course 1'!$H206='tab1'!H$3,'Course 1'!$I206," ")</f>
        <v xml:space="preserve"> </v>
      </c>
      <c r="I208" s="8" t="str">
        <f>IF('Course 1'!$H206='tab1'!I$3,'Course 1'!$I206," ")</f>
        <v xml:space="preserve"> </v>
      </c>
      <c r="J208" s="8" t="str">
        <f>IF('Course 1'!$H206='tab1'!J$3,'Course 1'!$I206," ")</f>
        <v xml:space="preserve"> </v>
      </c>
      <c r="K208" s="8" t="str">
        <f>IF('Course 1'!$H206='tab1'!K$3,'Course 1'!$I206," ")</f>
        <v xml:space="preserve"> </v>
      </c>
      <c r="L208" s="8" t="str">
        <f>IF('Course 1'!$H206='tab1'!L$3,'Course 1'!$I206," ")</f>
        <v xml:space="preserve"> </v>
      </c>
      <c r="M208" s="8" t="str">
        <f>IF('Course 1'!$H206='tab1'!M$3,'Course 1'!$I206," ")</f>
        <v xml:space="preserve"> </v>
      </c>
      <c r="N208" s="9" t="str">
        <f>IF('Course 1'!$H206='tab1'!N$3,'Course 1'!$I206," ")</f>
        <v xml:space="preserve"> </v>
      </c>
    </row>
    <row r="209" spans="2:14">
      <c r="B209">
        <v>205</v>
      </c>
      <c r="C209" s="7" t="str">
        <f>IF('Course 1'!$H207='tab1'!C$3,'Course 1'!$I207," ")</f>
        <v xml:space="preserve"> </v>
      </c>
      <c r="D209" s="8" t="str">
        <f>IF('Course 1'!$H207='tab1'!D$3,'Course 1'!$I207," ")</f>
        <v xml:space="preserve"> </v>
      </c>
      <c r="E209" s="8" t="str">
        <f>IF('Course 1'!$H207='tab1'!E$3,'Course 1'!$I207," ")</f>
        <v xml:space="preserve"> </v>
      </c>
      <c r="F209" s="8" t="str">
        <f>IF('Course 1'!$H207='tab1'!F$3,'Course 1'!$I207," ")</f>
        <v xml:space="preserve"> </v>
      </c>
      <c r="G209" s="8" t="str">
        <f>IF('Course 1'!$H207='tab1'!G$3,'Course 1'!$I207," ")</f>
        <v xml:space="preserve"> </v>
      </c>
      <c r="H209" s="8" t="str">
        <f>IF('Course 1'!$H207='tab1'!H$3,'Course 1'!$I207," ")</f>
        <v xml:space="preserve"> </v>
      </c>
      <c r="I209" s="8" t="str">
        <f>IF('Course 1'!$H207='tab1'!I$3,'Course 1'!$I207," ")</f>
        <v xml:space="preserve"> </v>
      </c>
      <c r="J209" s="8" t="str">
        <f>IF('Course 1'!$H207='tab1'!J$3,'Course 1'!$I207," ")</f>
        <v xml:space="preserve"> </v>
      </c>
      <c r="K209" s="8" t="str">
        <f>IF('Course 1'!$H207='tab1'!K$3,'Course 1'!$I207," ")</f>
        <v xml:space="preserve"> </v>
      </c>
      <c r="L209" s="8" t="str">
        <f>IF('Course 1'!$H207='tab1'!L$3,'Course 1'!$I207," ")</f>
        <v xml:space="preserve"> </v>
      </c>
      <c r="M209" s="8" t="str">
        <f>IF('Course 1'!$H207='tab1'!M$3,'Course 1'!$I207," ")</f>
        <v xml:space="preserve"> </v>
      </c>
      <c r="N209" s="9" t="str">
        <f>IF('Course 1'!$H207='tab1'!N$3,'Course 1'!$I207," ")</f>
        <v xml:space="preserve"> </v>
      </c>
    </row>
    <row r="210" spans="2:14">
      <c r="B210">
        <v>206</v>
      </c>
      <c r="C210" s="7" t="str">
        <f>IF('Course 1'!$H208='tab1'!C$3,'Course 1'!$I208," ")</f>
        <v xml:space="preserve"> </v>
      </c>
      <c r="D210" s="8" t="str">
        <f>IF('Course 1'!$H208='tab1'!D$3,'Course 1'!$I208," ")</f>
        <v xml:space="preserve"> </v>
      </c>
      <c r="E210" s="8" t="str">
        <f>IF('Course 1'!$H208='tab1'!E$3,'Course 1'!$I208," ")</f>
        <v xml:space="preserve"> </v>
      </c>
      <c r="F210" s="8" t="str">
        <f>IF('Course 1'!$H208='tab1'!F$3,'Course 1'!$I208," ")</f>
        <v xml:space="preserve"> </v>
      </c>
      <c r="G210" s="8" t="str">
        <f>IF('Course 1'!$H208='tab1'!G$3,'Course 1'!$I208," ")</f>
        <v xml:space="preserve"> </v>
      </c>
      <c r="H210" s="8" t="str">
        <f>IF('Course 1'!$H208='tab1'!H$3,'Course 1'!$I208," ")</f>
        <v xml:space="preserve"> </v>
      </c>
      <c r="I210" s="8" t="str">
        <f>IF('Course 1'!$H208='tab1'!I$3,'Course 1'!$I208," ")</f>
        <v xml:space="preserve"> </v>
      </c>
      <c r="J210" s="8" t="str">
        <f>IF('Course 1'!$H208='tab1'!J$3,'Course 1'!$I208," ")</f>
        <v xml:space="preserve"> </v>
      </c>
      <c r="K210" s="8" t="str">
        <f>IF('Course 1'!$H208='tab1'!K$3,'Course 1'!$I208," ")</f>
        <v xml:space="preserve"> </v>
      </c>
      <c r="L210" s="8" t="str">
        <f>IF('Course 1'!$H208='tab1'!L$3,'Course 1'!$I208," ")</f>
        <v xml:space="preserve"> </v>
      </c>
      <c r="M210" s="8" t="str">
        <f>IF('Course 1'!$H208='tab1'!M$3,'Course 1'!$I208," ")</f>
        <v xml:space="preserve"> </v>
      </c>
      <c r="N210" s="9" t="str">
        <f>IF('Course 1'!$H208='tab1'!N$3,'Course 1'!$I208," ")</f>
        <v xml:space="preserve"> </v>
      </c>
    </row>
    <row r="211" spans="2:14">
      <c r="B211">
        <v>207</v>
      </c>
      <c r="C211" s="7" t="str">
        <f>IF('Course 1'!$H209='tab1'!C$3,'Course 1'!$I209," ")</f>
        <v xml:space="preserve"> </v>
      </c>
      <c r="D211" s="8" t="str">
        <f>IF('Course 1'!$H209='tab1'!D$3,'Course 1'!$I209," ")</f>
        <v xml:space="preserve"> </v>
      </c>
      <c r="E211" s="8" t="str">
        <f>IF('Course 1'!$H209='tab1'!E$3,'Course 1'!$I209," ")</f>
        <v xml:space="preserve"> </v>
      </c>
      <c r="F211" s="8" t="str">
        <f>IF('Course 1'!$H209='tab1'!F$3,'Course 1'!$I209," ")</f>
        <v xml:space="preserve"> </v>
      </c>
      <c r="G211" s="8" t="str">
        <f>IF('Course 1'!$H209='tab1'!G$3,'Course 1'!$I209," ")</f>
        <v xml:space="preserve"> </v>
      </c>
      <c r="H211" s="8" t="str">
        <f>IF('Course 1'!$H209='tab1'!H$3,'Course 1'!$I209," ")</f>
        <v xml:space="preserve"> </v>
      </c>
      <c r="I211" s="8" t="str">
        <f>IF('Course 1'!$H209='tab1'!I$3,'Course 1'!$I209," ")</f>
        <v xml:space="preserve"> </v>
      </c>
      <c r="J211" s="8" t="str">
        <f>IF('Course 1'!$H209='tab1'!J$3,'Course 1'!$I209," ")</f>
        <v xml:space="preserve"> </v>
      </c>
      <c r="K211" s="8" t="str">
        <f>IF('Course 1'!$H209='tab1'!K$3,'Course 1'!$I209," ")</f>
        <v xml:space="preserve"> </v>
      </c>
      <c r="L211" s="8" t="str">
        <f>IF('Course 1'!$H209='tab1'!L$3,'Course 1'!$I209," ")</f>
        <v xml:space="preserve"> </v>
      </c>
      <c r="M211" s="8" t="str">
        <f>IF('Course 1'!$H209='tab1'!M$3,'Course 1'!$I209," ")</f>
        <v xml:space="preserve"> </v>
      </c>
      <c r="N211" s="9" t="str">
        <f>IF('Course 1'!$H209='tab1'!N$3,'Course 1'!$I209," ")</f>
        <v xml:space="preserve"> </v>
      </c>
    </row>
    <row r="212" spans="2:14">
      <c r="B212">
        <v>208</v>
      </c>
      <c r="C212" s="7" t="str">
        <f>IF('Course 1'!$H210='tab1'!C$3,'Course 1'!$I210," ")</f>
        <v xml:space="preserve"> </v>
      </c>
      <c r="D212" s="8" t="str">
        <f>IF('Course 1'!$H210='tab1'!D$3,'Course 1'!$I210," ")</f>
        <v xml:space="preserve"> </v>
      </c>
      <c r="E212" s="8" t="str">
        <f>IF('Course 1'!$H210='tab1'!E$3,'Course 1'!$I210," ")</f>
        <v xml:space="preserve"> </v>
      </c>
      <c r="F212" s="8" t="str">
        <f>IF('Course 1'!$H210='tab1'!F$3,'Course 1'!$I210," ")</f>
        <v xml:space="preserve"> </v>
      </c>
      <c r="G212" s="8" t="str">
        <f>IF('Course 1'!$H210='tab1'!G$3,'Course 1'!$I210," ")</f>
        <v xml:space="preserve"> </v>
      </c>
      <c r="H212" s="8" t="str">
        <f>IF('Course 1'!$H210='tab1'!H$3,'Course 1'!$I210," ")</f>
        <v xml:space="preserve"> </v>
      </c>
      <c r="I212" s="8" t="str">
        <f>IF('Course 1'!$H210='tab1'!I$3,'Course 1'!$I210," ")</f>
        <v xml:space="preserve"> </v>
      </c>
      <c r="J212" s="8" t="str">
        <f>IF('Course 1'!$H210='tab1'!J$3,'Course 1'!$I210," ")</f>
        <v xml:space="preserve"> </v>
      </c>
      <c r="K212" s="8" t="str">
        <f>IF('Course 1'!$H210='tab1'!K$3,'Course 1'!$I210," ")</f>
        <v xml:space="preserve"> </v>
      </c>
      <c r="L212" s="8" t="str">
        <f>IF('Course 1'!$H210='tab1'!L$3,'Course 1'!$I210," ")</f>
        <v xml:space="preserve"> </v>
      </c>
      <c r="M212" s="8" t="str">
        <f>IF('Course 1'!$H210='tab1'!M$3,'Course 1'!$I210," ")</f>
        <v xml:space="preserve"> </v>
      </c>
      <c r="N212" s="9" t="str">
        <f>IF('Course 1'!$H210='tab1'!N$3,'Course 1'!$I210," ")</f>
        <v xml:space="preserve"> </v>
      </c>
    </row>
    <row r="213" spans="2:14">
      <c r="B213">
        <v>209</v>
      </c>
      <c r="C213" s="7" t="str">
        <f>IF('Course 1'!$H211='tab1'!C$3,'Course 1'!$I211," ")</f>
        <v xml:space="preserve"> </v>
      </c>
      <c r="D213" s="8" t="str">
        <f>IF('Course 1'!$H211='tab1'!D$3,'Course 1'!$I211," ")</f>
        <v xml:space="preserve"> </v>
      </c>
      <c r="E213" s="8" t="str">
        <f>IF('Course 1'!$H211='tab1'!E$3,'Course 1'!$I211," ")</f>
        <v xml:space="preserve"> </v>
      </c>
      <c r="F213" s="8" t="str">
        <f>IF('Course 1'!$H211='tab1'!F$3,'Course 1'!$I211," ")</f>
        <v xml:space="preserve"> </v>
      </c>
      <c r="G213" s="8" t="str">
        <f>IF('Course 1'!$H211='tab1'!G$3,'Course 1'!$I211," ")</f>
        <v xml:space="preserve"> </v>
      </c>
      <c r="H213" s="8" t="str">
        <f>IF('Course 1'!$H211='tab1'!H$3,'Course 1'!$I211," ")</f>
        <v xml:space="preserve"> </v>
      </c>
      <c r="I213" s="8" t="str">
        <f>IF('Course 1'!$H211='tab1'!I$3,'Course 1'!$I211," ")</f>
        <v xml:space="preserve"> </v>
      </c>
      <c r="J213" s="8" t="str">
        <f>IF('Course 1'!$H211='tab1'!J$3,'Course 1'!$I211," ")</f>
        <v xml:space="preserve"> </v>
      </c>
      <c r="K213" s="8" t="str">
        <f>IF('Course 1'!$H211='tab1'!K$3,'Course 1'!$I211," ")</f>
        <v xml:space="preserve"> </v>
      </c>
      <c r="L213" s="8" t="str">
        <f>IF('Course 1'!$H211='tab1'!L$3,'Course 1'!$I211," ")</f>
        <v xml:space="preserve"> </v>
      </c>
      <c r="M213" s="8" t="str">
        <f>IF('Course 1'!$H211='tab1'!M$3,'Course 1'!$I211," ")</f>
        <v xml:space="preserve"> </v>
      </c>
      <c r="N213" s="9" t="str">
        <f>IF('Course 1'!$H211='tab1'!N$3,'Course 1'!$I211," ")</f>
        <v xml:space="preserve"> </v>
      </c>
    </row>
    <row r="214" spans="2:14">
      <c r="B214">
        <v>210</v>
      </c>
      <c r="C214" s="7" t="str">
        <f>IF('Course 1'!$H212='tab1'!C$3,'Course 1'!$I212," ")</f>
        <v xml:space="preserve"> </v>
      </c>
      <c r="D214" s="8" t="str">
        <f>IF('Course 1'!$H212='tab1'!D$3,'Course 1'!$I212," ")</f>
        <v xml:space="preserve"> </v>
      </c>
      <c r="E214" s="8" t="str">
        <f>IF('Course 1'!$H212='tab1'!E$3,'Course 1'!$I212," ")</f>
        <v xml:space="preserve"> </v>
      </c>
      <c r="F214" s="8" t="str">
        <f>IF('Course 1'!$H212='tab1'!F$3,'Course 1'!$I212," ")</f>
        <v xml:space="preserve"> </v>
      </c>
      <c r="G214" s="8" t="str">
        <f>IF('Course 1'!$H212='tab1'!G$3,'Course 1'!$I212," ")</f>
        <v xml:space="preserve"> </v>
      </c>
      <c r="H214" s="8" t="str">
        <f>IF('Course 1'!$H212='tab1'!H$3,'Course 1'!$I212," ")</f>
        <v xml:space="preserve"> </v>
      </c>
      <c r="I214" s="8" t="str">
        <f>IF('Course 1'!$H212='tab1'!I$3,'Course 1'!$I212," ")</f>
        <v xml:space="preserve"> </v>
      </c>
      <c r="J214" s="8" t="str">
        <f>IF('Course 1'!$H212='tab1'!J$3,'Course 1'!$I212," ")</f>
        <v xml:space="preserve"> </v>
      </c>
      <c r="K214" s="8" t="str">
        <f>IF('Course 1'!$H212='tab1'!K$3,'Course 1'!$I212," ")</f>
        <v xml:space="preserve"> </v>
      </c>
      <c r="L214" s="8" t="str">
        <f>IF('Course 1'!$H212='tab1'!L$3,'Course 1'!$I212," ")</f>
        <v xml:space="preserve"> </v>
      </c>
      <c r="M214" s="8" t="str">
        <f>IF('Course 1'!$H212='tab1'!M$3,'Course 1'!$I212," ")</f>
        <v xml:space="preserve"> </v>
      </c>
      <c r="N214" s="9" t="str">
        <f>IF('Course 1'!$H212='tab1'!N$3,'Course 1'!$I212," ")</f>
        <v xml:space="preserve"> </v>
      </c>
    </row>
    <row r="215" spans="2:14">
      <c r="B215">
        <v>211</v>
      </c>
      <c r="C215" s="7" t="str">
        <f>IF('Course 1'!$H213='tab1'!C$3,'Course 1'!$I213," ")</f>
        <v xml:space="preserve"> </v>
      </c>
      <c r="D215" s="8" t="str">
        <f>IF('Course 1'!$H213='tab1'!D$3,'Course 1'!$I213," ")</f>
        <v xml:space="preserve"> </v>
      </c>
      <c r="E215" s="8" t="str">
        <f>IF('Course 1'!$H213='tab1'!E$3,'Course 1'!$I213," ")</f>
        <v xml:space="preserve"> </v>
      </c>
      <c r="F215" s="8" t="str">
        <f>IF('Course 1'!$H213='tab1'!F$3,'Course 1'!$I213," ")</f>
        <v xml:space="preserve"> </v>
      </c>
      <c r="G215" s="8" t="str">
        <f>IF('Course 1'!$H213='tab1'!G$3,'Course 1'!$I213," ")</f>
        <v xml:space="preserve"> </v>
      </c>
      <c r="H215" s="8" t="str">
        <f>IF('Course 1'!$H213='tab1'!H$3,'Course 1'!$I213," ")</f>
        <v xml:space="preserve"> </v>
      </c>
      <c r="I215" s="8" t="str">
        <f>IF('Course 1'!$H213='tab1'!I$3,'Course 1'!$I213," ")</f>
        <v xml:space="preserve"> </v>
      </c>
      <c r="J215" s="8" t="str">
        <f>IF('Course 1'!$H213='tab1'!J$3,'Course 1'!$I213," ")</f>
        <v xml:space="preserve"> </v>
      </c>
      <c r="K215" s="8" t="str">
        <f>IF('Course 1'!$H213='tab1'!K$3,'Course 1'!$I213," ")</f>
        <v xml:space="preserve"> </v>
      </c>
      <c r="L215" s="8" t="str">
        <f>IF('Course 1'!$H213='tab1'!L$3,'Course 1'!$I213," ")</f>
        <v xml:space="preserve"> </v>
      </c>
      <c r="M215" s="8" t="str">
        <f>IF('Course 1'!$H213='tab1'!M$3,'Course 1'!$I213," ")</f>
        <v xml:space="preserve"> </v>
      </c>
      <c r="N215" s="9" t="str">
        <f>IF('Course 1'!$H213='tab1'!N$3,'Course 1'!$I213," ")</f>
        <v xml:space="preserve"> </v>
      </c>
    </row>
    <row r="216" spans="2:14">
      <c r="B216">
        <v>212</v>
      </c>
      <c r="C216" s="7" t="str">
        <f>IF('Course 1'!$H214='tab1'!C$3,'Course 1'!$I214," ")</f>
        <v xml:space="preserve"> </v>
      </c>
      <c r="D216" s="8" t="str">
        <f>IF('Course 1'!$H214='tab1'!D$3,'Course 1'!$I214," ")</f>
        <v xml:space="preserve"> </v>
      </c>
      <c r="E216" s="8" t="str">
        <f>IF('Course 1'!$H214='tab1'!E$3,'Course 1'!$I214," ")</f>
        <v xml:space="preserve"> </v>
      </c>
      <c r="F216" s="8" t="str">
        <f>IF('Course 1'!$H214='tab1'!F$3,'Course 1'!$I214," ")</f>
        <v xml:space="preserve"> </v>
      </c>
      <c r="G216" s="8" t="str">
        <f>IF('Course 1'!$H214='tab1'!G$3,'Course 1'!$I214," ")</f>
        <v xml:space="preserve"> </v>
      </c>
      <c r="H216" s="8" t="str">
        <f>IF('Course 1'!$H214='tab1'!H$3,'Course 1'!$I214," ")</f>
        <v xml:space="preserve"> </v>
      </c>
      <c r="I216" s="8" t="str">
        <f>IF('Course 1'!$H214='tab1'!I$3,'Course 1'!$I214," ")</f>
        <v xml:space="preserve"> </v>
      </c>
      <c r="J216" s="8" t="str">
        <f>IF('Course 1'!$H214='tab1'!J$3,'Course 1'!$I214," ")</f>
        <v xml:space="preserve"> </v>
      </c>
      <c r="K216" s="8" t="str">
        <f>IF('Course 1'!$H214='tab1'!K$3,'Course 1'!$I214," ")</f>
        <v xml:space="preserve"> </v>
      </c>
      <c r="L216" s="8" t="str">
        <f>IF('Course 1'!$H214='tab1'!L$3,'Course 1'!$I214," ")</f>
        <v xml:space="preserve"> </v>
      </c>
      <c r="M216" s="8" t="str">
        <f>IF('Course 1'!$H214='tab1'!M$3,'Course 1'!$I214," ")</f>
        <v xml:space="preserve"> </v>
      </c>
      <c r="N216" s="9" t="str">
        <f>IF('Course 1'!$H214='tab1'!N$3,'Course 1'!$I214," ")</f>
        <v xml:space="preserve"> </v>
      </c>
    </row>
    <row r="217" spans="2:14">
      <c r="B217">
        <v>213</v>
      </c>
      <c r="C217" s="7" t="str">
        <f>IF('Course 1'!$H215='tab1'!C$3,'Course 1'!$I215," ")</f>
        <v xml:space="preserve"> </v>
      </c>
      <c r="D217" s="8" t="str">
        <f>IF('Course 1'!$H215='tab1'!D$3,'Course 1'!$I215," ")</f>
        <v xml:space="preserve"> </v>
      </c>
      <c r="E217" s="8" t="str">
        <f>IF('Course 1'!$H215='tab1'!E$3,'Course 1'!$I215," ")</f>
        <v xml:space="preserve"> </v>
      </c>
      <c r="F217" s="8" t="str">
        <f>IF('Course 1'!$H215='tab1'!F$3,'Course 1'!$I215," ")</f>
        <v xml:space="preserve"> </v>
      </c>
      <c r="G217" s="8" t="str">
        <f>IF('Course 1'!$H215='tab1'!G$3,'Course 1'!$I215," ")</f>
        <v xml:space="preserve"> </v>
      </c>
      <c r="H217" s="8" t="str">
        <f>IF('Course 1'!$H215='tab1'!H$3,'Course 1'!$I215," ")</f>
        <v xml:space="preserve"> </v>
      </c>
      <c r="I217" s="8" t="str">
        <f>IF('Course 1'!$H215='tab1'!I$3,'Course 1'!$I215," ")</f>
        <v xml:space="preserve"> </v>
      </c>
      <c r="J217" s="8" t="str">
        <f>IF('Course 1'!$H215='tab1'!J$3,'Course 1'!$I215," ")</f>
        <v xml:space="preserve"> </v>
      </c>
      <c r="K217" s="8" t="str">
        <f>IF('Course 1'!$H215='tab1'!K$3,'Course 1'!$I215," ")</f>
        <v xml:space="preserve"> </v>
      </c>
      <c r="L217" s="8" t="str">
        <f>IF('Course 1'!$H215='tab1'!L$3,'Course 1'!$I215," ")</f>
        <v xml:space="preserve"> </v>
      </c>
      <c r="M217" s="8" t="str">
        <f>IF('Course 1'!$H215='tab1'!M$3,'Course 1'!$I215," ")</f>
        <v xml:space="preserve"> </v>
      </c>
      <c r="N217" s="9" t="str">
        <f>IF('Course 1'!$H215='tab1'!N$3,'Course 1'!$I215," ")</f>
        <v xml:space="preserve"> </v>
      </c>
    </row>
    <row r="218" spans="2:14">
      <c r="B218">
        <v>214</v>
      </c>
      <c r="C218" s="7" t="str">
        <f>IF('Course 1'!$H216='tab1'!C$3,'Course 1'!$I216," ")</f>
        <v xml:space="preserve"> </v>
      </c>
      <c r="D218" s="8" t="str">
        <f>IF('Course 1'!$H216='tab1'!D$3,'Course 1'!$I216," ")</f>
        <v xml:space="preserve"> </v>
      </c>
      <c r="E218" s="8" t="str">
        <f>IF('Course 1'!$H216='tab1'!E$3,'Course 1'!$I216," ")</f>
        <v xml:space="preserve"> </v>
      </c>
      <c r="F218" s="8" t="str">
        <f>IF('Course 1'!$H216='tab1'!F$3,'Course 1'!$I216," ")</f>
        <v xml:space="preserve"> </v>
      </c>
      <c r="G218" s="8" t="str">
        <f>IF('Course 1'!$H216='tab1'!G$3,'Course 1'!$I216," ")</f>
        <v xml:space="preserve"> </v>
      </c>
      <c r="H218" s="8" t="str">
        <f>IF('Course 1'!$H216='tab1'!H$3,'Course 1'!$I216," ")</f>
        <v xml:space="preserve"> </v>
      </c>
      <c r="I218" s="8" t="str">
        <f>IF('Course 1'!$H216='tab1'!I$3,'Course 1'!$I216," ")</f>
        <v xml:space="preserve"> </v>
      </c>
      <c r="J218" s="8" t="str">
        <f>IF('Course 1'!$H216='tab1'!J$3,'Course 1'!$I216," ")</f>
        <v xml:space="preserve"> </v>
      </c>
      <c r="K218" s="8" t="str">
        <f>IF('Course 1'!$H216='tab1'!K$3,'Course 1'!$I216," ")</f>
        <v xml:space="preserve"> </v>
      </c>
      <c r="L218" s="8" t="str">
        <f>IF('Course 1'!$H216='tab1'!L$3,'Course 1'!$I216," ")</f>
        <v xml:space="preserve"> </v>
      </c>
      <c r="M218" s="8" t="str">
        <f>IF('Course 1'!$H216='tab1'!M$3,'Course 1'!$I216," ")</f>
        <v xml:space="preserve"> </v>
      </c>
      <c r="N218" s="9" t="str">
        <f>IF('Course 1'!$H216='tab1'!N$3,'Course 1'!$I216," ")</f>
        <v xml:space="preserve"> </v>
      </c>
    </row>
    <row r="219" spans="2:14">
      <c r="B219">
        <v>215</v>
      </c>
      <c r="C219" s="7" t="str">
        <f>IF('Course 1'!$H217='tab1'!C$3,'Course 1'!$I217," ")</f>
        <v xml:space="preserve"> </v>
      </c>
      <c r="D219" s="8" t="str">
        <f>IF('Course 1'!$H217='tab1'!D$3,'Course 1'!$I217," ")</f>
        <v xml:space="preserve"> </v>
      </c>
      <c r="E219" s="8" t="str">
        <f>IF('Course 1'!$H217='tab1'!E$3,'Course 1'!$I217," ")</f>
        <v xml:space="preserve"> </v>
      </c>
      <c r="F219" s="8" t="str">
        <f>IF('Course 1'!$H217='tab1'!F$3,'Course 1'!$I217," ")</f>
        <v xml:space="preserve"> </v>
      </c>
      <c r="G219" s="8" t="str">
        <f>IF('Course 1'!$H217='tab1'!G$3,'Course 1'!$I217," ")</f>
        <v xml:space="preserve"> </v>
      </c>
      <c r="H219" s="8" t="str">
        <f>IF('Course 1'!$H217='tab1'!H$3,'Course 1'!$I217," ")</f>
        <v xml:space="preserve"> </v>
      </c>
      <c r="I219" s="8" t="str">
        <f>IF('Course 1'!$H217='tab1'!I$3,'Course 1'!$I217," ")</f>
        <v xml:space="preserve"> </v>
      </c>
      <c r="J219" s="8" t="str">
        <f>IF('Course 1'!$H217='tab1'!J$3,'Course 1'!$I217," ")</f>
        <v xml:space="preserve"> </v>
      </c>
      <c r="K219" s="8" t="str">
        <f>IF('Course 1'!$H217='tab1'!K$3,'Course 1'!$I217," ")</f>
        <v xml:space="preserve"> </v>
      </c>
      <c r="L219" s="8" t="str">
        <f>IF('Course 1'!$H217='tab1'!L$3,'Course 1'!$I217," ")</f>
        <v xml:space="preserve"> </v>
      </c>
      <c r="M219" s="8" t="str">
        <f>IF('Course 1'!$H217='tab1'!M$3,'Course 1'!$I217," ")</f>
        <v xml:space="preserve"> </v>
      </c>
      <c r="N219" s="9" t="str">
        <f>IF('Course 1'!$H217='tab1'!N$3,'Course 1'!$I217," ")</f>
        <v xml:space="preserve"> </v>
      </c>
    </row>
    <row r="220" spans="2:14">
      <c r="B220">
        <v>216</v>
      </c>
      <c r="C220" s="7" t="str">
        <f>IF('Course 1'!$H218='tab1'!C$3,'Course 1'!$I218," ")</f>
        <v xml:space="preserve"> </v>
      </c>
      <c r="D220" s="8" t="str">
        <f>IF('Course 1'!$H218='tab1'!D$3,'Course 1'!$I218," ")</f>
        <v xml:space="preserve"> </v>
      </c>
      <c r="E220" s="8" t="str">
        <f>IF('Course 1'!$H218='tab1'!E$3,'Course 1'!$I218," ")</f>
        <v xml:space="preserve"> </v>
      </c>
      <c r="F220" s="8" t="str">
        <f>IF('Course 1'!$H218='tab1'!F$3,'Course 1'!$I218," ")</f>
        <v xml:space="preserve"> </v>
      </c>
      <c r="G220" s="8" t="str">
        <f>IF('Course 1'!$H218='tab1'!G$3,'Course 1'!$I218," ")</f>
        <v xml:space="preserve"> </v>
      </c>
      <c r="H220" s="8" t="str">
        <f>IF('Course 1'!$H218='tab1'!H$3,'Course 1'!$I218," ")</f>
        <v xml:space="preserve"> </v>
      </c>
      <c r="I220" s="8" t="str">
        <f>IF('Course 1'!$H218='tab1'!I$3,'Course 1'!$I218," ")</f>
        <v xml:space="preserve"> </v>
      </c>
      <c r="J220" s="8" t="str">
        <f>IF('Course 1'!$H218='tab1'!J$3,'Course 1'!$I218," ")</f>
        <v xml:space="preserve"> </v>
      </c>
      <c r="K220" s="8" t="str">
        <f>IF('Course 1'!$H218='tab1'!K$3,'Course 1'!$I218," ")</f>
        <v xml:space="preserve"> </v>
      </c>
      <c r="L220" s="8" t="str">
        <f>IF('Course 1'!$H218='tab1'!L$3,'Course 1'!$I218," ")</f>
        <v xml:space="preserve"> </v>
      </c>
      <c r="M220" s="8" t="str">
        <f>IF('Course 1'!$H218='tab1'!M$3,'Course 1'!$I218," ")</f>
        <v xml:space="preserve"> </v>
      </c>
      <c r="N220" s="9" t="str">
        <f>IF('Course 1'!$H218='tab1'!N$3,'Course 1'!$I218," ")</f>
        <v xml:space="preserve"> </v>
      </c>
    </row>
    <row r="221" spans="2:14">
      <c r="B221">
        <v>217</v>
      </c>
      <c r="C221" s="7" t="str">
        <f>IF('Course 1'!$H219='tab1'!C$3,'Course 1'!$I219," ")</f>
        <v xml:space="preserve"> </v>
      </c>
      <c r="D221" s="8" t="str">
        <f>IF('Course 1'!$H219='tab1'!D$3,'Course 1'!$I219," ")</f>
        <v xml:space="preserve"> </v>
      </c>
      <c r="E221" s="8" t="str">
        <f>IF('Course 1'!$H219='tab1'!E$3,'Course 1'!$I219," ")</f>
        <v xml:space="preserve"> </v>
      </c>
      <c r="F221" s="8" t="str">
        <f>IF('Course 1'!$H219='tab1'!F$3,'Course 1'!$I219," ")</f>
        <v xml:space="preserve"> </v>
      </c>
      <c r="G221" s="8" t="str">
        <f>IF('Course 1'!$H219='tab1'!G$3,'Course 1'!$I219," ")</f>
        <v xml:space="preserve"> </v>
      </c>
      <c r="H221" s="8" t="str">
        <f>IF('Course 1'!$H219='tab1'!H$3,'Course 1'!$I219," ")</f>
        <v xml:space="preserve"> </v>
      </c>
      <c r="I221" s="8" t="str">
        <f>IF('Course 1'!$H219='tab1'!I$3,'Course 1'!$I219," ")</f>
        <v xml:space="preserve"> </v>
      </c>
      <c r="J221" s="8" t="str">
        <f>IF('Course 1'!$H219='tab1'!J$3,'Course 1'!$I219," ")</f>
        <v xml:space="preserve"> </v>
      </c>
      <c r="K221" s="8" t="str">
        <f>IF('Course 1'!$H219='tab1'!K$3,'Course 1'!$I219," ")</f>
        <v xml:space="preserve"> </v>
      </c>
      <c r="L221" s="8" t="str">
        <f>IF('Course 1'!$H219='tab1'!L$3,'Course 1'!$I219," ")</f>
        <v xml:space="preserve"> </v>
      </c>
      <c r="M221" s="8" t="str">
        <f>IF('Course 1'!$H219='tab1'!M$3,'Course 1'!$I219," ")</f>
        <v xml:space="preserve"> </v>
      </c>
      <c r="N221" s="9" t="str">
        <f>IF('Course 1'!$H219='tab1'!N$3,'Course 1'!$I219," ")</f>
        <v xml:space="preserve"> </v>
      </c>
    </row>
    <row r="222" spans="2:14">
      <c r="B222">
        <v>218</v>
      </c>
      <c r="C222" s="7" t="str">
        <f>IF('Course 1'!$H220='tab1'!C$3,'Course 1'!$I220," ")</f>
        <v xml:space="preserve"> </v>
      </c>
      <c r="D222" s="8" t="str">
        <f>IF('Course 1'!$H220='tab1'!D$3,'Course 1'!$I220," ")</f>
        <v xml:space="preserve"> </v>
      </c>
      <c r="E222" s="8" t="str">
        <f>IF('Course 1'!$H220='tab1'!E$3,'Course 1'!$I220," ")</f>
        <v xml:space="preserve"> </v>
      </c>
      <c r="F222" s="8" t="str">
        <f>IF('Course 1'!$H220='tab1'!F$3,'Course 1'!$I220," ")</f>
        <v xml:space="preserve"> </v>
      </c>
      <c r="G222" s="8" t="str">
        <f>IF('Course 1'!$H220='tab1'!G$3,'Course 1'!$I220," ")</f>
        <v xml:space="preserve"> </v>
      </c>
      <c r="H222" s="8" t="str">
        <f>IF('Course 1'!$H220='tab1'!H$3,'Course 1'!$I220," ")</f>
        <v xml:space="preserve"> </v>
      </c>
      <c r="I222" s="8" t="str">
        <f>IF('Course 1'!$H220='tab1'!I$3,'Course 1'!$I220," ")</f>
        <v xml:space="preserve"> </v>
      </c>
      <c r="J222" s="8" t="str">
        <f>IF('Course 1'!$H220='tab1'!J$3,'Course 1'!$I220," ")</f>
        <v xml:space="preserve"> </v>
      </c>
      <c r="K222" s="8" t="str">
        <f>IF('Course 1'!$H220='tab1'!K$3,'Course 1'!$I220," ")</f>
        <v xml:space="preserve"> </v>
      </c>
      <c r="L222" s="8" t="str">
        <f>IF('Course 1'!$H220='tab1'!L$3,'Course 1'!$I220," ")</f>
        <v xml:space="preserve"> </v>
      </c>
      <c r="M222" s="8" t="str">
        <f>IF('Course 1'!$H220='tab1'!M$3,'Course 1'!$I220," ")</f>
        <v xml:space="preserve"> </v>
      </c>
      <c r="N222" s="9" t="str">
        <f>IF('Course 1'!$H220='tab1'!N$3,'Course 1'!$I220," ")</f>
        <v xml:space="preserve"> </v>
      </c>
    </row>
    <row r="223" spans="2:14">
      <c r="B223">
        <v>219</v>
      </c>
      <c r="C223" s="7" t="str">
        <f>IF('Course 1'!$H221='tab1'!C$3,'Course 1'!$I221," ")</f>
        <v xml:space="preserve"> </v>
      </c>
      <c r="D223" s="8" t="str">
        <f>IF('Course 1'!$H221='tab1'!D$3,'Course 1'!$I221," ")</f>
        <v xml:space="preserve"> </v>
      </c>
      <c r="E223" s="8" t="str">
        <f>IF('Course 1'!$H221='tab1'!E$3,'Course 1'!$I221," ")</f>
        <v xml:space="preserve"> </v>
      </c>
      <c r="F223" s="8" t="str">
        <f>IF('Course 1'!$H221='tab1'!F$3,'Course 1'!$I221," ")</f>
        <v xml:space="preserve"> </v>
      </c>
      <c r="G223" s="8" t="str">
        <f>IF('Course 1'!$H221='tab1'!G$3,'Course 1'!$I221," ")</f>
        <v xml:space="preserve"> </v>
      </c>
      <c r="H223" s="8" t="str">
        <f>IF('Course 1'!$H221='tab1'!H$3,'Course 1'!$I221," ")</f>
        <v xml:space="preserve"> </v>
      </c>
      <c r="I223" s="8" t="str">
        <f>IF('Course 1'!$H221='tab1'!I$3,'Course 1'!$I221," ")</f>
        <v xml:space="preserve"> </v>
      </c>
      <c r="J223" s="8" t="str">
        <f>IF('Course 1'!$H221='tab1'!J$3,'Course 1'!$I221," ")</f>
        <v xml:space="preserve"> </v>
      </c>
      <c r="K223" s="8" t="str">
        <f>IF('Course 1'!$H221='tab1'!K$3,'Course 1'!$I221," ")</f>
        <v xml:space="preserve"> </v>
      </c>
      <c r="L223" s="8" t="str">
        <f>IF('Course 1'!$H221='tab1'!L$3,'Course 1'!$I221," ")</f>
        <v xml:space="preserve"> </v>
      </c>
      <c r="M223" s="8" t="str">
        <f>IF('Course 1'!$H221='tab1'!M$3,'Course 1'!$I221," ")</f>
        <v xml:space="preserve"> </v>
      </c>
      <c r="N223" s="9" t="str">
        <f>IF('Course 1'!$H221='tab1'!N$3,'Course 1'!$I221," ")</f>
        <v xml:space="preserve"> </v>
      </c>
    </row>
    <row r="224" spans="2:14">
      <c r="B224">
        <v>220</v>
      </c>
      <c r="C224" s="7" t="str">
        <f>IF('Course 1'!$H222='tab1'!C$3,'Course 1'!$I222," ")</f>
        <v xml:space="preserve"> </v>
      </c>
      <c r="D224" s="8" t="str">
        <f>IF('Course 1'!$H222='tab1'!D$3,'Course 1'!$I222," ")</f>
        <v xml:space="preserve"> </v>
      </c>
      <c r="E224" s="8" t="str">
        <f>IF('Course 1'!$H222='tab1'!E$3,'Course 1'!$I222," ")</f>
        <v xml:space="preserve"> </v>
      </c>
      <c r="F224" s="8" t="str">
        <f>IF('Course 1'!$H222='tab1'!F$3,'Course 1'!$I222," ")</f>
        <v xml:space="preserve"> </v>
      </c>
      <c r="G224" s="8" t="str">
        <f>IF('Course 1'!$H222='tab1'!G$3,'Course 1'!$I222," ")</f>
        <v xml:space="preserve"> </v>
      </c>
      <c r="H224" s="8" t="str">
        <f>IF('Course 1'!$H222='tab1'!H$3,'Course 1'!$I222," ")</f>
        <v xml:space="preserve"> </v>
      </c>
      <c r="I224" s="8" t="str">
        <f>IF('Course 1'!$H222='tab1'!I$3,'Course 1'!$I222," ")</f>
        <v xml:space="preserve"> </v>
      </c>
      <c r="J224" s="8" t="str">
        <f>IF('Course 1'!$H222='tab1'!J$3,'Course 1'!$I222," ")</f>
        <v xml:space="preserve"> </v>
      </c>
      <c r="K224" s="8" t="str">
        <f>IF('Course 1'!$H222='tab1'!K$3,'Course 1'!$I222," ")</f>
        <v xml:space="preserve"> </v>
      </c>
      <c r="L224" s="8" t="str">
        <f>IF('Course 1'!$H222='tab1'!L$3,'Course 1'!$I222," ")</f>
        <v xml:space="preserve"> </v>
      </c>
      <c r="M224" s="8" t="str">
        <f>IF('Course 1'!$H222='tab1'!M$3,'Course 1'!$I222," ")</f>
        <v xml:space="preserve"> </v>
      </c>
      <c r="N224" s="9" t="str">
        <f>IF('Course 1'!$H222='tab1'!N$3,'Course 1'!$I222," ")</f>
        <v xml:space="preserve"> </v>
      </c>
    </row>
    <row r="225" spans="2:14">
      <c r="B225">
        <v>221</v>
      </c>
      <c r="C225" s="7" t="str">
        <f>IF('Course 1'!$H223='tab1'!C$3,'Course 1'!$I223," ")</f>
        <v xml:space="preserve"> </v>
      </c>
      <c r="D225" s="8" t="str">
        <f>IF('Course 1'!$H223='tab1'!D$3,'Course 1'!$I223," ")</f>
        <v xml:space="preserve"> </v>
      </c>
      <c r="E225" s="8" t="str">
        <f>IF('Course 1'!$H223='tab1'!E$3,'Course 1'!$I223," ")</f>
        <v xml:space="preserve"> </v>
      </c>
      <c r="F225" s="8" t="str">
        <f>IF('Course 1'!$H223='tab1'!F$3,'Course 1'!$I223," ")</f>
        <v xml:space="preserve"> </v>
      </c>
      <c r="G225" s="8" t="str">
        <f>IF('Course 1'!$H223='tab1'!G$3,'Course 1'!$I223," ")</f>
        <v xml:space="preserve"> </v>
      </c>
      <c r="H225" s="8" t="str">
        <f>IF('Course 1'!$H223='tab1'!H$3,'Course 1'!$I223," ")</f>
        <v xml:space="preserve"> </v>
      </c>
      <c r="I225" s="8" t="str">
        <f>IF('Course 1'!$H223='tab1'!I$3,'Course 1'!$I223," ")</f>
        <v xml:space="preserve"> </v>
      </c>
      <c r="J225" s="8" t="str">
        <f>IF('Course 1'!$H223='tab1'!J$3,'Course 1'!$I223," ")</f>
        <v xml:space="preserve"> </v>
      </c>
      <c r="K225" s="8" t="str">
        <f>IF('Course 1'!$H223='tab1'!K$3,'Course 1'!$I223," ")</f>
        <v xml:space="preserve"> </v>
      </c>
      <c r="L225" s="8" t="str">
        <f>IF('Course 1'!$H223='tab1'!L$3,'Course 1'!$I223," ")</f>
        <v xml:space="preserve"> </v>
      </c>
      <c r="M225" s="8" t="str">
        <f>IF('Course 1'!$H223='tab1'!M$3,'Course 1'!$I223," ")</f>
        <v xml:space="preserve"> </v>
      </c>
      <c r="N225" s="9" t="str">
        <f>IF('Course 1'!$H223='tab1'!N$3,'Course 1'!$I223," ")</f>
        <v xml:space="preserve"> </v>
      </c>
    </row>
    <row r="226" spans="2:14">
      <c r="B226">
        <v>222</v>
      </c>
      <c r="C226" s="7" t="str">
        <f>IF('Course 1'!$H224='tab1'!C$3,'Course 1'!$I224," ")</f>
        <v xml:space="preserve"> </v>
      </c>
      <c r="D226" s="8" t="str">
        <f>IF('Course 1'!$H224='tab1'!D$3,'Course 1'!$I224," ")</f>
        <v xml:space="preserve"> </v>
      </c>
      <c r="E226" s="8" t="str">
        <f>IF('Course 1'!$H224='tab1'!E$3,'Course 1'!$I224," ")</f>
        <v xml:space="preserve"> </v>
      </c>
      <c r="F226" s="8" t="str">
        <f>IF('Course 1'!$H224='tab1'!F$3,'Course 1'!$I224," ")</f>
        <v xml:space="preserve"> </v>
      </c>
      <c r="G226" s="8" t="str">
        <f>IF('Course 1'!$H224='tab1'!G$3,'Course 1'!$I224," ")</f>
        <v xml:space="preserve"> </v>
      </c>
      <c r="H226" s="8" t="str">
        <f>IF('Course 1'!$H224='tab1'!H$3,'Course 1'!$I224," ")</f>
        <v xml:space="preserve"> </v>
      </c>
      <c r="I226" s="8" t="str">
        <f>IF('Course 1'!$H224='tab1'!I$3,'Course 1'!$I224," ")</f>
        <v xml:space="preserve"> </v>
      </c>
      <c r="J226" s="8" t="str">
        <f>IF('Course 1'!$H224='tab1'!J$3,'Course 1'!$I224," ")</f>
        <v xml:space="preserve"> </v>
      </c>
      <c r="K226" s="8" t="str">
        <f>IF('Course 1'!$H224='tab1'!K$3,'Course 1'!$I224," ")</f>
        <v xml:space="preserve"> </v>
      </c>
      <c r="L226" s="8" t="str">
        <f>IF('Course 1'!$H224='tab1'!L$3,'Course 1'!$I224," ")</f>
        <v xml:space="preserve"> </v>
      </c>
      <c r="M226" s="8" t="str">
        <f>IF('Course 1'!$H224='tab1'!M$3,'Course 1'!$I224," ")</f>
        <v xml:space="preserve"> </v>
      </c>
      <c r="N226" s="9" t="str">
        <f>IF('Course 1'!$H224='tab1'!N$3,'Course 1'!$I224," ")</f>
        <v xml:space="preserve"> </v>
      </c>
    </row>
    <row r="227" spans="2:14">
      <c r="B227">
        <v>223</v>
      </c>
      <c r="C227" s="7" t="str">
        <f>IF('Course 1'!$H225='tab1'!C$3,'Course 1'!$I225," ")</f>
        <v xml:space="preserve"> </v>
      </c>
      <c r="D227" s="8" t="str">
        <f>IF('Course 1'!$H225='tab1'!D$3,'Course 1'!$I225," ")</f>
        <v xml:space="preserve"> </v>
      </c>
      <c r="E227" s="8" t="str">
        <f>IF('Course 1'!$H225='tab1'!E$3,'Course 1'!$I225," ")</f>
        <v xml:space="preserve"> </v>
      </c>
      <c r="F227" s="8" t="str">
        <f>IF('Course 1'!$H225='tab1'!F$3,'Course 1'!$I225," ")</f>
        <v xml:space="preserve"> </v>
      </c>
      <c r="G227" s="8" t="str">
        <f>IF('Course 1'!$H225='tab1'!G$3,'Course 1'!$I225," ")</f>
        <v xml:space="preserve"> </v>
      </c>
      <c r="H227" s="8" t="str">
        <f>IF('Course 1'!$H225='tab1'!H$3,'Course 1'!$I225," ")</f>
        <v xml:space="preserve"> </v>
      </c>
      <c r="I227" s="8" t="str">
        <f>IF('Course 1'!$H225='tab1'!I$3,'Course 1'!$I225," ")</f>
        <v xml:space="preserve"> </v>
      </c>
      <c r="J227" s="8" t="str">
        <f>IF('Course 1'!$H225='tab1'!J$3,'Course 1'!$I225," ")</f>
        <v xml:space="preserve"> </v>
      </c>
      <c r="K227" s="8" t="str">
        <f>IF('Course 1'!$H225='tab1'!K$3,'Course 1'!$I225," ")</f>
        <v xml:space="preserve"> </v>
      </c>
      <c r="L227" s="8" t="str">
        <f>IF('Course 1'!$H225='tab1'!L$3,'Course 1'!$I225," ")</f>
        <v xml:space="preserve"> </v>
      </c>
      <c r="M227" s="8" t="str">
        <f>IF('Course 1'!$H225='tab1'!M$3,'Course 1'!$I225," ")</f>
        <v xml:space="preserve"> </v>
      </c>
      <c r="N227" s="9" t="str">
        <f>IF('Course 1'!$H225='tab1'!N$3,'Course 1'!$I225," ")</f>
        <v xml:space="preserve"> </v>
      </c>
    </row>
    <row r="228" spans="2:14">
      <c r="B228">
        <v>224</v>
      </c>
      <c r="C228" s="7" t="str">
        <f>IF('Course 1'!$H226='tab1'!C$3,'Course 1'!$I226," ")</f>
        <v xml:space="preserve"> </v>
      </c>
      <c r="D228" s="8" t="str">
        <f>IF('Course 1'!$H226='tab1'!D$3,'Course 1'!$I226," ")</f>
        <v xml:space="preserve"> </v>
      </c>
      <c r="E228" s="8" t="str">
        <f>IF('Course 1'!$H226='tab1'!E$3,'Course 1'!$I226," ")</f>
        <v xml:space="preserve"> </v>
      </c>
      <c r="F228" s="8" t="str">
        <f>IF('Course 1'!$H226='tab1'!F$3,'Course 1'!$I226," ")</f>
        <v xml:space="preserve"> </v>
      </c>
      <c r="G228" s="8" t="str">
        <f>IF('Course 1'!$H226='tab1'!G$3,'Course 1'!$I226," ")</f>
        <v xml:space="preserve"> </v>
      </c>
      <c r="H228" s="8" t="str">
        <f>IF('Course 1'!$H226='tab1'!H$3,'Course 1'!$I226," ")</f>
        <v xml:space="preserve"> </v>
      </c>
      <c r="I228" s="8" t="str">
        <f>IF('Course 1'!$H226='tab1'!I$3,'Course 1'!$I226," ")</f>
        <v xml:space="preserve"> </v>
      </c>
      <c r="J228" s="8" t="str">
        <f>IF('Course 1'!$H226='tab1'!J$3,'Course 1'!$I226," ")</f>
        <v xml:space="preserve"> </v>
      </c>
      <c r="K228" s="8" t="str">
        <f>IF('Course 1'!$H226='tab1'!K$3,'Course 1'!$I226," ")</f>
        <v xml:space="preserve"> </v>
      </c>
      <c r="L228" s="8" t="str">
        <f>IF('Course 1'!$H226='tab1'!L$3,'Course 1'!$I226," ")</f>
        <v xml:space="preserve"> </v>
      </c>
      <c r="M228" s="8" t="str">
        <f>IF('Course 1'!$H226='tab1'!M$3,'Course 1'!$I226," ")</f>
        <v xml:space="preserve"> </v>
      </c>
      <c r="N228" s="9" t="str">
        <f>IF('Course 1'!$H226='tab1'!N$3,'Course 1'!$I226," ")</f>
        <v xml:space="preserve"> </v>
      </c>
    </row>
    <row r="229" spans="2:14">
      <c r="B229">
        <v>225</v>
      </c>
      <c r="C229" s="7" t="str">
        <f>IF('Course 1'!$H227='tab1'!C$3,'Course 1'!$I227," ")</f>
        <v xml:space="preserve"> </v>
      </c>
      <c r="D229" s="8" t="str">
        <f>IF('Course 1'!$H227='tab1'!D$3,'Course 1'!$I227," ")</f>
        <v xml:space="preserve"> </v>
      </c>
      <c r="E229" s="8" t="str">
        <f>IF('Course 1'!$H227='tab1'!E$3,'Course 1'!$I227," ")</f>
        <v xml:space="preserve"> </v>
      </c>
      <c r="F229" s="8" t="str">
        <f>IF('Course 1'!$H227='tab1'!F$3,'Course 1'!$I227," ")</f>
        <v xml:space="preserve"> </v>
      </c>
      <c r="G229" s="8" t="str">
        <f>IF('Course 1'!$H227='tab1'!G$3,'Course 1'!$I227," ")</f>
        <v xml:space="preserve"> </v>
      </c>
      <c r="H229" s="8" t="str">
        <f>IF('Course 1'!$H227='tab1'!H$3,'Course 1'!$I227," ")</f>
        <v xml:space="preserve"> </v>
      </c>
      <c r="I229" s="8" t="str">
        <f>IF('Course 1'!$H227='tab1'!I$3,'Course 1'!$I227," ")</f>
        <v xml:space="preserve"> </v>
      </c>
      <c r="J229" s="8" t="str">
        <f>IF('Course 1'!$H227='tab1'!J$3,'Course 1'!$I227," ")</f>
        <v xml:space="preserve"> </v>
      </c>
      <c r="K229" s="8" t="str">
        <f>IF('Course 1'!$H227='tab1'!K$3,'Course 1'!$I227," ")</f>
        <v xml:space="preserve"> </v>
      </c>
      <c r="L229" s="8" t="str">
        <f>IF('Course 1'!$H227='tab1'!L$3,'Course 1'!$I227," ")</f>
        <v xml:space="preserve"> </v>
      </c>
      <c r="M229" s="8" t="str">
        <f>IF('Course 1'!$H227='tab1'!M$3,'Course 1'!$I227," ")</f>
        <v xml:space="preserve"> </v>
      </c>
      <c r="N229" s="9" t="str">
        <f>IF('Course 1'!$H227='tab1'!N$3,'Course 1'!$I227," ")</f>
        <v xml:space="preserve"> </v>
      </c>
    </row>
    <row r="230" spans="2:14">
      <c r="B230">
        <v>226</v>
      </c>
      <c r="C230" s="7" t="str">
        <f>IF('Course 1'!$H228='tab1'!C$3,'Course 1'!$I228," ")</f>
        <v xml:space="preserve"> </v>
      </c>
      <c r="D230" s="8" t="str">
        <f>IF('Course 1'!$H228='tab1'!D$3,'Course 1'!$I228," ")</f>
        <v xml:space="preserve"> </v>
      </c>
      <c r="E230" s="8" t="str">
        <f>IF('Course 1'!$H228='tab1'!E$3,'Course 1'!$I228," ")</f>
        <v xml:space="preserve"> </v>
      </c>
      <c r="F230" s="8" t="str">
        <f>IF('Course 1'!$H228='tab1'!F$3,'Course 1'!$I228," ")</f>
        <v xml:space="preserve"> </v>
      </c>
      <c r="G230" s="8" t="str">
        <f>IF('Course 1'!$H228='tab1'!G$3,'Course 1'!$I228," ")</f>
        <v xml:space="preserve"> </v>
      </c>
      <c r="H230" s="8" t="str">
        <f>IF('Course 1'!$H228='tab1'!H$3,'Course 1'!$I228," ")</f>
        <v xml:space="preserve"> </v>
      </c>
      <c r="I230" s="8" t="str">
        <f>IF('Course 1'!$H228='tab1'!I$3,'Course 1'!$I228," ")</f>
        <v xml:space="preserve"> </v>
      </c>
      <c r="J230" s="8" t="str">
        <f>IF('Course 1'!$H228='tab1'!J$3,'Course 1'!$I228," ")</f>
        <v xml:space="preserve"> </v>
      </c>
      <c r="K230" s="8" t="str">
        <f>IF('Course 1'!$H228='tab1'!K$3,'Course 1'!$I228," ")</f>
        <v xml:space="preserve"> </v>
      </c>
      <c r="L230" s="8" t="str">
        <f>IF('Course 1'!$H228='tab1'!L$3,'Course 1'!$I228," ")</f>
        <v xml:space="preserve"> </v>
      </c>
      <c r="M230" s="8" t="str">
        <f>IF('Course 1'!$H228='tab1'!M$3,'Course 1'!$I228," ")</f>
        <v xml:space="preserve"> </v>
      </c>
      <c r="N230" s="9" t="str">
        <f>IF('Course 1'!$H228='tab1'!N$3,'Course 1'!$I228," ")</f>
        <v xml:space="preserve"> </v>
      </c>
    </row>
    <row r="231" spans="2:14">
      <c r="B231">
        <v>227</v>
      </c>
      <c r="C231" s="7" t="str">
        <f>IF('Course 1'!$H229='tab1'!C$3,'Course 1'!$I229," ")</f>
        <v xml:space="preserve"> </v>
      </c>
      <c r="D231" s="8" t="str">
        <f>IF('Course 1'!$H229='tab1'!D$3,'Course 1'!$I229," ")</f>
        <v xml:space="preserve"> </v>
      </c>
      <c r="E231" s="8" t="str">
        <f>IF('Course 1'!$H229='tab1'!E$3,'Course 1'!$I229," ")</f>
        <v xml:space="preserve"> </v>
      </c>
      <c r="F231" s="8" t="str">
        <f>IF('Course 1'!$H229='tab1'!F$3,'Course 1'!$I229," ")</f>
        <v xml:space="preserve"> </v>
      </c>
      <c r="G231" s="8" t="str">
        <f>IF('Course 1'!$H229='tab1'!G$3,'Course 1'!$I229," ")</f>
        <v xml:space="preserve"> </v>
      </c>
      <c r="H231" s="8" t="str">
        <f>IF('Course 1'!$H229='tab1'!H$3,'Course 1'!$I229," ")</f>
        <v xml:space="preserve"> </v>
      </c>
      <c r="I231" s="8" t="str">
        <f>IF('Course 1'!$H229='tab1'!I$3,'Course 1'!$I229," ")</f>
        <v xml:space="preserve"> </v>
      </c>
      <c r="J231" s="8" t="str">
        <f>IF('Course 1'!$H229='tab1'!J$3,'Course 1'!$I229," ")</f>
        <v xml:space="preserve"> </v>
      </c>
      <c r="K231" s="8" t="str">
        <f>IF('Course 1'!$H229='tab1'!K$3,'Course 1'!$I229," ")</f>
        <v xml:space="preserve"> </v>
      </c>
      <c r="L231" s="8" t="str">
        <f>IF('Course 1'!$H229='tab1'!L$3,'Course 1'!$I229," ")</f>
        <v xml:space="preserve"> </v>
      </c>
      <c r="M231" s="8" t="str">
        <f>IF('Course 1'!$H229='tab1'!M$3,'Course 1'!$I229," ")</f>
        <v xml:space="preserve"> </v>
      </c>
      <c r="N231" s="9" t="str">
        <f>IF('Course 1'!$H229='tab1'!N$3,'Course 1'!$I229," ")</f>
        <v xml:space="preserve"> </v>
      </c>
    </row>
    <row r="232" spans="2:14">
      <c r="B232">
        <v>228</v>
      </c>
      <c r="C232" s="7" t="str">
        <f>IF('Course 1'!$H230='tab1'!C$3,'Course 1'!$I230," ")</f>
        <v xml:space="preserve"> </v>
      </c>
      <c r="D232" s="8" t="str">
        <f>IF('Course 1'!$H230='tab1'!D$3,'Course 1'!$I230," ")</f>
        <v xml:space="preserve"> </v>
      </c>
      <c r="E232" s="8" t="str">
        <f>IF('Course 1'!$H230='tab1'!E$3,'Course 1'!$I230," ")</f>
        <v xml:space="preserve"> </v>
      </c>
      <c r="F232" s="8" t="str">
        <f>IF('Course 1'!$H230='tab1'!F$3,'Course 1'!$I230," ")</f>
        <v xml:space="preserve"> </v>
      </c>
      <c r="G232" s="8" t="str">
        <f>IF('Course 1'!$H230='tab1'!G$3,'Course 1'!$I230," ")</f>
        <v xml:space="preserve"> </v>
      </c>
      <c r="H232" s="8" t="str">
        <f>IF('Course 1'!$H230='tab1'!H$3,'Course 1'!$I230," ")</f>
        <v xml:space="preserve"> </v>
      </c>
      <c r="I232" s="8" t="str">
        <f>IF('Course 1'!$H230='tab1'!I$3,'Course 1'!$I230," ")</f>
        <v xml:space="preserve"> </v>
      </c>
      <c r="J232" s="8" t="str">
        <f>IF('Course 1'!$H230='tab1'!J$3,'Course 1'!$I230," ")</f>
        <v xml:space="preserve"> </v>
      </c>
      <c r="K232" s="8" t="str">
        <f>IF('Course 1'!$H230='tab1'!K$3,'Course 1'!$I230," ")</f>
        <v xml:space="preserve"> </v>
      </c>
      <c r="L232" s="8" t="str">
        <f>IF('Course 1'!$H230='tab1'!L$3,'Course 1'!$I230," ")</f>
        <v xml:space="preserve"> </v>
      </c>
      <c r="M232" s="8" t="str">
        <f>IF('Course 1'!$H230='tab1'!M$3,'Course 1'!$I230," ")</f>
        <v xml:space="preserve"> </v>
      </c>
      <c r="N232" s="9" t="str">
        <f>IF('Course 1'!$H230='tab1'!N$3,'Course 1'!$I230," ")</f>
        <v xml:space="preserve"> </v>
      </c>
    </row>
    <row r="233" spans="2:14">
      <c r="B233">
        <v>229</v>
      </c>
      <c r="C233" s="7" t="str">
        <f>IF('Course 1'!$H231='tab1'!C$3,'Course 1'!$I231," ")</f>
        <v xml:space="preserve"> </v>
      </c>
      <c r="D233" s="8" t="str">
        <f>IF('Course 1'!$H231='tab1'!D$3,'Course 1'!$I231," ")</f>
        <v xml:space="preserve"> </v>
      </c>
      <c r="E233" s="8" t="str">
        <f>IF('Course 1'!$H231='tab1'!E$3,'Course 1'!$I231," ")</f>
        <v xml:space="preserve"> </v>
      </c>
      <c r="F233" s="8" t="str">
        <f>IF('Course 1'!$H231='tab1'!F$3,'Course 1'!$I231," ")</f>
        <v xml:space="preserve"> </v>
      </c>
      <c r="G233" s="8" t="str">
        <f>IF('Course 1'!$H231='tab1'!G$3,'Course 1'!$I231," ")</f>
        <v xml:space="preserve"> </v>
      </c>
      <c r="H233" s="8" t="str">
        <f>IF('Course 1'!$H231='tab1'!H$3,'Course 1'!$I231," ")</f>
        <v xml:space="preserve"> </v>
      </c>
      <c r="I233" s="8" t="str">
        <f>IF('Course 1'!$H231='tab1'!I$3,'Course 1'!$I231," ")</f>
        <v xml:space="preserve"> </v>
      </c>
      <c r="J233" s="8" t="str">
        <f>IF('Course 1'!$H231='tab1'!J$3,'Course 1'!$I231," ")</f>
        <v xml:space="preserve"> </v>
      </c>
      <c r="K233" s="8" t="str">
        <f>IF('Course 1'!$H231='tab1'!K$3,'Course 1'!$I231," ")</f>
        <v xml:space="preserve"> </v>
      </c>
      <c r="L233" s="8" t="str">
        <f>IF('Course 1'!$H231='tab1'!L$3,'Course 1'!$I231," ")</f>
        <v xml:space="preserve"> </v>
      </c>
      <c r="M233" s="8" t="str">
        <f>IF('Course 1'!$H231='tab1'!M$3,'Course 1'!$I231," ")</f>
        <v xml:space="preserve"> </v>
      </c>
      <c r="N233" s="9" t="str">
        <f>IF('Course 1'!$H231='tab1'!N$3,'Course 1'!$I231," ")</f>
        <v xml:space="preserve"> </v>
      </c>
    </row>
    <row r="234" spans="2:14">
      <c r="B234">
        <v>230</v>
      </c>
      <c r="C234" s="7" t="str">
        <f>IF('Course 1'!$H232='tab1'!C$3,'Course 1'!$I232," ")</f>
        <v xml:space="preserve"> </v>
      </c>
      <c r="D234" s="8" t="str">
        <f>IF('Course 1'!$H232='tab1'!D$3,'Course 1'!$I232," ")</f>
        <v xml:space="preserve"> </v>
      </c>
      <c r="E234" s="8" t="str">
        <f>IF('Course 1'!$H232='tab1'!E$3,'Course 1'!$I232," ")</f>
        <v xml:space="preserve"> </v>
      </c>
      <c r="F234" s="8" t="str">
        <f>IF('Course 1'!$H232='tab1'!F$3,'Course 1'!$I232," ")</f>
        <v xml:space="preserve"> </v>
      </c>
      <c r="G234" s="8" t="str">
        <f>IF('Course 1'!$H232='tab1'!G$3,'Course 1'!$I232," ")</f>
        <v xml:space="preserve"> </v>
      </c>
      <c r="H234" s="8" t="str">
        <f>IF('Course 1'!$H232='tab1'!H$3,'Course 1'!$I232," ")</f>
        <v xml:space="preserve"> </v>
      </c>
      <c r="I234" s="8" t="str">
        <f>IF('Course 1'!$H232='tab1'!I$3,'Course 1'!$I232," ")</f>
        <v xml:space="preserve"> </v>
      </c>
      <c r="J234" s="8" t="str">
        <f>IF('Course 1'!$H232='tab1'!J$3,'Course 1'!$I232," ")</f>
        <v xml:space="preserve"> </v>
      </c>
      <c r="K234" s="8" t="str">
        <f>IF('Course 1'!$H232='tab1'!K$3,'Course 1'!$I232," ")</f>
        <v xml:space="preserve"> </v>
      </c>
      <c r="L234" s="8" t="str">
        <f>IF('Course 1'!$H232='tab1'!L$3,'Course 1'!$I232," ")</f>
        <v xml:space="preserve"> </v>
      </c>
      <c r="M234" s="8" t="str">
        <f>IF('Course 1'!$H232='tab1'!M$3,'Course 1'!$I232," ")</f>
        <v xml:space="preserve"> </v>
      </c>
      <c r="N234" s="9" t="str">
        <f>IF('Course 1'!$H232='tab1'!N$3,'Course 1'!$I232," ")</f>
        <v xml:space="preserve"> </v>
      </c>
    </row>
    <row r="235" spans="2:14">
      <c r="B235">
        <v>231</v>
      </c>
      <c r="C235" s="7" t="str">
        <f>IF('Course 1'!$H233='tab1'!C$3,'Course 1'!$I233," ")</f>
        <v xml:space="preserve"> </v>
      </c>
      <c r="D235" s="8" t="str">
        <f>IF('Course 1'!$H233='tab1'!D$3,'Course 1'!$I233," ")</f>
        <v xml:space="preserve"> </v>
      </c>
      <c r="E235" s="8" t="str">
        <f>IF('Course 1'!$H233='tab1'!E$3,'Course 1'!$I233," ")</f>
        <v xml:space="preserve"> </v>
      </c>
      <c r="F235" s="8" t="str">
        <f>IF('Course 1'!$H233='tab1'!F$3,'Course 1'!$I233," ")</f>
        <v xml:space="preserve"> </v>
      </c>
      <c r="G235" s="8" t="str">
        <f>IF('Course 1'!$H233='tab1'!G$3,'Course 1'!$I233," ")</f>
        <v xml:space="preserve"> </v>
      </c>
      <c r="H235" s="8" t="str">
        <f>IF('Course 1'!$H233='tab1'!H$3,'Course 1'!$I233," ")</f>
        <v xml:space="preserve"> </v>
      </c>
      <c r="I235" s="8" t="str">
        <f>IF('Course 1'!$H233='tab1'!I$3,'Course 1'!$I233," ")</f>
        <v xml:space="preserve"> </v>
      </c>
      <c r="J235" s="8" t="str">
        <f>IF('Course 1'!$H233='tab1'!J$3,'Course 1'!$I233," ")</f>
        <v xml:space="preserve"> </v>
      </c>
      <c r="K235" s="8" t="str">
        <f>IF('Course 1'!$H233='tab1'!K$3,'Course 1'!$I233," ")</f>
        <v xml:space="preserve"> </v>
      </c>
      <c r="L235" s="8" t="str">
        <f>IF('Course 1'!$H233='tab1'!L$3,'Course 1'!$I233," ")</f>
        <v xml:space="preserve"> </v>
      </c>
      <c r="M235" s="8" t="str">
        <f>IF('Course 1'!$H233='tab1'!M$3,'Course 1'!$I233," ")</f>
        <v xml:space="preserve"> </v>
      </c>
      <c r="N235" s="9" t="str">
        <f>IF('Course 1'!$H233='tab1'!N$3,'Course 1'!$I233," ")</f>
        <v xml:space="preserve"> </v>
      </c>
    </row>
    <row r="236" spans="2:14">
      <c r="B236">
        <v>232</v>
      </c>
      <c r="C236" s="7" t="str">
        <f>IF('Course 1'!$H234='tab1'!C$3,'Course 1'!$I234," ")</f>
        <v xml:space="preserve"> </v>
      </c>
      <c r="D236" s="8" t="str">
        <f>IF('Course 1'!$H234='tab1'!D$3,'Course 1'!$I234," ")</f>
        <v xml:space="preserve"> </v>
      </c>
      <c r="E236" s="8" t="str">
        <f>IF('Course 1'!$H234='tab1'!E$3,'Course 1'!$I234," ")</f>
        <v xml:space="preserve"> </v>
      </c>
      <c r="F236" s="8" t="str">
        <f>IF('Course 1'!$H234='tab1'!F$3,'Course 1'!$I234," ")</f>
        <v xml:space="preserve"> </v>
      </c>
      <c r="G236" s="8" t="str">
        <f>IF('Course 1'!$H234='tab1'!G$3,'Course 1'!$I234," ")</f>
        <v xml:space="preserve"> </v>
      </c>
      <c r="H236" s="8" t="str">
        <f>IF('Course 1'!$H234='tab1'!H$3,'Course 1'!$I234," ")</f>
        <v xml:space="preserve"> </v>
      </c>
      <c r="I236" s="8" t="str">
        <f>IF('Course 1'!$H234='tab1'!I$3,'Course 1'!$I234," ")</f>
        <v xml:space="preserve"> </v>
      </c>
      <c r="J236" s="8" t="str">
        <f>IF('Course 1'!$H234='tab1'!J$3,'Course 1'!$I234," ")</f>
        <v xml:space="preserve"> </v>
      </c>
      <c r="K236" s="8" t="str">
        <f>IF('Course 1'!$H234='tab1'!K$3,'Course 1'!$I234," ")</f>
        <v xml:space="preserve"> </v>
      </c>
      <c r="L236" s="8" t="str">
        <f>IF('Course 1'!$H234='tab1'!L$3,'Course 1'!$I234," ")</f>
        <v xml:space="preserve"> </v>
      </c>
      <c r="M236" s="8" t="str">
        <f>IF('Course 1'!$H234='tab1'!M$3,'Course 1'!$I234," ")</f>
        <v xml:space="preserve"> </v>
      </c>
      <c r="N236" s="9" t="str">
        <f>IF('Course 1'!$H234='tab1'!N$3,'Course 1'!$I234," ")</f>
        <v xml:space="preserve"> </v>
      </c>
    </row>
    <row r="237" spans="2:14">
      <c r="B237">
        <v>233</v>
      </c>
      <c r="C237" s="7" t="str">
        <f>IF('Course 1'!$H235='tab1'!C$3,'Course 1'!$I235," ")</f>
        <v xml:space="preserve"> </v>
      </c>
      <c r="D237" s="8" t="str">
        <f>IF('Course 1'!$H235='tab1'!D$3,'Course 1'!$I235," ")</f>
        <v xml:space="preserve"> </v>
      </c>
      <c r="E237" s="8" t="str">
        <f>IF('Course 1'!$H235='tab1'!E$3,'Course 1'!$I235," ")</f>
        <v xml:space="preserve"> </v>
      </c>
      <c r="F237" s="8" t="str">
        <f>IF('Course 1'!$H235='tab1'!F$3,'Course 1'!$I235," ")</f>
        <v xml:space="preserve"> </v>
      </c>
      <c r="G237" s="8" t="str">
        <f>IF('Course 1'!$H235='tab1'!G$3,'Course 1'!$I235," ")</f>
        <v xml:space="preserve"> </v>
      </c>
      <c r="H237" s="8" t="str">
        <f>IF('Course 1'!$H235='tab1'!H$3,'Course 1'!$I235," ")</f>
        <v xml:space="preserve"> </v>
      </c>
      <c r="I237" s="8" t="str">
        <f>IF('Course 1'!$H235='tab1'!I$3,'Course 1'!$I235," ")</f>
        <v xml:space="preserve"> </v>
      </c>
      <c r="J237" s="8" t="str">
        <f>IF('Course 1'!$H235='tab1'!J$3,'Course 1'!$I235," ")</f>
        <v xml:space="preserve"> </v>
      </c>
      <c r="K237" s="8" t="str">
        <f>IF('Course 1'!$H235='tab1'!K$3,'Course 1'!$I235," ")</f>
        <v xml:space="preserve"> </v>
      </c>
      <c r="L237" s="8" t="str">
        <f>IF('Course 1'!$H235='tab1'!L$3,'Course 1'!$I235," ")</f>
        <v xml:space="preserve"> </v>
      </c>
      <c r="M237" s="8" t="str">
        <f>IF('Course 1'!$H235='tab1'!M$3,'Course 1'!$I235," ")</f>
        <v xml:space="preserve"> </v>
      </c>
      <c r="N237" s="9" t="str">
        <f>IF('Course 1'!$H235='tab1'!N$3,'Course 1'!$I235," ")</f>
        <v xml:space="preserve"> </v>
      </c>
    </row>
    <row r="238" spans="2:14">
      <c r="B238">
        <v>234</v>
      </c>
      <c r="C238" s="7" t="str">
        <f>IF('Course 1'!$H236='tab1'!C$3,'Course 1'!$I236," ")</f>
        <v xml:space="preserve"> </v>
      </c>
      <c r="D238" s="8" t="str">
        <f>IF('Course 1'!$H236='tab1'!D$3,'Course 1'!$I236," ")</f>
        <v xml:space="preserve"> </v>
      </c>
      <c r="E238" s="8" t="str">
        <f>IF('Course 1'!$H236='tab1'!E$3,'Course 1'!$I236," ")</f>
        <v xml:space="preserve"> </v>
      </c>
      <c r="F238" s="8" t="str">
        <f>IF('Course 1'!$H236='tab1'!F$3,'Course 1'!$I236," ")</f>
        <v xml:space="preserve"> </v>
      </c>
      <c r="G238" s="8" t="str">
        <f>IF('Course 1'!$H236='tab1'!G$3,'Course 1'!$I236," ")</f>
        <v xml:space="preserve"> </v>
      </c>
      <c r="H238" s="8" t="str">
        <f>IF('Course 1'!$H236='tab1'!H$3,'Course 1'!$I236," ")</f>
        <v xml:space="preserve"> </v>
      </c>
      <c r="I238" s="8" t="str">
        <f>IF('Course 1'!$H236='tab1'!I$3,'Course 1'!$I236," ")</f>
        <v xml:space="preserve"> </v>
      </c>
      <c r="J238" s="8" t="str">
        <f>IF('Course 1'!$H236='tab1'!J$3,'Course 1'!$I236," ")</f>
        <v xml:space="preserve"> </v>
      </c>
      <c r="K238" s="8" t="str">
        <f>IF('Course 1'!$H236='tab1'!K$3,'Course 1'!$I236," ")</f>
        <v xml:space="preserve"> </v>
      </c>
      <c r="L238" s="8" t="str">
        <f>IF('Course 1'!$H236='tab1'!L$3,'Course 1'!$I236," ")</f>
        <v xml:space="preserve"> </v>
      </c>
      <c r="M238" s="8" t="str">
        <f>IF('Course 1'!$H236='tab1'!M$3,'Course 1'!$I236," ")</f>
        <v xml:space="preserve"> </v>
      </c>
      <c r="N238" s="9" t="str">
        <f>IF('Course 1'!$H236='tab1'!N$3,'Course 1'!$I236," ")</f>
        <v xml:space="preserve"> </v>
      </c>
    </row>
    <row r="239" spans="2:14">
      <c r="B239">
        <v>235</v>
      </c>
      <c r="C239" s="7" t="str">
        <f>IF('Course 1'!$H237='tab1'!C$3,'Course 1'!$I237," ")</f>
        <v xml:space="preserve"> </v>
      </c>
      <c r="D239" s="8" t="str">
        <f>IF('Course 1'!$H237='tab1'!D$3,'Course 1'!$I237," ")</f>
        <v xml:space="preserve"> </v>
      </c>
      <c r="E239" s="8" t="str">
        <f>IF('Course 1'!$H237='tab1'!E$3,'Course 1'!$I237," ")</f>
        <v xml:space="preserve"> </v>
      </c>
      <c r="F239" s="8" t="str">
        <f>IF('Course 1'!$H237='tab1'!F$3,'Course 1'!$I237," ")</f>
        <v xml:space="preserve"> </v>
      </c>
      <c r="G239" s="8" t="str">
        <f>IF('Course 1'!$H237='tab1'!G$3,'Course 1'!$I237," ")</f>
        <v xml:space="preserve"> </v>
      </c>
      <c r="H239" s="8" t="str">
        <f>IF('Course 1'!$H237='tab1'!H$3,'Course 1'!$I237," ")</f>
        <v xml:space="preserve"> </v>
      </c>
      <c r="I239" s="8" t="str">
        <f>IF('Course 1'!$H237='tab1'!I$3,'Course 1'!$I237," ")</f>
        <v xml:space="preserve"> </v>
      </c>
      <c r="J239" s="8" t="str">
        <f>IF('Course 1'!$H237='tab1'!J$3,'Course 1'!$I237," ")</f>
        <v xml:space="preserve"> </v>
      </c>
      <c r="K239" s="8" t="str">
        <f>IF('Course 1'!$H237='tab1'!K$3,'Course 1'!$I237," ")</f>
        <v xml:space="preserve"> </v>
      </c>
      <c r="L239" s="8" t="str">
        <f>IF('Course 1'!$H237='tab1'!L$3,'Course 1'!$I237," ")</f>
        <v xml:space="preserve"> </v>
      </c>
      <c r="M239" s="8" t="str">
        <f>IF('Course 1'!$H237='tab1'!M$3,'Course 1'!$I237," ")</f>
        <v xml:space="preserve"> </v>
      </c>
      <c r="N239" s="9" t="str">
        <f>IF('Course 1'!$H237='tab1'!N$3,'Course 1'!$I237," ")</f>
        <v xml:space="preserve"> </v>
      </c>
    </row>
    <row r="240" spans="2:14">
      <c r="B240">
        <v>236</v>
      </c>
      <c r="C240" s="7" t="str">
        <f>IF('Course 1'!$H238='tab1'!C$3,'Course 1'!$I238," ")</f>
        <v xml:space="preserve"> </v>
      </c>
      <c r="D240" s="8" t="str">
        <f>IF('Course 1'!$H238='tab1'!D$3,'Course 1'!$I238," ")</f>
        <v xml:space="preserve"> </v>
      </c>
      <c r="E240" s="8" t="str">
        <f>IF('Course 1'!$H238='tab1'!E$3,'Course 1'!$I238," ")</f>
        <v xml:space="preserve"> </v>
      </c>
      <c r="F240" s="8" t="str">
        <f>IF('Course 1'!$H238='tab1'!F$3,'Course 1'!$I238," ")</f>
        <v xml:space="preserve"> </v>
      </c>
      <c r="G240" s="8" t="str">
        <f>IF('Course 1'!$H238='tab1'!G$3,'Course 1'!$I238," ")</f>
        <v xml:space="preserve"> </v>
      </c>
      <c r="H240" s="8" t="str">
        <f>IF('Course 1'!$H238='tab1'!H$3,'Course 1'!$I238," ")</f>
        <v xml:space="preserve"> </v>
      </c>
      <c r="I240" s="8" t="str">
        <f>IF('Course 1'!$H238='tab1'!I$3,'Course 1'!$I238," ")</f>
        <v xml:space="preserve"> </v>
      </c>
      <c r="J240" s="8" t="str">
        <f>IF('Course 1'!$H238='tab1'!J$3,'Course 1'!$I238," ")</f>
        <v xml:space="preserve"> </v>
      </c>
      <c r="K240" s="8" t="str">
        <f>IF('Course 1'!$H238='tab1'!K$3,'Course 1'!$I238," ")</f>
        <v xml:space="preserve"> </v>
      </c>
      <c r="L240" s="8" t="str">
        <f>IF('Course 1'!$H238='tab1'!L$3,'Course 1'!$I238," ")</f>
        <v xml:space="preserve"> </v>
      </c>
      <c r="M240" s="8" t="str">
        <f>IF('Course 1'!$H238='tab1'!M$3,'Course 1'!$I238," ")</f>
        <v xml:space="preserve"> </v>
      </c>
      <c r="N240" s="9" t="str">
        <f>IF('Course 1'!$H238='tab1'!N$3,'Course 1'!$I238," ")</f>
        <v xml:space="preserve"> </v>
      </c>
    </row>
    <row r="241" spans="2:14">
      <c r="B241">
        <v>237</v>
      </c>
      <c r="C241" s="7" t="str">
        <f>IF('Course 1'!$H239='tab1'!C$3,'Course 1'!$I239," ")</f>
        <v xml:space="preserve"> </v>
      </c>
      <c r="D241" s="8" t="str">
        <f>IF('Course 1'!$H239='tab1'!D$3,'Course 1'!$I239," ")</f>
        <v xml:space="preserve"> </v>
      </c>
      <c r="E241" s="8" t="str">
        <f>IF('Course 1'!$H239='tab1'!E$3,'Course 1'!$I239," ")</f>
        <v xml:space="preserve"> </v>
      </c>
      <c r="F241" s="8" t="str">
        <f>IF('Course 1'!$H239='tab1'!F$3,'Course 1'!$I239," ")</f>
        <v xml:space="preserve"> </v>
      </c>
      <c r="G241" s="8" t="str">
        <f>IF('Course 1'!$H239='tab1'!G$3,'Course 1'!$I239," ")</f>
        <v xml:space="preserve"> </v>
      </c>
      <c r="H241" s="8" t="str">
        <f>IF('Course 1'!$H239='tab1'!H$3,'Course 1'!$I239," ")</f>
        <v xml:space="preserve"> </v>
      </c>
      <c r="I241" s="8" t="str">
        <f>IF('Course 1'!$H239='tab1'!I$3,'Course 1'!$I239," ")</f>
        <v xml:space="preserve"> </v>
      </c>
      <c r="J241" s="8" t="str">
        <f>IF('Course 1'!$H239='tab1'!J$3,'Course 1'!$I239," ")</f>
        <v xml:space="preserve"> </v>
      </c>
      <c r="K241" s="8" t="str">
        <f>IF('Course 1'!$H239='tab1'!K$3,'Course 1'!$I239," ")</f>
        <v xml:space="preserve"> </v>
      </c>
      <c r="L241" s="8" t="str">
        <f>IF('Course 1'!$H239='tab1'!L$3,'Course 1'!$I239," ")</f>
        <v xml:space="preserve"> </v>
      </c>
      <c r="M241" s="8" t="str">
        <f>IF('Course 1'!$H239='tab1'!M$3,'Course 1'!$I239," ")</f>
        <v xml:space="preserve"> </v>
      </c>
      <c r="N241" s="9" t="str">
        <f>IF('Course 1'!$H239='tab1'!N$3,'Course 1'!$I239," ")</f>
        <v xml:space="preserve"> </v>
      </c>
    </row>
    <row r="242" spans="2:14">
      <c r="B242">
        <v>238</v>
      </c>
      <c r="C242" s="7" t="str">
        <f>IF('Course 1'!$H240='tab1'!C$3,'Course 1'!$I240," ")</f>
        <v xml:space="preserve"> </v>
      </c>
      <c r="D242" s="8" t="str">
        <f>IF('Course 1'!$H240='tab1'!D$3,'Course 1'!$I240," ")</f>
        <v xml:space="preserve"> </v>
      </c>
      <c r="E242" s="8" t="str">
        <f>IF('Course 1'!$H240='tab1'!E$3,'Course 1'!$I240," ")</f>
        <v xml:space="preserve"> </v>
      </c>
      <c r="F242" s="8" t="str">
        <f>IF('Course 1'!$H240='tab1'!F$3,'Course 1'!$I240," ")</f>
        <v xml:space="preserve"> </v>
      </c>
      <c r="G242" s="8" t="str">
        <f>IF('Course 1'!$H240='tab1'!G$3,'Course 1'!$I240," ")</f>
        <v xml:space="preserve"> </v>
      </c>
      <c r="H242" s="8" t="str">
        <f>IF('Course 1'!$H240='tab1'!H$3,'Course 1'!$I240," ")</f>
        <v xml:space="preserve"> </v>
      </c>
      <c r="I242" s="8" t="str">
        <f>IF('Course 1'!$H240='tab1'!I$3,'Course 1'!$I240," ")</f>
        <v xml:space="preserve"> </v>
      </c>
      <c r="J242" s="8" t="str">
        <f>IF('Course 1'!$H240='tab1'!J$3,'Course 1'!$I240," ")</f>
        <v xml:space="preserve"> </v>
      </c>
      <c r="K242" s="8" t="str">
        <f>IF('Course 1'!$H240='tab1'!K$3,'Course 1'!$I240," ")</f>
        <v xml:space="preserve"> </v>
      </c>
      <c r="L242" s="8" t="str">
        <f>IF('Course 1'!$H240='tab1'!L$3,'Course 1'!$I240," ")</f>
        <v xml:space="preserve"> </v>
      </c>
      <c r="M242" s="8" t="str">
        <f>IF('Course 1'!$H240='tab1'!M$3,'Course 1'!$I240," ")</f>
        <v xml:space="preserve"> </v>
      </c>
      <c r="N242" s="9" t="str">
        <f>IF('Course 1'!$H240='tab1'!N$3,'Course 1'!$I240," ")</f>
        <v xml:space="preserve"> </v>
      </c>
    </row>
    <row r="243" spans="2:14">
      <c r="B243">
        <v>239</v>
      </c>
      <c r="C243" s="7" t="str">
        <f>IF('Course 1'!$H241='tab1'!C$3,'Course 1'!$I241," ")</f>
        <v xml:space="preserve"> </v>
      </c>
      <c r="D243" s="8" t="str">
        <f>IF('Course 1'!$H241='tab1'!D$3,'Course 1'!$I241," ")</f>
        <v xml:space="preserve"> </v>
      </c>
      <c r="E243" s="8" t="str">
        <f>IF('Course 1'!$H241='tab1'!E$3,'Course 1'!$I241," ")</f>
        <v xml:space="preserve"> </v>
      </c>
      <c r="F243" s="8" t="str">
        <f>IF('Course 1'!$H241='tab1'!F$3,'Course 1'!$I241," ")</f>
        <v xml:space="preserve"> </v>
      </c>
      <c r="G243" s="8" t="str">
        <f>IF('Course 1'!$H241='tab1'!G$3,'Course 1'!$I241," ")</f>
        <v xml:space="preserve"> </v>
      </c>
      <c r="H243" s="8" t="str">
        <f>IF('Course 1'!$H241='tab1'!H$3,'Course 1'!$I241," ")</f>
        <v xml:space="preserve"> </v>
      </c>
      <c r="I243" s="8" t="str">
        <f>IF('Course 1'!$H241='tab1'!I$3,'Course 1'!$I241," ")</f>
        <v xml:space="preserve"> </v>
      </c>
      <c r="J243" s="8" t="str">
        <f>IF('Course 1'!$H241='tab1'!J$3,'Course 1'!$I241," ")</f>
        <v xml:space="preserve"> </v>
      </c>
      <c r="K243" s="8" t="str">
        <f>IF('Course 1'!$H241='tab1'!K$3,'Course 1'!$I241," ")</f>
        <v xml:space="preserve"> </v>
      </c>
      <c r="L243" s="8" t="str">
        <f>IF('Course 1'!$H241='tab1'!L$3,'Course 1'!$I241," ")</f>
        <v xml:space="preserve"> </v>
      </c>
      <c r="M243" s="8" t="str">
        <f>IF('Course 1'!$H241='tab1'!M$3,'Course 1'!$I241," ")</f>
        <v xml:space="preserve"> </v>
      </c>
      <c r="N243" s="9" t="str">
        <f>IF('Course 1'!$H241='tab1'!N$3,'Course 1'!$I241," ")</f>
        <v xml:space="preserve"> </v>
      </c>
    </row>
    <row r="244" spans="2:14">
      <c r="B244">
        <v>240</v>
      </c>
      <c r="C244" s="7" t="str">
        <f>IF('Course 1'!$H242='tab1'!C$3,'Course 1'!$I242," ")</f>
        <v xml:space="preserve"> </v>
      </c>
      <c r="D244" s="8" t="str">
        <f>IF('Course 1'!$H242='tab1'!D$3,'Course 1'!$I242," ")</f>
        <v xml:space="preserve"> </v>
      </c>
      <c r="E244" s="8" t="str">
        <f>IF('Course 1'!$H242='tab1'!E$3,'Course 1'!$I242," ")</f>
        <v xml:space="preserve"> </v>
      </c>
      <c r="F244" s="8" t="str">
        <f>IF('Course 1'!$H242='tab1'!F$3,'Course 1'!$I242," ")</f>
        <v xml:space="preserve"> </v>
      </c>
      <c r="G244" s="8" t="str">
        <f>IF('Course 1'!$H242='tab1'!G$3,'Course 1'!$I242," ")</f>
        <v xml:space="preserve"> </v>
      </c>
      <c r="H244" s="8" t="str">
        <f>IF('Course 1'!$H242='tab1'!H$3,'Course 1'!$I242," ")</f>
        <v xml:space="preserve"> </v>
      </c>
      <c r="I244" s="8" t="str">
        <f>IF('Course 1'!$H242='tab1'!I$3,'Course 1'!$I242," ")</f>
        <v xml:space="preserve"> </v>
      </c>
      <c r="J244" s="8" t="str">
        <f>IF('Course 1'!$H242='tab1'!J$3,'Course 1'!$I242," ")</f>
        <v xml:space="preserve"> </v>
      </c>
      <c r="K244" s="8" t="str">
        <f>IF('Course 1'!$H242='tab1'!K$3,'Course 1'!$I242," ")</f>
        <v xml:space="preserve"> </v>
      </c>
      <c r="L244" s="8" t="str">
        <f>IF('Course 1'!$H242='tab1'!L$3,'Course 1'!$I242," ")</f>
        <v xml:space="preserve"> </v>
      </c>
      <c r="M244" s="8" t="str">
        <f>IF('Course 1'!$H242='tab1'!M$3,'Course 1'!$I242," ")</f>
        <v xml:space="preserve"> </v>
      </c>
      <c r="N244" s="9" t="str">
        <f>IF('Course 1'!$H242='tab1'!N$3,'Course 1'!$I242," ")</f>
        <v xml:space="preserve"> </v>
      </c>
    </row>
    <row r="245" spans="2:14">
      <c r="B245">
        <v>241</v>
      </c>
      <c r="C245" s="7" t="str">
        <f>IF('Course 1'!$H243='tab1'!C$3,'Course 1'!$I243," ")</f>
        <v xml:space="preserve"> </v>
      </c>
      <c r="D245" s="8" t="str">
        <f>IF('Course 1'!$H243='tab1'!D$3,'Course 1'!$I243," ")</f>
        <v xml:space="preserve"> </v>
      </c>
      <c r="E245" s="8" t="str">
        <f>IF('Course 1'!$H243='tab1'!E$3,'Course 1'!$I243," ")</f>
        <v xml:space="preserve"> </v>
      </c>
      <c r="F245" s="8" t="str">
        <f>IF('Course 1'!$H243='tab1'!F$3,'Course 1'!$I243," ")</f>
        <v xml:space="preserve"> </v>
      </c>
      <c r="G245" s="8" t="str">
        <f>IF('Course 1'!$H243='tab1'!G$3,'Course 1'!$I243," ")</f>
        <v xml:space="preserve"> </v>
      </c>
      <c r="H245" s="8" t="str">
        <f>IF('Course 1'!$H243='tab1'!H$3,'Course 1'!$I243," ")</f>
        <v xml:space="preserve"> </v>
      </c>
      <c r="I245" s="8" t="str">
        <f>IF('Course 1'!$H243='tab1'!I$3,'Course 1'!$I243," ")</f>
        <v xml:space="preserve"> </v>
      </c>
      <c r="J245" s="8" t="str">
        <f>IF('Course 1'!$H243='tab1'!J$3,'Course 1'!$I243," ")</f>
        <v xml:space="preserve"> </v>
      </c>
      <c r="K245" s="8" t="str">
        <f>IF('Course 1'!$H243='tab1'!K$3,'Course 1'!$I243," ")</f>
        <v xml:space="preserve"> </v>
      </c>
      <c r="L245" s="8" t="str">
        <f>IF('Course 1'!$H243='tab1'!L$3,'Course 1'!$I243," ")</f>
        <v xml:space="preserve"> </v>
      </c>
      <c r="M245" s="8" t="str">
        <f>IF('Course 1'!$H243='tab1'!M$3,'Course 1'!$I243," ")</f>
        <v xml:space="preserve"> </v>
      </c>
      <c r="N245" s="9" t="str">
        <f>IF('Course 1'!$H243='tab1'!N$3,'Course 1'!$I243," ")</f>
        <v xml:space="preserve"> </v>
      </c>
    </row>
    <row r="246" spans="2:14">
      <c r="B246">
        <v>242</v>
      </c>
      <c r="C246" s="7" t="str">
        <f>IF('Course 1'!$H244='tab1'!C$3,'Course 1'!$I244," ")</f>
        <v xml:space="preserve"> </v>
      </c>
      <c r="D246" s="8" t="str">
        <f>IF('Course 1'!$H244='tab1'!D$3,'Course 1'!$I244," ")</f>
        <v xml:space="preserve"> </v>
      </c>
      <c r="E246" s="8" t="str">
        <f>IF('Course 1'!$H244='tab1'!E$3,'Course 1'!$I244," ")</f>
        <v xml:space="preserve"> </v>
      </c>
      <c r="F246" s="8" t="str">
        <f>IF('Course 1'!$H244='tab1'!F$3,'Course 1'!$I244," ")</f>
        <v xml:space="preserve"> </v>
      </c>
      <c r="G246" s="8" t="str">
        <f>IF('Course 1'!$H244='tab1'!G$3,'Course 1'!$I244," ")</f>
        <v xml:space="preserve"> </v>
      </c>
      <c r="H246" s="8" t="str">
        <f>IF('Course 1'!$H244='tab1'!H$3,'Course 1'!$I244," ")</f>
        <v xml:space="preserve"> </v>
      </c>
      <c r="I246" s="8" t="str">
        <f>IF('Course 1'!$H244='tab1'!I$3,'Course 1'!$I244," ")</f>
        <v xml:space="preserve"> </v>
      </c>
      <c r="J246" s="8" t="str">
        <f>IF('Course 1'!$H244='tab1'!J$3,'Course 1'!$I244," ")</f>
        <v xml:space="preserve"> </v>
      </c>
      <c r="K246" s="8" t="str">
        <f>IF('Course 1'!$H244='tab1'!K$3,'Course 1'!$I244," ")</f>
        <v xml:space="preserve"> </v>
      </c>
      <c r="L246" s="8" t="str">
        <f>IF('Course 1'!$H244='tab1'!L$3,'Course 1'!$I244," ")</f>
        <v xml:space="preserve"> </v>
      </c>
      <c r="M246" s="8" t="str">
        <f>IF('Course 1'!$H244='tab1'!M$3,'Course 1'!$I244," ")</f>
        <v xml:space="preserve"> </v>
      </c>
      <c r="N246" s="9" t="str">
        <f>IF('Course 1'!$H244='tab1'!N$3,'Course 1'!$I244," ")</f>
        <v xml:space="preserve"> </v>
      </c>
    </row>
    <row r="247" spans="2:14">
      <c r="B247">
        <v>243</v>
      </c>
      <c r="C247" s="7" t="str">
        <f>IF('Course 1'!$H245='tab1'!C$3,'Course 1'!$I245," ")</f>
        <v xml:space="preserve"> </v>
      </c>
      <c r="D247" s="8" t="str">
        <f>IF('Course 1'!$H245='tab1'!D$3,'Course 1'!$I245," ")</f>
        <v xml:space="preserve"> </v>
      </c>
      <c r="E247" s="8" t="str">
        <f>IF('Course 1'!$H245='tab1'!E$3,'Course 1'!$I245," ")</f>
        <v xml:space="preserve"> </v>
      </c>
      <c r="F247" s="8" t="str">
        <f>IF('Course 1'!$H245='tab1'!F$3,'Course 1'!$I245," ")</f>
        <v xml:space="preserve"> </v>
      </c>
      <c r="G247" s="8" t="str">
        <f>IF('Course 1'!$H245='tab1'!G$3,'Course 1'!$I245," ")</f>
        <v xml:space="preserve"> </v>
      </c>
      <c r="H247" s="8" t="str">
        <f>IF('Course 1'!$H245='tab1'!H$3,'Course 1'!$I245," ")</f>
        <v xml:space="preserve"> </v>
      </c>
      <c r="I247" s="8" t="str">
        <f>IF('Course 1'!$H245='tab1'!I$3,'Course 1'!$I245," ")</f>
        <v xml:space="preserve"> </v>
      </c>
      <c r="J247" s="8" t="str">
        <f>IF('Course 1'!$H245='tab1'!J$3,'Course 1'!$I245," ")</f>
        <v xml:space="preserve"> </v>
      </c>
      <c r="K247" s="8" t="str">
        <f>IF('Course 1'!$H245='tab1'!K$3,'Course 1'!$I245," ")</f>
        <v xml:space="preserve"> </v>
      </c>
      <c r="L247" s="8" t="str">
        <f>IF('Course 1'!$H245='tab1'!L$3,'Course 1'!$I245," ")</f>
        <v xml:space="preserve"> </v>
      </c>
      <c r="M247" s="8" t="str">
        <f>IF('Course 1'!$H245='tab1'!M$3,'Course 1'!$I245," ")</f>
        <v xml:space="preserve"> </v>
      </c>
      <c r="N247" s="9" t="str">
        <f>IF('Course 1'!$H245='tab1'!N$3,'Course 1'!$I245," ")</f>
        <v xml:space="preserve"> </v>
      </c>
    </row>
    <row r="248" spans="2:14">
      <c r="B248">
        <v>244</v>
      </c>
      <c r="C248" s="7" t="str">
        <f>IF('Course 1'!$H246='tab1'!C$3,'Course 1'!$I246," ")</f>
        <v xml:space="preserve"> </v>
      </c>
      <c r="D248" s="8" t="str">
        <f>IF('Course 1'!$H246='tab1'!D$3,'Course 1'!$I246," ")</f>
        <v xml:space="preserve"> </v>
      </c>
      <c r="E248" s="8" t="str">
        <f>IF('Course 1'!$H246='tab1'!E$3,'Course 1'!$I246," ")</f>
        <v xml:space="preserve"> </v>
      </c>
      <c r="F248" s="8" t="str">
        <f>IF('Course 1'!$H246='tab1'!F$3,'Course 1'!$I246," ")</f>
        <v xml:space="preserve"> </v>
      </c>
      <c r="G248" s="8" t="str">
        <f>IF('Course 1'!$H246='tab1'!G$3,'Course 1'!$I246," ")</f>
        <v xml:space="preserve"> </v>
      </c>
      <c r="H248" s="8" t="str">
        <f>IF('Course 1'!$H246='tab1'!H$3,'Course 1'!$I246," ")</f>
        <v xml:space="preserve"> </v>
      </c>
      <c r="I248" s="8" t="str">
        <f>IF('Course 1'!$H246='tab1'!I$3,'Course 1'!$I246," ")</f>
        <v xml:space="preserve"> </v>
      </c>
      <c r="J248" s="8" t="str">
        <f>IF('Course 1'!$H246='tab1'!J$3,'Course 1'!$I246," ")</f>
        <v xml:space="preserve"> </v>
      </c>
      <c r="K248" s="8" t="str">
        <f>IF('Course 1'!$H246='tab1'!K$3,'Course 1'!$I246," ")</f>
        <v xml:space="preserve"> </v>
      </c>
      <c r="L248" s="8" t="str">
        <f>IF('Course 1'!$H246='tab1'!L$3,'Course 1'!$I246," ")</f>
        <v xml:space="preserve"> </v>
      </c>
      <c r="M248" s="8" t="str">
        <f>IF('Course 1'!$H246='tab1'!M$3,'Course 1'!$I246," ")</f>
        <v xml:space="preserve"> </v>
      </c>
      <c r="N248" s="9" t="str">
        <f>IF('Course 1'!$H246='tab1'!N$3,'Course 1'!$I246," ")</f>
        <v xml:space="preserve"> </v>
      </c>
    </row>
    <row r="249" spans="2:14">
      <c r="B249">
        <v>245</v>
      </c>
      <c r="C249" s="7" t="str">
        <f>IF('Course 1'!$H247='tab1'!C$3,'Course 1'!$I247," ")</f>
        <v xml:space="preserve"> </v>
      </c>
      <c r="D249" s="8" t="str">
        <f>IF('Course 1'!$H247='tab1'!D$3,'Course 1'!$I247," ")</f>
        <v xml:space="preserve"> </v>
      </c>
      <c r="E249" s="8" t="str">
        <f>IF('Course 1'!$H247='tab1'!E$3,'Course 1'!$I247," ")</f>
        <v xml:space="preserve"> </v>
      </c>
      <c r="F249" s="8" t="str">
        <f>IF('Course 1'!$H247='tab1'!F$3,'Course 1'!$I247," ")</f>
        <v xml:space="preserve"> </v>
      </c>
      <c r="G249" s="8" t="str">
        <f>IF('Course 1'!$H247='tab1'!G$3,'Course 1'!$I247," ")</f>
        <v xml:space="preserve"> </v>
      </c>
      <c r="H249" s="8" t="str">
        <f>IF('Course 1'!$H247='tab1'!H$3,'Course 1'!$I247," ")</f>
        <v xml:space="preserve"> </v>
      </c>
      <c r="I249" s="8" t="str">
        <f>IF('Course 1'!$H247='tab1'!I$3,'Course 1'!$I247," ")</f>
        <v xml:space="preserve"> </v>
      </c>
      <c r="J249" s="8" t="str">
        <f>IF('Course 1'!$H247='tab1'!J$3,'Course 1'!$I247," ")</f>
        <v xml:space="preserve"> </v>
      </c>
      <c r="K249" s="8" t="str">
        <f>IF('Course 1'!$H247='tab1'!K$3,'Course 1'!$I247," ")</f>
        <v xml:space="preserve"> </v>
      </c>
      <c r="L249" s="8" t="str">
        <f>IF('Course 1'!$H247='tab1'!L$3,'Course 1'!$I247," ")</f>
        <v xml:space="preserve"> </v>
      </c>
      <c r="M249" s="8" t="str">
        <f>IF('Course 1'!$H247='tab1'!M$3,'Course 1'!$I247," ")</f>
        <v xml:space="preserve"> </v>
      </c>
      <c r="N249" s="9" t="str">
        <f>IF('Course 1'!$H247='tab1'!N$3,'Course 1'!$I247," ")</f>
        <v xml:space="preserve"> </v>
      </c>
    </row>
    <row r="250" spans="2:14">
      <c r="B250">
        <v>246</v>
      </c>
      <c r="C250" s="7" t="str">
        <f>IF('Course 1'!$H248='tab1'!C$3,'Course 1'!$I248," ")</f>
        <v xml:space="preserve"> </v>
      </c>
      <c r="D250" s="8" t="str">
        <f>IF('Course 1'!$H248='tab1'!D$3,'Course 1'!$I248," ")</f>
        <v xml:space="preserve"> </v>
      </c>
      <c r="E250" s="8" t="str">
        <f>IF('Course 1'!$H248='tab1'!E$3,'Course 1'!$I248," ")</f>
        <v xml:space="preserve"> </v>
      </c>
      <c r="F250" s="8" t="str">
        <f>IF('Course 1'!$H248='tab1'!F$3,'Course 1'!$I248," ")</f>
        <v xml:space="preserve"> </v>
      </c>
      <c r="G250" s="8" t="str">
        <f>IF('Course 1'!$H248='tab1'!G$3,'Course 1'!$I248," ")</f>
        <v xml:space="preserve"> </v>
      </c>
      <c r="H250" s="8" t="str">
        <f>IF('Course 1'!$H248='tab1'!H$3,'Course 1'!$I248," ")</f>
        <v xml:space="preserve"> </v>
      </c>
      <c r="I250" s="8" t="str">
        <f>IF('Course 1'!$H248='tab1'!I$3,'Course 1'!$I248," ")</f>
        <v xml:space="preserve"> </v>
      </c>
      <c r="J250" s="8" t="str">
        <f>IF('Course 1'!$H248='tab1'!J$3,'Course 1'!$I248," ")</f>
        <v xml:space="preserve"> </v>
      </c>
      <c r="K250" s="8" t="str">
        <f>IF('Course 1'!$H248='tab1'!K$3,'Course 1'!$I248," ")</f>
        <v xml:space="preserve"> </v>
      </c>
      <c r="L250" s="8" t="str">
        <f>IF('Course 1'!$H248='tab1'!L$3,'Course 1'!$I248," ")</f>
        <v xml:space="preserve"> </v>
      </c>
      <c r="M250" s="8" t="str">
        <f>IF('Course 1'!$H248='tab1'!M$3,'Course 1'!$I248," ")</f>
        <v xml:space="preserve"> </v>
      </c>
      <c r="N250" s="9" t="str">
        <f>IF('Course 1'!$H248='tab1'!N$3,'Course 1'!$I248," ")</f>
        <v xml:space="preserve"> </v>
      </c>
    </row>
    <row r="251" spans="2:14">
      <c r="B251">
        <v>247</v>
      </c>
      <c r="C251" s="7" t="str">
        <f>IF('Course 1'!$H249='tab1'!C$3,'Course 1'!$I249," ")</f>
        <v xml:space="preserve"> </v>
      </c>
      <c r="D251" s="8" t="str">
        <f>IF('Course 1'!$H249='tab1'!D$3,'Course 1'!$I249," ")</f>
        <v xml:space="preserve"> </v>
      </c>
      <c r="E251" s="8" t="str">
        <f>IF('Course 1'!$H249='tab1'!E$3,'Course 1'!$I249," ")</f>
        <v xml:space="preserve"> </v>
      </c>
      <c r="F251" s="8" t="str">
        <f>IF('Course 1'!$H249='tab1'!F$3,'Course 1'!$I249," ")</f>
        <v xml:space="preserve"> </v>
      </c>
      <c r="G251" s="8" t="str">
        <f>IF('Course 1'!$H249='tab1'!G$3,'Course 1'!$I249," ")</f>
        <v xml:space="preserve"> </v>
      </c>
      <c r="H251" s="8" t="str">
        <f>IF('Course 1'!$H249='tab1'!H$3,'Course 1'!$I249," ")</f>
        <v xml:space="preserve"> </v>
      </c>
      <c r="I251" s="8" t="str">
        <f>IF('Course 1'!$H249='tab1'!I$3,'Course 1'!$I249," ")</f>
        <v xml:space="preserve"> </v>
      </c>
      <c r="J251" s="8" t="str">
        <f>IF('Course 1'!$H249='tab1'!J$3,'Course 1'!$I249," ")</f>
        <v xml:space="preserve"> </v>
      </c>
      <c r="K251" s="8" t="str">
        <f>IF('Course 1'!$H249='tab1'!K$3,'Course 1'!$I249," ")</f>
        <v xml:space="preserve"> </v>
      </c>
      <c r="L251" s="8" t="str">
        <f>IF('Course 1'!$H249='tab1'!L$3,'Course 1'!$I249," ")</f>
        <v xml:space="preserve"> </v>
      </c>
      <c r="M251" s="8" t="str">
        <f>IF('Course 1'!$H249='tab1'!M$3,'Course 1'!$I249," ")</f>
        <v xml:space="preserve"> </v>
      </c>
      <c r="N251" s="9" t="str">
        <f>IF('Course 1'!$H249='tab1'!N$3,'Course 1'!$I249," ")</f>
        <v xml:space="preserve"> </v>
      </c>
    </row>
    <row r="252" spans="2:14">
      <c r="B252">
        <v>248</v>
      </c>
      <c r="C252" s="7" t="str">
        <f>IF('Course 1'!$H250='tab1'!C$3,'Course 1'!$I250," ")</f>
        <v xml:space="preserve"> </v>
      </c>
      <c r="D252" s="8" t="str">
        <f>IF('Course 1'!$H250='tab1'!D$3,'Course 1'!$I250," ")</f>
        <v xml:space="preserve"> </v>
      </c>
      <c r="E252" s="8" t="str">
        <f>IF('Course 1'!$H250='tab1'!E$3,'Course 1'!$I250," ")</f>
        <v xml:space="preserve"> </v>
      </c>
      <c r="F252" s="8" t="str">
        <f>IF('Course 1'!$H250='tab1'!F$3,'Course 1'!$I250," ")</f>
        <v xml:space="preserve"> </v>
      </c>
      <c r="G252" s="8" t="str">
        <f>IF('Course 1'!$H250='tab1'!G$3,'Course 1'!$I250," ")</f>
        <v xml:space="preserve"> </v>
      </c>
      <c r="H252" s="8" t="str">
        <f>IF('Course 1'!$H250='tab1'!H$3,'Course 1'!$I250," ")</f>
        <v xml:space="preserve"> </v>
      </c>
      <c r="I252" s="8" t="str">
        <f>IF('Course 1'!$H250='tab1'!I$3,'Course 1'!$I250," ")</f>
        <v xml:space="preserve"> </v>
      </c>
      <c r="J252" s="8" t="str">
        <f>IF('Course 1'!$H250='tab1'!J$3,'Course 1'!$I250," ")</f>
        <v xml:space="preserve"> </v>
      </c>
      <c r="K252" s="8" t="str">
        <f>IF('Course 1'!$H250='tab1'!K$3,'Course 1'!$I250," ")</f>
        <v xml:space="preserve"> </v>
      </c>
      <c r="L252" s="8" t="str">
        <f>IF('Course 1'!$H250='tab1'!L$3,'Course 1'!$I250," ")</f>
        <v xml:space="preserve"> </v>
      </c>
      <c r="M252" s="8" t="str">
        <f>IF('Course 1'!$H250='tab1'!M$3,'Course 1'!$I250," ")</f>
        <v xml:space="preserve"> </v>
      </c>
      <c r="N252" s="9" t="str">
        <f>IF('Course 1'!$H250='tab1'!N$3,'Course 1'!$I250," ")</f>
        <v xml:space="preserve"> </v>
      </c>
    </row>
    <row r="253" spans="2:14">
      <c r="B253">
        <v>249</v>
      </c>
      <c r="C253" s="7" t="str">
        <f>IF('Course 1'!$H251='tab1'!C$3,'Course 1'!$I251," ")</f>
        <v xml:space="preserve"> </v>
      </c>
      <c r="D253" s="8" t="str">
        <f>IF('Course 1'!$H251='tab1'!D$3,'Course 1'!$I251," ")</f>
        <v xml:space="preserve"> </v>
      </c>
      <c r="E253" s="8" t="str">
        <f>IF('Course 1'!$H251='tab1'!E$3,'Course 1'!$I251," ")</f>
        <v xml:space="preserve"> </v>
      </c>
      <c r="F253" s="8" t="str">
        <f>IF('Course 1'!$H251='tab1'!F$3,'Course 1'!$I251," ")</f>
        <v xml:space="preserve"> </v>
      </c>
      <c r="G253" s="8" t="str">
        <f>IF('Course 1'!$H251='tab1'!G$3,'Course 1'!$I251," ")</f>
        <v xml:space="preserve"> </v>
      </c>
      <c r="H253" s="8" t="str">
        <f>IF('Course 1'!$H251='tab1'!H$3,'Course 1'!$I251," ")</f>
        <v xml:space="preserve"> </v>
      </c>
      <c r="I253" s="8" t="str">
        <f>IF('Course 1'!$H251='tab1'!I$3,'Course 1'!$I251," ")</f>
        <v xml:space="preserve"> </v>
      </c>
      <c r="J253" s="8" t="str">
        <f>IF('Course 1'!$H251='tab1'!J$3,'Course 1'!$I251," ")</f>
        <v xml:space="preserve"> </v>
      </c>
      <c r="K253" s="8" t="str">
        <f>IF('Course 1'!$H251='tab1'!K$3,'Course 1'!$I251," ")</f>
        <v xml:space="preserve"> </v>
      </c>
      <c r="L253" s="8" t="str">
        <f>IF('Course 1'!$H251='tab1'!L$3,'Course 1'!$I251," ")</f>
        <v xml:space="preserve"> </v>
      </c>
      <c r="M253" s="8" t="str">
        <f>IF('Course 1'!$H251='tab1'!M$3,'Course 1'!$I251," ")</f>
        <v xml:space="preserve"> </v>
      </c>
      <c r="N253" s="9" t="str">
        <f>IF('Course 1'!$H251='tab1'!N$3,'Course 1'!$I251," ")</f>
        <v xml:space="preserve"> </v>
      </c>
    </row>
    <row r="254" spans="2:14">
      <c r="B254">
        <v>250</v>
      </c>
      <c r="C254" s="7" t="str">
        <f>IF('Course 1'!$H252='tab1'!C$3,'Course 1'!$I252," ")</f>
        <v xml:space="preserve"> </v>
      </c>
      <c r="D254" s="8" t="str">
        <f>IF('Course 1'!$H252='tab1'!D$3,'Course 1'!$I252," ")</f>
        <v xml:space="preserve"> </v>
      </c>
      <c r="E254" s="8" t="str">
        <f>IF('Course 1'!$H252='tab1'!E$3,'Course 1'!$I252," ")</f>
        <v xml:space="preserve"> </v>
      </c>
      <c r="F254" s="8" t="str">
        <f>IF('Course 1'!$H252='tab1'!F$3,'Course 1'!$I252," ")</f>
        <v xml:space="preserve"> </v>
      </c>
      <c r="G254" s="8" t="str">
        <f>IF('Course 1'!$H252='tab1'!G$3,'Course 1'!$I252," ")</f>
        <v xml:space="preserve"> </v>
      </c>
      <c r="H254" s="8" t="str">
        <f>IF('Course 1'!$H252='tab1'!H$3,'Course 1'!$I252," ")</f>
        <v xml:space="preserve"> </v>
      </c>
      <c r="I254" s="8" t="str">
        <f>IF('Course 1'!$H252='tab1'!I$3,'Course 1'!$I252," ")</f>
        <v xml:space="preserve"> </v>
      </c>
      <c r="J254" s="8" t="str">
        <f>IF('Course 1'!$H252='tab1'!J$3,'Course 1'!$I252," ")</f>
        <v xml:space="preserve"> </v>
      </c>
      <c r="K254" s="8" t="str">
        <f>IF('Course 1'!$H252='tab1'!K$3,'Course 1'!$I252," ")</f>
        <v xml:space="preserve"> </v>
      </c>
      <c r="L254" s="8" t="str">
        <f>IF('Course 1'!$H252='tab1'!L$3,'Course 1'!$I252," ")</f>
        <v xml:space="preserve"> </v>
      </c>
      <c r="M254" s="8" t="str">
        <f>IF('Course 1'!$H252='tab1'!M$3,'Course 1'!$I252," ")</f>
        <v xml:space="preserve"> </v>
      </c>
      <c r="N254" s="9" t="str">
        <f>IF('Course 1'!$H252='tab1'!N$3,'Course 1'!$I252," ")</f>
        <v xml:space="preserve"> </v>
      </c>
    </row>
    <row r="255" spans="2:14">
      <c r="B255">
        <v>251</v>
      </c>
      <c r="C255" s="7" t="str">
        <f>IF('Course 1'!$H253='tab1'!C$3,'Course 1'!$I253," ")</f>
        <v xml:space="preserve"> </v>
      </c>
      <c r="D255" s="8" t="str">
        <f>IF('Course 1'!$H253='tab1'!D$3,'Course 1'!$I253," ")</f>
        <v xml:space="preserve"> </v>
      </c>
      <c r="E255" s="8" t="str">
        <f>IF('Course 1'!$H253='tab1'!E$3,'Course 1'!$I253," ")</f>
        <v xml:space="preserve"> </v>
      </c>
      <c r="F255" s="8" t="str">
        <f>IF('Course 1'!$H253='tab1'!F$3,'Course 1'!$I253," ")</f>
        <v xml:space="preserve"> </v>
      </c>
      <c r="G255" s="8" t="str">
        <f>IF('Course 1'!$H253='tab1'!G$3,'Course 1'!$I253," ")</f>
        <v xml:space="preserve"> </v>
      </c>
      <c r="H255" s="8" t="str">
        <f>IF('Course 1'!$H253='tab1'!H$3,'Course 1'!$I253," ")</f>
        <v xml:space="preserve"> </v>
      </c>
      <c r="I255" s="8" t="str">
        <f>IF('Course 1'!$H253='tab1'!I$3,'Course 1'!$I253," ")</f>
        <v xml:space="preserve"> </v>
      </c>
      <c r="J255" s="8" t="str">
        <f>IF('Course 1'!$H253='tab1'!J$3,'Course 1'!$I253," ")</f>
        <v xml:space="preserve"> </v>
      </c>
      <c r="K255" s="8" t="str">
        <f>IF('Course 1'!$H253='tab1'!K$3,'Course 1'!$I253," ")</f>
        <v xml:space="preserve"> </v>
      </c>
      <c r="L255" s="8" t="str">
        <f>IF('Course 1'!$H253='tab1'!L$3,'Course 1'!$I253," ")</f>
        <v xml:space="preserve"> </v>
      </c>
      <c r="M255" s="8" t="str">
        <f>IF('Course 1'!$H253='tab1'!M$3,'Course 1'!$I253," ")</f>
        <v xml:space="preserve"> </v>
      </c>
      <c r="N255" s="9" t="str">
        <f>IF('Course 1'!$H253='tab1'!N$3,'Course 1'!$I253," ")</f>
        <v xml:space="preserve"> </v>
      </c>
    </row>
    <row r="256" spans="2:14">
      <c r="B256">
        <v>252</v>
      </c>
      <c r="C256" s="7" t="str">
        <f>IF('Course 1'!$H254='tab1'!C$3,'Course 1'!$I254," ")</f>
        <v xml:space="preserve"> </v>
      </c>
      <c r="D256" s="8" t="str">
        <f>IF('Course 1'!$H254='tab1'!D$3,'Course 1'!$I254," ")</f>
        <v xml:space="preserve"> </v>
      </c>
      <c r="E256" s="8" t="str">
        <f>IF('Course 1'!$H254='tab1'!E$3,'Course 1'!$I254," ")</f>
        <v xml:space="preserve"> </v>
      </c>
      <c r="F256" s="8" t="str">
        <f>IF('Course 1'!$H254='tab1'!F$3,'Course 1'!$I254," ")</f>
        <v xml:space="preserve"> </v>
      </c>
      <c r="G256" s="8" t="str">
        <f>IF('Course 1'!$H254='tab1'!G$3,'Course 1'!$I254," ")</f>
        <v xml:space="preserve"> </v>
      </c>
      <c r="H256" s="8" t="str">
        <f>IF('Course 1'!$H254='tab1'!H$3,'Course 1'!$I254," ")</f>
        <v xml:space="preserve"> </v>
      </c>
      <c r="I256" s="8" t="str">
        <f>IF('Course 1'!$H254='tab1'!I$3,'Course 1'!$I254," ")</f>
        <v xml:space="preserve"> </v>
      </c>
      <c r="J256" s="8" t="str">
        <f>IF('Course 1'!$H254='tab1'!J$3,'Course 1'!$I254," ")</f>
        <v xml:space="preserve"> </v>
      </c>
      <c r="K256" s="8" t="str">
        <f>IF('Course 1'!$H254='tab1'!K$3,'Course 1'!$I254," ")</f>
        <v xml:space="preserve"> </v>
      </c>
      <c r="L256" s="8" t="str">
        <f>IF('Course 1'!$H254='tab1'!L$3,'Course 1'!$I254," ")</f>
        <v xml:space="preserve"> </v>
      </c>
      <c r="M256" s="8" t="str">
        <f>IF('Course 1'!$H254='tab1'!M$3,'Course 1'!$I254," ")</f>
        <v xml:space="preserve"> </v>
      </c>
      <c r="N256" s="9" t="str">
        <f>IF('Course 1'!$H254='tab1'!N$3,'Course 1'!$I254," ")</f>
        <v xml:space="preserve"> </v>
      </c>
    </row>
    <row r="257" spans="2:14">
      <c r="B257">
        <v>253</v>
      </c>
      <c r="C257" s="7" t="str">
        <f>IF('Course 1'!$H255='tab1'!C$3,'Course 1'!$I255," ")</f>
        <v xml:space="preserve"> </v>
      </c>
      <c r="D257" s="8" t="str">
        <f>IF('Course 1'!$H255='tab1'!D$3,'Course 1'!$I255," ")</f>
        <v xml:space="preserve"> </v>
      </c>
      <c r="E257" s="8" t="str">
        <f>IF('Course 1'!$H255='tab1'!E$3,'Course 1'!$I255," ")</f>
        <v xml:space="preserve"> </v>
      </c>
      <c r="F257" s="8" t="str">
        <f>IF('Course 1'!$H255='tab1'!F$3,'Course 1'!$I255," ")</f>
        <v xml:space="preserve"> </v>
      </c>
      <c r="G257" s="8" t="str">
        <f>IF('Course 1'!$H255='tab1'!G$3,'Course 1'!$I255," ")</f>
        <v xml:space="preserve"> </v>
      </c>
      <c r="H257" s="8" t="str">
        <f>IF('Course 1'!$H255='tab1'!H$3,'Course 1'!$I255," ")</f>
        <v xml:space="preserve"> </v>
      </c>
      <c r="I257" s="8" t="str">
        <f>IF('Course 1'!$H255='tab1'!I$3,'Course 1'!$I255," ")</f>
        <v xml:space="preserve"> </v>
      </c>
      <c r="J257" s="8" t="str">
        <f>IF('Course 1'!$H255='tab1'!J$3,'Course 1'!$I255," ")</f>
        <v xml:space="preserve"> </v>
      </c>
      <c r="K257" s="8" t="str">
        <f>IF('Course 1'!$H255='tab1'!K$3,'Course 1'!$I255," ")</f>
        <v xml:space="preserve"> </v>
      </c>
      <c r="L257" s="8" t="str">
        <f>IF('Course 1'!$H255='tab1'!L$3,'Course 1'!$I255," ")</f>
        <v xml:space="preserve"> </v>
      </c>
      <c r="M257" s="8" t="str">
        <f>IF('Course 1'!$H255='tab1'!M$3,'Course 1'!$I255," ")</f>
        <v xml:space="preserve"> </v>
      </c>
      <c r="N257" s="9" t="str">
        <f>IF('Course 1'!$H255='tab1'!N$3,'Course 1'!$I255," ")</f>
        <v xml:space="preserve"> </v>
      </c>
    </row>
    <row r="258" spans="2:14">
      <c r="B258">
        <v>254</v>
      </c>
      <c r="C258" s="7" t="str">
        <f>IF('Course 1'!$H256='tab1'!C$3,'Course 1'!$I256," ")</f>
        <v xml:space="preserve"> </v>
      </c>
      <c r="D258" s="8" t="str">
        <f>IF('Course 1'!$H256='tab1'!D$3,'Course 1'!$I256," ")</f>
        <v xml:space="preserve"> </v>
      </c>
      <c r="E258" s="8" t="str">
        <f>IF('Course 1'!$H256='tab1'!E$3,'Course 1'!$I256," ")</f>
        <v xml:space="preserve"> </v>
      </c>
      <c r="F258" s="8" t="str">
        <f>IF('Course 1'!$H256='tab1'!F$3,'Course 1'!$I256," ")</f>
        <v xml:space="preserve"> </v>
      </c>
      <c r="G258" s="8" t="str">
        <f>IF('Course 1'!$H256='tab1'!G$3,'Course 1'!$I256," ")</f>
        <v xml:space="preserve"> </v>
      </c>
      <c r="H258" s="8" t="str">
        <f>IF('Course 1'!$H256='tab1'!H$3,'Course 1'!$I256," ")</f>
        <v xml:space="preserve"> </v>
      </c>
      <c r="I258" s="8" t="str">
        <f>IF('Course 1'!$H256='tab1'!I$3,'Course 1'!$I256," ")</f>
        <v xml:space="preserve"> </v>
      </c>
      <c r="J258" s="8" t="str">
        <f>IF('Course 1'!$H256='tab1'!J$3,'Course 1'!$I256," ")</f>
        <v xml:space="preserve"> </v>
      </c>
      <c r="K258" s="8" t="str">
        <f>IF('Course 1'!$H256='tab1'!K$3,'Course 1'!$I256," ")</f>
        <v xml:space="preserve"> </v>
      </c>
      <c r="L258" s="8" t="str">
        <f>IF('Course 1'!$H256='tab1'!L$3,'Course 1'!$I256," ")</f>
        <v xml:space="preserve"> </v>
      </c>
      <c r="M258" s="8" t="str">
        <f>IF('Course 1'!$H256='tab1'!M$3,'Course 1'!$I256," ")</f>
        <v xml:space="preserve"> </v>
      </c>
      <c r="N258" s="9" t="str">
        <f>IF('Course 1'!$H256='tab1'!N$3,'Course 1'!$I256," ")</f>
        <v xml:space="preserve"> </v>
      </c>
    </row>
    <row r="259" spans="2:14">
      <c r="B259">
        <v>255</v>
      </c>
      <c r="C259" s="7" t="str">
        <f>IF('Course 1'!$H257='tab1'!C$3,'Course 1'!$I257," ")</f>
        <v xml:space="preserve"> </v>
      </c>
      <c r="D259" s="8" t="str">
        <f>IF('Course 1'!$H257='tab1'!D$3,'Course 1'!$I257," ")</f>
        <v xml:space="preserve"> </v>
      </c>
      <c r="E259" s="8" t="str">
        <f>IF('Course 1'!$H257='tab1'!E$3,'Course 1'!$I257," ")</f>
        <v xml:space="preserve"> </v>
      </c>
      <c r="F259" s="8" t="str">
        <f>IF('Course 1'!$H257='tab1'!F$3,'Course 1'!$I257," ")</f>
        <v xml:space="preserve"> </v>
      </c>
      <c r="G259" s="8" t="str">
        <f>IF('Course 1'!$H257='tab1'!G$3,'Course 1'!$I257," ")</f>
        <v xml:space="preserve"> </v>
      </c>
      <c r="H259" s="8" t="str">
        <f>IF('Course 1'!$H257='tab1'!H$3,'Course 1'!$I257," ")</f>
        <v xml:space="preserve"> </v>
      </c>
      <c r="I259" s="8" t="str">
        <f>IF('Course 1'!$H257='tab1'!I$3,'Course 1'!$I257," ")</f>
        <v xml:space="preserve"> </v>
      </c>
      <c r="J259" s="8" t="str">
        <f>IF('Course 1'!$H257='tab1'!J$3,'Course 1'!$I257," ")</f>
        <v xml:space="preserve"> </v>
      </c>
      <c r="K259" s="8" t="str">
        <f>IF('Course 1'!$H257='tab1'!K$3,'Course 1'!$I257," ")</f>
        <v xml:space="preserve"> </v>
      </c>
      <c r="L259" s="8" t="str">
        <f>IF('Course 1'!$H257='tab1'!L$3,'Course 1'!$I257," ")</f>
        <v xml:space="preserve"> </v>
      </c>
      <c r="M259" s="8" t="str">
        <f>IF('Course 1'!$H257='tab1'!M$3,'Course 1'!$I257," ")</f>
        <v xml:space="preserve"> </v>
      </c>
      <c r="N259" s="9" t="str">
        <f>IF('Course 1'!$H257='tab1'!N$3,'Course 1'!$I257," ")</f>
        <v xml:space="preserve"> </v>
      </c>
    </row>
    <row r="260" spans="2:14">
      <c r="B260">
        <v>256</v>
      </c>
      <c r="C260" s="7" t="str">
        <f>IF('Course 1'!$H258='tab1'!C$3,'Course 1'!$I258," ")</f>
        <v xml:space="preserve"> </v>
      </c>
      <c r="D260" s="8" t="str">
        <f>IF('Course 1'!$H258='tab1'!D$3,'Course 1'!$I258," ")</f>
        <v xml:space="preserve"> </v>
      </c>
      <c r="E260" s="8" t="str">
        <f>IF('Course 1'!$H258='tab1'!E$3,'Course 1'!$I258," ")</f>
        <v xml:space="preserve"> </v>
      </c>
      <c r="F260" s="8" t="str">
        <f>IF('Course 1'!$H258='tab1'!F$3,'Course 1'!$I258," ")</f>
        <v xml:space="preserve"> </v>
      </c>
      <c r="G260" s="8" t="str">
        <f>IF('Course 1'!$H258='tab1'!G$3,'Course 1'!$I258," ")</f>
        <v xml:space="preserve"> </v>
      </c>
      <c r="H260" s="8" t="str">
        <f>IF('Course 1'!$H258='tab1'!H$3,'Course 1'!$I258," ")</f>
        <v xml:space="preserve"> </v>
      </c>
      <c r="I260" s="8" t="str">
        <f>IF('Course 1'!$H258='tab1'!I$3,'Course 1'!$I258," ")</f>
        <v xml:space="preserve"> </v>
      </c>
      <c r="J260" s="8" t="str">
        <f>IF('Course 1'!$H258='tab1'!J$3,'Course 1'!$I258," ")</f>
        <v xml:space="preserve"> </v>
      </c>
      <c r="K260" s="8" t="str">
        <f>IF('Course 1'!$H258='tab1'!K$3,'Course 1'!$I258," ")</f>
        <v xml:space="preserve"> </v>
      </c>
      <c r="L260" s="8" t="str">
        <f>IF('Course 1'!$H258='tab1'!L$3,'Course 1'!$I258," ")</f>
        <v xml:space="preserve"> </v>
      </c>
      <c r="M260" s="8" t="str">
        <f>IF('Course 1'!$H258='tab1'!M$3,'Course 1'!$I258," ")</f>
        <v xml:space="preserve"> </v>
      </c>
      <c r="N260" s="9" t="str">
        <f>IF('Course 1'!$H258='tab1'!N$3,'Course 1'!$I258," ")</f>
        <v xml:space="preserve"> </v>
      </c>
    </row>
    <row r="261" spans="2:14">
      <c r="B261">
        <v>257</v>
      </c>
      <c r="C261" s="7" t="str">
        <f>IF('Course 1'!$H259='tab1'!C$3,'Course 1'!$I259," ")</f>
        <v xml:space="preserve"> </v>
      </c>
      <c r="D261" s="8" t="str">
        <f>IF('Course 1'!$H259='tab1'!D$3,'Course 1'!$I259," ")</f>
        <v xml:space="preserve"> </v>
      </c>
      <c r="E261" s="8" t="str">
        <f>IF('Course 1'!$H259='tab1'!E$3,'Course 1'!$I259," ")</f>
        <v xml:space="preserve"> </v>
      </c>
      <c r="F261" s="8" t="str">
        <f>IF('Course 1'!$H259='tab1'!F$3,'Course 1'!$I259," ")</f>
        <v xml:space="preserve"> </v>
      </c>
      <c r="G261" s="8" t="str">
        <f>IF('Course 1'!$H259='tab1'!G$3,'Course 1'!$I259," ")</f>
        <v xml:space="preserve"> </v>
      </c>
      <c r="H261" s="8" t="str">
        <f>IF('Course 1'!$H259='tab1'!H$3,'Course 1'!$I259," ")</f>
        <v xml:space="preserve"> </v>
      </c>
      <c r="I261" s="8" t="str">
        <f>IF('Course 1'!$H259='tab1'!I$3,'Course 1'!$I259," ")</f>
        <v xml:space="preserve"> </v>
      </c>
      <c r="J261" s="8" t="str">
        <f>IF('Course 1'!$H259='tab1'!J$3,'Course 1'!$I259," ")</f>
        <v xml:space="preserve"> </v>
      </c>
      <c r="K261" s="8" t="str">
        <f>IF('Course 1'!$H259='tab1'!K$3,'Course 1'!$I259," ")</f>
        <v xml:space="preserve"> </v>
      </c>
      <c r="L261" s="8" t="str">
        <f>IF('Course 1'!$H259='tab1'!L$3,'Course 1'!$I259," ")</f>
        <v xml:space="preserve"> </v>
      </c>
      <c r="M261" s="8" t="str">
        <f>IF('Course 1'!$H259='tab1'!M$3,'Course 1'!$I259," ")</f>
        <v xml:space="preserve"> </v>
      </c>
      <c r="N261" s="9" t="str">
        <f>IF('Course 1'!$H259='tab1'!N$3,'Course 1'!$I259," ")</f>
        <v xml:space="preserve"> </v>
      </c>
    </row>
    <row r="262" spans="2:14">
      <c r="B262">
        <v>258</v>
      </c>
      <c r="C262" s="7" t="str">
        <f>IF('Course 1'!$H260='tab1'!C$3,'Course 1'!$I260," ")</f>
        <v xml:space="preserve"> </v>
      </c>
      <c r="D262" s="8" t="str">
        <f>IF('Course 1'!$H260='tab1'!D$3,'Course 1'!$I260," ")</f>
        <v xml:space="preserve"> </v>
      </c>
      <c r="E262" s="8" t="str">
        <f>IF('Course 1'!$H260='tab1'!E$3,'Course 1'!$I260," ")</f>
        <v xml:space="preserve"> </v>
      </c>
      <c r="F262" s="8" t="str">
        <f>IF('Course 1'!$H260='tab1'!F$3,'Course 1'!$I260," ")</f>
        <v xml:space="preserve"> </v>
      </c>
      <c r="G262" s="8" t="str">
        <f>IF('Course 1'!$H260='tab1'!G$3,'Course 1'!$I260," ")</f>
        <v xml:space="preserve"> </v>
      </c>
      <c r="H262" s="8" t="str">
        <f>IF('Course 1'!$H260='tab1'!H$3,'Course 1'!$I260," ")</f>
        <v xml:space="preserve"> </v>
      </c>
      <c r="I262" s="8" t="str">
        <f>IF('Course 1'!$H260='tab1'!I$3,'Course 1'!$I260," ")</f>
        <v xml:space="preserve"> </v>
      </c>
      <c r="J262" s="8" t="str">
        <f>IF('Course 1'!$H260='tab1'!J$3,'Course 1'!$I260," ")</f>
        <v xml:space="preserve"> </v>
      </c>
      <c r="K262" s="8" t="str">
        <f>IF('Course 1'!$H260='tab1'!K$3,'Course 1'!$I260," ")</f>
        <v xml:space="preserve"> </v>
      </c>
      <c r="L262" s="8" t="str">
        <f>IF('Course 1'!$H260='tab1'!L$3,'Course 1'!$I260," ")</f>
        <v xml:space="preserve"> </v>
      </c>
      <c r="M262" s="8" t="str">
        <f>IF('Course 1'!$H260='tab1'!M$3,'Course 1'!$I260," ")</f>
        <v xml:space="preserve"> </v>
      </c>
      <c r="N262" s="9" t="str">
        <f>IF('Course 1'!$H260='tab1'!N$3,'Course 1'!$I260," ")</f>
        <v xml:space="preserve"> </v>
      </c>
    </row>
    <row r="263" spans="2:14">
      <c r="B263">
        <v>259</v>
      </c>
      <c r="C263" s="7" t="str">
        <f>IF('Course 1'!$H261='tab1'!C$3,'Course 1'!$I261," ")</f>
        <v xml:space="preserve"> </v>
      </c>
      <c r="D263" s="8" t="str">
        <f>IF('Course 1'!$H261='tab1'!D$3,'Course 1'!$I261," ")</f>
        <v xml:space="preserve"> </v>
      </c>
      <c r="E263" s="8" t="str">
        <f>IF('Course 1'!$H261='tab1'!E$3,'Course 1'!$I261," ")</f>
        <v xml:space="preserve"> </v>
      </c>
      <c r="F263" s="8" t="str">
        <f>IF('Course 1'!$H261='tab1'!F$3,'Course 1'!$I261," ")</f>
        <v xml:space="preserve"> </v>
      </c>
      <c r="G263" s="8" t="str">
        <f>IF('Course 1'!$H261='tab1'!G$3,'Course 1'!$I261," ")</f>
        <v xml:space="preserve"> </v>
      </c>
      <c r="H263" s="8" t="str">
        <f>IF('Course 1'!$H261='tab1'!H$3,'Course 1'!$I261," ")</f>
        <v xml:space="preserve"> </v>
      </c>
      <c r="I263" s="8" t="str">
        <f>IF('Course 1'!$H261='tab1'!I$3,'Course 1'!$I261," ")</f>
        <v xml:space="preserve"> </v>
      </c>
      <c r="J263" s="8" t="str">
        <f>IF('Course 1'!$H261='tab1'!J$3,'Course 1'!$I261," ")</f>
        <v xml:space="preserve"> </v>
      </c>
      <c r="K263" s="8" t="str">
        <f>IF('Course 1'!$H261='tab1'!K$3,'Course 1'!$I261," ")</f>
        <v xml:space="preserve"> </v>
      </c>
      <c r="L263" s="8" t="str">
        <f>IF('Course 1'!$H261='tab1'!L$3,'Course 1'!$I261," ")</f>
        <v xml:space="preserve"> </v>
      </c>
      <c r="M263" s="8" t="str">
        <f>IF('Course 1'!$H261='tab1'!M$3,'Course 1'!$I261," ")</f>
        <v xml:space="preserve"> </v>
      </c>
      <c r="N263" s="9" t="str">
        <f>IF('Course 1'!$H261='tab1'!N$3,'Course 1'!$I261," ")</f>
        <v xml:space="preserve"> </v>
      </c>
    </row>
    <row r="264" spans="2:14">
      <c r="B264">
        <v>260</v>
      </c>
      <c r="C264" s="7" t="str">
        <f>IF('Course 1'!$H262='tab1'!C$3,'Course 1'!$I262," ")</f>
        <v xml:space="preserve"> </v>
      </c>
      <c r="D264" s="8" t="str">
        <f>IF('Course 1'!$H262='tab1'!D$3,'Course 1'!$I262," ")</f>
        <v xml:space="preserve"> </v>
      </c>
      <c r="E264" s="8" t="str">
        <f>IF('Course 1'!$H262='tab1'!E$3,'Course 1'!$I262," ")</f>
        <v xml:space="preserve"> </v>
      </c>
      <c r="F264" s="8" t="str">
        <f>IF('Course 1'!$H262='tab1'!F$3,'Course 1'!$I262," ")</f>
        <v xml:space="preserve"> </v>
      </c>
      <c r="G264" s="8" t="str">
        <f>IF('Course 1'!$H262='tab1'!G$3,'Course 1'!$I262," ")</f>
        <v xml:space="preserve"> </v>
      </c>
      <c r="H264" s="8" t="str">
        <f>IF('Course 1'!$H262='tab1'!H$3,'Course 1'!$I262," ")</f>
        <v xml:space="preserve"> </v>
      </c>
      <c r="I264" s="8" t="str">
        <f>IF('Course 1'!$H262='tab1'!I$3,'Course 1'!$I262," ")</f>
        <v xml:space="preserve"> </v>
      </c>
      <c r="J264" s="8" t="str">
        <f>IF('Course 1'!$H262='tab1'!J$3,'Course 1'!$I262," ")</f>
        <v xml:space="preserve"> </v>
      </c>
      <c r="K264" s="8" t="str">
        <f>IF('Course 1'!$H262='tab1'!K$3,'Course 1'!$I262," ")</f>
        <v xml:space="preserve"> </v>
      </c>
      <c r="L264" s="8" t="str">
        <f>IF('Course 1'!$H262='tab1'!L$3,'Course 1'!$I262," ")</f>
        <v xml:space="preserve"> </v>
      </c>
      <c r="M264" s="8" t="str">
        <f>IF('Course 1'!$H262='tab1'!M$3,'Course 1'!$I262," ")</f>
        <v xml:space="preserve"> </v>
      </c>
      <c r="N264" s="9" t="str">
        <f>IF('Course 1'!$H262='tab1'!N$3,'Course 1'!$I262," ")</f>
        <v xml:space="preserve"> </v>
      </c>
    </row>
    <row r="265" spans="2:14">
      <c r="B265">
        <v>261</v>
      </c>
      <c r="C265" s="7" t="str">
        <f>IF('Course 1'!$H263='tab1'!C$3,'Course 1'!$I263," ")</f>
        <v xml:space="preserve"> </v>
      </c>
      <c r="D265" s="8" t="str">
        <f>IF('Course 1'!$H263='tab1'!D$3,'Course 1'!$I263," ")</f>
        <v xml:space="preserve"> </v>
      </c>
      <c r="E265" s="8" t="str">
        <f>IF('Course 1'!$H263='tab1'!E$3,'Course 1'!$I263," ")</f>
        <v xml:space="preserve"> </v>
      </c>
      <c r="F265" s="8" t="str">
        <f>IF('Course 1'!$H263='tab1'!F$3,'Course 1'!$I263," ")</f>
        <v xml:space="preserve"> </v>
      </c>
      <c r="G265" s="8" t="str">
        <f>IF('Course 1'!$H263='tab1'!G$3,'Course 1'!$I263," ")</f>
        <v xml:space="preserve"> </v>
      </c>
      <c r="H265" s="8" t="str">
        <f>IF('Course 1'!$H263='tab1'!H$3,'Course 1'!$I263," ")</f>
        <v xml:space="preserve"> </v>
      </c>
      <c r="I265" s="8" t="str">
        <f>IF('Course 1'!$H263='tab1'!I$3,'Course 1'!$I263," ")</f>
        <v xml:space="preserve"> </v>
      </c>
      <c r="J265" s="8" t="str">
        <f>IF('Course 1'!$H263='tab1'!J$3,'Course 1'!$I263," ")</f>
        <v xml:space="preserve"> </v>
      </c>
      <c r="K265" s="8" t="str">
        <f>IF('Course 1'!$H263='tab1'!K$3,'Course 1'!$I263," ")</f>
        <v xml:space="preserve"> </v>
      </c>
      <c r="L265" s="8" t="str">
        <f>IF('Course 1'!$H263='tab1'!L$3,'Course 1'!$I263," ")</f>
        <v xml:space="preserve"> </v>
      </c>
      <c r="M265" s="8" t="str">
        <f>IF('Course 1'!$H263='tab1'!M$3,'Course 1'!$I263," ")</f>
        <v xml:space="preserve"> </v>
      </c>
      <c r="N265" s="9" t="str">
        <f>IF('Course 1'!$H263='tab1'!N$3,'Course 1'!$I263," ")</f>
        <v xml:space="preserve"> </v>
      </c>
    </row>
    <row r="266" spans="2:14">
      <c r="B266">
        <v>262</v>
      </c>
      <c r="C266" s="7" t="str">
        <f>IF('Course 1'!$H264='tab1'!C$3,'Course 1'!$I264," ")</f>
        <v xml:space="preserve"> </v>
      </c>
      <c r="D266" s="8" t="str">
        <f>IF('Course 1'!$H264='tab1'!D$3,'Course 1'!$I264," ")</f>
        <v xml:space="preserve"> </v>
      </c>
      <c r="E266" s="8" t="str">
        <f>IF('Course 1'!$H264='tab1'!E$3,'Course 1'!$I264," ")</f>
        <v xml:space="preserve"> </v>
      </c>
      <c r="F266" s="8" t="str">
        <f>IF('Course 1'!$H264='tab1'!F$3,'Course 1'!$I264," ")</f>
        <v xml:space="preserve"> </v>
      </c>
      <c r="G266" s="8" t="str">
        <f>IF('Course 1'!$H264='tab1'!G$3,'Course 1'!$I264," ")</f>
        <v xml:space="preserve"> </v>
      </c>
      <c r="H266" s="8" t="str">
        <f>IF('Course 1'!$H264='tab1'!H$3,'Course 1'!$I264," ")</f>
        <v xml:space="preserve"> </v>
      </c>
      <c r="I266" s="8" t="str">
        <f>IF('Course 1'!$H264='tab1'!I$3,'Course 1'!$I264," ")</f>
        <v xml:space="preserve"> </v>
      </c>
      <c r="J266" s="8" t="str">
        <f>IF('Course 1'!$H264='tab1'!J$3,'Course 1'!$I264," ")</f>
        <v xml:space="preserve"> </v>
      </c>
      <c r="K266" s="8" t="str">
        <f>IF('Course 1'!$H264='tab1'!K$3,'Course 1'!$I264," ")</f>
        <v xml:space="preserve"> </v>
      </c>
      <c r="L266" s="8" t="str">
        <f>IF('Course 1'!$H264='tab1'!L$3,'Course 1'!$I264," ")</f>
        <v xml:space="preserve"> </v>
      </c>
      <c r="M266" s="8" t="str">
        <f>IF('Course 1'!$H264='tab1'!M$3,'Course 1'!$I264," ")</f>
        <v xml:space="preserve"> </v>
      </c>
      <c r="N266" s="9" t="str">
        <f>IF('Course 1'!$H264='tab1'!N$3,'Course 1'!$I264," ")</f>
        <v xml:space="preserve"> </v>
      </c>
    </row>
    <row r="267" spans="2:14">
      <c r="B267">
        <v>263</v>
      </c>
      <c r="C267" s="7" t="str">
        <f>IF('Course 1'!$H265='tab1'!C$3,'Course 1'!$I265," ")</f>
        <v xml:space="preserve"> </v>
      </c>
      <c r="D267" s="8" t="str">
        <f>IF('Course 1'!$H265='tab1'!D$3,'Course 1'!$I265," ")</f>
        <v xml:space="preserve"> </v>
      </c>
      <c r="E267" s="8" t="str">
        <f>IF('Course 1'!$H265='tab1'!E$3,'Course 1'!$I265," ")</f>
        <v xml:space="preserve"> </v>
      </c>
      <c r="F267" s="8" t="str">
        <f>IF('Course 1'!$H265='tab1'!F$3,'Course 1'!$I265," ")</f>
        <v xml:space="preserve"> </v>
      </c>
      <c r="G267" s="8" t="str">
        <f>IF('Course 1'!$H265='tab1'!G$3,'Course 1'!$I265," ")</f>
        <v xml:space="preserve"> </v>
      </c>
      <c r="H267" s="8" t="str">
        <f>IF('Course 1'!$H265='tab1'!H$3,'Course 1'!$I265," ")</f>
        <v xml:space="preserve"> </v>
      </c>
      <c r="I267" s="8" t="str">
        <f>IF('Course 1'!$H265='tab1'!I$3,'Course 1'!$I265," ")</f>
        <v xml:space="preserve"> </v>
      </c>
      <c r="J267" s="8" t="str">
        <f>IF('Course 1'!$H265='tab1'!J$3,'Course 1'!$I265," ")</f>
        <v xml:space="preserve"> </v>
      </c>
      <c r="K267" s="8" t="str">
        <f>IF('Course 1'!$H265='tab1'!K$3,'Course 1'!$I265," ")</f>
        <v xml:space="preserve"> </v>
      </c>
      <c r="L267" s="8" t="str">
        <f>IF('Course 1'!$H265='tab1'!L$3,'Course 1'!$I265," ")</f>
        <v xml:space="preserve"> </v>
      </c>
      <c r="M267" s="8" t="str">
        <f>IF('Course 1'!$H265='tab1'!M$3,'Course 1'!$I265," ")</f>
        <v xml:space="preserve"> </v>
      </c>
      <c r="N267" s="9" t="str">
        <f>IF('Course 1'!$H265='tab1'!N$3,'Course 1'!$I265," ")</f>
        <v xml:space="preserve"> </v>
      </c>
    </row>
    <row r="268" spans="2:14">
      <c r="B268">
        <v>264</v>
      </c>
      <c r="C268" s="7" t="str">
        <f>IF('Course 1'!$H266='tab1'!C$3,'Course 1'!$I266," ")</f>
        <v xml:space="preserve"> </v>
      </c>
      <c r="D268" s="8" t="str">
        <f>IF('Course 1'!$H266='tab1'!D$3,'Course 1'!$I266," ")</f>
        <v xml:space="preserve"> </v>
      </c>
      <c r="E268" s="8" t="str">
        <f>IF('Course 1'!$H266='tab1'!E$3,'Course 1'!$I266," ")</f>
        <v xml:space="preserve"> </v>
      </c>
      <c r="F268" s="8" t="str">
        <f>IF('Course 1'!$H266='tab1'!F$3,'Course 1'!$I266," ")</f>
        <v xml:space="preserve"> </v>
      </c>
      <c r="G268" s="8" t="str">
        <f>IF('Course 1'!$H266='tab1'!G$3,'Course 1'!$I266," ")</f>
        <v xml:space="preserve"> </v>
      </c>
      <c r="H268" s="8" t="str">
        <f>IF('Course 1'!$H266='tab1'!H$3,'Course 1'!$I266," ")</f>
        <v xml:space="preserve"> </v>
      </c>
      <c r="I268" s="8" t="str">
        <f>IF('Course 1'!$H266='tab1'!I$3,'Course 1'!$I266," ")</f>
        <v xml:space="preserve"> </v>
      </c>
      <c r="J268" s="8" t="str">
        <f>IF('Course 1'!$H266='tab1'!J$3,'Course 1'!$I266," ")</f>
        <v xml:space="preserve"> </v>
      </c>
      <c r="K268" s="8" t="str">
        <f>IF('Course 1'!$H266='tab1'!K$3,'Course 1'!$I266," ")</f>
        <v xml:space="preserve"> </v>
      </c>
      <c r="L268" s="8" t="str">
        <f>IF('Course 1'!$H266='tab1'!L$3,'Course 1'!$I266," ")</f>
        <v xml:space="preserve"> </v>
      </c>
      <c r="M268" s="8" t="str">
        <f>IF('Course 1'!$H266='tab1'!M$3,'Course 1'!$I266," ")</f>
        <v xml:space="preserve"> </v>
      </c>
      <c r="N268" s="9" t="str">
        <f>IF('Course 1'!$H266='tab1'!N$3,'Course 1'!$I266," ")</f>
        <v xml:space="preserve"> </v>
      </c>
    </row>
    <row r="269" spans="2:14">
      <c r="B269">
        <v>265</v>
      </c>
      <c r="C269" s="7" t="str">
        <f>IF('Course 1'!$H267='tab1'!C$3,'Course 1'!$I267," ")</f>
        <v xml:space="preserve"> </v>
      </c>
      <c r="D269" s="8" t="str">
        <f>IF('Course 1'!$H267='tab1'!D$3,'Course 1'!$I267," ")</f>
        <v xml:space="preserve"> </v>
      </c>
      <c r="E269" s="8" t="str">
        <f>IF('Course 1'!$H267='tab1'!E$3,'Course 1'!$I267," ")</f>
        <v xml:space="preserve"> </v>
      </c>
      <c r="F269" s="8" t="str">
        <f>IF('Course 1'!$H267='tab1'!F$3,'Course 1'!$I267," ")</f>
        <v xml:space="preserve"> </v>
      </c>
      <c r="G269" s="8" t="str">
        <f>IF('Course 1'!$H267='tab1'!G$3,'Course 1'!$I267," ")</f>
        <v xml:space="preserve"> </v>
      </c>
      <c r="H269" s="8" t="str">
        <f>IF('Course 1'!$H267='tab1'!H$3,'Course 1'!$I267," ")</f>
        <v xml:space="preserve"> </v>
      </c>
      <c r="I269" s="8" t="str">
        <f>IF('Course 1'!$H267='tab1'!I$3,'Course 1'!$I267," ")</f>
        <v xml:space="preserve"> </v>
      </c>
      <c r="J269" s="8" t="str">
        <f>IF('Course 1'!$H267='tab1'!J$3,'Course 1'!$I267," ")</f>
        <v xml:space="preserve"> </v>
      </c>
      <c r="K269" s="8" t="str">
        <f>IF('Course 1'!$H267='tab1'!K$3,'Course 1'!$I267," ")</f>
        <v xml:space="preserve"> </v>
      </c>
      <c r="L269" s="8" t="str">
        <f>IF('Course 1'!$H267='tab1'!L$3,'Course 1'!$I267," ")</f>
        <v xml:space="preserve"> </v>
      </c>
      <c r="M269" s="8" t="str">
        <f>IF('Course 1'!$H267='tab1'!M$3,'Course 1'!$I267," ")</f>
        <v xml:space="preserve"> </v>
      </c>
      <c r="N269" s="9" t="str">
        <f>IF('Course 1'!$H267='tab1'!N$3,'Course 1'!$I267," ")</f>
        <v xml:space="preserve"> </v>
      </c>
    </row>
    <row r="270" spans="2:14">
      <c r="B270">
        <v>266</v>
      </c>
      <c r="C270" s="7" t="str">
        <f>IF('Course 1'!$H268='tab1'!C$3,'Course 1'!$I268," ")</f>
        <v xml:space="preserve"> </v>
      </c>
      <c r="D270" s="8" t="str">
        <f>IF('Course 1'!$H268='tab1'!D$3,'Course 1'!$I268," ")</f>
        <v xml:space="preserve"> </v>
      </c>
      <c r="E270" s="8" t="str">
        <f>IF('Course 1'!$H268='tab1'!E$3,'Course 1'!$I268," ")</f>
        <v xml:space="preserve"> </v>
      </c>
      <c r="F270" s="8" t="str">
        <f>IF('Course 1'!$H268='tab1'!F$3,'Course 1'!$I268," ")</f>
        <v xml:space="preserve"> </v>
      </c>
      <c r="G270" s="8" t="str">
        <f>IF('Course 1'!$H268='tab1'!G$3,'Course 1'!$I268," ")</f>
        <v xml:space="preserve"> </v>
      </c>
      <c r="H270" s="8" t="str">
        <f>IF('Course 1'!$H268='tab1'!H$3,'Course 1'!$I268," ")</f>
        <v xml:space="preserve"> </v>
      </c>
      <c r="I270" s="8" t="str">
        <f>IF('Course 1'!$H268='tab1'!I$3,'Course 1'!$I268," ")</f>
        <v xml:space="preserve"> </v>
      </c>
      <c r="J270" s="8" t="str">
        <f>IF('Course 1'!$H268='tab1'!J$3,'Course 1'!$I268," ")</f>
        <v xml:space="preserve"> </v>
      </c>
      <c r="K270" s="8" t="str">
        <f>IF('Course 1'!$H268='tab1'!K$3,'Course 1'!$I268," ")</f>
        <v xml:space="preserve"> </v>
      </c>
      <c r="L270" s="8" t="str">
        <f>IF('Course 1'!$H268='tab1'!L$3,'Course 1'!$I268," ")</f>
        <v xml:space="preserve"> </v>
      </c>
      <c r="M270" s="8" t="str">
        <f>IF('Course 1'!$H268='tab1'!M$3,'Course 1'!$I268," ")</f>
        <v xml:space="preserve"> </v>
      </c>
      <c r="N270" s="9" t="str">
        <f>IF('Course 1'!$H268='tab1'!N$3,'Course 1'!$I268," ")</f>
        <v xml:space="preserve"> </v>
      </c>
    </row>
    <row r="271" spans="2:14">
      <c r="B271">
        <v>267</v>
      </c>
      <c r="C271" s="7" t="str">
        <f>IF('Course 1'!$H269='tab1'!C$3,'Course 1'!$I269," ")</f>
        <v xml:space="preserve"> </v>
      </c>
      <c r="D271" s="8" t="str">
        <f>IF('Course 1'!$H269='tab1'!D$3,'Course 1'!$I269," ")</f>
        <v xml:space="preserve"> </v>
      </c>
      <c r="E271" s="8" t="str">
        <f>IF('Course 1'!$H269='tab1'!E$3,'Course 1'!$I269," ")</f>
        <v xml:space="preserve"> </v>
      </c>
      <c r="F271" s="8" t="str">
        <f>IF('Course 1'!$H269='tab1'!F$3,'Course 1'!$I269," ")</f>
        <v xml:space="preserve"> </v>
      </c>
      <c r="G271" s="8" t="str">
        <f>IF('Course 1'!$H269='tab1'!G$3,'Course 1'!$I269," ")</f>
        <v xml:space="preserve"> </v>
      </c>
      <c r="H271" s="8" t="str">
        <f>IF('Course 1'!$H269='tab1'!H$3,'Course 1'!$I269," ")</f>
        <v xml:space="preserve"> </v>
      </c>
      <c r="I271" s="8" t="str">
        <f>IF('Course 1'!$H269='tab1'!I$3,'Course 1'!$I269," ")</f>
        <v xml:space="preserve"> </v>
      </c>
      <c r="J271" s="8" t="str">
        <f>IF('Course 1'!$H269='tab1'!J$3,'Course 1'!$I269," ")</f>
        <v xml:space="preserve"> </v>
      </c>
      <c r="K271" s="8" t="str">
        <f>IF('Course 1'!$H269='tab1'!K$3,'Course 1'!$I269," ")</f>
        <v xml:space="preserve"> </v>
      </c>
      <c r="L271" s="8" t="str">
        <f>IF('Course 1'!$H269='tab1'!L$3,'Course 1'!$I269," ")</f>
        <v xml:space="preserve"> </v>
      </c>
      <c r="M271" s="8" t="str">
        <f>IF('Course 1'!$H269='tab1'!M$3,'Course 1'!$I269," ")</f>
        <v xml:space="preserve"> </v>
      </c>
      <c r="N271" s="9" t="str">
        <f>IF('Course 1'!$H269='tab1'!N$3,'Course 1'!$I269," ")</f>
        <v xml:space="preserve"> </v>
      </c>
    </row>
    <row r="272" spans="2:14">
      <c r="B272">
        <v>268</v>
      </c>
      <c r="C272" s="7" t="str">
        <f>IF('Course 1'!$H270='tab1'!C$3,'Course 1'!$I270," ")</f>
        <v xml:space="preserve"> </v>
      </c>
      <c r="D272" s="8" t="str">
        <f>IF('Course 1'!$H270='tab1'!D$3,'Course 1'!$I270," ")</f>
        <v xml:space="preserve"> </v>
      </c>
      <c r="E272" s="8" t="str">
        <f>IF('Course 1'!$H270='tab1'!E$3,'Course 1'!$I270," ")</f>
        <v xml:space="preserve"> </v>
      </c>
      <c r="F272" s="8" t="str">
        <f>IF('Course 1'!$H270='tab1'!F$3,'Course 1'!$I270," ")</f>
        <v xml:space="preserve"> </v>
      </c>
      <c r="G272" s="8" t="str">
        <f>IF('Course 1'!$H270='tab1'!G$3,'Course 1'!$I270," ")</f>
        <v xml:space="preserve"> </v>
      </c>
      <c r="H272" s="8" t="str">
        <f>IF('Course 1'!$H270='tab1'!H$3,'Course 1'!$I270," ")</f>
        <v xml:space="preserve"> </v>
      </c>
      <c r="I272" s="8" t="str">
        <f>IF('Course 1'!$H270='tab1'!I$3,'Course 1'!$I270," ")</f>
        <v xml:space="preserve"> </v>
      </c>
      <c r="J272" s="8" t="str">
        <f>IF('Course 1'!$H270='tab1'!J$3,'Course 1'!$I270," ")</f>
        <v xml:space="preserve"> </v>
      </c>
      <c r="K272" s="8" t="str">
        <f>IF('Course 1'!$H270='tab1'!K$3,'Course 1'!$I270," ")</f>
        <v xml:space="preserve"> </v>
      </c>
      <c r="L272" s="8" t="str">
        <f>IF('Course 1'!$H270='tab1'!L$3,'Course 1'!$I270," ")</f>
        <v xml:space="preserve"> </v>
      </c>
      <c r="M272" s="8" t="str">
        <f>IF('Course 1'!$H270='tab1'!M$3,'Course 1'!$I270," ")</f>
        <v xml:space="preserve"> </v>
      </c>
      <c r="N272" s="9" t="str">
        <f>IF('Course 1'!$H270='tab1'!N$3,'Course 1'!$I270," ")</f>
        <v xml:space="preserve"> </v>
      </c>
    </row>
    <row r="273" spans="2:14">
      <c r="B273">
        <v>269</v>
      </c>
      <c r="C273" s="7" t="str">
        <f>IF('Course 1'!$H271='tab1'!C$3,'Course 1'!$I271," ")</f>
        <v xml:space="preserve"> </v>
      </c>
      <c r="D273" s="8" t="str">
        <f>IF('Course 1'!$H271='tab1'!D$3,'Course 1'!$I271," ")</f>
        <v xml:space="preserve"> </v>
      </c>
      <c r="E273" s="8" t="str">
        <f>IF('Course 1'!$H271='tab1'!E$3,'Course 1'!$I271," ")</f>
        <v xml:space="preserve"> </v>
      </c>
      <c r="F273" s="8" t="str">
        <f>IF('Course 1'!$H271='tab1'!F$3,'Course 1'!$I271," ")</f>
        <v xml:space="preserve"> </v>
      </c>
      <c r="G273" s="8" t="str">
        <f>IF('Course 1'!$H271='tab1'!G$3,'Course 1'!$I271," ")</f>
        <v xml:space="preserve"> </v>
      </c>
      <c r="H273" s="8" t="str">
        <f>IF('Course 1'!$H271='tab1'!H$3,'Course 1'!$I271," ")</f>
        <v xml:space="preserve"> </v>
      </c>
      <c r="I273" s="8" t="str">
        <f>IF('Course 1'!$H271='tab1'!I$3,'Course 1'!$I271," ")</f>
        <v xml:space="preserve"> </v>
      </c>
      <c r="J273" s="8" t="str">
        <f>IF('Course 1'!$H271='tab1'!J$3,'Course 1'!$I271," ")</f>
        <v xml:space="preserve"> </v>
      </c>
      <c r="K273" s="8" t="str">
        <f>IF('Course 1'!$H271='tab1'!K$3,'Course 1'!$I271," ")</f>
        <v xml:space="preserve"> </v>
      </c>
      <c r="L273" s="8" t="str">
        <f>IF('Course 1'!$H271='tab1'!L$3,'Course 1'!$I271," ")</f>
        <v xml:space="preserve"> </v>
      </c>
      <c r="M273" s="8" t="str">
        <f>IF('Course 1'!$H271='tab1'!M$3,'Course 1'!$I271," ")</f>
        <v xml:space="preserve"> </v>
      </c>
      <c r="N273" s="9" t="str">
        <f>IF('Course 1'!$H271='tab1'!N$3,'Course 1'!$I271," ")</f>
        <v xml:space="preserve"> </v>
      </c>
    </row>
    <row r="274" spans="2:14">
      <c r="B274">
        <v>270</v>
      </c>
      <c r="C274" s="7" t="str">
        <f>IF('Course 1'!$H272='tab1'!C$3,'Course 1'!$I272," ")</f>
        <v xml:space="preserve"> </v>
      </c>
      <c r="D274" s="8" t="str">
        <f>IF('Course 1'!$H272='tab1'!D$3,'Course 1'!$I272," ")</f>
        <v xml:space="preserve"> </v>
      </c>
      <c r="E274" s="8" t="str">
        <f>IF('Course 1'!$H272='tab1'!E$3,'Course 1'!$I272," ")</f>
        <v xml:space="preserve"> </v>
      </c>
      <c r="F274" s="8" t="str">
        <f>IF('Course 1'!$H272='tab1'!F$3,'Course 1'!$I272," ")</f>
        <v xml:space="preserve"> </v>
      </c>
      <c r="G274" s="8" t="str">
        <f>IF('Course 1'!$H272='tab1'!G$3,'Course 1'!$I272," ")</f>
        <v xml:space="preserve"> </v>
      </c>
      <c r="H274" s="8" t="str">
        <f>IF('Course 1'!$H272='tab1'!H$3,'Course 1'!$I272," ")</f>
        <v xml:space="preserve"> </v>
      </c>
      <c r="I274" s="8" t="str">
        <f>IF('Course 1'!$H272='tab1'!I$3,'Course 1'!$I272," ")</f>
        <v xml:space="preserve"> </v>
      </c>
      <c r="J274" s="8" t="str">
        <f>IF('Course 1'!$H272='tab1'!J$3,'Course 1'!$I272," ")</f>
        <v xml:space="preserve"> </v>
      </c>
      <c r="K274" s="8" t="str">
        <f>IF('Course 1'!$H272='tab1'!K$3,'Course 1'!$I272," ")</f>
        <v xml:space="preserve"> </v>
      </c>
      <c r="L274" s="8" t="str">
        <f>IF('Course 1'!$H272='tab1'!L$3,'Course 1'!$I272," ")</f>
        <v xml:space="preserve"> </v>
      </c>
      <c r="M274" s="8" t="str">
        <f>IF('Course 1'!$H272='tab1'!M$3,'Course 1'!$I272," ")</f>
        <v xml:space="preserve"> </v>
      </c>
      <c r="N274" s="9" t="str">
        <f>IF('Course 1'!$H272='tab1'!N$3,'Course 1'!$I272," ")</f>
        <v xml:space="preserve"> </v>
      </c>
    </row>
    <row r="275" spans="2:14">
      <c r="B275">
        <v>271</v>
      </c>
      <c r="C275" s="7" t="str">
        <f>IF('Course 1'!$H273='tab1'!C$3,'Course 1'!$I273," ")</f>
        <v xml:space="preserve"> </v>
      </c>
      <c r="D275" s="8" t="str">
        <f>IF('Course 1'!$H273='tab1'!D$3,'Course 1'!$I273," ")</f>
        <v xml:space="preserve"> </v>
      </c>
      <c r="E275" s="8" t="str">
        <f>IF('Course 1'!$H273='tab1'!E$3,'Course 1'!$I273," ")</f>
        <v xml:space="preserve"> </v>
      </c>
      <c r="F275" s="8" t="str">
        <f>IF('Course 1'!$H273='tab1'!F$3,'Course 1'!$I273," ")</f>
        <v xml:space="preserve"> </v>
      </c>
      <c r="G275" s="8" t="str">
        <f>IF('Course 1'!$H273='tab1'!G$3,'Course 1'!$I273," ")</f>
        <v xml:space="preserve"> </v>
      </c>
      <c r="H275" s="8" t="str">
        <f>IF('Course 1'!$H273='tab1'!H$3,'Course 1'!$I273," ")</f>
        <v xml:space="preserve"> </v>
      </c>
      <c r="I275" s="8" t="str">
        <f>IF('Course 1'!$H273='tab1'!I$3,'Course 1'!$I273," ")</f>
        <v xml:space="preserve"> </v>
      </c>
      <c r="J275" s="8" t="str">
        <f>IF('Course 1'!$H273='tab1'!J$3,'Course 1'!$I273," ")</f>
        <v xml:space="preserve"> </v>
      </c>
      <c r="K275" s="8" t="str">
        <f>IF('Course 1'!$H273='tab1'!K$3,'Course 1'!$I273," ")</f>
        <v xml:space="preserve"> </v>
      </c>
      <c r="L275" s="8" t="str">
        <f>IF('Course 1'!$H273='tab1'!L$3,'Course 1'!$I273," ")</f>
        <v xml:space="preserve"> </v>
      </c>
      <c r="M275" s="8" t="str">
        <f>IF('Course 1'!$H273='tab1'!M$3,'Course 1'!$I273," ")</f>
        <v xml:space="preserve"> </v>
      </c>
      <c r="N275" s="9" t="str">
        <f>IF('Course 1'!$H273='tab1'!N$3,'Course 1'!$I273," ")</f>
        <v xml:space="preserve"> </v>
      </c>
    </row>
    <row r="276" spans="2:14">
      <c r="B276">
        <v>272</v>
      </c>
      <c r="C276" s="7" t="str">
        <f>IF('Course 1'!$H274='tab1'!C$3,'Course 1'!$I274," ")</f>
        <v xml:space="preserve"> </v>
      </c>
      <c r="D276" s="8" t="str">
        <f>IF('Course 1'!$H274='tab1'!D$3,'Course 1'!$I274," ")</f>
        <v xml:space="preserve"> </v>
      </c>
      <c r="E276" s="8" t="str">
        <f>IF('Course 1'!$H274='tab1'!E$3,'Course 1'!$I274," ")</f>
        <v xml:space="preserve"> </v>
      </c>
      <c r="F276" s="8" t="str">
        <f>IF('Course 1'!$H274='tab1'!F$3,'Course 1'!$I274," ")</f>
        <v xml:space="preserve"> </v>
      </c>
      <c r="G276" s="8" t="str">
        <f>IF('Course 1'!$H274='tab1'!G$3,'Course 1'!$I274," ")</f>
        <v xml:space="preserve"> </v>
      </c>
      <c r="H276" s="8" t="str">
        <f>IF('Course 1'!$H274='tab1'!H$3,'Course 1'!$I274," ")</f>
        <v xml:space="preserve"> </v>
      </c>
      <c r="I276" s="8" t="str">
        <f>IF('Course 1'!$H274='tab1'!I$3,'Course 1'!$I274," ")</f>
        <v xml:space="preserve"> </v>
      </c>
      <c r="J276" s="8" t="str">
        <f>IF('Course 1'!$H274='tab1'!J$3,'Course 1'!$I274," ")</f>
        <v xml:space="preserve"> </v>
      </c>
      <c r="K276" s="8" t="str">
        <f>IF('Course 1'!$H274='tab1'!K$3,'Course 1'!$I274," ")</f>
        <v xml:space="preserve"> </v>
      </c>
      <c r="L276" s="8" t="str">
        <f>IF('Course 1'!$H274='tab1'!L$3,'Course 1'!$I274," ")</f>
        <v xml:space="preserve"> </v>
      </c>
      <c r="M276" s="8" t="str">
        <f>IF('Course 1'!$H274='tab1'!M$3,'Course 1'!$I274," ")</f>
        <v xml:space="preserve"> </v>
      </c>
      <c r="N276" s="9" t="str">
        <f>IF('Course 1'!$H274='tab1'!N$3,'Course 1'!$I274," ")</f>
        <v xml:space="preserve"> </v>
      </c>
    </row>
    <row r="277" spans="2:14">
      <c r="B277">
        <v>273</v>
      </c>
      <c r="C277" s="7" t="str">
        <f>IF('Course 1'!$H275='tab1'!C$3,'Course 1'!$I275," ")</f>
        <v xml:space="preserve"> </v>
      </c>
      <c r="D277" s="8" t="str">
        <f>IF('Course 1'!$H275='tab1'!D$3,'Course 1'!$I275," ")</f>
        <v xml:space="preserve"> </v>
      </c>
      <c r="E277" s="8" t="str">
        <f>IF('Course 1'!$H275='tab1'!E$3,'Course 1'!$I275," ")</f>
        <v xml:space="preserve"> </v>
      </c>
      <c r="F277" s="8" t="str">
        <f>IF('Course 1'!$H275='tab1'!F$3,'Course 1'!$I275," ")</f>
        <v xml:space="preserve"> </v>
      </c>
      <c r="G277" s="8" t="str">
        <f>IF('Course 1'!$H275='tab1'!G$3,'Course 1'!$I275," ")</f>
        <v xml:space="preserve"> </v>
      </c>
      <c r="H277" s="8" t="str">
        <f>IF('Course 1'!$H275='tab1'!H$3,'Course 1'!$I275," ")</f>
        <v xml:space="preserve"> </v>
      </c>
      <c r="I277" s="8" t="str">
        <f>IF('Course 1'!$H275='tab1'!I$3,'Course 1'!$I275," ")</f>
        <v xml:space="preserve"> </v>
      </c>
      <c r="J277" s="8" t="str">
        <f>IF('Course 1'!$H275='tab1'!J$3,'Course 1'!$I275," ")</f>
        <v xml:space="preserve"> </v>
      </c>
      <c r="K277" s="8" t="str">
        <f>IF('Course 1'!$H275='tab1'!K$3,'Course 1'!$I275," ")</f>
        <v xml:space="preserve"> </v>
      </c>
      <c r="L277" s="8" t="str">
        <f>IF('Course 1'!$H275='tab1'!L$3,'Course 1'!$I275," ")</f>
        <v xml:space="preserve"> </v>
      </c>
      <c r="M277" s="8" t="str">
        <f>IF('Course 1'!$H275='tab1'!M$3,'Course 1'!$I275," ")</f>
        <v xml:space="preserve"> </v>
      </c>
      <c r="N277" s="9" t="str">
        <f>IF('Course 1'!$H275='tab1'!N$3,'Course 1'!$I275," ")</f>
        <v xml:space="preserve"> </v>
      </c>
    </row>
    <row r="278" spans="2:14">
      <c r="B278">
        <v>274</v>
      </c>
      <c r="C278" s="7" t="str">
        <f>IF('Course 1'!$H276='tab1'!C$3,'Course 1'!$I276," ")</f>
        <v xml:space="preserve"> </v>
      </c>
      <c r="D278" s="8" t="str">
        <f>IF('Course 1'!$H276='tab1'!D$3,'Course 1'!$I276," ")</f>
        <v xml:space="preserve"> </v>
      </c>
      <c r="E278" s="8" t="str">
        <f>IF('Course 1'!$H276='tab1'!E$3,'Course 1'!$I276," ")</f>
        <v xml:space="preserve"> </v>
      </c>
      <c r="F278" s="8" t="str">
        <f>IF('Course 1'!$H276='tab1'!F$3,'Course 1'!$I276," ")</f>
        <v xml:space="preserve"> </v>
      </c>
      <c r="G278" s="8" t="str">
        <f>IF('Course 1'!$H276='tab1'!G$3,'Course 1'!$I276," ")</f>
        <v xml:space="preserve"> </v>
      </c>
      <c r="H278" s="8" t="str">
        <f>IF('Course 1'!$H276='tab1'!H$3,'Course 1'!$I276," ")</f>
        <v xml:space="preserve"> </v>
      </c>
      <c r="I278" s="8" t="str">
        <f>IF('Course 1'!$H276='tab1'!I$3,'Course 1'!$I276," ")</f>
        <v xml:space="preserve"> </v>
      </c>
      <c r="J278" s="8" t="str">
        <f>IF('Course 1'!$H276='tab1'!J$3,'Course 1'!$I276," ")</f>
        <v xml:space="preserve"> </v>
      </c>
      <c r="K278" s="8" t="str">
        <f>IF('Course 1'!$H276='tab1'!K$3,'Course 1'!$I276," ")</f>
        <v xml:space="preserve"> </v>
      </c>
      <c r="L278" s="8" t="str">
        <f>IF('Course 1'!$H276='tab1'!L$3,'Course 1'!$I276," ")</f>
        <v xml:space="preserve"> </v>
      </c>
      <c r="M278" s="8" t="str">
        <f>IF('Course 1'!$H276='tab1'!M$3,'Course 1'!$I276," ")</f>
        <v xml:space="preserve"> </v>
      </c>
      <c r="N278" s="9" t="str">
        <f>IF('Course 1'!$H276='tab1'!N$3,'Course 1'!$I276," ")</f>
        <v xml:space="preserve"> </v>
      </c>
    </row>
    <row r="279" spans="2:14">
      <c r="B279">
        <v>275</v>
      </c>
      <c r="C279" s="7" t="str">
        <f>IF('Course 1'!$H277='tab1'!C$3,'Course 1'!$I277," ")</f>
        <v xml:space="preserve"> </v>
      </c>
      <c r="D279" s="8" t="str">
        <f>IF('Course 1'!$H277='tab1'!D$3,'Course 1'!$I277," ")</f>
        <v xml:space="preserve"> </v>
      </c>
      <c r="E279" s="8" t="str">
        <f>IF('Course 1'!$H277='tab1'!E$3,'Course 1'!$I277," ")</f>
        <v xml:space="preserve"> </v>
      </c>
      <c r="F279" s="8" t="str">
        <f>IF('Course 1'!$H277='tab1'!F$3,'Course 1'!$I277," ")</f>
        <v xml:space="preserve"> </v>
      </c>
      <c r="G279" s="8" t="str">
        <f>IF('Course 1'!$H277='tab1'!G$3,'Course 1'!$I277," ")</f>
        <v xml:space="preserve"> </v>
      </c>
      <c r="H279" s="8" t="str">
        <f>IF('Course 1'!$H277='tab1'!H$3,'Course 1'!$I277," ")</f>
        <v xml:space="preserve"> </v>
      </c>
      <c r="I279" s="8" t="str">
        <f>IF('Course 1'!$H277='tab1'!I$3,'Course 1'!$I277," ")</f>
        <v xml:space="preserve"> </v>
      </c>
      <c r="J279" s="8" t="str">
        <f>IF('Course 1'!$H277='tab1'!J$3,'Course 1'!$I277," ")</f>
        <v xml:space="preserve"> </v>
      </c>
      <c r="K279" s="8" t="str">
        <f>IF('Course 1'!$H277='tab1'!K$3,'Course 1'!$I277," ")</f>
        <v xml:space="preserve"> </v>
      </c>
      <c r="L279" s="8" t="str">
        <f>IF('Course 1'!$H277='tab1'!L$3,'Course 1'!$I277," ")</f>
        <v xml:space="preserve"> </v>
      </c>
      <c r="M279" s="8" t="str">
        <f>IF('Course 1'!$H277='tab1'!M$3,'Course 1'!$I277," ")</f>
        <v xml:space="preserve"> </v>
      </c>
      <c r="N279" s="9" t="str">
        <f>IF('Course 1'!$H277='tab1'!N$3,'Course 1'!$I277," ")</f>
        <v xml:space="preserve"> </v>
      </c>
    </row>
    <row r="280" spans="2:14">
      <c r="B280">
        <v>276</v>
      </c>
      <c r="C280" s="7" t="str">
        <f>IF('Course 1'!$H278='tab1'!C$3,'Course 1'!$I278," ")</f>
        <v xml:space="preserve"> </v>
      </c>
      <c r="D280" s="8" t="str">
        <f>IF('Course 1'!$H278='tab1'!D$3,'Course 1'!$I278," ")</f>
        <v xml:space="preserve"> </v>
      </c>
      <c r="E280" s="8" t="str">
        <f>IF('Course 1'!$H278='tab1'!E$3,'Course 1'!$I278," ")</f>
        <v xml:space="preserve"> </v>
      </c>
      <c r="F280" s="8" t="str">
        <f>IF('Course 1'!$H278='tab1'!F$3,'Course 1'!$I278," ")</f>
        <v xml:space="preserve"> </v>
      </c>
      <c r="G280" s="8" t="str">
        <f>IF('Course 1'!$H278='tab1'!G$3,'Course 1'!$I278," ")</f>
        <v xml:space="preserve"> </v>
      </c>
      <c r="H280" s="8" t="str">
        <f>IF('Course 1'!$H278='tab1'!H$3,'Course 1'!$I278," ")</f>
        <v xml:space="preserve"> </v>
      </c>
      <c r="I280" s="8" t="str">
        <f>IF('Course 1'!$H278='tab1'!I$3,'Course 1'!$I278," ")</f>
        <v xml:space="preserve"> </v>
      </c>
      <c r="J280" s="8" t="str">
        <f>IF('Course 1'!$H278='tab1'!J$3,'Course 1'!$I278," ")</f>
        <v xml:space="preserve"> </v>
      </c>
      <c r="K280" s="8" t="str">
        <f>IF('Course 1'!$H278='tab1'!K$3,'Course 1'!$I278," ")</f>
        <v xml:space="preserve"> </v>
      </c>
      <c r="L280" s="8" t="str">
        <f>IF('Course 1'!$H278='tab1'!L$3,'Course 1'!$I278," ")</f>
        <v xml:space="preserve"> </v>
      </c>
      <c r="M280" s="8" t="str">
        <f>IF('Course 1'!$H278='tab1'!M$3,'Course 1'!$I278," ")</f>
        <v xml:space="preserve"> </v>
      </c>
      <c r="N280" s="9" t="str">
        <f>IF('Course 1'!$H278='tab1'!N$3,'Course 1'!$I278," ")</f>
        <v xml:space="preserve"> </v>
      </c>
    </row>
    <row r="281" spans="2:14">
      <c r="B281">
        <v>277</v>
      </c>
      <c r="C281" s="7" t="str">
        <f>IF('Course 1'!$H279='tab1'!C$3,'Course 1'!$I279," ")</f>
        <v xml:space="preserve"> </v>
      </c>
      <c r="D281" s="8" t="str">
        <f>IF('Course 1'!$H279='tab1'!D$3,'Course 1'!$I279," ")</f>
        <v xml:space="preserve"> </v>
      </c>
      <c r="E281" s="8" t="str">
        <f>IF('Course 1'!$H279='tab1'!E$3,'Course 1'!$I279," ")</f>
        <v xml:space="preserve"> </v>
      </c>
      <c r="F281" s="8" t="str">
        <f>IF('Course 1'!$H279='tab1'!F$3,'Course 1'!$I279," ")</f>
        <v xml:space="preserve"> </v>
      </c>
      <c r="G281" s="8" t="str">
        <f>IF('Course 1'!$H279='tab1'!G$3,'Course 1'!$I279," ")</f>
        <v xml:space="preserve"> </v>
      </c>
      <c r="H281" s="8" t="str">
        <f>IF('Course 1'!$H279='tab1'!H$3,'Course 1'!$I279," ")</f>
        <v xml:space="preserve"> </v>
      </c>
      <c r="I281" s="8" t="str">
        <f>IF('Course 1'!$H279='tab1'!I$3,'Course 1'!$I279," ")</f>
        <v xml:space="preserve"> </v>
      </c>
      <c r="J281" s="8" t="str">
        <f>IF('Course 1'!$H279='tab1'!J$3,'Course 1'!$I279," ")</f>
        <v xml:space="preserve"> </v>
      </c>
      <c r="K281" s="8" t="str">
        <f>IF('Course 1'!$H279='tab1'!K$3,'Course 1'!$I279," ")</f>
        <v xml:space="preserve"> </v>
      </c>
      <c r="L281" s="8" t="str">
        <f>IF('Course 1'!$H279='tab1'!L$3,'Course 1'!$I279," ")</f>
        <v xml:space="preserve"> </v>
      </c>
      <c r="M281" s="8" t="str">
        <f>IF('Course 1'!$H279='tab1'!M$3,'Course 1'!$I279," ")</f>
        <v xml:space="preserve"> </v>
      </c>
      <c r="N281" s="9" t="str">
        <f>IF('Course 1'!$H279='tab1'!N$3,'Course 1'!$I279," ")</f>
        <v xml:space="preserve"> </v>
      </c>
    </row>
    <row r="282" spans="2:14">
      <c r="B282">
        <v>278</v>
      </c>
      <c r="C282" s="7" t="str">
        <f>IF('Course 1'!$H280='tab1'!C$3,'Course 1'!$I280," ")</f>
        <v xml:space="preserve"> </v>
      </c>
      <c r="D282" s="8" t="str">
        <f>IF('Course 1'!$H280='tab1'!D$3,'Course 1'!$I280," ")</f>
        <v xml:space="preserve"> </v>
      </c>
      <c r="E282" s="8" t="str">
        <f>IF('Course 1'!$H280='tab1'!E$3,'Course 1'!$I280," ")</f>
        <v xml:space="preserve"> </v>
      </c>
      <c r="F282" s="8" t="str">
        <f>IF('Course 1'!$H280='tab1'!F$3,'Course 1'!$I280," ")</f>
        <v xml:space="preserve"> </v>
      </c>
      <c r="G282" s="8" t="str">
        <f>IF('Course 1'!$H280='tab1'!G$3,'Course 1'!$I280," ")</f>
        <v xml:space="preserve"> </v>
      </c>
      <c r="H282" s="8" t="str">
        <f>IF('Course 1'!$H280='tab1'!H$3,'Course 1'!$I280," ")</f>
        <v xml:space="preserve"> </v>
      </c>
      <c r="I282" s="8" t="str">
        <f>IF('Course 1'!$H280='tab1'!I$3,'Course 1'!$I280," ")</f>
        <v xml:space="preserve"> </v>
      </c>
      <c r="J282" s="8" t="str">
        <f>IF('Course 1'!$H280='tab1'!J$3,'Course 1'!$I280," ")</f>
        <v xml:space="preserve"> </v>
      </c>
      <c r="K282" s="8" t="str">
        <f>IF('Course 1'!$H280='tab1'!K$3,'Course 1'!$I280," ")</f>
        <v xml:space="preserve"> </v>
      </c>
      <c r="L282" s="8" t="str">
        <f>IF('Course 1'!$H280='tab1'!L$3,'Course 1'!$I280," ")</f>
        <v xml:space="preserve"> </v>
      </c>
      <c r="M282" s="8" t="str">
        <f>IF('Course 1'!$H280='tab1'!M$3,'Course 1'!$I280," ")</f>
        <v xml:space="preserve"> </v>
      </c>
      <c r="N282" s="9" t="str">
        <f>IF('Course 1'!$H280='tab1'!N$3,'Course 1'!$I280," ")</f>
        <v xml:space="preserve"> </v>
      </c>
    </row>
    <row r="283" spans="2:14">
      <c r="B283">
        <v>279</v>
      </c>
      <c r="C283" s="7" t="str">
        <f>IF('Course 1'!$H281='tab1'!C$3,'Course 1'!$I281," ")</f>
        <v xml:space="preserve"> </v>
      </c>
      <c r="D283" s="8" t="str">
        <f>IF('Course 1'!$H281='tab1'!D$3,'Course 1'!$I281," ")</f>
        <v xml:space="preserve"> </v>
      </c>
      <c r="E283" s="8" t="str">
        <f>IF('Course 1'!$H281='tab1'!E$3,'Course 1'!$I281," ")</f>
        <v xml:space="preserve"> </v>
      </c>
      <c r="F283" s="8" t="str">
        <f>IF('Course 1'!$H281='tab1'!F$3,'Course 1'!$I281," ")</f>
        <v xml:space="preserve"> </v>
      </c>
      <c r="G283" s="8" t="str">
        <f>IF('Course 1'!$H281='tab1'!G$3,'Course 1'!$I281," ")</f>
        <v xml:space="preserve"> </v>
      </c>
      <c r="H283" s="8" t="str">
        <f>IF('Course 1'!$H281='tab1'!H$3,'Course 1'!$I281," ")</f>
        <v xml:space="preserve"> </v>
      </c>
      <c r="I283" s="8" t="str">
        <f>IF('Course 1'!$H281='tab1'!I$3,'Course 1'!$I281," ")</f>
        <v xml:space="preserve"> </v>
      </c>
      <c r="J283" s="8" t="str">
        <f>IF('Course 1'!$H281='tab1'!J$3,'Course 1'!$I281," ")</f>
        <v xml:space="preserve"> </v>
      </c>
      <c r="K283" s="8" t="str">
        <f>IF('Course 1'!$H281='tab1'!K$3,'Course 1'!$I281," ")</f>
        <v xml:space="preserve"> </v>
      </c>
      <c r="L283" s="8" t="str">
        <f>IF('Course 1'!$H281='tab1'!L$3,'Course 1'!$I281," ")</f>
        <v xml:space="preserve"> </v>
      </c>
      <c r="M283" s="8" t="str">
        <f>IF('Course 1'!$H281='tab1'!M$3,'Course 1'!$I281," ")</f>
        <v xml:space="preserve"> </v>
      </c>
      <c r="N283" s="9" t="str">
        <f>IF('Course 1'!$H281='tab1'!N$3,'Course 1'!$I281," ")</f>
        <v xml:space="preserve"> </v>
      </c>
    </row>
    <row r="284" spans="2:14">
      <c r="B284">
        <v>280</v>
      </c>
      <c r="C284" s="7" t="str">
        <f>IF('Course 1'!$H282='tab1'!C$3,'Course 1'!$I282," ")</f>
        <v xml:space="preserve"> </v>
      </c>
      <c r="D284" s="8" t="str">
        <f>IF('Course 1'!$H282='tab1'!D$3,'Course 1'!$I282," ")</f>
        <v xml:space="preserve"> </v>
      </c>
      <c r="E284" s="8" t="str">
        <f>IF('Course 1'!$H282='tab1'!E$3,'Course 1'!$I282," ")</f>
        <v xml:space="preserve"> </v>
      </c>
      <c r="F284" s="8" t="str">
        <f>IF('Course 1'!$H282='tab1'!F$3,'Course 1'!$I282," ")</f>
        <v xml:space="preserve"> </v>
      </c>
      <c r="G284" s="8" t="str">
        <f>IF('Course 1'!$H282='tab1'!G$3,'Course 1'!$I282," ")</f>
        <v xml:space="preserve"> </v>
      </c>
      <c r="H284" s="8" t="str">
        <f>IF('Course 1'!$H282='tab1'!H$3,'Course 1'!$I282," ")</f>
        <v xml:space="preserve"> </v>
      </c>
      <c r="I284" s="8" t="str">
        <f>IF('Course 1'!$H282='tab1'!I$3,'Course 1'!$I282," ")</f>
        <v xml:space="preserve"> </v>
      </c>
      <c r="J284" s="8" t="str">
        <f>IF('Course 1'!$H282='tab1'!J$3,'Course 1'!$I282," ")</f>
        <v xml:space="preserve"> </v>
      </c>
      <c r="K284" s="8" t="str">
        <f>IF('Course 1'!$H282='tab1'!K$3,'Course 1'!$I282," ")</f>
        <v xml:space="preserve"> </v>
      </c>
      <c r="L284" s="8" t="str">
        <f>IF('Course 1'!$H282='tab1'!L$3,'Course 1'!$I282," ")</f>
        <v xml:space="preserve"> </v>
      </c>
      <c r="M284" s="8" t="str">
        <f>IF('Course 1'!$H282='tab1'!M$3,'Course 1'!$I282," ")</f>
        <v xml:space="preserve"> </v>
      </c>
      <c r="N284" s="9" t="str">
        <f>IF('Course 1'!$H282='tab1'!N$3,'Course 1'!$I282," ")</f>
        <v xml:space="preserve"> </v>
      </c>
    </row>
    <row r="285" spans="2:14">
      <c r="B285">
        <v>281</v>
      </c>
      <c r="C285" s="7" t="str">
        <f>IF('Course 1'!$H283='tab1'!C$3,'Course 1'!$I283," ")</f>
        <v xml:space="preserve"> </v>
      </c>
      <c r="D285" s="8" t="str">
        <f>IF('Course 1'!$H283='tab1'!D$3,'Course 1'!$I283," ")</f>
        <v xml:space="preserve"> </v>
      </c>
      <c r="E285" s="8" t="str">
        <f>IF('Course 1'!$H283='tab1'!E$3,'Course 1'!$I283," ")</f>
        <v xml:space="preserve"> </v>
      </c>
      <c r="F285" s="8" t="str">
        <f>IF('Course 1'!$H283='tab1'!F$3,'Course 1'!$I283," ")</f>
        <v xml:space="preserve"> </v>
      </c>
      <c r="G285" s="8" t="str">
        <f>IF('Course 1'!$H283='tab1'!G$3,'Course 1'!$I283," ")</f>
        <v xml:space="preserve"> </v>
      </c>
      <c r="H285" s="8" t="str">
        <f>IF('Course 1'!$H283='tab1'!H$3,'Course 1'!$I283," ")</f>
        <v xml:space="preserve"> </v>
      </c>
      <c r="I285" s="8" t="str">
        <f>IF('Course 1'!$H283='tab1'!I$3,'Course 1'!$I283," ")</f>
        <v xml:space="preserve"> </v>
      </c>
      <c r="J285" s="8" t="str">
        <f>IF('Course 1'!$H283='tab1'!J$3,'Course 1'!$I283," ")</f>
        <v xml:space="preserve"> </v>
      </c>
      <c r="K285" s="8" t="str">
        <f>IF('Course 1'!$H283='tab1'!K$3,'Course 1'!$I283," ")</f>
        <v xml:space="preserve"> </v>
      </c>
      <c r="L285" s="8" t="str">
        <f>IF('Course 1'!$H283='tab1'!L$3,'Course 1'!$I283," ")</f>
        <v xml:space="preserve"> </v>
      </c>
      <c r="M285" s="8" t="str">
        <f>IF('Course 1'!$H283='tab1'!M$3,'Course 1'!$I283," ")</f>
        <v xml:space="preserve"> </v>
      </c>
      <c r="N285" s="9" t="str">
        <f>IF('Course 1'!$H283='tab1'!N$3,'Course 1'!$I283," ")</f>
        <v xml:space="preserve"> </v>
      </c>
    </row>
    <row r="286" spans="2:14">
      <c r="B286">
        <v>282</v>
      </c>
      <c r="C286" s="7" t="str">
        <f>IF('Course 1'!$H284='tab1'!C$3,'Course 1'!$I284," ")</f>
        <v xml:space="preserve"> </v>
      </c>
      <c r="D286" s="8" t="str">
        <f>IF('Course 1'!$H284='tab1'!D$3,'Course 1'!$I284," ")</f>
        <v xml:space="preserve"> </v>
      </c>
      <c r="E286" s="8" t="str">
        <f>IF('Course 1'!$H284='tab1'!E$3,'Course 1'!$I284," ")</f>
        <v xml:space="preserve"> </v>
      </c>
      <c r="F286" s="8" t="str">
        <f>IF('Course 1'!$H284='tab1'!F$3,'Course 1'!$I284," ")</f>
        <v xml:space="preserve"> </v>
      </c>
      <c r="G286" s="8" t="str">
        <f>IF('Course 1'!$H284='tab1'!G$3,'Course 1'!$I284," ")</f>
        <v xml:space="preserve"> </v>
      </c>
      <c r="H286" s="8" t="str">
        <f>IF('Course 1'!$H284='tab1'!H$3,'Course 1'!$I284," ")</f>
        <v xml:space="preserve"> </v>
      </c>
      <c r="I286" s="8" t="str">
        <f>IF('Course 1'!$H284='tab1'!I$3,'Course 1'!$I284," ")</f>
        <v xml:space="preserve"> </v>
      </c>
      <c r="J286" s="8" t="str">
        <f>IF('Course 1'!$H284='tab1'!J$3,'Course 1'!$I284," ")</f>
        <v xml:space="preserve"> </v>
      </c>
      <c r="K286" s="8" t="str">
        <f>IF('Course 1'!$H284='tab1'!K$3,'Course 1'!$I284," ")</f>
        <v xml:space="preserve"> </v>
      </c>
      <c r="L286" s="8" t="str">
        <f>IF('Course 1'!$H284='tab1'!L$3,'Course 1'!$I284," ")</f>
        <v xml:space="preserve"> </v>
      </c>
      <c r="M286" s="8" t="str">
        <f>IF('Course 1'!$H284='tab1'!M$3,'Course 1'!$I284," ")</f>
        <v xml:space="preserve"> </v>
      </c>
      <c r="N286" s="9" t="str">
        <f>IF('Course 1'!$H284='tab1'!N$3,'Course 1'!$I284," ")</f>
        <v xml:space="preserve"> </v>
      </c>
    </row>
    <row r="287" spans="2:14">
      <c r="B287">
        <v>283</v>
      </c>
      <c r="C287" s="7" t="str">
        <f>IF('Course 1'!$H285='tab1'!C$3,'Course 1'!$I285," ")</f>
        <v xml:space="preserve"> </v>
      </c>
      <c r="D287" s="8" t="str">
        <f>IF('Course 1'!$H285='tab1'!D$3,'Course 1'!$I285," ")</f>
        <v xml:space="preserve"> </v>
      </c>
      <c r="E287" s="8" t="str">
        <f>IF('Course 1'!$H285='tab1'!E$3,'Course 1'!$I285," ")</f>
        <v xml:space="preserve"> </v>
      </c>
      <c r="F287" s="8" t="str">
        <f>IF('Course 1'!$H285='tab1'!F$3,'Course 1'!$I285," ")</f>
        <v xml:space="preserve"> </v>
      </c>
      <c r="G287" s="8" t="str">
        <f>IF('Course 1'!$H285='tab1'!G$3,'Course 1'!$I285," ")</f>
        <v xml:space="preserve"> </v>
      </c>
      <c r="H287" s="8" t="str">
        <f>IF('Course 1'!$H285='tab1'!H$3,'Course 1'!$I285," ")</f>
        <v xml:space="preserve"> </v>
      </c>
      <c r="I287" s="8" t="str">
        <f>IF('Course 1'!$H285='tab1'!I$3,'Course 1'!$I285," ")</f>
        <v xml:space="preserve"> </v>
      </c>
      <c r="J287" s="8" t="str">
        <f>IF('Course 1'!$H285='tab1'!J$3,'Course 1'!$I285," ")</f>
        <v xml:space="preserve"> </v>
      </c>
      <c r="K287" s="8" t="str">
        <f>IF('Course 1'!$H285='tab1'!K$3,'Course 1'!$I285," ")</f>
        <v xml:space="preserve"> </v>
      </c>
      <c r="L287" s="8" t="str">
        <f>IF('Course 1'!$H285='tab1'!L$3,'Course 1'!$I285," ")</f>
        <v xml:space="preserve"> </v>
      </c>
      <c r="M287" s="8" t="str">
        <f>IF('Course 1'!$H285='tab1'!M$3,'Course 1'!$I285," ")</f>
        <v xml:space="preserve"> </v>
      </c>
      <c r="N287" s="9" t="str">
        <f>IF('Course 1'!$H285='tab1'!N$3,'Course 1'!$I285," ")</f>
        <v xml:space="preserve"> </v>
      </c>
    </row>
    <row r="288" spans="2:14">
      <c r="B288">
        <v>284</v>
      </c>
      <c r="C288" s="7" t="str">
        <f>IF('Course 1'!$H286='tab1'!C$3,'Course 1'!$I286," ")</f>
        <v xml:space="preserve"> </v>
      </c>
      <c r="D288" s="8" t="str">
        <f>IF('Course 1'!$H286='tab1'!D$3,'Course 1'!$I286," ")</f>
        <v xml:space="preserve"> </v>
      </c>
      <c r="E288" s="8" t="str">
        <f>IF('Course 1'!$H286='tab1'!E$3,'Course 1'!$I286," ")</f>
        <v xml:space="preserve"> </v>
      </c>
      <c r="F288" s="8" t="str">
        <f>IF('Course 1'!$H286='tab1'!F$3,'Course 1'!$I286," ")</f>
        <v xml:space="preserve"> </v>
      </c>
      <c r="G288" s="8" t="str">
        <f>IF('Course 1'!$H286='tab1'!G$3,'Course 1'!$I286," ")</f>
        <v xml:space="preserve"> </v>
      </c>
      <c r="H288" s="8" t="str">
        <f>IF('Course 1'!$H286='tab1'!H$3,'Course 1'!$I286," ")</f>
        <v xml:space="preserve"> </v>
      </c>
      <c r="I288" s="8" t="str">
        <f>IF('Course 1'!$H286='tab1'!I$3,'Course 1'!$I286," ")</f>
        <v xml:space="preserve"> </v>
      </c>
      <c r="J288" s="8" t="str">
        <f>IF('Course 1'!$H286='tab1'!J$3,'Course 1'!$I286," ")</f>
        <v xml:space="preserve"> </v>
      </c>
      <c r="K288" s="8" t="str">
        <f>IF('Course 1'!$H286='tab1'!K$3,'Course 1'!$I286," ")</f>
        <v xml:space="preserve"> </v>
      </c>
      <c r="L288" s="8" t="str">
        <f>IF('Course 1'!$H286='tab1'!L$3,'Course 1'!$I286," ")</f>
        <v xml:space="preserve"> </v>
      </c>
      <c r="M288" s="8" t="str">
        <f>IF('Course 1'!$H286='tab1'!M$3,'Course 1'!$I286," ")</f>
        <v xml:space="preserve"> </v>
      </c>
      <c r="N288" s="9" t="str">
        <f>IF('Course 1'!$H286='tab1'!N$3,'Course 1'!$I286," ")</f>
        <v xml:space="preserve"> </v>
      </c>
    </row>
    <row r="289" spans="2:14">
      <c r="B289">
        <v>285</v>
      </c>
      <c r="C289" s="7" t="str">
        <f>IF('Course 1'!$H287='tab1'!C$3,'Course 1'!$I287," ")</f>
        <v xml:space="preserve"> </v>
      </c>
      <c r="D289" s="8" t="str">
        <f>IF('Course 1'!$H287='tab1'!D$3,'Course 1'!$I287," ")</f>
        <v xml:space="preserve"> </v>
      </c>
      <c r="E289" s="8" t="str">
        <f>IF('Course 1'!$H287='tab1'!E$3,'Course 1'!$I287," ")</f>
        <v xml:space="preserve"> </v>
      </c>
      <c r="F289" s="8" t="str">
        <f>IF('Course 1'!$H287='tab1'!F$3,'Course 1'!$I287," ")</f>
        <v xml:space="preserve"> </v>
      </c>
      <c r="G289" s="8" t="str">
        <f>IF('Course 1'!$H287='tab1'!G$3,'Course 1'!$I287," ")</f>
        <v xml:space="preserve"> </v>
      </c>
      <c r="H289" s="8" t="str">
        <f>IF('Course 1'!$H287='tab1'!H$3,'Course 1'!$I287," ")</f>
        <v xml:space="preserve"> </v>
      </c>
      <c r="I289" s="8" t="str">
        <f>IF('Course 1'!$H287='tab1'!I$3,'Course 1'!$I287," ")</f>
        <v xml:space="preserve"> </v>
      </c>
      <c r="J289" s="8" t="str">
        <f>IF('Course 1'!$H287='tab1'!J$3,'Course 1'!$I287," ")</f>
        <v xml:space="preserve"> </v>
      </c>
      <c r="K289" s="8" t="str">
        <f>IF('Course 1'!$H287='tab1'!K$3,'Course 1'!$I287," ")</f>
        <v xml:space="preserve"> </v>
      </c>
      <c r="L289" s="8" t="str">
        <f>IF('Course 1'!$H287='tab1'!L$3,'Course 1'!$I287," ")</f>
        <v xml:space="preserve"> </v>
      </c>
      <c r="M289" s="8" t="str">
        <f>IF('Course 1'!$H287='tab1'!M$3,'Course 1'!$I287," ")</f>
        <v xml:space="preserve"> </v>
      </c>
      <c r="N289" s="9" t="str">
        <f>IF('Course 1'!$H287='tab1'!N$3,'Course 1'!$I287," ")</f>
        <v xml:space="preserve"> </v>
      </c>
    </row>
    <row r="290" spans="2:14">
      <c r="B290">
        <v>286</v>
      </c>
      <c r="C290" s="7" t="str">
        <f>IF('Course 1'!$H288='tab1'!C$3,'Course 1'!$I288," ")</f>
        <v xml:space="preserve"> </v>
      </c>
      <c r="D290" s="8" t="str">
        <f>IF('Course 1'!$H288='tab1'!D$3,'Course 1'!$I288," ")</f>
        <v xml:space="preserve"> </v>
      </c>
      <c r="E290" s="8" t="str">
        <f>IF('Course 1'!$H288='tab1'!E$3,'Course 1'!$I288," ")</f>
        <v xml:space="preserve"> </v>
      </c>
      <c r="F290" s="8" t="str">
        <f>IF('Course 1'!$H288='tab1'!F$3,'Course 1'!$I288," ")</f>
        <v xml:space="preserve"> </v>
      </c>
      <c r="G290" s="8" t="str">
        <f>IF('Course 1'!$H288='tab1'!G$3,'Course 1'!$I288," ")</f>
        <v xml:space="preserve"> </v>
      </c>
      <c r="H290" s="8" t="str">
        <f>IF('Course 1'!$H288='tab1'!H$3,'Course 1'!$I288," ")</f>
        <v xml:space="preserve"> </v>
      </c>
      <c r="I290" s="8" t="str">
        <f>IF('Course 1'!$H288='tab1'!I$3,'Course 1'!$I288," ")</f>
        <v xml:space="preserve"> </v>
      </c>
      <c r="J290" s="8" t="str">
        <f>IF('Course 1'!$H288='tab1'!J$3,'Course 1'!$I288," ")</f>
        <v xml:space="preserve"> </v>
      </c>
      <c r="K290" s="8" t="str">
        <f>IF('Course 1'!$H288='tab1'!K$3,'Course 1'!$I288," ")</f>
        <v xml:space="preserve"> </v>
      </c>
      <c r="L290" s="8" t="str">
        <f>IF('Course 1'!$H288='tab1'!L$3,'Course 1'!$I288," ")</f>
        <v xml:space="preserve"> </v>
      </c>
      <c r="M290" s="8" t="str">
        <f>IF('Course 1'!$H288='tab1'!M$3,'Course 1'!$I288," ")</f>
        <v xml:space="preserve"> </v>
      </c>
      <c r="N290" s="9" t="str">
        <f>IF('Course 1'!$H288='tab1'!N$3,'Course 1'!$I288," ")</f>
        <v xml:space="preserve"> </v>
      </c>
    </row>
    <row r="291" spans="2:14">
      <c r="B291">
        <v>287</v>
      </c>
      <c r="C291" s="7" t="str">
        <f>IF('Course 1'!$H289='tab1'!C$3,'Course 1'!$I289," ")</f>
        <v xml:space="preserve"> </v>
      </c>
      <c r="D291" s="8" t="str">
        <f>IF('Course 1'!$H289='tab1'!D$3,'Course 1'!$I289," ")</f>
        <v xml:space="preserve"> </v>
      </c>
      <c r="E291" s="8" t="str">
        <f>IF('Course 1'!$H289='tab1'!E$3,'Course 1'!$I289," ")</f>
        <v xml:space="preserve"> </v>
      </c>
      <c r="F291" s="8" t="str">
        <f>IF('Course 1'!$H289='tab1'!F$3,'Course 1'!$I289," ")</f>
        <v xml:space="preserve"> </v>
      </c>
      <c r="G291" s="8" t="str">
        <f>IF('Course 1'!$H289='tab1'!G$3,'Course 1'!$I289," ")</f>
        <v xml:space="preserve"> </v>
      </c>
      <c r="H291" s="8" t="str">
        <f>IF('Course 1'!$H289='tab1'!H$3,'Course 1'!$I289," ")</f>
        <v xml:space="preserve"> </v>
      </c>
      <c r="I291" s="8" t="str">
        <f>IF('Course 1'!$H289='tab1'!I$3,'Course 1'!$I289," ")</f>
        <v xml:space="preserve"> </v>
      </c>
      <c r="J291" s="8" t="str">
        <f>IF('Course 1'!$H289='tab1'!J$3,'Course 1'!$I289," ")</f>
        <v xml:space="preserve"> </v>
      </c>
      <c r="K291" s="8" t="str">
        <f>IF('Course 1'!$H289='tab1'!K$3,'Course 1'!$I289," ")</f>
        <v xml:space="preserve"> </v>
      </c>
      <c r="L291" s="8" t="str">
        <f>IF('Course 1'!$H289='tab1'!L$3,'Course 1'!$I289," ")</f>
        <v xml:space="preserve"> </v>
      </c>
      <c r="M291" s="8" t="str">
        <f>IF('Course 1'!$H289='tab1'!M$3,'Course 1'!$I289," ")</f>
        <v xml:space="preserve"> </v>
      </c>
      <c r="N291" s="9" t="str">
        <f>IF('Course 1'!$H289='tab1'!N$3,'Course 1'!$I289," ")</f>
        <v xml:space="preserve"> </v>
      </c>
    </row>
    <row r="292" spans="2:14">
      <c r="B292">
        <v>288</v>
      </c>
      <c r="C292" s="7" t="str">
        <f>IF('Course 1'!$H290='tab1'!C$3,'Course 1'!$I290," ")</f>
        <v xml:space="preserve"> </v>
      </c>
      <c r="D292" s="8" t="str">
        <f>IF('Course 1'!$H290='tab1'!D$3,'Course 1'!$I290," ")</f>
        <v xml:space="preserve"> </v>
      </c>
      <c r="E292" s="8" t="str">
        <f>IF('Course 1'!$H290='tab1'!E$3,'Course 1'!$I290," ")</f>
        <v xml:space="preserve"> </v>
      </c>
      <c r="F292" s="8" t="str">
        <f>IF('Course 1'!$H290='tab1'!F$3,'Course 1'!$I290," ")</f>
        <v xml:space="preserve"> </v>
      </c>
      <c r="G292" s="8" t="str">
        <f>IF('Course 1'!$H290='tab1'!G$3,'Course 1'!$I290," ")</f>
        <v xml:space="preserve"> </v>
      </c>
      <c r="H292" s="8" t="str">
        <f>IF('Course 1'!$H290='tab1'!H$3,'Course 1'!$I290," ")</f>
        <v xml:space="preserve"> </v>
      </c>
      <c r="I292" s="8" t="str">
        <f>IF('Course 1'!$H290='tab1'!I$3,'Course 1'!$I290," ")</f>
        <v xml:space="preserve"> </v>
      </c>
      <c r="J292" s="8" t="str">
        <f>IF('Course 1'!$H290='tab1'!J$3,'Course 1'!$I290," ")</f>
        <v xml:space="preserve"> </v>
      </c>
      <c r="K292" s="8" t="str">
        <f>IF('Course 1'!$H290='tab1'!K$3,'Course 1'!$I290," ")</f>
        <v xml:space="preserve"> </v>
      </c>
      <c r="L292" s="8" t="str">
        <f>IF('Course 1'!$H290='tab1'!L$3,'Course 1'!$I290," ")</f>
        <v xml:space="preserve"> </v>
      </c>
      <c r="M292" s="8" t="str">
        <f>IF('Course 1'!$H290='tab1'!M$3,'Course 1'!$I290," ")</f>
        <v xml:space="preserve"> </v>
      </c>
      <c r="N292" s="9" t="str">
        <f>IF('Course 1'!$H290='tab1'!N$3,'Course 1'!$I290," ")</f>
        <v xml:space="preserve"> </v>
      </c>
    </row>
    <row r="293" spans="2:14">
      <c r="B293">
        <v>289</v>
      </c>
      <c r="C293" s="7" t="str">
        <f>IF('Course 1'!$H291='tab1'!C$3,'Course 1'!$I291," ")</f>
        <v xml:space="preserve"> </v>
      </c>
      <c r="D293" s="8" t="str">
        <f>IF('Course 1'!$H291='tab1'!D$3,'Course 1'!$I291," ")</f>
        <v xml:space="preserve"> </v>
      </c>
      <c r="E293" s="8" t="str">
        <f>IF('Course 1'!$H291='tab1'!E$3,'Course 1'!$I291," ")</f>
        <v xml:space="preserve"> </v>
      </c>
      <c r="F293" s="8" t="str">
        <f>IF('Course 1'!$H291='tab1'!F$3,'Course 1'!$I291," ")</f>
        <v xml:space="preserve"> </v>
      </c>
      <c r="G293" s="8" t="str">
        <f>IF('Course 1'!$H291='tab1'!G$3,'Course 1'!$I291," ")</f>
        <v xml:space="preserve"> </v>
      </c>
      <c r="H293" s="8" t="str">
        <f>IF('Course 1'!$H291='tab1'!H$3,'Course 1'!$I291," ")</f>
        <v xml:space="preserve"> </v>
      </c>
      <c r="I293" s="8" t="str">
        <f>IF('Course 1'!$H291='tab1'!I$3,'Course 1'!$I291," ")</f>
        <v xml:space="preserve"> </v>
      </c>
      <c r="J293" s="8" t="str">
        <f>IF('Course 1'!$H291='tab1'!J$3,'Course 1'!$I291," ")</f>
        <v xml:space="preserve"> </v>
      </c>
      <c r="K293" s="8" t="str">
        <f>IF('Course 1'!$H291='tab1'!K$3,'Course 1'!$I291," ")</f>
        <v xml:space="preserve"> </v>
      </c>
      <c r="L293" s="8" t="str">
        <f>IF('Course 1'!$H291='tab1'!L$3,'Course 1'!$I291," ")</f>
        <v xml:space="preserve"> </v>
      </c>
      <c r="M293" s="8" t="str">
        <f>IF('Course 1'!$H291='tab1'!M$3,'Course 1'!$I291," ")</f>
        <v xml:space="preserve"> </v>
      </c>
      <c r="N293" s="9" t="str">
        <f>IF('Course 1'!$H291='tab1'!N$3,'Course 1'!$I291," ")</f>
        <v xml:space="preserve"> </v>
      </c>
    </row>
    <row r="294" spans="2:14">
      <c r="B294">
        <v>290</v>
      </c>
      <c r="C294" s="7" t="str">
        <f>IF('Course 1'!$H292='tab1'!C$3,'Course 1'!$I292," ")</f>
        <v xml:space="preserve"> </v>
      </c>
      <c r="D294" s="8" t="str">
        <f>IF('Course 1'!$H292='tab1'!D$3,'Course 1'!$I292," ")</f>
        <v xml:space="preserve"> </v>
      </c>
      <c r="E294" s="8" t="str">
        <f>IF('Course 1'!$H292='tab1'!E$3,'Course 1'!$I292," ")</f>
        <v xml:space="preserve"> </v>
      </c>
      <c r="F294" s="8" t="str">
        <f>IF('Course 1'!$H292='tab1'!F$3,'Course 1'!$I292," ")</f>
        <v xml:space="preserve"> </v>
      </c>
      <c r="G294" s="8" t="str">
        <f>IF('Course 1'!$H292='tab1'!G$3,'Course 1'!$I292," ")</f>
        <v xml:space="preserve"> </v>
      </c>
      <c r="H294" s="8" t="str">
        <f>IF('Course 1'!$H292='tab1'!H$3,'Course 1'!$I292," ")</f>
        <v xml:space="preserve"> </v>
      </c>
      <c r="I294" s="8" t="str">
        <f>IF('Course 1'!$H292='tab1'!I$3,'Course 1'!$I292," ")</f>
        <v xml:space="preserve"> </v>
      </c>
      <c r="J294" s="8" t="str">
        <f>IF('Course 1'!$H292='tab1'!J$3,'Course 1'!$I292," ")</f>
        <v xml:space="preserve"> </v>
      </c>
      <c r="K294" s="8" t="str">
        <f>IF('Course 1'!$H292='tab1'!K$3,'Course 1'!$I292," ")</f>
        <v xml:space="preserve"> </v>
      </c>
      <c r="L294" s="8" t="str">
        <f>IF('Course 1'!$H292='tab1'!L$3,'Course 1'!$I292," ")</f>
        <v xml:space="preserve"> </v>
      </c>
      <c r="M294" s="8" t="str">
        <f>IF('Course 1'!$H292='tab1'!M$3,'Course 1'!$I292," ")</f>
        <v xml:space="preserve"> </v>
      </c>
      <c r="N294" s="9" t="str">
        <f>IF('Course 1'!$H292='tab1'!N$3,'Course 1'!$I292," ")</f>
        <v xml:space="preserve"> </v>
      </c>
    </row>
    <row r="295" spans="2:14">
      <c r="B295">
        <v>291</v>
      </c>
      <c r="C295" s="7" t="str">
        <f>IF('Course 1'!$H293='tab1'!C$3,'Course 1'!$I293," ")</f>
        <v xml:space="preserve"> </v>
      </c>
      <c r="D295" s="8" t="str">
        <f>IF('Course 1'!$H293='tab1'!D$3,'Course 1'!$I293," ")</f>
        <v xml:space="preserve"> </v>
      </c>
      <c r="E295" s="8" t="str">
        <f>IF('Course 1'!$H293='tab1'!E$3,'Course 1'!$I293," ")</f>
        <v xml:space="preserve"> </v>
      </c>
      <c r="F295" s="8" t="str">
        <f>IF('Course 1'!$H293='tab1'!F$3,'Course 1'!$I293," ")</f>
        <v xml:space="preserve"> </v>
      </c>
      <c r="G295" s="8" t="str">
        <f>IF('Course 1'!$H293='tab1'!G$3,'Course 1'!$I293," ")</f>
        <v xml:space="preserve"> </v>
      </c>
      <c r="H295" s="8" t="str">
        <f>IF('Course 1'!$H293='tab1'!H$3,'Course 1'!$I293," ")</f>
        <v xml:space="preserve"> </v>
      </c>
      <c r="I295" s="8" t="str">
        <f>IF('Course 1'!$H293='tab1'!I$3,'Course 1'!$I293," ")</f>
        <v xml:space="preserve"> </v>
      </c>
      <c r="J295" s="8" t="str">
        <f>IF('Course 1'!$H293='tab1'!J$3,'Course 1'!$I293," ")</f>
        <v xml:space="preserve"> </v>
      </c>
      <c r="K295" s="8" t="str">
        <f>IF('Course 1'!$H293='tab1'!K$3,'Course 1'!$I293," ")</f>
        <v xml:space="preserve"> </v>
      </c>
      <c r="L295" s="8" t="str">
        <f>IF('Course 1'!$H293='tab1'!L$3,'Course 1'!$I293," ")</f>
        <v xml:space="preserve"> </v>
      </c>
      <c r="M295" s="8" t="str">
        <f>IF('Course 1'!$H293='tab1'!M$3,'Course 1'!$I293," ")</f>
        <v xml:space="preserve"> </v>
      </c>
      <c r="N295" s="9" t="str">
        <f>IF('Course 1'!$H293='tab1'!N$3,'Course 1'!$I293," ")</f>
        <v xml:space="preserve"> </v>
      </c>
    </row>
    <row r="296" spans="2:14">
      <c r="B296">
        <v>292</v>
      </c>
      <c r="C296" s="7" t="str">
        <f>IF('Course 1'!$H294='tab1'!C$3,'Course 1'!$I294," ")</f>
        <v xml:space="preserve"> </v>
      </c>
      <c r="D296" s="8" t="str">
        <f>IF('Course 1'!$H294='tab1'!D$3,'Course 1'!$I294," ")</f>
        <v xml:space="preserve"> </v>
      </c>
      <c r="E296" s="8" t="str">
        <f>IF('Course 1'!$H294='tab1'!E$3,'Course 1'!$I294," ")</f>
        <v xml:space="preserve"> </v>
      </c>
      <c r="F296" s="8" t="str">
        <f>IF('Course 1'!$H294='tab1'!F$3,'Course 1'!$I294," ")</f>
        <v xml:space="preserve"> </v>
      </c>
      <c r="G296" s="8" t="str">
        <f>IF('Course 1'!$H294='tab1'!G$3,'Course 1'!$I294," ")</f>
        <v xml:space="preserve"> </v>
      </c>
      <c r="H296" s="8" t="str">
        <f>IF('Course 1'!$H294='tab1'!H$3,'Course 1'!$I294," ")</f>
        <v xml:space="preserve"> </v>
      </c>
      <c r="I296" s="8" t="str">
        <f>IF('Course 1'!$H294='tab1'!I$3,'Course 1'!$I294," ")</f>
        <v xml:space="preserve"> </v>
      </c>
      <c r="J296" s="8" t="str">
        <f>IF('Course 1'!$H294='tab1'!J$3,'Course 1'!$I294," ")</f>
        <v xml:space="preserve"> </v>
      </c>
      <c r="K296" s="8" t="str">
        <f>IF('Course 1'!$H294='tab1'!K$3,'Course 1'!$I294," ")</f>
        <v xml:space="preserve"> </v>
      </c>
      <c r="L296" s="8" t="str">
        <f>IF('Course 1'!$H294='tab1'!L$3,'Course 1'!$I294," ")</f>
        <v xml:space="preserve"> </v>
      </c>
      <c r="M296" s="8" t="str">
        <f>IF('Course 1'!$H294='tab1'!M$3,'Course 1'!$I294," ")</f>
        <v xml:space="preserve"> </v>
      </c>
      <c r="N296" s="9" t="str">
        <f>IF('Course 1'!$H294='tab1'!N$3,'Course 1'!$I294," ")</f>
        <v xml:space="preserve"> </v>
      </c>
    </row>
    <row r="297" spans="2:14">
      <c r="B297">
        <v>293</v>
      </c>
      <c r="C297" s="7" t="str">
        <f>IF('Course 1'!$H295='tab1'!C$3,'Course 1'!$I295," ")</f>
        <v xml:space="preserve"> </v>
      </c>
      <c r="D297" s="8" t="str">
        <f>IF('Course 1'!$H295='tab1'!D$3,'Course 1'!$I295," ")</f>
        <v xml:space="preserve"> </v>
      </c>
      <c r="E297" s="8" t="str">
        <f>IF('Course 1'!$H295='tab1'!E$3,'Course 1'!$I295," ")</f>
        <v xml:space="preserve"> </v>
      </c>
      <c r="F297" s="8" t="str">
        <f>IF('Course 1'!$H295='tab1'!F$3,'Course 1'!$I295," ")</f>
        <v xml:space="preserve"> </v>
      </c>
      <c r="G297" s="8" t="str">
        <f>IF('Course 1'!$H295='tab1'!G$3,'Course 1'!$I295," ")</f>
        <v xml:space="preserve"> </v>
      </c>
      <c r="H297" s="8" t="str">
        <f>IF('Course 1'!$H295='tab1'!H$3,'Course 1'!$I295," ")</f>
        <v xml:space="preserve"> </v>
      </c>
      <c r="I297" s="8" t="str">
        <f>IF('Course 1'!$H295='tab1'!I$3,'Course 1'!$I295," ")</f>
        <v xml:space="preserve"> </v>
      </c>
      <c r="J297" s="8" t="str">
        <f>IF('Course 1'!$H295='tab1'!J$3,'Course 1'!$I295," ")</f>
        <v xml:space="preserve"> </v>
      </c>
      <c r="K297" s="8" t="str">
        <f>IF('Course 1'!$H295='tab1'!K$3,'Course 1'!$I295," ")</f>
        <v xml:space="preserve"> </v>
      </c>
      <c r="L297" s="8" t="str">
        <f>IF('Course 1'!$H295='tab1'!L$3,'Course 1'!$I295," ")</f>
        <v xml:space="preserve"> </v>
      </c>
      <c r="M297" s="8" t="str">
        <f>IF('Course 1'!$H295='tab1'!M$3,'Course 1'!$I295," ")</f>
        <v xml:space="preserve"> </v>
      </c>
      <c r="N297" s="9" t="str">
        <f>IF('Course 1'!$H295='tab1'!N$3,'Course 1'!$I295," ")</f>
        <v xml:space="preserve"> </v>
      </c>
    </row>
    <row r="298" spans="2:14">
      <c r="B298">
        <v>294</v>
      </c>
      <c r="C298" s="7" t="str">
        <f>IF('Course 1'!$H296='tab1'!C$3,'Course 1'!$I296," ")</f>
        <v xml:space="preserve"> </v>
      </c>
      <c r="D298" s="8" t="str">
        <f>IF('Course 1'!$H296='tab1'!D$3,'Course 1'!$I296," ")</f>
        <v xml:space="preserve"> </v>
      </c>
      <c r="E298" s="8" t="str">
        <f>IF('Course 1'!$H296='tab1'!E$3,'Course 1'!$I296," ")</f>
        <v xml:space="preserve"> </v>
      </c>
      <c r="F298" s="8" t="str">
        <f>IF('Course 1'!$H296='tab1'!F$3,'Course 1'!$I296," ")</f>
        <v xml:space="preserve"> </v>
      </c>
      <c r="G298" s="8" t="str">
        <f>IF('Course 1'!$H296='tab1'!G$3,'Course 1'!$I296," ")</f>
        <v xml:space="preserve"> </v>
      </c>
      <c r="H298" s="8" t="str">
        <f>IF('Course 1'!$H296='tab1'!H$3,'Course 1'!$I296," ")</f>
        <v xml:space="preserve"> </v>
      </c>
      <c r="I298" s="8" t="str">
        <f>IF('Course 1'!$H296='tab1'!I$3,'Course 1'!$I296," ")</f>
        <v xml:space="preserve"> </v>
      </c>
      <c r="J298" s="8" t="str">
        <f>IF('Course 1'!$H296='tab1'!J$3,'Course 1'!$I296," ")</f>
        <v xml:space="preserve"> </v>
      </c>
      <c r="K298" s="8" t="str">
        <f>IF('Course 1'!$H296='tab1'!K$3,'Course 1'!$I296," ")</f>
        <v xml:space="preserve"> </v>
      </c>
      <c r="L298" s="8" t="str">
        <f>IF('Course 1'!$H296='tab1'!L$3,'Course 1'!$I296," ")</f>
        <v xml:space="preserve"> </v>
      </c>
      <c r="M298" s="8" t="str">
        <f>IF('Course 1'!$H296='tab1'!M$3,'Course 1'!$I296," ")</f>
        <v xml:space="preserve"> </v>
      </c>
      <c r="N298" s="9" t="str">
        <f>IF('Course 1'!$H296='tab1'!N$3,'Course 1'!$I296," ")</f>
        <v xml:space="preserve"> </v>
      </c>
    </row>
    <row r="299" spans="2:14">
      <c r="B299">
        <v>295</v>
      </c>
      <c r="C299" s="7" t="str">
        <f>IF('Course 1'!$H297='tab1'!C$3,'Course 1'!$I297," ")</f>
        <v xml:space="preserve"> </v>
      </c>
      <c r="D299" s="8" t="str">
        <f>IF('Course 1'!$H297='tab1'!D$3,'Course 1'!$I297," ")</f>
        <v xml:space="preserve"> </v>
      </c>
      <c r="E299" s="8" t="str">
        <f>IF('Course 1'!$H297='tab1'!E$3,'Course 1'!$I297," ")</f>
        <v xml:space="preserve"> </v>
      </c>
      <c r="F299" s="8" t="str">
        <f>IF('Course 1'!$H297='tab1'!F$3,'Course 1'!$I297," ")</f>
        <v xml:space="preserve"> </v>
      </c>
      <c r="G299" s="8" t="str">
        <f>IF('Course 1'!$H297='tab1'!G$3,'Course 1'!$I297," ")</f>
        <v xml:space="preserve"> </v>
      </c>
      <c r="H299" s="8" t="str">
        <f>IF('Course 1'!$H297='tab1'!H$3,'Course 1'!$I297," ")</f>
        <v xml:space="preserve"> </v>
      </c>
      <c r="I299" s="8" t="str">
        <f>IF('Course 1'!$H297='tab1'!I$3,'Course 1'!$I297," ")</f>
        <v xml:space="preserve"> </v>
      </c>
      <c r="J299" s="8" t="str">
        <f>IF('Course 1'!$H297='tab1'!J$3,'Course 1'!$I297," ")</f>
        <v xml:space="preserve"> </v>
      </c>
      <c r="K299" s="8" t="str">
        <f>IF('Course 1'!$H297='tab1'!K$3,'Course 1'!$I297," ")</f>
        <v xml:space="preserve"> </v>
      </c>
      <c r="L299" s="8" t="str">
        <f>IF('Course 1'!$H297='tab1'!L$3,'Course 1'!$I297," ")</f>
        <v xml:space="preserve"> </v>
      </c>
      <c r="M299" s="8" t="str">
        <f>IF('Course 1'!$H297='tab1'!M$3,'Course 1'!$I297," ")</f>
        <v xml:space="preserve"> </v>
      </c>
      <c r="N299" s="9" t="str">
        <f>IF('Course 1'!$H297='tab1'!N$3,'Course 1'!$I297," ")</f>
        <v xml:space="preserve"> </v>
      </c>
    </row>
    <row r="300" spans="2:14">
      <c r="B300">
        <v>296</v>
      </c>
      <c r="C300" s="7" t="str">
        <f>IF('Course 1'!$H298='tab1'!C$3,'Course 1'!$I298," ")</f>
        <v xml:space="preserve"> </v>
      </c>
      <c r="D300" s="8" t="str">
        <f>IF('Course 1'!$H298='tab1'!D$3,'Course 1'!$I298," ")</f>
        <v xml:space="preserve"> </v>
      </c>
      <c r="E300" s="8" t="str">
        <f>IF('Course 1'!$H298='tab1'!E$3,'Course 1'!$I298," ")</f>
        <v xml:space="preserve"> </v>
      </c>
      <c r="F300" s="8" t="str">
        <f>IF('Course 1'!$H298='tab1'!F$3,'Course 1'!$I298," ")</f>
        <v xml:space="preserve"> </v>
      </c>
      <c r="G300" s="8" t="str">
        <f>IF('Course 1'!$H298='tab1'!G$3,'Course 1'!$I298," ")</f>
        <v xml:space="preserve"> </v>
      </c>
      <c r="H300" s="8" t="str">
        <f>IF('Course 1'!$H298='tab1'!H$3,'Course 1'!$I298," ")</f>
        <v xml:space="preserve"> </v>
      </c>
      <c r="I300" s="8" t="str">
        <f>IF('Course 1'!$H298='tab1'!I$3,'Course 1'!$I298," ")</f>
        <v xml:space="preserve"> </v>
      </c>
      <c r="J300" s="8" t="str">
        <f>IF('Course 1'!$H298='tab1'!J$3,'Course 1'!$I298," ")</f>
        <v xml:space="preserve"> </v>
      </c>
      <c r="K300" s="8" t="str">
        <f>IF('Course 1'!$H298='tab1'!K$3,'Course 1'!$I298," ")</f>
        <v xml:space="preserve"> </v>
      </c>
      <c r="L300" s="8" t="str">
        <f>IF('Course 1'!$H298='tab1'!L$3,'Course 1'!$I298," ")</f>
        <v xml:space="preserve"> </v>
      </c>
      <c r="M300" s="8" t="str">
        <f>IF('Course 1'!$H298='tab1'!M$3,'Course 1'!$I298," ")</f>
        <v xml:space="preserve"> </v>
      </c>
      <c r="N300" s="9" t="str">
        <f>IF('Course 1'!$H298='tab1'!N$3,'Course 1'!$I298," ")</f>
        <v xml:space="preserve"> </v>
      </c>
    </row>
    <row r="301" spans="2:14">
      <c r="B301">
        <v>297</v>
      </c>
      <c r="C301" s="7" t="str">
        <f>IF('Course 1'!$H299='tab1'!C$3,'Course 1'!$I299," ")</f>
        <v xml:space="preserve"> </v>
      </c>
      <c r="D301" s="8" t="str">
        <f>IF('Course 1'!$H299='tab1'!D$3,'Course 1'!$I299," ")</f>
        <v xml:space="preserve"> </v>
      </c>
      <c r="E301" s="8" t="str">
        <f>IF('Course 1'!$H299='tab1'!E$3,'Course 1'!$I299," ")</f>
        <v xml:space="preserve"> </v>
      </c>
      <c r="F301" s="8" t="str">
        <f>IF('Course 1'!$H299='tab1'!F$3,'Course 1'!$I299," ")</f>
        <v xml:space="preserve"> </v>
      </c>
      <c r="G301" s="8" t="str">
        <f>IF('Course 1'!$H299='tab1'!G$3,'Course 1'!$I299," ")</f>
        <v xml:space="preserve"> </v>
      </c>
      <c r="H301" s="8" t="str">
        <f>IF('Course 1'!$H299='tab1'!H$3,'Course 1'!$I299," ")</f>
        <v xml:space="preserve"> </v>
      </c>
      <c r="I301" s="8" t="str">
        <f>IF('Course 1'!$H299='tab1'!I$3,'Course 1'!$I299," ")</f>
        <v xml:space="preserve"> </v>
      </c>
      <c r="J301" s="8" t="str">
        <f>IF('Course 1'!$H299='tab1'!J$3,'Course 1'!$I299," ")</f>
        <v xml:space="preserve"> </v>
      </c>
      <c r="K301" s="8" t="str">
        <f>IF('Course 1'!$H299='tab1'!K$3,'Course 1'!$I299," ")</f>
        <v xml:space="preserve"> </v>
      </c>
      <c r="L301" s="8" t="str">
        <f>IF('Course 1'!$H299='tab1'!L$3,'Course 1'!$I299," ")</f>
        <v xml:space="preserve"> </v>
      </c>
      <c r="M301" s="8" t="str">
        <f>IF('Course 1'!$H299='tab1'!M$3,'Course 1'!$I299," ")</f>
        <v xml:space="preserve"> </v>
      </c>
      <c r="N301" s="9" t="str">
        <f>IF('Course 1'!$H299='tab1'!N$3,'Course 1'!$I299," ")</f>
        <v xml:space="preserve"> </v>
      </c>
    </row>
    <row r="302" spans="2:14">
      <c r="B302">
        <v>298</v>
      </c>
      <c r="C302" s="7" t="str">
        <f>IF('Course 1'!$H300='tab1'!C$3,'Course 1'!$I300," ")</f>
        <v xml:space="preserve"> </v>
      </c>
      <c r="D302" s="8" t="str">
        <f>IF('Course 1'!$H300='tab1'!D$3,'Course 1'!$I300," ")</f>
        <v xml:space="preserve"> </v>
      </c>
      <c r="E302" s="8" t="str">
        <f>IF('Course 1'!$H300='tab1'!E$3,'Course 1'!$I300," ")</f>
        <v xml:space="preserve"> </v>
      </c>
      <c r="F302" s="8" t="str">
        <f>IF('Course 1'!$H300='tab1'!F$3,'Course 1'!$I300," ")</f>
        <v xml:space="preserve"> </v>
      </c>
      <c r="G302" s="8" t="str">
        <f>IF('Course 1'!$H300='tab1'!G$3,'Course 1'!$I300," ")</f>
        <v xml:space="preserve"> </v>
      </c>
      <c r="H302" s="8" t="str">
        <f>IF('Course 1'!$H300='tab1'!H$3,'Course 1'!$I300," ")</f>
        <v xml:space="preserve"> </v>
      </c>
      <c r="I302" s="8" t="str">
        <f>IF('Course 1'!$H300='tab1'!I$3,'Course 1'!$I300," ")</f>
        <v xml:space="preserve"> </v>
      </c>
      <c r="J302" s="8" t="str">
        <f>IF('Course 1'!$H300='tab1'!J$3,'Course 1'!$I300," ")</f>
        <v xml:space="preserve"> </v>
      </c>
      <c r="K302" s="8" t="str">
        <f>IF('Course 1'!$H300='tab1'!K$3,'Course 1'!$I300," ")</f>
        <v xml:space="preserve"> </v>
      </c>
      <c r="L302" s="8" t="str">
        <f>IF('Course 1'!$H300='tab1'!L$3,'Course 1'!$I300," ")</f>
        <v xml:space="preserve"> </v>
      </c>
      <c r="M302" s="8" t="str">
        <f>IF('Course 1'!$H300='tab1'!M$3,'Course 1'!$I300," ")</f>
        <v xml:space="preserve"> </v>
      </c>
      <c r="N302" s="9" t="str">
        <f>IF('Course 1'!$H300='tab1'!N$3,'Course 1'!$I300," ")</f>
        <v xml:space="preserve"> </v>
      </c>
    </row>
    <row r="303" spans="2:14">
      <c r="B303">
        <v>299</v>
      </c>
      <c r="C303" s="7" t="str">
        <f>IF('Course 1'!$H301='tab1'!C$3,'Course 1'!$I301," ")</f>
        <v xml:space="preserve"> </v>
      </c>
      <c r="D303" s="8" t="str">
        <f>IF('Course 1'!$H301='tab1'!D$3,'Course 1'!$I301," ")</f>
        <v xml:space="preserve"> </v>
      </c>
      <c r="E303" s="8" t="str">
        <f>IF('Course 1'!$H301='tab1'!E$3,'Course 1'!$I301," ")</f>
        <v xml:space="preserve"> </v>
      </c>
      <c r="F303" s="8" t="str">
        <f>IF('Course 1'!$H301='tab1'!F$3,'Course 1'!$I301," ")</f>
        <v xml:space="preserve"> </v>
      </c>
      <c r="G303" s="8" t="str">
        <f>IF('Course 1'!$H301='tab1'!G$3,'Course 1'!$I301," ")</f>
        <v xml:space="preserve"> </v>
      </c>
      <c r="H303" s="8" t="str">
        <f>IF('Course 1'!$H301='tab1'!H$3,'Course 1'!$I301," ")</f>
        <v xml:space="preserve"> </v>
      </c>
      <c r="I303" s="8" t="str">
        <f>IF('Course 1'!$H301='tab1'!I$3,'Course 1'!$I301," ")</f>
        <v xml:space="preserve"> </v>
      </c>
      <c r="J303" s="8" t="str">
        <f>IF('Course 1'!$H301='tab1'!J$3,'Course 1'!$I301," ")</f>
        <v xml:space="preserve"> </v>
      </c>
      <c r="K303" s="8" t="str">
        <f>IF('Course 1'!$H301='tab1'!K$3,'Course 1'!$I301," ")</f>
        <v xml:space="preserve"> </v>
      </c>
      <c r="L303" s="8" t="str">
        <f>IF('Course 1'!$H301='tab1'!L$3,'Course 1'!$I301," ")</f>
        <v xml:space="preserve"> </v>
      </c>
      <c r="M303" s="8" t="str">
        <f>IF('Course 1'!$H301='tab1'!M$3,'Course 1'!$I301," ")</f>
        <v xml:space="preserve"> </v>
      </c>
      <c r="N303" s="9" t="str">
        <f>IF('Course 1'!$H301='tab1'!N$3,'Course 1'!$I301," ")</f>
        <v xml:space="preserve"> </v>
      </c>
    </row>
    <row r="304" spans="2:14">
      <c r="B304">
        <v>300</v>
      </c>
      <c r="C304" s="7" t="str">
        <f>IF('Course 1'!$H302='tab1'!C$3,'Course 1'!$I302," ")</f>
        <v xml:space="preserve"> </v>
      </c>
      <c r="D304" s="8" t="str">
        <f>IF('Course 1'!$H302='tab1'!D$3,'Course 1'!$I302," ")</f>
        <v xml:space="preserve"> </v>
      </c>
      <c r="E304" s="8" t="str">
        <f>IF('Course 1'!$H302='tab1'!E$3,'Course 1'!$I302," ")</f>
        <v xml:space="preserve"> </v>
      </c>
      <c r="F304" s="8" t="str">
        <f>IF('Course 1'!$H302='tab1'!F$3,'Course 1'!$I302," ")</f>
        <v xml:space="preserve"> </v>
      </c>
      <c r="G304" s="8" t="str">
        <f>IF('Course 1'!$H302='tab1'!G$3,'Course 1'!$I302," ")</f>
        <v xml:space="preserve"> </v>
      </c>
      <c r="H304" s="8" t="str">
        <f>IF('Course 1'!$H302='tab1'!H$3,'Course 1'!$I302," ")</f>
        <v xml:space="preserve"> </v>
      </c>
      <c r="I304" s="8" t="str">
        <f>IF('Course 1'!$H302='tab1'!I$3,'Course 1'!$I302," ")</f>
        <v xml:space="preserve"> </v>
      </c>
      <c r="J304" s="8" t="str">
        <f>IF('Course 1'!$H302='tab1'!J$3,'Course 1'!$I302," ")</f>
        <v xml:space="preserve"> </v>
      </c>
      <c r="K304" s="8" t="str">
        <f>IF('Course 1'!$H302='tab1'!K$3,'Course 1'!$I302," ")</f>
        <v xml:space="preserve"> </v>
      </c>
      <c r="L304" s="8" t="str">
        <f>IF('Course 1'!$H302='tab1'!L$3,'Course 1'!$I302," ")</f>
        <v xml:space="preserve"> </v>
      </c>
      <c r="M304" s="8" t="str">
        <f>IF('Course 1'!$H302='tab1'!M$3,'Course 1'!$I302," ")</f>
        <v xml:space="preserve"> </v>
      </c>
      <c r="N304" s="9" t="str">
        <f>IF('Course 1'!$H302='tab1'!N$3,'Course 1'!$I302," ")</f>
        <v xml:space="preserve"> </v>
      </c>
    </row>
  </sheetData>
  <sheetProtection password="CFA8" sheet="1" objects="1" scenarios="1"/>
  <mergeCells count="1">
    <mergeCell ref="C1:N1"/>
  </mergeCells>
  <phoneticPr fontId="0" type="noConversion"/>
  <pageMargins left="0.78740157499999996" right="0.78740157499999996" top="0.984251969" bottom="0.984251969" header="0.4921259845" footer="0.4921259845"/>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sheetPr codeName="Feuil9" enableFormatConditionsCalculation="0"/>
  <dimension ref="B1:N304"/>
  <sheetViews>
    <sheetView workbookViewId="0">
      <selection activeCell="D22" sqref="D22"/>
    </sheetView>
  </sheetViews>
  <sheetFormatPr baseColWidth="10" defaultRowHeight="12.75"/>
  <cols>
    <col min="1" max="1" width="11.42578125" customWidth="1"/>
    <col min="2" max="14" width="14.140625" customWidth="1"/>
    <col min="15" max="15" width="19.85546875" customWidth="1"/>
    <col min="16" max="16" width="23.7109375" customWidth="1"/>
    <col min="17" max="17" width="20.7109375" customWidth="1"/>
  </cols>
  <sheetData>
    <row r="1" spans="2:14" ht="18">
      <c r="C1" s="193" t="s">
        <v>20</v>
      </c>
      <c r="D1" s="194"/>
      <c r="E1" s="194"/>
      <c r="F1" s="194"/>
      <c r="G1" s="194"/>
      <c r="H1" s="194"/>
      <c r="I1" s="194"/>
      <c r="J1" s="194"/>
      <c r="K1" s="194"/>
      <c r="L1" s="194"/>
      <c r="M1" s="194"/>
      <c r="N1" s="194"/>
    </row>
    <row r="2" spans="2:14" ht="13.5" thickBot="1"/>
    <row r="3" spans="2:14">
      <c r="C3" s="39" t="str">
        <f>'Règles et points'!C8</f>
        <v>A</v>
      </c>
      <c r="D3" s="64" t="s">
        <v>3</v>
      </c>
      <c r="E3" s="55" t="s">
        <v>12</v>
      </c>
      <c r="F3" s="64" t="s">
        <v>4</v>
      </c>
      <c r="G3" s="64" t="s">
        <v>5</v>
      </c>
      <c r="H3" s="64" t="s">
        <v>6</v>
      </c>
      <c r="I3" s="64" t="s">
        <v>7</v>
      </c>
      <c r="J3" s="64" t="s">
        <v>8</v>
      </c>
      <c r="K3" s="64" t="s">
        <v>9</v>
      </c>
      <c r="L3" s="64" t="s">
        <v>10</v>
      </c>
      <c r="M3" s="64" t="s">
        <v>11</v>
      </c>
      <c r="N3" s="65" t="s">
        <v>13</v>
      </c>
    </row>
    <row r="4" spans="2:14">
      <c r="B4" s="18" t="s">
        <v>21</v>
      </c>
      <c r="C4" s="66">
        <f>MIN(C5:C304)</f>
        <v>0</v>
      </c>
      <c r="D4" s="15">
        <f t="shared" ref="D4:N4" si="0">MIN(D5:D304)</f>
        <v>0</v>
      </c>
      <c r="E4" s="15">
        <f t="shared" si="0"/>
        <v>0</v>
      </c>
      <c r="F4" s="15">
        <f t="shared" si="0"/>
        <v>0</v>
      </c>
      <c r="G4" s="15">
        <f t="shared" si="0"/>
        <v>0</v>
      </c>
      <c r="H4" s="15">
        <f t="shared" si="0"/>
        <v>0</v>
      </c>
      <c r="I4" s="15">
        <f t="shared" si="0"/>
        <v>0</v>
      </c>
      <c r="J4" s="15">
        <f t="shared" si="0"/>
        <v>0</v>
      </c>
      <c r="K4" s="15">
        <f t="shared" si="0"/>
        <v>0</v>
      </c>
      <c r="L4" s="15">
        <f t="shared" si="0"/>
        <v>0</v>
      </c>
      <c r="M4" s="15">
        <f t="shared" si="0"/>
        <v>0</v>
      </c>
      <c r="N4" s="67">
        <f t="shared" si="0"/>
        <v>0</v>
      </c>
    </row>
    <row r="5" spans="2:14">
      <c r="B5">
        <v>1</v>
      </c>
      <c r="C5" s="7" t="str">
        <f>IF('Course 2'!$H3='tab2'!C$3,'Course 2'!$I3," ")</f>
        <v xml:space="preserve"> </v>
      </c>
      <c r="D5" s="8" t="str">
        <f>IF('Course 2'!$H3='tab2'!D$3,'Course 2'!$I3," ")</f>
        <v xml:space="preserve"> </v>
      </c>
      <c r="E5" s="8" t="str">
        <f>IF('Course 2'!$H3='tab2'!E$3,'Course 2'!$I3," ")</f>
        <v xml:space="preserve"> </v>
      </c>
      <c r="F5" s="8" t="str">
        <f>IF('Course 2'!$H3='tab2'!F$3,'Course 2'!$I3," ")</f>
        <v xml:space="preserve"> </v>
      </c>
      <c r="G5" s="8" t="str">
        <f>IF('Course 2'!$H3='tab2'!G$3,'Course 2'!$I3," ")</f>
        <v xml:space="preserve"> </v>
      </c>
      <c r="H5" s="8" t="str">
        <f>IF('Course 2'!$H3='tab2'!H$3,'Course 2'!$I3," ")</f>
        <v xml:space="preserve"> </v>
      </c>
      <c r="I5" s="8" t="str">
        <f>IF('Course 2'!$H3='tab2'!I$3,'Course 2'!$I3," ")</f>
        <v xml:space="preserve"> </v>
      </c>
      <c r="J5" s="8" t="str">
        <f>IF('Course 2'!$H3='tab2'!J$3,'Course 2'!$I3," ")</f>
        <v xml:space="preserve"> </v>
      </c>
      <c r="K5" s="8" t="str">
        <f>IF('Course 2'!$H3='tab2'!K$3,'Course 2'!$I3," ")</f>
        <v xml:space="preserve"> </v>
      </c>
      <c r="L5" s="8" t="str">
        <f>IF('Course 2'!$H3='tab2'!L$3,'Course 2'!$I3," ")</f>
        <v xml:space="preserve"> </v>
      </c>
      <c r="M5" s="8" t="str">
        <f>IF('Course 2'!$H3='tab2'!M$3,'Course 2'!$I3," ")</f>
        <v xml:space="preserve"> </v>
      </c>
      <c r="N5" s="9" t="str">
        <f>IF('Course 2'!$H3='tab2'!N$3,'Course 2'!$I3," ")</f>
        <v xml:space="preserve"> </v>
      </c>
    </row>
    <row r="6" spans="2:14">
      <c r="B6">
        <v>2</v>
      </c>
      <c r="C6" s="7" t="str">
        <f>IF('Course 2'!$H4='tab2'!C$3,'Course 2'!$I4," ")</f>
        <v xml:space="preserve"> </v>
      </c>
      <c r="D6" s="8" t="str">
        <f>IF('Course 2'!$H4='tab2'!D$3,'Course 2'!$I4," ")</f>
        <v xml:space="preserve"> </v>
      </c>
      <c r="E6" s="8" t="str">
        <f>IF('Course 2'!$H4='tab2'!E$3,'Course 2'!$I4," ")</f>
        <v xml:space="preserve"> </v>
      </c>
      <c r="F6" s="8" t="str">
        <f>IF('Course 2'!$H4='tab2'!F$3,'Course 2'!$I4," ")</f>
        <v xml:space="preserve"> </v>
      </c>
      <c r="G6" s="8" t="str">
        <f>IF('Course 2'!$H4='tab2'!G$3,'Course 2'!$I4," ")</f>
        <v xml:space="preserve"> </v>
      </c>
      <c r="H6" s="8" t="str">
        <f>IF('Course 2'!$H4='tab2'!H$3,'Course 2'!$I4," ")</f>
        <v xml:space="preserve"> </v>
      </c>
      <c r="I6" s="8" t="str">
        <f>IF('Course 2'!$H4='tab2'!I$3,'Course 2'!$I4," ")</f>
        <v xml:space="preserve"> </v>
      </c>
      <c r="J6" s="8" t="str">
        <f>IF('Course 2'!$H4='tab2'!J$3,'Course 2'!$I4," ")</f>
        <v xml:space="preserve"> </v>
      </c>
      <c r="K6" s="8" t="str">
        <f>IF('Course 2'!$H4='tab2'!K$3,'Course 2'!$I4," ")</f>
        <v xml:space="preserve"> </v>
      </c>
      <c r="L6" s="8" t="str">
        <f>IF('Course 2'!$H4='tab2'!L$3,'Course 2'!$I4," ")</f>
        <v xml:space="preserve"> </v>
      </c>
      <c r="M6" s="8" t="str">
        <f>IF('Course 2'!$H4='tab2'!M$3,'Course 2'!$I4," ")</f>
        <v xml:space="preserve"> </v>
      </c>
      <c r="N6" s="9" t="str">
        <f>IF('Course 2'!$H4='tab2'!N$3,'Course 2'!$I4," ")</f>
        <v xml:space="preserve"> </v>
      </c>
    </row>
    <row r="7" spans="2:14">
      <c r="B7">
        <v>3</v>
      </c>
      <c r="C7" s="7" t="str">
        <f>IF('Course 2'!$H5='tab2'!C$3,'Course 2'!$I5," ")</f>
        <v xml:space="preserve"> </v>
      </c>
      <c r="D7" s="8" t="str">
        <f>IF('Course 2'!$H5='tab2'!D$3,'Course 2'!$I5," ")</f>
        <v xml:space="preserve"> </v>
      </c>
      <c r="E7" s="8" t="str">
        <f>IF('Course 2'!$H5='tab2'!E$3,'Course 2'!$I5," ")</f>
        <v xml:space="preserve"> </v>
      </c>
      <c r="F7" s="8" t="str">
        <f>IF('Course 2'!$H5='tab2'!F$3,'Course 2'!$I5," ")</f>
        <v xml:space="preserve"> </v>
      </c>
      <c r="G7" s="8" t="str">
        <f>IF('Course 2'!$H5='tab2'!G$3,'Course 2'!$I5," ")</f>
        <v xml:space="preserve"> </v>
      </c>
      <c r="H7" s="8" t="str">
        <f>IF('Course 2'!$H5='tab2'!H$3,'Course 2'!$I5," ")</f>
        <v xml:space="preserve"> </v>
      </c>
      <c r="I7" s="8" t="str">
        <f>IF('Course 2'!$H5='tab2'!I$3,'Course 2'!$I5," ")</f>
        <v xml:space="preserve"> </v>
      </c>
      <c r="J7" s="8" t="str">
        <f>IF('Course 2'!$H5='tab2'!J$3,'Course 2'!$I5," ")</f>
        <v xml:space="preserve"> </v>
      </c>
      <c r="K7" s="8" t="str">
        <f>IF('Course 2'!$H5='tab2'!K$3,'Course 2'!$I5," ")</f>
        <v xml:space="preserve"> </v>
      </c>
      <c r="L7" s="8" t="str">
        <f>IF('Course 2'!$H5='tab2'!L$3,'Course 2'!$I5," ")</f>
        <v xml:space="preserve"> </v>
      </c>
      <c r="M7" s="8" t="str">
        <f>IF('Course 2'!$H5='tab2'!M$3,'Course 2'!$I5," ")</f>
        <v xml:space="preserve"> </v>
      </c>
      <c r="N7" s="9" t="str">
        <f>IF('Course 2'!$H5='tab2'!N$3,'Course 2'!$I5," ")</f>
        <v xml:space="preserve"> </v>
      </c>
    </row>
    <row r="8" spans="2:14">
      <c r="B8">
        <v>4</v>
      </c>
      <c r="C8" s="7" t="str">
        <f>IF('Course 2'!$H6='tab2'!C$3,'Course 2'!$I6," ")</f>
        <v xml:space="preserve"> </v>
      </c>
      <c r="D8" s="8" t="str">
        <f>IF('Course 2'!$H6='tab2'!D$3,'Course 2'!$I6," ")</f>
        <v xml:space="preserve"> </v>
      </c>
      <c r="E8" s="8" t="str">
        <f>IF('Course 2'!$H6='tab2'!E$3,'Course 2'!$I6," ")</f>
        <v xml:space="preserve"> </v>
      </c>
      <c r="F8" s="8" t="str">
        <f>IF('Course 2'!$H6='tab2'!F$3,'Course 2'!$I6," ")</f>
        <v xml:space="preserve"> </v>
      </c>
      <c r="G8" s="8" t="str">
        <f>IF('Course 2'!$H6='tab2'!G$3,'Course 2'!$I6," ")</f>
        <v xml:space="preserve"> </v>
      </c>
      <c r="H8" s="8" t="str">
        <f>IF('Course 2'!$H6='tab2'!H$3,'Course 2'!$I6," ")</f>
        <v xml:space="preserve"> </v>
      </c>
      <c r="I8" s="8" t="str">
        <f>IF('Course 2'!$H6='tab2'!I$3,'Course 2'!$I6," ")</f>
        <v xml:space="preserve"> </v>
      </c>
      <c r="J8" s="8" t="str">
        <f>IF('Course 2'!$H6='tab2'!J$3,'Course 2'!$I6," ")</f>
        <v xml:space="preserve"> </v>
      </c>
      <c r="K8" s="8" t="str">
        <f>IF('Course 2'!$H6='tab2'!K$3,'Course 2'!$I6," ")</f>
        <v xml:space="preserve"> </v>
      </c>
      <c r="L8" s="8" t="str">
        <f>IF('Course 2'!$H6='tab2'!L$3,'Course 2'!$I6," ")</f>
        <v xml:space="preserve"> </v>
      </c>
      <c r="M8" s="8" t="str">
        <f>IF('Course 2'!$H6='tab2'!M$3,'Course 2'!$I6," ")</f>
        <v xml:space="preserve"> </v>
      </c>
      <c r="N8" s="9" t="str">
        <f>IF('Course 2'!$H6='tab2'!N$3,'Course 2'!$I6," ")</f>
        <v xml:space="preserve"> </v>
      </c>
    </row>
    <row r="9" spans="2:14">
      <c r="B9">
        <v>5</v>
      </c>
      <c r="C9" s="7" t="str">
        <f>IF('Course 2'!$H7='tab2'!C$3,'Course 2'!$I7," ")</f>
        <v xml:space="preserve"> </v>
      </c>
      <c r="D9" s="8" t="str">
        <f>IF('Course 2'!$H7='tab2'!D$3,'Course 2'!$I7," ")</f>
        <v xml:space="preserve"> </v>
      </c>
      <c r="E9" s="8" t="str">
        <f>IF('Course 2'!$H7='tab2'!E$3,'Course 2'!$I7," ")</f>
        <v xml:space="preserve"> </v>
      </c>
      <c r="F9" s="8" t="str">
        <f>IF('Course 2'!$H7='tab2'!F$3,'Course 2'!$I7," ")</f>
        <v xml:space="preserve"> </v>
      </c>
      <c r="G9" s="8" t="str">
        <f>IF('Course 2'!$H7='tab2'!G$3,'Course 2'!$I7," ")</f>
        <v xml:space="preserve"> </v>
      </c>
      <c r="H9" s="8" t="str">
        <f>IF('Course 2'!$H7='tab2'!H$3,'Course 2'!$I7," ")</f>
        <v xml:space="preserve"> </v>
      </c>
      <c r="I9" s="8" t="str">
        <f>IF('Course 2'!$H7='tab2'!I$3,'Course 2'!$I7," ")</f>
        <v xml:space="preserve"> </v>
      </c>
      <c r="J9" s="8" t="str">
        <f>IF('Course 2'!$H7='tab2'!J$3,'Course 2'!$I7," ")</f>
        <v xml:space="preserve"> </v>
      </c>
      <c r="K9" s="8" t="str">
        <f>IF('Course 2'!$H7='tab2'!K$3,'Course 2'!$I7," ")</f>
        <v xml:space="preserve"> </v>
      </c>
      <c r="L9" s="8" t="str">
        <f>IF('Course 2'!$H7='tab2'!L$3,'Course 2'!$I7," ")</f>
        <v xml:space="preserve"> </v>
      </c>
      <c r="M9" s="8" t="str">
        <f>IF('Course 2'!$H7='tab2'!M$3,'Course 2'!$I7," ")</f>
        <v xml:space="preserve"> </v>
      </c>
      <c r="N9" s="9" t="str">
        <f>IF('Course 2'!$H7='tab2'!N$3,'Course 2'!$I7," ")</f>
        <v xml:space="preserve"> </v>
      </c>
    </row>
    <row r="10" spans="2:14">
      <c r="B10">
        <v>6</v>
      </c>
      <c r="C10" s="7" t="str">
        <f>IF('Course 2'!$H8='tab2'!C$3,'Course 2'!$I8," ")</f>
        <v xml:space="preserve"> </v>
      </c>
      <c r="D10" s="8" t="str">
        <f>IF('Course 2'!$H8='tab2'!D$3,'Course 2'!$I8," ")</f>
        <v xml:space="preserve"> </v>
      </c>
      <c r="E10" s="8" t="str">
        <f>IF('Course 2'!$H8='tab2'!E$3,'Course 2'!$I8," ")</f>
        <v xml:space="preserve"> </v>
      </c>
      <c r="F10" s="8" t="str">
        <f>IF('Course 2'!$H8='tab2'!F$3,'Course 2'!$I8," ")</f>
        <v xml:space="preserve"> </v>
      </c>
      <c r="G10" s="8" t="str">
        <f>IF('Course 2'!$H8='tab2'!G$3,'Course 2'!$I8," ")</f>
        <v xml:space="preserve"> </v>
      </c>
      <c r="H10" s="8" t="str">
        <f>IF('Course 2'!$H8='tab2'!H$3,'Course 2'!$I8," ")</f>
        <v xml:space="preserve"> </v>
      </c>
      <c r="I10" s="8" t="str">
        <f>IF('Course 2'!$H8='tab2'!I$3,'Course 2'!$I8," ")</f>
        <v xml:space="preserve"> </v>
      </c>
      <c r="J10" s="8" t="str">
        <f>IF('Course 2'!$H8='tab2'!J$3,'Course 2'!$I8," ")</f>
        <v xml:space="preserve"> </v>
      </c>
      <c r="K10" s="8" t="str">
        <f>IF('Course 2'!$H8='tab2'!K$3,'Course 2'!$I8," ")</f>
        <v xml:space="preserve"> </v>
      </c>
      <c r="L10" s="8" t="str">
        <f>IF('Course 2'!$H8='tab2'!L$3,'Course 2'!$I8," ")</f>
        <v xml:space="preserve"> </v>
      </c>
      <c r="M10" s="8" t="str">
        <f>IF('Course 2'!$H8='tab2'!M$3,'Course 2'!$I8," ")</f>
        <v xml:space="preserve"> </v>
      </c>
      <c r="N10" s="9" t="str">
        <f>IF('Course 2'!$H8='tab2'!N$3,'Course 2'!$I8," ")</f>
        <v xml:space="preserve"> </v>
      </c>
    </row>
    <row r="11" spans="2:14">
      <c r="B11">
        <v>7</v>
      </c>
      <c r="C11" s="7" t="str">
        <f>IF('Course 2'!$H9='tab2'!C$3,'Course 2'!$I9," ")</f>
        <v xml:space="preserve"> </v>
      </c>
      <c r="D11" s="8" t="str">
        <f>IF('Course 2'!$H9='tab2'!D$3,'Course 2'!$I9," ")</f>
        <v xml:space="preserve"> </v>
      </c>
      <c r="E11" s="8" t="str">
        <f>IF('Course 2'!$H9='tab2'!E$3,'Course 2'!$I9," ")</f>
        <v xml:space="preserve"> </v>
      </c>
      <c r="F11" s="8" t="str">
        <f>IF('Course 2'!$H9='tab2'!F$3,'Course 2'!$I9," ")</f>
        <v xml:space="preserve"> </v>
      </c>
      <c r="G11" s="8" t="str">
        <f>IF('Course 2'!$H9='tab2'!G$3,'Course 2'!$I9," ")</f>
        <v xml:space="preserve"> </v>
      </c>
      <c r="H11" s="8" t="str">
        <f>IF('Course 2'!$H9='tab2'!H$3,'Course 2'!$I9," ")</f>
        <v xml:space="preserve"> </v>
      </c>
      <c r="I11" s="8" t="str">
        <f>IF('Course 2'!$H9='tab2'!I$3,'Course 2'!$I9," ")</f>
        <v xml:space="preserve"> </v>
      </c>
      <c r="J11" s="8" t="str">
        <f>IF('Course 2'!$H9='tab2'!J$3,'Course 2'!$I9," ")</f>
        <v xml:space="preserve"> </v>
      </c>
      <c r="K11" s="8" t="str">
        <f>IF('Course 2'!$H9='tab2'!K$3,'Course 2'!$I9," ")</f>
        <v xml:space="preserve"> </v>
      </c>
      <c r="L11" s="8" t="str">
        <f>IF('Course 2'!$H9='tab2'!L$3,'Course 2'!$I9," ")</f>
        <v xml:space="preserve"> </v>
      </c>
      <c r="M11" s="8" t="str">
        <f>IF('Course 2'!$H9='tab2'!M$3,'Course 2'!$I9," ")</f>
        <v xml:space="preserve"> </v>
      </c>
      <c r="N11" s="9" t="str">
        <f>IF('Course 2'!$H9='tab2'!N$3,'Course 2'!$I9," ")</f>
        <v xml:space="preserve"> </v>
      </c>
    </row>
    <row r="12" spans="2:14">
      <c r="B12">
        <v>8</v>
      </c>
      <c r="C12" s="7" t="str">
        <f>IF('Course 2'!$H10='tab2'!C$3,'Course 2'!$I10," ")</f>
        <v xml:space="preserve"> </v>
      </c>
      <c r="D12" s="8" t="str">
        <f>IF('Course 2'!$H10='tab2'!D$3,'Course 2'!$I10," ")</f>
        <v xml:space="preserve"> </v>
      </c>
      <c r="E12" s="8" t="str">
        <f>IF('Course 2'!$H10='tab2'!E$3,'Course 2'!$I10," ")</f>
        <v xml:space="preserve"> </v>
      </c>
      <c r="F12" s="8" t="str">
        <f>IF('Course 2'!$H10='tab2'!F$3,'Course 2'!$I10," ")</f>
        <v xml:space="preserve"> </v>
      </c>
      <c r="G12" s="8" t="str">
        <f>IF('Course 2'!$H10='tab2'!G$3,'Course 2'!$I10," ")</f>
        <v xml:space="preserve"> </v>
      </c>
      <c r="H12" s="8" t="str">
        <f>IF('Course 2'!$H10='tab2'!H$3,'Course 2'!$I10," ")</f>
        <v xml:space="preserve"> </v>
      </c>
      <c r="I12" s="8" t="str">
        <f>IF('Course 2'!$H10='tab2'!I$3,'Course 2'!$I10," ")</f>
        <v xml:space="preserve"> </v>
      </c>
      <c r="J12" s="8" t="str">
        <f>IF('Course 2'!$H10='tab2'!J$3,'Course 2'!$I10," ")</f>
        <v xml:space="preserve"> </v>
      </c>
      <c r="K12" s="8" t="str">
        <f>IF('Course 2'!$H10='tab2'!K$3,'Course 2'!$I10," ")</f>
        <v xml:space="preserve"> </v>
      </c>
      <c r="L12" s="8" t="str">
        <f>IF('Course 2'!$H10='tab2'!L$3,'Course 2'!$I10," ")</f>
        <v xml:space="preserve"> </v>
      </c>
      <c r="M12" s="8" t="str">
        <f>IF('Course 2'!$H10='tab2'!M$3,'Course 2'!$I10," ")</f>
        <v xml:space="preserve"> </v>
      </c>
      <c r="N12" s="9" t="str">
        <f>IF('Course 2'!$H10='tab2'!N$3,'Course 2'!$I10," ")</f>
        <v xml:space="preserve"> </v>
      </c>
    </row>
    <row r="13" spans="2:14">
      <c r="B13">
        <v>9</v>
      </c>
      <c r="C13" s="7" t="str">
        <f>IF('Course 2'!$H11='tab2'!C$3,'Course 2'!$I11," ")</f>
        <v xml:space="preserve"> </v>
      </c>
      <c r="D13" s="8" t="str">
        <f>IF('Course 2'!$H11='tab2'!D$3,'Course 2'!$I11," ")</f>
        <v xml:space="preserve"> </v>
      </c>
      <c r="E13" s="8" t="str">
        <f>IF('Course 2'!$H11='tab2'!E$3,'Course 2'!$I11," ")</f>
        <v xml:space="preserve"> </v>
      </c>
      <c r="F13" s="8" t="str">
        <f>IF('Course 2'!$H11='tab2'!F$3,'Course 2'!$I11," ")</f>
        <v xml:space="preserve"> </v>
      </c>
      <c r="G13" s="8" t="str">
        <f>IF('Course 2'!$H11='tab2'!G$3,'Course 2'!$I11," ")</f>
        <v xml:space="preserve"> </v>
      </c>
      <c r="H13" s="8" t="str">
        <f>IF('Course 2'!$H11='tab2'!H$3,'Course 2'!$I11," ")</f>
        <v xml:space="preserve"> </v>
      </c>
      <c r="I13" s="8" t="str">
        <f>IF('Course 2'!$H11='tab2'!I$3,'Course 2'!$I11," ")</f>
        <v xml:space="preserve"> </v>
      </c>
      <c r="J13" s="8" t="str">
        <f>IF('Course 2'!$H11='tab2'!J$3,'Course 2'!$I11," ")</f>
        <v xml:space="preserve"> </v>
      </c>
      <c r="K13" s="8" t="str">
        <f>IF('Course 2'!$H11='tab2'!K$3,'Course 2'!$I11," ")</f>
        <v xml:space="preserve"> </v>
      </c>
      <c r="L13" s="8" t="str">
        <f>IF('Course 2'!$H11='tab2'!L$3,'Course 2'!$I11," ")</f>
        <v xml:space="preserve"> </v>
      </c>
      <c r="M13" s="8" t="str">
        <f>IF('Course 2'!$H11='tab2'!M$3,'Course 2'!$I11," ")</f>
        <v xml:space="preserve"> </v>
      </c>
      <c r="N13" s="9" t="str">
        <f>IF('Course 2'!$H11='tab2'!N$3,'Course 2'!$I11," ")</f>
        <v xml:space="preserve"> </v>
      </c>
    </row>
    <row r="14" spans="2:14">
      <c r="B14">
        <v>10</v>
      </c>
      <c r="C14" s="7" t="str">
        <f>IF('Course 2'!$H12='tab2'!C$3,'Course 2'!$I12," ")</f>
        <v xml:space="preserve"> </v>
      </c>
      <c r="D14" s="8" t="str">
        <f>IF('Course 2'!$H12='tab2'!D$3,'Course 2'!$I12," ")</f>
        <v xml:space="preserve"> </v>
      </c>
      <c r="E14" s="8" t="str">
        <f>IF('Course 2'!$H12='tab2'!E$3,'Course 2'!$I12," ")</f>
        <v xml:space="preserve"> </v>
      </c>
      <c r="F14" s="8" t="str">
        <f>IF('Course 2'!$H12='tab2'!F$3,'Course 2'!$I12," ")</f>
        <v xml:space="preserve"> </v>
      </c>
      <c r="G14" s="8" t="str">
        <f>IF('Course 2'!$H12='tab2'!G$3,'Course 2'!$I12," ")</f>
        <v xml:space="preserve"> </v>
      </c>
      <c r="H14" s="8" t="str">
        <f>IF('Course 2'!$H12='tab2'!H$3,'Course 2'!$I12," ")</f>
        <v xml:space="preserve"> </v>
      </c>
      <c r="I14" s="8" t="str">
        <f>IF('Course 2'!$H12='tab2'!I$3,'Course 2'!$I12," ")</f>
        <v xml:space="preserve"> </v>
      </c>
      <c r="J14" s="8" t="str">
        <f>IF('Course 2'!$H12='tab2'!J$3,'Course 2'!$I12," ")</f>
        <v xml:space="preserve"> </v>
      </c>
      <c r="K14" s="8" t="str">
        <f>IF('Course 2'!$H12='tab2'!K$3,'Course 2'!$I12," ")</f>
        <v xml:space="preserve"> </v>
      </c>
      <c r="L14" s="8" t="str">
        <f>IF('Course 2'!$H12='tab2'!L$3,'Course 2'!$I12," ")</f>
        <v xml:space="preserve"> </v>
      </c>
      <c r="M14" s="8" t="str">
        <f>IF('Course 2'!$H12='tab2'!M$3,'Course 2'!$I12," ")</f>
        <v xml:space="preserve"> </v>
      </c>
      <c r="N14" s="9" t="str">
        <f>IF('Course 2'!$H12='tab2'!N$3,'Course 2'!$I12," ")</f>
        <v xml:space="preserve"> </v>
      </c>
    </row>
    <row r="15" spans="2:14">
      <c r="B15">
        <v>11</v>
      </c>
      <c r="C15" s="7" t="str">
        <f>IF('Course 2'!$H13='tab2'!C$3,'Course 2'!$I13," ")</f>
        <v xml:space="preserve"> </v>
      </c>
      <c r="D15" s="8" t="str">
        <f>IF('Course 2'!$H13='tab2'!D$3,'Course 2'!$I13," ")</f>
        <v xml:space="preserve"> </v>
      </c>
      <c r="E15" s="8" t="str">
        <f>IF('Course 2'!$H13='tab2'!E$3,'Course 2'!$I13," ")</f>
        <v xml:space="preserve"> </v>
      </c>
      <c r="F15" s="8" t="str">
        <f>IF('Course 2'!$H13='tab2'!F$3,'Course 2'!$I13," ")</f>
        <v xml:space="preserve"> </v>
      </c>
      <c r="G15" s="8" t="str">
        <f>IF('Course 2'!$H13='tab2'!G$3,'Course 2'!$I13," ")</f>
        <v xml:space="preserve"> </v>
      </c>
      <c r="H15" s="8" t="str">
        <f>IF('Course 2'!$H13='tab2'!H$3,'Course 2'!$I13," ")</f>
        <v xml:space="preserve"> </v>
      </c>
      <c r="I15" s="8" t="str">
        <f>IF('Course 2'!$H13='tab2'!I$3,'Course 2'!$I13," ")</f>
        <v xml:space="preserve"> </v>
      </c>
      <c r="J15" s="8" t="str">
        <f>IF('Course 2'!$H13='tab2'!J$3,'Course 2'!$I13," ")</f>
        <v xml:space="preserve"> </v>
      </c>
      <c r="K15" s="8" t="str">
        <f>IF('Course 2'!$H13='tab2'!K$3,'Course 2'!$I13," ")</f>
        <v xml:space="preserve"> </v>
      </c>
      <c r="L15" s="8" t="str">
        <f>IF('Course 2'!$H13='tab2'!L$3,'Course 2'!$I13," ")</f>
        <v xml:space="preserve"> </v>
      </c>
      <c r="M15" s="8" t="str">
        <f>IF('Course 2'!$H13='tab2'!M$3,'Course 2'!$I13," ")</f>
        <v xml:space="preserve"> </v>
      </c>
      <c r="N15" s="9" t="str">
        <f>IF('Course 2'!$H13='tab2'!N$3,'Course 2'!$I13," ")</f>
        <v xml:space="preserve"> </v>
      </c>
    </row>
    <row r="16" spans="2:14">
      <c r="B16">
        <v>12</v>
      </c>
      <c r="C16" s="7" t="str">
        <f>IF('Course 2'!$H14='tab2'!C$3,'Course 2'!$I14," ")</f>
        <v xml:space="preserve"> </v>
      </c>
      <c r="D16" s="8" t="str">
        <f>IF('Course 2'!$H14='tab2'!D$3,'Course 2'!$I14," ")</f>
        <v xml:space="preserve"> </v>
      </c>
      <c r="E16" s="8" t="str">
        <f>IF('Course 2'!$H14='tab2'!E$3,'Course 2'!$I14," ")</f>
        <v xml:space="preserve"> </v>
      </c>
      <c r="F16" s="8" t="str">
        <f>IF('Course 2'!$H14='tab2'!F$3,'Course 2'!$I14," ")</f>
        <v xml:space="preserve"> </v>
      </c>
      <c r="G16" s="8" t="str">
        <f>IF('Course 2'!$H14='tab2'!G$3,'Course 2'!$I14," ")</f>
        <v xml:space="preserve"> </v>
      </c>
      <c r="H16" s="8" t="str">
        <f>IF('Course 2'!$H14='tab2'!H$3,'Course 2'!$I14," ")</f>
        <v xml:space="preserve"> </v>
      </c>
      <c r="I16" s="8" t="str">
        <f>IF('Course 2'!$H14='tab2'!I$3,'Course 2'!$I14," ")</f>
        <v xml:space="preserve"> </v>
      </c>
      <c r="J16" s="8" t="str">
        <f>IF('Course 2'!$H14='tab2'!J$3,'Course 2'!$I14," ")</f>
        <v xml:space="preserve"> </v>
      </c>
      <c r="K16" s="8" t="str">
        <f>IF('Course 2'!$H14='tab2'!K$3,'Course 2'!$I14," ")</f>
        <v xml:space="preserve"> </v>
      </c>
      <c r="L16" s="8" t="str">
        <f>IF('Course 2'!$H14='tab2'!L$3,'Course 2'!$I14," ")</f>
        <v xml:space="preserve"> </v>
      </c>
      <c r="M16" s="8" t="str">
        <f>IF('Course 2'!$H14='tab2'!M$3,'Course 2'!$I14," ")</f>
        <v xml:space="preserve"> </v>
      </c>
      <c r="N16" s="9" t="str">
        <f>IF('Course 2'!$H14='tab2'!N$3,'Course 2'!$I14," ")</f>
        <v xml:space="preserve"> </v>
      </c>
    </row>
    <row r="17" spans="2:14">
      <c r="B17">
        <v>13</v>
      </c>
      <c r="C17" s="7" t="str">
        <f>IF('Course 2'!$H15='tab2'!C$3,'Course 2'!$I15," ")</f>
        <v xml:space="preserve"> </v>
      </c>
      <c r="D17" s="8" t="str">
        <f>IF('Course 2'!$H15='tab2'!D$3,'Course 2'!$I15," ")</f>
        <v xml:space="preserve"> </v>
      </c>
      <c r="E17" s="8" t="str">
        <f>IF('Course 2'!$H15='tab2'!E$3,'Course 2'!$I15," ")</f>
        <v xml:space="preserve"> </v>
      </c>
      <c r="F17" s="8" t="str">
        <f>IF('Course 2'!$H15='tab2'!F$3,'Course 2'!$I15," ")</f>
        <v xml:space="preserve"> </v>
      </c>
      <c r="G17" s="8" t="str">
        <f>IF('Course 2'!$H15='tab2'!G$3,'Course 2'!$I15," ")</f>
        <v xml:space="preserve"> </v>
      </c>
      <c r="H17" s="8" t="str">
        <f>IF('Course 2'!$H15='tab2'!H$3,'Course 2'!$I15," ")</f>
        <v xml:space="preserve"> </v>
      </c>
      <c r="I17" s="8" t="str">
        <f>IF('Course 2'!$H15='tab2'!I$3,'Course 2'!$I15," ")</f>
        <v xml:space="preserve"> </v>
      </c>
      <c r="J17" s="8" t="str">
        <f>IF('Course 2'!$H15='tab2'!J$3,'Course 2'!$I15," ")</f>
        <v xml:space="preserve"> </v>
      </c>
      <c r="K17" s="8" t="str">
        <f>IF('Course 2'!$H15='tab2'!K$3,'Course 2'!$I15," ")</f>
        <v xml:space="preserve"> </v>
      </c>
      <c r="L17" s="8" t="str">
        <f>IF('Course 2'!$H15='tab2'!L$3,'Course 2'!$I15," ")</f>
        <v xml:space="preserve"> </v>
      </c>
      <c r="M17" s="8" t="str">
        <f>IF('Course 2'!$H15='tab2'!M$3,'Course 2'!$I15," ")</f>
        <v xml:space="preserve"> </v>
      </c>
      <c r="N17" s="9" t="str">
        <f>IF('Course 2'!$H15='tab2'!N$3,'Course 2'!$I15," ")</f>
        <v xml:space="preserve"> </v>
      </c>
    </row>
    <row r="18" spans="2:14">
      <c r="B18">
        <v>14</v>
      </c>
      <c r="C18" s="7" t="str">
        <f>IF('Course 2'!$H16='tab2'!C$3,'Course 2'!$I16," ")</f>
        <v xml:space="preserve"> </v>
      </c>
      <c r="D18" s="8" t="str">
        <f>IF('Course 2'!$H16='tab2'!D$3,'Course 2'!$I16," ")</f>
        <v xml:space="preserve"> </v>
      </c>
      <c r="E18" s="8" t="str">
        <f>IF('Course 2'!$H16='tab2'!E$3,'Course 2'!$I16," ")</f>
        <v xml:space="preserve"> </v>
      </c>
      <c r="F18" s="8" t="str">
        <f>IF('Course 2'!$H16='tab2'!F$3,'Course 2'!$I16," ")</f>
        <v xml:space="preserve"> </v>
      </c>
      <c r="G18" s="8" t="str">
        <f>IF('Course 2'!$H16='tab2'!G$3,'Course 2'!$I16," ")</f>
        <v xml:space="preserve"> </v>
      </c>
      <c r="H18" s="8" t="str">
        <f>IF('Course 2'!$H16='tab2'!H$3,'Course 2'!$I16," ")</f>
        <v xml:space="preserve"> </v>
      </c>
      <c r="I18" s="8" t="str">
        <f>IF('Course 2'!$H16='tab2'!I$3,'Course 2'!$I16," ")</f>
        <v xml:space="preserve"> </v>
      </c>
      <c r="J18" s="8" t="str">
        <f>IF('Course 2'!$H16='tab2'!J$3,'Course 2'!$I16," ")</f>
        <v xml:space="preserve"> </v>
      </c>
      <c r="K18" s="8" t="str">
        <f>IF('Course 2'!$H16='tab2'!K$3,'Course 2'!$I16," ")</f>
        <v xml:space="preserve"> </v>
      </c>
      <c r="L18" s="8" t="str">
        <f>IF('Course 2'!$H16='tab2'!L$3,'Course 2'!$I16," ")</f>
        <v xml:space="preserve"> </v>
      </c>
      <c r="M18" s="8" t="str">
        <f>IF('Course 2'!$H16='tab2'!M$3,'Course 2'!$I16," ")</f>
        <v xml:space="preserve"> </v>
      </c>
      <c r="N18" s="9" t="str">
        <f>IF('Course 2'!$H16='tab2'!N$3,'Course 2'!$I16," ")</f>
        <v xml:space="preserve"> </v>
      </c>
    </row>
    <row r="19" spans="2:14">
      <c r="B19">
        <v>15</v>
      </c>
      <c r="C19" s="7" t="str">
        <f>IF('Course 2'!$H17='tab2'!C$3,'Course 2'!$I17," ")</f>
        <v xml:space="preserve"> </v>
      </c>
      <c r="D19" s="8" t="str">
        <f>IF('Course 2'!$H17='tab2'!D$3,'Course 2'!$I17," ")</f>
        <v xml:space="preserve"> </v>
      </c>
      <c r="E19" s="8" t="str">
        <f>IF('Course 2'!$H17='tab2'!E$3,'Course 2'!$I17," ")</f>
        <v xml:space="preserve"> </v>
      </c>
      <c r="F19" s="8" t="str">
        <f>IF('Course 2'!$H17='tab2'!F$3,'Course 2'!$I17," ")</f>
        <v xml:space="preserve"> </v>
      </c>
      <c r="G19" s="8" t="str">
        <f>IF('Course 2'!$H17='tab2'!G$3,'Course 2'!$I17," ")</f>
        <v xml:space="preserve"> </v>
      </c>
      <c r="H19" s="8" t="str">
        <f>IF('Course 2'!$H17='tab2'!H$3,'Course 2'!$I17," ")</f>
        <v xml:space="preserve"> </v>
      </c>
      <c r="I19" s="8" t="str">
        <f>IF('Course 2'!$H17='tab2'!I$3,'Course 2'!$I17," ")</f>
        <v xml:space="preserve"> </v>
      </c>
      <c r="J19" s="8" t="str">
        <f>IF('Course 2'!$H17='tab2'!J$3,'Course 2'!$I17," ")</f>
        <v xml:space="preserve"> </v>
      </c>
      <c r="K19" s="8" t="str">
        <f>IF('Course 2'!$H17='tab2'!K$3,'Course 2'!$I17," ")</f>
        <v xml:space="preserve"> </v>
      </c>
      <c r="L19" s="8" t="str">
        <f>IF('Course 2'!$H17='tab2'!L$3,'Course 2'!$I17," ")</f>
        <v xml:space="preserve"> </v>
      </c>
      <c r="M19" s="8" t="str">
        <f>IF('Course 2'!$H17='tab2'!M$3,'Course 2'!$I17," ")</f>
        <v xml:space="preserve"> </v>
      </c>
      <c r="N19" s="9" t="str">
        <f>IF('Course 2'!$H17='tab2'!N$3,'Course 2'!$I17," ")</f>
        <v xml:space="preserve"> </v>
      </c>
    </row>
    <row r="20" spans="2:14">
      <c r="B20">
        <v>16</v>
      </c>
      <c r="C20" s="7" t="str">
        <f>IF('Course 2'!$H18='tab2'!C$3,'Course 2'!$I18," ")</f>
        <v xml:space="preserve"> </v>
      </c>
      <c r="D20" s="8" t="str">
        <f>IF('Course 2'!$H18='tab2'!D$3,'Course 2'!$I18," ")</f>
        <v xml:space="preserve"> </v>
      </c>
      <c r="E20" s="8" t="str">
        <f>IF('Course 2'!$H18='tab2'!E$3,'Course 2'!$I18," ")</f>
        <v xml:space="preserve"> </v>
      </c>
      <c r="F20" s="8" t="str">
        <f>IF('Course 2'!$H18='tab2'!F$3,'Course 2'!$I18," ")</f>
        <v xml:space="preserve"> </v>
      </c>
      <c r="G20" s="8" t="str">
        <f>IF('Course 2'!$H18='tab2'!G$3,'Course 2'!$I18," ")</f>
        <v xml:space="preserve"> </v>
      </c>
      <c r="H20" s="8" t="str">
        <f>IF('Course 2'!$H18='tab2'!H$3,'Course 2'!$I18," ")</f>
        <v xml:space="preserve"> </v>
      </c>
      <c r="I20" s="8" t="str">
        <f>IF('Course 2'!$H18='tab2'!I$3,'Course 2'!$I18," ")</f>
        <v xml:space="preserve"> </v>
      </c>
      <c r="J20" s="8" t="str">
        <f>IF('Course 2'!$H18='tab2'!J$3,'Course 2'!$I18," ")</f>
        <v xml:space="preserve"> </v>
      </c>
      <c r="K20" s="8" t="str">
        <f>IF('Course 2'!$H18='tab2'!K$3,'Course 2'!$I18," ")</f>
        <v xml:space="preserve"> </v>
      </c>
      <c r="L20" s="8" t="str">
        <f>IF('Course 2'!$H18='tab2'!L$3,'Course 2'!$I18," ")</f>
        <v xml:space="preserve"> </v>
      </c>
      <c r="M20" s="8" t="str">
        <f>IF('Course 2'!$H18='tab2'!M$3,'Course 2'!$I18," ")</f>
        <v xml:space="preserve"> </v>
      </c>
      <c r="N20" s="9" t="str">
        <f>IF('Course 2'!$H18='tab2'!N$3,'Course 2'!$I18," ")</f>
        <v xml:space="preserve"> </v>
      </c>
    </row>
    <row r="21" spans="2:14">
      <c r="B21">
        <v>17</v>
      </c>
      <c r="C21" s="7" t="str">
        <f>IF('Course 2'!$H19='tab2'!C$3,'Course 2'!$I19," ")</f>
        <v xml:space="preserve"> </v>
      </c>
      <c r="D21" s="8" t="str">
        <f>IF('Course 2'!$H19='tab2'!D$3,'Course 2'!$I19," ")</f>
        <v xml:space="preserve"> </v>
      </c>
      <c r="E21" s="8" t="str">
        <f>IF('Course 2'!$H19='tab2'!E$3,'Course 2'!$I19," ")</f>
        <v xml:space="preserve"> </v>
      </c>
      <c r="F21" s="8" t="str">
        <f>IF('Course 2'!$H19='tab2'!F$3,'Course 2'!$I19," ")</f>
        <v xml:space="preserve"> </v>
      </c>
      <c r="G21" s="8" t="str">
        <f>IF('Course 2'!$H19='tab2'!G$3,'Course 2'!$I19," ")</f>
        <v xml:space="preserve"> </v>
      </c>
      <c r="H21" s="8" t="str">
        <f>IF('Course 2'!$H19='tab2'!H$3,'Course 2'!$I19," ")</f>
        <v xml:space="preserve"> </v>
      </c>
      <c r="I21" s="8" t="str">
        <f>IF('Course 2'!$H19='tab2'!I$3,'Course 2'!$I19," ")</f>
        <v xml:space="preserve"> </v>
      </c>
      <c r="J21" s="8" t="str">
        <f>IF('Course 2'!$H19='tab2'!J$3,'Course 2'!$I19," ")</f>
        <v xml:space="preserve"> </v>
      </c>
      <c r="K21" s="8" t="str">
        <f>IF('Course 2'!$H19='tab2'!K$3,'Course 2'!$I19," ")</f>
        <v xml:space="preserve"> </v>
      </c>
      <c r="L21" s="8" t="str">
        <f>IF('Course 2'!$H19='tab2'!L$3,'Course 2'!$I19," ")</f>
        <v xml:space="preserve"> </v>
      </c>
      <c r="M21" s="8" t="str">
        <f>IF('Course 2'!$H19='tab2'!M$3,'Course 2'!$I19," ")</f>
        <v xml:space="preserve"> </v>
      </c>
      <c r="N21" s="9" t="str">
        <f>IF('Course 2'!$H19='tab2'!N$3,'Course 2'!$I19," ")</f>
        <v xml:space="preserve"> </v>
      </c>
    </row>
    <row r="22" spans="2:14">
      <c r="B22">
        <v>18</v>
      </c>
      <c r="C22" s="7" t="str">
        <f>IF('Course 2'!$H20='tab2'!C$3,'Course 2'!$I20," ")</f>
        <v xml:space="preserve"> </v>
      </c>
      <c r="D22" s="8" t="str">
        <f>IF('Course 2'!$H20='tab2'!D$3,'Course 2'!$I20," ")</f>
        <v xml:space="preserve"> </v>
      </c>
      <c r="E22" s="8" t="str">
        <f>IF('Course 2'!$H20='tab2'!E$3,'Course 2'!$I20," ")</f>
        <v xml:space="preserve"> </v>
      </c>
      <c r="F22" s="8" t="str">
        <f>IF('Course 2'!$H20='tab2'!F$3,'Course 2'!$I20," ")</f>
        <v xml:space="preserve"> </v>
      </c>
      <c r="G22" s="8" t="str">
        <f>IF('Course 2'!$H20='tab2'!G$3,'Course 2'!$I20," ")</f>
        <v xml:space="preserve"> </v>
      </c>
      <c r="H22" s="8" t="str">
        <f>IF('Course 2'!$H20='tab2'!H$3,'Course 2'!$I20," ")</f>
        <v xml:space="preserve"> </v>
      </c>
      <c r="I22" s="8" t="str">
        <f>IF('Course 2'!$H20='tab2'!I$3,'Course 2'!$I20," ")</f>
        <v xml:space="preserve"> </v>
      </c>
      <c r="J22" s="8" t="str">
        <f>IF('Course 2'!$H20='tab2'!J$3,'Course 2'!$I20," ")</f>
        <v xml:space="preserve"> </v>
      </c>
      <c r="K22" s="8" t="str">
        <f>IF('Course 2'!$H20='tab2'!K$3,'Course 2'!$I20," ")</f>
        <v xml:space="preserve"> </v>
      </c>
      <c r="L22" s="8" t="str">
        <f>IF('Course 2'!$H20='tab2'!L$3,'Course 2'!$I20," ")</f>
        <v xml:space="preserve"> </v>
      </c>
      <c r="M22" s="8" t="str">
        <f>IF('Course 2'!$H20='tab2'!M$3,'Course 2'!$I20," ")</f>
        <v xml:space="preserve"> </v>
      </c>
      <c r="N22" s="9" t="str">
        <f>IF('Course 2'!$H20='tab2'!N$3,'Course 2'!$I20," ")</f>
        <v xml:space="preserve"> </v>
      </c>
    </row>
    <row r="23" spans="2:14">
      <c r="B23">
        <v>19</v>
      </c>
      <c r="C23" s="7" t="str">
        <f>IF('Course 2'!$H21='tab2'!C$3,'Course 2'!$I21," ")</f>
        <v xml:space="preserve"> </v>
      </c>
      <c r="D23" s="8" t="str">
        <f>IF('Course 2'!$H21='tab2'!D$3,'Course 2'!$I21," ")</f>
        <v xml:space="preserve"> </v>
      </c>
      <c r="E23" s="8" t="str">
        <f>IF('Course 2'!$H21='tab2'!E$3,'Course 2'!$I21," ")</f>
        <v xml:space="preserve"> </v>
      </c>
      <c r="F23" s="8" t="str">
        <f>IF('Course 2'!$H21='tab2'!F$3,'Course 2'!$I21," ")</f>
        <v xml:space="preserve"> </v>
      </c>
      <c r="G23" s="8" t="str">
        <f>IF('Course 2'!$H21='tab2'!G$3,'Course 2'!$I21," ")</f>
        <v xml:space="preserve"> </v>
      </c>
      <c r="H23" s="8" t="str">
        <f>IF('Course 2'!$H21='tab2'!H$3,'Course 2'!$I21," ")</f>
        <v xml:space="preserve"> </v>
      </c>
      <c r="I23" s="8" t="str">
        <f>IF('Course 2'!$H21='tab2'!I$3,'Course 2'!$I21," ")</f>
        <v xml:space="preserve"> </v>
      </c>
      <c r="J23" s="8" t="str">
        <f>IF('Course 2'!$H21='tab2'!J$3,'Course 2'!$I21," ")</f>
        <v xml:space="preserve"> </v>
      </c>
      <c r="K23" s="8" t="str">
        <f>IF('Course 2'!$H21='tab2'!K$3,'Course 2'!$I21," ")</f>
        <v xml:space="preserve"> </v>
      </c>
      <c r="L23" s="8" t="str">
        <f>IF('Course 2'!$H21='tab2'!L$3,'Course 2'!$I21," ")</f>
        <v xml:space="preserve"> </v>
      </c>
      <c r="M23" s="8" t="str">
        <f>IF('Course 2'!$H21='tab2'!M$3,'Course 2'!$I21," ")</f>
        <v xml:space="preserve"> </v>
      </c>
      <c r="N23" s="9" t="str">
        <f>IF('Course 2'!$H21='tab2'!N$3,'Course 2'!$I21," ")</f>
        <v xml:space="preserve"> </v>
      </c>
    </row>
    <row r="24" spans="2:14">
      <c r="B24">
        <v>20</v>
      </c>
      <c r="C24" s="7" t="str">
        <f>IF('Course 2'!$H22='tab2'!C$3,'Course 2'!$I22," ")</f>
        <v xml:space="preserve"> </v>
      </c>
      <c r="D24" s="8" t="str">
        <f>IF('Course 2'!$H22='tab2'!D$3,'Course 2'!$I22," ")</f>
        <v xml:space="preserve"> </v>
      </c>
      <c r="E24" s="8" t="str">
        <f>IF('Course 2'!$H22='tab2'!E$3,'Course 2'!$I22," ")</f>
        <v xml:space="preserve"> </v>
      </c>
      <c r="F24" s="8" t="str">
        <f>IF('Course 2'!$H22='tab2'!F$3,'Course 2'!$I22," ")</f>
        <v xml:space="preserve"> </v>
      </c>
      <c r="G24" s="8" t="str">
        <f>IF('Course 2'!$H22='tab2'!G$3,'Course 2'!$I22," ")</f>
        <v xml:space="preserve"> </v>
      </c>
      <c r="H24" s="8" t="str">
        <f>IF('Course 2'!$H22='tab2'!H$3,'Course 2'!$I22," ")</f>
        <v xml:space="preserve"> </v>
      </c>
      <c r="I24" s="8" t="str">
        <f>IF('Course 2'!$H22='tab2'!I$3,'Course 2'!$I22," ")</f>
        <v xml:space="preserve"> </v>
      </c>
      <c r="J24" s="8" t="str">
        <f>IF('Course 2'!$H22='tab2'!J$3,'Course 2'!$I22," ")</f>
        <v xml:space="preserve"> </v>
      </c>
      <c r="K24" s="8" t="str">
        <f>IF('Course 2'!$H22='tab2'!K$3,'Course 2'!$I22," ")</f>
        <v xml:space="preserve"> </v>
      </c>
      <c r="L24" s="8" t="str">
        <f>IF('Course 2'!$H22='tab2'!L$3,'Course 2'!$I22," ")</f>
        <v xml:space="preserve"> </v>
      </c>
      <c r="M24" s="8" t="str">
        <f>IF('Course 2'!$H22='tab2'!M$3,'Course 2'!$I22," ")</f>
        <v xml:space="preserve"> </v>
      </c>
      <c r="N24" s="9" t="str">
        <f>IF('Course 2'!$H22='tab2'!N$3,'Course 2'!$I22," ")</f>
        <v xml:space="preserve"> </v>
      </c>
    </row>
    <row r="25" spans="2:14">
      <c r="B25">
        <v>21</v>
      </c>
      <c r="C25" s="7" t="str">
        <f>IF('Course 2'!$H23='tab2'!C$3,'Course 2'!$I23," ")</f>
        <v xml:space="preserve"> </v>
      </c>
      <c r="D25" s="8" t="str">
        <f>IF('Course 2'!$H23='tab2'!D$3,'Course 2'!$I23," ")</f>
        <v xml:space="preserve"> </v>
      </c>
      <c r="E25" s="8" t="str">
        <f>IF('Course 2'!$H23='tab2'!E$3,'Course 2'!$I23," ")</f>
        <v xml:space="preserve"> </v>
      </c>
      <c r="F25" s="8" t="str">
        <f>IF('Course 2'!$H23='tab2'!F$3,'Course 2'!$I23," ")</f>
        <v xml:space="preserve"> </v>
      </c>
      <c r="G25" s="8" t="str">
        <f>IF('Course 2'!$H23='tab2'!G$3,'Course 2'!$I23," ")</f>
        <v xml:space="preserve"> </v>
      </c>
      <c r="H25" s="8" t="str">
        <f>IF('Course 2'!$H23='tab2'!H$3,'Course 2'!$I23," ")</f>
        <v xml:space="preserve"> </v>
      </c>
      <c r="I25" s="8" t="str">
        <f>IF('Course 2'!$H23='tab2'!I$3,'Course 2'!$I23," ")</f>
        <v xml:space="preserve"> </v>
      </c>
      <c r="J25" s="8" t="str">
        <f>IF('Course 2'!$H23='tab2'!J$3,'Course 2'!$I23," ")</f>
        <v xml:space="preserve"> </v>
      </c>
      <c r="K25" s="8" t="str">
        <f>IF('Course 2'!$H23='tab2'!K$3,'Course 2'!$I23," ")</f>
        <v xml:space="preserve"> </v>
      </c>
      <c r="L25" s="8" t="str">
        <f>IF('Course 2'!$H23='tab2'!L$3,'Course 2'!$I23," ")</f>
        <v xml:space="preserve"> </v>
      </c>
      <c r="M25" s="8" t="str">
        <f>IF('Course 2'!$H23='tab2'!M$3,'Course 2'!$I23," ")</f>
        <v xml:space="preserve"> </v>
      </c>
      <c r="N25" s="9" t="str">
        <f>IF('Course 2'!$H23='tab2'!N$3,'Course 2'!$I23," ")</f>
        <v xml:space="preserve"> </v>
      </c>
    </row>
    <row r="26" spans="2:14">
      <c r="B26">
        <v>22</v>
      </c>
      <c r="C26" s="7" t="str">
        <f>IF('Course 2'!$H24='tab2'!C$3,'Course 2'!$I24," ")</f>
        <v xml:space="preserve"> </v>
      </c>
      <c r="D26" s="8" t="str">
        <f>IF('Course 2'!$H24='tab2'!D$3,'Course 2'!$I24," ")</f>
        <v xml:space="preserve"> </v>
      </c>
      <c r="E26" s="8" t="str">
        <f>IF('Course 2'!$H24='tab2'!E$3,'Course 2'!$I24," ")</f>
        <v xml:space="preserve"> </v>
      </c>
      <c r="F26" s="8" t="str">
        <f>IF('Course 2'!$H24='tab2'!F$3,'Course 2'!$I24," ")</f>
        <v xml:space="preserve"> </v>
      </c>
      <c r="G26" s="8" t="str">
        <f>IF('Course 2'!$H24='tab2'!G$3,'Course 2'!$I24," ")</f>
        <v xml:space="preserve"> </v>
      </c>
      <c r="H26" s="8" t="str">
        <f>IF('Course 2'!$H24='tab2'!H$3,'Course 2'!$I24," ")</f>
        <v xml:space="preserve"> </v>
      </c>
      <c r="I26" s="8" t="str">
        <f>IF('Course 2'!$H24='tab2'!I$3,'Course 2'!$I24," ")</f>
        <v xml:space="preserve"> </v>
      </c>
      <c r="J26" s="8" t="str">
        <f>IF('Course 2'!$H24='tab2'!J$3,'Course 2'!$I24," ")</f>
        <v xml:space="preserve"> </v>
      </c>
      <c r="K26" s="8" t="str">
        <f>IF('Course 2'!$H24='tab2'!K$3,'Course 2'!$I24," ")</f>
        <v xml:space="preserve"> </v>
      </c>
      <c r="L26" s="8" t="str">
        <f>IF('Course 2'!$H24='tab2'!L$3,'Course 2'!$I24," ")</f>
        <v xml:space="preserve"> </v>
      </c>
      <c r="M26" s="8" t="str">
        <f>IF('Course 2'!$H24='tab2'!M$3,'Course 2'!$I24," ")</f>
        <v xml:space="preserve"> </v>
      </c>
      <c r="N26" s="9" t="str">
        <f>IF('Course 2'!$H24='tab2'!N$3,'Course 2'!$I24," ")</f>
        <v xml:space="preserve"> </v>
      </c>
    </row>
    <row r="27" spans="2:14">
      <c r="B27">
        <v>23</v>
      </c>
      <c r="C27" s="7" t="str">
        <f>IF('Course 2'!$H25='tab2'!C$3,'Course 2'!$I25," ")</f>
        <v xml:space="preserve"> </v>
      </c>
      <c r="D27" s="8" t="str">
        <f>IF('Course 2'!$H25='tab2'!D$3,'Course 2'!$I25," ")</f>
        <v xml:space="preserve"> </v>
      </c>
      <c r="E27" s="8" t="str">
        <f>IF('Course 2'!$H25='tab2'!E$3,'Course 2'!$I25," ")</f>
        <v xml:space="preserve"> </v>
      </c>
      <c r="F27" s="8" t="str">
        <f>IF('Course 2'!$H25='tab2'!F$3,'Course 2'!$I25," ")</f>
        <v xml:space="preserve"> </v>
      </c>
      <c r="G27" s="8" t="str">
        <f>IF('Course 2'!$H25='tab2'!G$3,'Course 2'!$I25," ")</f>
        <v xml:space="preserve"> </v>
      </c>
      <c r="H27" s="8" t="str">
        <f>IF('Course 2'!$H25='tab2'!H$3,'Course 2'!$I25," ")</f>
        <v xml:space="preserve"> </v>
      </c>
      <c r="I27" s="8" t="str">
        <f>IF('Course 2'!$H25='tab2'!I$3,'Course 2'!$I25," ")</f>
        <v xml:space="preserve"> </v>
      </c>
      <c r="J27" s="8" t="str">
        <f>IF('Course 2'!$H25='tab2'!J$3,'Course 2'!$I25," ")</f>
        <v xml:space="preserve"> </v>
      </c>
      <c r="K27" s="8" t="str">
        <f>IF('Course 2'!$H25='tab2'!K$3,'Course 2'!$I25," ")</f>
        <v xml:space="preserve"> </v>
      </c>
      <c r="L27" s="8" t="str">
        <f>IF('Course 2'!$H25='tab2'!L$3,'Course 2'!$I25," ")</f>
        <v xml:space="preserve"> </v>
      </c>
      <c r="M27" s="8" t="str">
        <f>IF('Course 2'!$H25='tab2'!M$3,'Course 2'!$I25," ")</f>
        <v xml:space="preserve"> </v>
      </c>
      <c r="N27" s="9" t="str">
        <f>IF('Course 2'!$H25='tab2'!N$3,'Course 2'!$I25," ")</f>
        <v xml:space="preserve"> </v>
      </c>
    </row>
    <row r="28" spans="2:14">
      <c r="B28">
        <v>24</v>
      </c>
      <c r="C28" s="7" t="str">
        <f>IF('Course 2'!$H26='tab2'!C$3,'Course 2'!$I26," ")</f>
        <v xml:space="preserve"> </v>
      </c>
      <c r="D28" s="8" t="str">
        <f>IF('Course 2'!$H26='tab2'!D$3,'Course 2'!$I26," ")</f>
        <v xml:space="preserve"> </v>
      </c>
      <c r="E28" s="8" t="str">
        <f>IF('Course 2'!$H26='tab2'!E$3,'Course 2'!$I26," ")</f>
        <v xml:space="preserve"> </v>
      </c>
      <c r="F28" s="8" t="str">
        <f>IF('Course 2'!$H26='tab2'!F$3,'Course 2'!$I26," ")</f>
        <v xml:space="preserve"> </v>
      </c>
      <c r="G28" s="8" t="str">
        <f>IF('Course 2'!$H26='tab2'!G$3,'Course 2'!$I26," ")</f>
        <v xml:space="preserve"> </v>
      </c>
      <c r="H28" s="8" t="str">
        <f>IF('Course 2'!$H26='tab2'!H$3,'Course 2'!$I26," ")</f>
        <v xml:space="preserve"> </v>
      </c>
      <c r="I28" s="8" t="str">
        <f>IF('Course 2'!$H26='tab2'!I$3,'Course 2'!$I26," ")</f>
        <v xml:space="preserve"> </v>
      </c>
      <c r="J28" s="8" t="str">
        <f>IF('Course 2'!$H26='tab2'!J$3,'Course 2'!$I26," ")</f>
        <v xml:space="preserve"> </v>
      </c>
      <c r="K28" s="8" t="str">
        <f>IF('Course 2'!$H26='tab2'!K$3,'Course 2'!$I26," ")</f>
        <v xml:space="preserve"> </v>
      </c>
      <c r="L28" s="8" t="str">
        <f>IF('Course 2'!$H26='tab2'!L$3,'Course 2'!$I26," ")</f>
        <v xml:space="preserve"> </v>
      </c>
      <c r="M28" s="8" t="str">
        <f>IF('Course 2'!$H26='tab2'!M$3,'Course 2'!$I26," ")</f>
        <v xml:space="preserve"> </v>
      </c>
      <c r="N28" s="9" t="str">
        <f>IF('Course 2'!$H26='tab2'!N$3,'Course 2'!$I26," ")</f>
        <v xml:space="preserve"> </v>
      </c>
    </row>
    <row r="29" spans="2:14">
      <c r="B29">
        <v>25</v>
      </c>
      <c r="C29" s="7" t="str">
        <f>IF('Course 2'!$H27='tab2'!C$3,'Course 2'!$I27," ")</f>
        <v xml:space="preserve"> </v>
      </c>
      <c r="D29" s="8" t="str">
        <f>IF('Course 2'!$H27='tab2'!D$3,'Course 2'!$I27," ")</f>
        <v xml:space="preserve"> </v>
      </c>
      <c r="E29" s="8" t="str">
        <f>IF('Course 2'!$H27='tab2'!E$3,'Course 2'!$I27," ")</f>
        <v xml:space="preserve"> </v>
      </c>
      <c r="F29" s="8" t="str">
        <f>IF('Course 2'!$H27='tab2'!F$3,'Course 2'!$I27," ")</f>
        <v xml:space="preserve"> </v>
      </c>
      <c r="G29" s="8" t="str">
        <f>IF('Course 2'!$H27='tab2'!G$3,'Course 2'!$I27," ")</f>
        <v xml:space="preserve"> </v>
      </c>
      <c r="H29" s="8" t="str">
        <f>IF('Course 2'!$H27='tab2'!H$3,'Course 2'!$I27," ")</f>
        <v xml:space="preserve"> </v>
      </c>
      <c r="I29" s="8" t="str">
        <f>IF('Course 2'!$H27='tab2'!I$3,'Course 2'!$I27," ")</f>
        <v xml:space="preserve"> </v>
      </c>
      <c r="J29" s="8" t="str">
        <f>IF('Course 2'!$H27='tab2'!J$3,'Course 2'!$I27," ")</f>
        <v xml:space="preserve"> </v>
      </c>
      <c r="K29" s="8" t="str">
        <f>IF('Course 2'!$H27='tab2'!K$3,'Course 2'!$I27," ")</f>
        <v xml:space="preserve"> </v>
      </c>
      <c r="L29" s="8" t="str">
        <f>IF('Course 2'!$H27='tab2'!L$3,'Course 2'!$I27," ")</f>
        <v xml:space="preserve"> </v>
      </c>
      <c r="M29" s="8" t="str">
        <f>IF('Course 2'!$H27='tab2'!M$3,'Course 2'!$I27," ")</f>
        <v xml:space="preserve"> </v>
      </c>
      <c r="N29" s="9" t="str">
        <f>IF('Course 2'!$H27='tab2'!N$3,'Course 2'!$I27," ")</f>
        <v xml:space="preserve"> </v>
      </c>
    </row>
    <row r="30" spans="2:14">
      <c r="B30">
        <v>26</v>
      </c>
      <c r="C30" s="7" t="str">
        <f>IF('Course 2'!$H28='tab2'!C$3,'Course 2'!$I28," ")</f>
        <v xml:space="preserve"> </v>
      </c>
      <c r="D30" s="8" t="str">
        <f>IF('Course 2'!$H28='tab2'!D$3,'Course 2'!$I28," ")</f>
        <v xml:space="preserve"> </v>
      </c>
      <c r="E30" s="8" t="str">
        <f>IF('Course 2'!$H28='tab2'!E$3,'Course 2'!$I28," ")</f>
        <v xml:space="preserve"> </v>
      </c>
      <c r="F30" s="8" t="str">
        <f>IF('Course 2'!$H28='tab2'!F$3,'Course 2'!$I28," ")</f>
        <v xml:space="preserve"> </v>
      </c>
      <c r="G30" s="8" t="str">
        <f>IF('Course 2'!$H28='tab2'!G$3,'Course 2'!$I28," ")</f>
        <v xml:space="preserve"> </v>
      </c>
      <c r="H30" s="8" t="str">
        <f>IF('Course 2'!$H28='tab2'!H$3,'Course 2'!$I28," ")</f>
        <v xml:space="preserve"> </v>
      </c>
      <c r="I30" s="8" t="str">
        <f>IF('Course 2'!$H28='tab2'!I$3,'Course 2'!$I28," ")</f>
        <v xml:space="preserve"> </v>
      </c>
      <c r="J30" s="8" t="str">
        <f>IF('Course 2'!$H28='tab2'!J$3,'Course 2'!$I28," ")</f>
        <v xml:space="preserve"> </v>
      </c>
      <c r="K30" s="8" t="str">
        <f>IF('Course 2'!$H28='tab2'!K$3,'Course 2'!$I28," ")</f>
        <v xml:space="preserve"> </v>
      </c>
      <c r="L30" s="8" t="str">
        <f>IF('Course 2'!$H28='tab2'!L$3,'Course 2'!$I28," ")</f>
        <v xml:space="preserve"> </v>
      </c>
      <c r="M30" s="8" t="str">
        <f>IF('Course 2'!$H28='tab2'!M$3,'Course 2'!$I28," ")</f>
        <v xml:space="preserve"> </v>
      </c>
      <c r="N30" s="9" t="str">
        <f>IF('Course 2'!$H28='tab2'!N$3,'Course 2'!$I28," ")</f>
        <v xml:space="preserve"> </v>
      </c>
    </row>
    <row r="31" spans="2:14">
      <c r="B31">
        <v>27</v>
      </c>
      <c r="C31" s="7" t="str">
        <f>IF('Course 2'!$H29='tab2'!C$3,'Course 2'!$I29," ")</f>
        <v xml:space="preserve"> </v>
      </c>
      <c r="D31" s="8" t="str">
        <f>IF('Course 2'!$H29='tab2'!D$3,'Course 2'!$I29," ")</f>
        <v xml:space="preserve"> </v>
      </c>
      <c r="E31" s="8" t="str">
        <f>IF('Course 2'!$H29='tab2'!E$3,'Course 2'!$I29," ")</f>
        <v xml:space="preserve"> </v>
      </c>
      <c r="F31" s="8" t="str">
        <f>IF('Course 2'!$H29='tab2'!F$3,'Course 2'!$I29," ")</f>
        <v xml:space="preserve"> </v>
      </c>
      <c r="G31" s="8" t="str">
        <f>IF('Course 2'!$H29='tab2'!G$3,'Course 2'!$I29," ")</f>
        <v xml:space="preserve"> </v>
      </c>
      <c r="H31" s="8" t="str">
        <f>IF('Course 2'!$H29='tab2'!H$3,'Course 2'!$I29," ")</f>
        <v xml:space="preserve"> </v>
      </c>
      <c r="I31" s="8" t="str">
        <f>IF('Course 2'!$H29='tab2'!I$3,'Course 2'!$I29," ")</f>
        <v xml:space="preserve"> </v>
      </c>
      <c r="J31" s="8" t="str">
        <f>IF('Course 2'!$H29='tab2'!J$3,'Course 2'!$I29," ")</f>
        <v xml:space="preserve"> </v>
      </c>
      <c r="K31" s="8" t="str">
        <f>IF('Course 2'!$H29='tab2'!K$3,'Course 2'!$I29," ")</f>
        <v xml:space="preserve"> </v>
      </c>
      <c r="L31" s="8" t="str">
        <f>IF('Course 2'!$H29='tab2'!L$3,'Course 2'!$I29," ")</f>
        <v xml:space="preserve"> </v>
      </c>
      <c r="M31" s="8" t="str">
        <f>IF('Course 2'!$H29='tab2'!M$3,'Course 2'!$I29," ")</f>
        <v xml:space="preserve"> </v>
      </c>
      <c r="N31" s="9" t="str">
        <f>IF('Course 2'!$H29='tab2'!N$3,'Course 2'!$I29," ")</f>
        <v xml:space="preserve"> </v>
      </c>
    </row>
    <row r="32" spans="2:14">
      <c r="B32">
        <v>28</v>
      </c>
      <c r="C32" s="7" t="str">
        <f>IF('Course 2'!$H30='tab2'!C$3,'Course 2'!$I30," ")</f>
        <v xml:space="preserve"> </v>
      </c>
      <c r="D32" s="8" t="str">
        <f>IF('Course 2'!$H30='tab2'!D$3,'Course 2'!$I30," ")</f>
        <v xml:space="preserve"> </v>
      </c>
      <c r="E32" s="8" t="str">
        <f>IF('Course 2'!$H30='tab2'!E$3,'Course 2'!$I30," ")</f>
        <v xml:space="preserve"> </v>
      </c>
      <c r="F32" s="8" t="str">
        <f>IF('Course 2'!$H30='tab2'!F$3,'Course 2'!$I30," ")</f>
        <v xml:space="preserve"> </v>
      </c>
      <c r="G32" s="8" t="str">
        <f>IF('Course 2'!$H30='tab2'!G$3,'Course 2'!$I30," ")</f>
        <v xml:space="preserve"> </v>
      </c>
      <c r="H32" s="8" t="str">
        <f>IF('Course 2'!$H30='tab2'!H$3,'Course 2'!$I30," ")</f>
        <v xml:space="preserve"> </v>
      </c>
      <c r="I32" s="8" t="str">
        <f>IF('Course 2'!$H30='tab2'!I$3,'Course 2'!$I30," ")</f>
        <v xml:space="preserve"> </v>
      </c>
      <c r="J32" s="8" t="str">
        <f>IF('Course 2'!$H30='tab2'!J$3,'Course 2'!$I30," ")</f>
        <v xml:space="preserve"> </v>
      </c>
      <c r="K32" s="8" t="str">
        <f>IF('Course 2'!$H30='tab2'!K$3,'Course 2'!$I30," ")</f>
        <v xml:space="preserve"> </v>
      </c>
      <c r="L32" s="8" t="str">
        <f>IF('Course 2'!$H30='tab2'!L$3,'Course 2'!$I30," ")</f>
        <v xml:space="preserve"> </v>
      </c>
      <c r="M32" s="8" t="str">
        <f>IF('Course 2'!$H30='tab2'!M$3,'Course 2'!$I30," ")</f>
        <v xml:space="preserve"> </v>
      </c>
      <c r="N32" s="9" t="str">
        <f>IF('Course 2'!$H30='tab2'!N$3,'Course 2'!$I30," ")</f>
        <v xml:space="preserve"> </v>
      </c>
    </row>
    <row r="33" spans="2:14">
      <c r="B33">
        <v>29</v>
      </c>
      <c r="C33" s="7" t="str">
        <f>IF('Course 2'!$H31='tab2'!C$3,'Course 2'!$I31," ")</f>
        <v xml:space="preserve"> </v>
      </c>
      <c r="D33" s="8" t="str">
        <f>IF('Course 2'!$H31='tab2'!D$3,'Course 2'!$I31," ")</f>
        <v xml:space="preserve"> </v>
      </c>
      <c r="E33" s="8" t="str">
        <f>IF('Course 2'!$H31='tab2'!E$3,'Course 2'!$I31," ")</f>
        <v xml:space="preserve"> </v>
      </c>
      <c r="F33" s="8" t="str">
        <f>IF('Course 2'!$H31='tab2'!F$3,'Course 2'!$I31," ")</f>
        <v xml:space="preserve"> </v>
      </c>
      <c r="G33" s="8" t="str">
        <f>IF('Course 2'!$H31='tab2'!G$3,'Course 2'!$I31," ")</f>
        <v xml:space="preserve"> </v>
      </c>
      <c r="H33" s="8" t="str">
        <f>IF('Course 2'!$H31='tab2'!H$3,'Course 2'!$I31," ")</f>
        <v xml:space="preserve"> </v>
      </c>
      <c r="I33" s="8" t="str">
        <f>IF('Course 2'!$H31='tab2'!I$3,'Course 2'!$I31," ")</f>
        <v xml:space="preserve"> </v>
      </c>
      <c r="J33" s="8" t="str">
        <f>IF('Course 2'!$H31='tab2'!J$3,'Course 2'!$I31," ")</f>
        <v xml:space="preserve"> </v>
      </c>
      <c r="K33" s="8" t="str">
        <f>IF('Course 2'!$H31='tab2'!K$3,'Course 2'!$I31," ")</f>
        <v xml:space="preserve"> </v>
      </c>
      <c r="L33" s="8" t="str">
        <f>IF('Course 2'!$H31='tab2'!L$3,'Course 2'!$I31," ")</f>
        <v xml:space="preserve"> </v>
      </c>
      <c r="M33" s="8" t="str">
        <f>IF('Course 2'!$H31='tab2'!M$3,'Course 2'!$I31," ")</f>
        <v xml:space="preserve"> </v>
      </c>
      <c r="N33" s="9" t="str">
        <f>IF('Course 2'!$H31='tab2'!N$3,'Course 2'!$I31," ")</f>
        <v xml:space="preserve"> </v>
      </c>
    </row>
    <row r="34" spans="2:14">
      <c r="B34">
        <v>30</v>
      </c>
      <c r="C34" s="7" t="str">
        <f>IF('Course 2'!$H32='tab2'!C$3,'Course 2'!$I32," ")</f>
        <v xml:space="preserve"> </v>
      </c>
      <c r="D34" s="8" t="str">
        <f>IF('Course 2'!$H32='tab2'!D$3,'Course 2'!$I32," ")</f>
        <v xml:space="preserve"> </v>
      </c>
      <c r="E34" s="8" t="str">
        <f>IF('Course 2'!$H32='tab2'!E$3,'Course 2'!$I32," ")</f>
        <v xml:space="preserve"> </v>
      </c>
      <c r="F34" s="8" t="str">
        <f>IF('Course 2'!$H32='tab2'!F$3,'Course 2'!$I32," ")</f>
        <v xml:space="preserve"> </v>
      </c>
      <c r="G34" s="8" t="str">
        <f>IF('Course 2'!$H32='tab2'!G$3,'Course 2'!$I32," ")</f>
        <v xml:space="preserve"> </v>
      </c>
      <c r="H34" s="8" t="str">
        <f>IF('Course 2'!$H32='tab2'!H$3,'Course 2'!$I32," ")</f>
        <v xml:space="preserve"> </v>
      </c>
      <c r="I34" s="8" t="str">
        <f>IF('Course 2'!$H32='tab2'!I$3,'Course 2'!$I32," ")</f>
        <v xml:space="preserve"> </v>
      </c>
      <c r="J34" s="8" t="str">
        <f>IF('Course 2'!$H32='tab2'!J$3,'Course 2'!$I32," ")</f>
        <v xml:space="preserve"> </v>
      </c>
      <c r="K34" s="8" t="str">
        <f>IF('Course 2'!$H32='tab2'!K$3,'Course 2'!$I32," ")</f>
        <v xml:space="preserve"> </v>
      </c>
      <c r="L34" s="8" t="str">
        <f>IF('Course 2'!$H32='tab2'!L$3,'Course 2'!$I32," ")</f>
        <v xml:space="preserve"> </v>
      </c>
      <c r="M34" s="8" t="str">
        <f>IF('Course 2'!$H32='tab2'!M$3,'Course 2'!$I32," ")</f>
        <v xml:space="preserve"> </v>
      </c>
      <c r="N34" s="9" t="str">
        <f>IF('Course 2'!$H32='tab2'!N$3,'Course 2'!$I32," ")</f>
        <v xml:space="preserve"> </v>
      </c>
    </row>
    <row r="35" spans="2:14">
      <c r="B35">
        <v>31</v>
      </c>
      <c r="C35" s="7" t="str">
        <f>IF('Course 2'!$H33='tab2'!C$3,'Course 2'!$I33," ")</f>
        <v xml:space="preserve"> </v>
      </c>
      <c r="D35" s="8" t="str">
        <f>IF('Course 2'!$H33='tab2'!D$3,'Course 2'!$I33," ")</f>
        <v xml:space="preserve"> </v>
      </c>
      <c r="E35" s="8" t="str">
        <f>IF('Course 2'!$H33='tab2'!E$3,'Course 2'!$I33," ")</f>
        <v xml:space="preserve"> </v>
      </c>
      <c r="F35" s="8" t="str">
        <f>IF('Course 2'!$H33='tab2'!F$3,'Course 2'!$I33," ")</f>
        <v xml:space="preserve"> </v>
      </c>
      <c r="G35" s="8" t="str">
        <f>IF('Course 2'!$H33='tab2'!G$3,'Course 2'!$I33," ")</f>
        <v xml:space="preserve"> </v>
      </c>
      <c r="H35" s="8" t="str">
        <f>IF('Course 2'!$H33='tab2'!H$3,'Course 2'!$I33," ")</f>
        <v xml:space="preserve"> </v>
      </c>
      <c r="I35" s="8" t="str">
        <f>IF('Course 2'!$H33='tab2'!I$3,'Course 2'!$I33," ")</f>
        <v xml:space="preserve"> </v>
      </c>
      <c r="J35" s="8" t="str">
        <f>IF('Course 2'!$H33='tab2'!J$3,'Course 2'!$I33," ")</f>
        <v xml:space="preserve"> </v>
      </c>
      <c r="K35" s="8" t="str">
        <f>IF('Course 2'!$H33='tab2'!K$3,'Course 2'!$I33," ")</f>
        <v xml:space="preserve"> </v>
      </c>
      <c r="L35" s="8" t="str">
        <f>IF('Course 2'!$H33='tab2'!L$3,'Course 2'!$I33," ")</f>
        <v xml:space="preserve"> </v>
      </c>
      <c r="M35" s="8" t="str">
        <f>IF('Course 2'!$H33='tab2'!M$3,'Course 2'!$I33," ")</f>
        <v xml:space="preserve"> </v>
      </c>
      <c r="N35" s="9" t="str">
        <f>IF('Course 2'!$H33='tab2'!N$3,'Course 2'!$I33," ")</f>
        <v xml:space="preserve"> </v>
      </c>
    </row>
    <row r="36" spans="2:14">
      <c r="B36">
        <v>32</v>
      </c>
      <c r="C36" s="7" t="str">
        <f>IF('Course 2'!$H34='tab2'!C$3,'Course 2'!$I34," ")</f>
        <v xml:space="preserve"> </v>
      </c>
      <c r="D36" s="8" t="str">
        <f>IF('Course 2'!$H34='tab2'!D$3,'Course 2'!$I34," ")</f>
        <v xml:space="preserve"> </v>
      </c>
      <c r="E36" s="8" t="str">
        <f>IF('Course 2'!$H34='tab2'!E$3,'Course 2'!$I34," ")</f>
        <v xml:space="preserve"> </v>
      </c>
      <c r="F36" s="8" t="str">
        <f>IF('Course 2'!$H34='tab2'!F$3,'Course 2'!$I34," ")</f>
        <v xml:space="preserve"> </v>
      </c>
      <c r="G36" s="8" t="str">
        <f>IF('Course 2'!$H34='tab2'!G$3,'Course 2'!$I34," ")</f>
        <v xml:space="preserve"> </v>
      </c>
      <c r="H36" s="8" t="str">
        <f>IF('Course 2'!$H34='tab2'!H$3,'Course 2'!$I34," ")</f>
        <v xml:space="preserve"> </v>
      </c>
      <c r="I36" s="8" t="str">
        <f>IF('Course 2'!$H34='tab2'!I$3,'Course 2'!$I34," ")</f>
        <v xml:space="preserve"> </v>
      </c>
      <c r="J36" s="8" t="str">
        <f>IF('Course 2'!$H34='tab2'!J$3,'Course 2'!$I34," ")</f>
        <v xml:space="preserve"> </v>
      </c>
      <c r="K36" s="8" t="str">
        <f>IF('Course 2'!$H34='tab2'!K$3,'Course 2'!$I34," ")</f>
        <v xml:space="preserve"> </v>
      </c>
      <c r="L36" s="8" t="str">
        <f>IF('Course 2'!$H34='tab2'!L$3,'Course 2'!$I34," ")</f>
        <v xml:space="preserve"> </v>
      </c>
      <c r="M36" s="8" t="str">
        <f>IF('Course 2'!$H34='tab2'!M$3,'Course 2'!$I34," ")</f>
        <v xml:space="preserve"> </v>
      </c>
      <c r="N36" s="9" t="str">
        <f>IF('Course 2'!$H34='tab2'!N$3,'Course 2'!$I34," ")</f>
        <v xml:space="preserve"> </v>
      </c>
    </row>
    <row r="37" spans="2:14">
      <c r="B37">
        <v>33</v>
      </c>
      <c r="C37" s="7" t="str">
        <f>IF('Course 2'!$H35='tab2'!C$3,'Course 2'!$I35," ")</f>
        <v xml:space="preserve"> </v>
      </c>
      <c r="D37" s="8" t="str">
        <f>IF('Course 2'!$H35='tab2'!D$3,'Course 2'!$I35," ")</f>
        <v xml:space="preserve"> </v>
      </c>
      <c r="E37" s="8" t="str">
        <f>IF('Course 2'!$H35='tab2'!E$3,'Course 2'!$I35," ")</f>
        <v xml:space="preserve"> </v>
      </c>
      <c r="F37" s="8" t="str">
        <f>IF('Course 2'!$H35='tab2'!F$3,'Course 2'!$I35," ")</f>
        <v xml:space="preserve"> </v>
      </c>
      <c r="G37" s="8" t="str">
        <f>IF('Course 2'!$H35='tab2'!G$3,'Course 2'!$I35," ")</f>
        <v xml:space="preserve"> </v>
      </c>
      <c r="H37" s="8" t="str">
        <f>IF('Course 2'!$H35='tab2'!H$3,'Course 2'!$I35," ")</f>
        <v xml:space="preserve"> </v>
      </c>
      <c r="I37" s="8" t="str">
        <f>IF('Course 2'!$H35='tab2'!I$3,'Course 2'!$I35," ")</f>
        <v xml:space="preserve"> </v>
      </c>
      <c r="J37" s="8" t="str">
        <f>IF('Course 2'!$H35='tab2'!J$3,'Course 2'!$I35," ")</f>
        <v xml:space="preserve"> </v>
      </c>
      <c r="K37" s="8" t="str">
        <f>IF('Course 2'!$H35='tab2'!K$3,'Course 2'!$I35," ")</f>
        <v xml:space="preserve"> </v>
      </c>
      <c r="L37" s="8" t="str">
        <f>IF('Course 2'!$H35='tab2'!L$3,'Course 2'!$I35," ")</f>
        <v xml:space="preserve"> </v>
      </c>
      <c r="M37" s="8" t="str">
        <f>IF('Course 2'!$H35='tab2'!M$3,'Course 2'!$I35," ")</f>
        <v xml:space="preserve"> </v>
      </c>
      <c r="N37" s="9" t="str">
        <f>IF('Course 2'!$H35='tab2'!N$3,'Course 2'!$I35," ")</f>
        <v xml:space="preserve"> </v>
      </c>
    </row>
    <row r="38" spans="2:14">
      <c r="B38">
        <v>34</v>
      </c>
      <c r="C38" s="7" t="str">
        <f>IF('Course 2'!$H36='tab2'!C$3,'Course 2'!$I36," ")</f>
        <v xml:space="preserve"> </v>
      </c>
      <c r="D38" s="8" t="str">
        <f>IF('Course 2'!$H36='tab2'!D$3,'Course 2'!$I36," ")</f>
        <v xml:space="preserve"> </v>
      </c>
      <c r="E38" s="8" t="str">
        <f>IF('Course 2'!$H36='tab2'!E$3,'Course 2'!$I36," ")</f>
        <v xml:space="preserve"> </v>
      </c>
      <c r="F38" s="8" t="str">
        <f>IF('Course 2'!$H36='tab2'!F$3,'Course 2'!$I36," ")</f>
        <v xml:space="preserve"> </v>
      </c>
      <c r="G38" s="8" t="str">
        <f>IF('Course 2'!$H36='tab2'!G$3,'Course 2'!$I36," ")</f>
        <v xml:space="preserve"> </v>
      </c>
      <c r="H38" s="8" t="str">
        <f>IF('Course 2'!$H36='tab2'!H$3,'Course 2'!$I36," ")</f>
        <v xml:space="preserve"> </v>
      </c>
      <c r="I38" s="8" t="str">
        <f>IF('Course 2'!$H36='tab2'!I$3,'Course 2'!$I36," ")</f>
        <v xml:space="preserve"> </v>
      </c>
      <c r="J38" s="8" t="str">
        <f>IF('Course 2'!$H36='tab2'!J$3,'Course 2'!$I36," ")</f>
        <v xml:space="preserve"> </v>
      </c>
      <c r="K38" s="8" t="str">
        <f>IF('Course 2'!$H36='tab2'!K$3,'Course 2'!$I36," ")</f>
        <v xml:space="preserve"> </v>
      </c>
      <c r="L38" s="8" t="str">
        <f>IF('Course 2'!$H36='tab2'!L$3,'Course 2'!$I36," ")</f>
        <v xml:space="preserve"> </v>
      </c>
      <c r="M38" s="8" t="str">
        <f>IF('Course 2'!$H36='tab2'!M$3,'Course 2'!$I36," ")</f>
        <v xml:space="preserve"> </v>
      </c>
      <c r="N38" s="9" t="str">
        <f>IF('Course 2'!$H36='tab2'!N$3,'Course 2'!$I36," ")</f>
        <v xml:space="preserve"> </v>
      </c>
    </row>
    <row r="39" spans="2:14">
      <c r="B39">
        <v>35</v>
      </c>
      <c r="C39" s="7" t="str">
        <f>IF('Course 2'!$H37='tab2'!C$3,'Course 2'!$I37," ")</f>
        <v xml:space="preserve"> </v>
      </c>
      <c r="D39" s="8" t="str">
        <f>IF('Course 2'!$H37='tab2'!D$3,'Course 2'!$I37," ")</f>
        <v xml:space="preserve"> </v>
      </c>
      <c r="E39" s="8" t="str">
        <f>IF('Course 2'!$H37='tab2'!E$3,'Course 2'!$I37," ")</f>
        <v xml:space="preserve"> </v>
      </c>
      <c r="F39" s="8" t="str">
        <f>IF('Course 2'!$H37='tab2'!F$3,'Course 2'!$I37," ")</f>
        <v xml:space="preserve"> </v>
      </c>
      <c r="G39" s="8" t="str">
        <f>IF('Course 2'!$H37='tab2'!G$3,'Course 2'!$I37," ")</f>
        <v xml:space="preserve"> </v>
      </c>
      <c r="H39" s="8" t="str">
        <f>IF('Course 2'!$H37='tab2'!H$3,'Course 2'!$I37," ")</f>
        <v xml:space="preserve"> </v>
      </c>
      <c r="I39" s="8" t="str">
        <f>IF('Course 2'!$H37='tab2'!I$3,'Course 2'!$I37," ")</f>
        <v xml:space="preserve"> </v>
      </c>
      <c r="J39" s="8" t="str">
        <f>IF('Course 2'!$H37='tab2'!J$3,'Course 2'!$I37," ")</f>
        <v xml:space="preserve"> </v>
      </c>
      <c r="K39" s="8" t="str">
        <f>IF('Course 2'!$H37='tab2'!K$3,'Course 2'!$I37," ")</f>
        <v xml:space="preserve"> </v>
      </c>
      <c r="L39" s="8" t="str">
        <f>IF('Course 2'!$H37='tab2'!L$3,'Course 2'!$I37," ")</f>
        <v xml:space="preserve"> </v>
      </c>
      <c r="M39" s="8" t="str">
        <f>IF('Course 2'!$H37='tab2'!M$3,'Course 2'!$I37," ")</f>
        <v xml:space="preserve"> </v>
      </c>
      <c r="N39" s="9" t="str">
        <f>IF('Course 2'!$H37='tab2'!N$3,'Course 2'!$I37," ")</f>
        <v xml:space="preserve"> </v>
      </c>
    </row>
    <row r="40" spans="2:14">
      <c r="B40">
        <v>36</v>
      </c>
      <c r="C40" s="7" t="str">
        <f>IF('Course 2'!$H38='tab2'!C$3,'Course 2'!$I38," ")</f>
        <v xml:space="preserve"> </v>
      </c>
      <c r="D40" s="8" t="str">
        <f>IF('Course 2'!$H38='tab2'!D$3,'Course 2'!$I38," ")</f>
        <v xml:space="preserve"> </v>
      </c>
      <c r="E40" s="8" t="str">
        <f>IF('Course 2'!$H38='tab2'!E$3,'Course 2'!$I38," ")</f>
        <v xml:space="preserve"> </v>
      </c>
      <c r="F40" s="8" t="str">
        <f>IF('Course 2'!$H38='tab2'!F$3,'Course 2'!$I38," ")</f>
        <v xml:space="preserve"> </v>
      </c>
      <c r="G40" s="8" t="str">
        <f>IF('Course 2'!$H38='tab2'!G$3,'Course 2'!$I38," ")</f>
        <v xml:space="preserve"> </v>
      </c>
      <c r="H40" s="8" t="str">
        <f>IF('Course 2'!$H38='tab2'!H$3,'Course 2'!$I38," ")</f>
        <v xml:space="preserve"> </v>
      </c>
      <c r="I40" s="8" t="str">
        <f>IF('Course 2'!$H38='tab2'!I$3,'Course 2'!$I38," ")</f>
        <v xml:space="preserve"> </v>
      </c>
      <c r="J40" s="8" t="str">
        <f>IF('Course 2'!$H38='tab2'!J$3,'Course 2'!$I38," ")</f>
        <v xml:space="preserve"> </v>
      </c>
      <c r="K40" s="8" t="str">
        <f>IF('Course 2'!$H38='tab2'!K$3,'Course 2'!$I38," ")</f>
        <v xml:space="preserve"> </v>
      </c>
      <c r="L40" s="8" t="str">
        <f>IF('Course 2'!$H38='tab2'!L$3,'Course 2'!$I38," ")</f>
        <v xml:space="preserve"> </v>
      </c>
      <c r="M40" s="8" t="str">
        <f>IF('Course 2'!$H38='tab2'!M$3,'Course 2'!$I38," ")</f>
        <v xml:space="preserve"> </v>
      </c>
      <c r="N40" s="9" t="str">
        <f>IF('Course 2'!$H38='tab2'!N$3,'Course 2'!$I38," ")</f>
        <v xml:space="preserve"> </v>
      </c>
    </row>
    <row r="41" spans="2:14">
      <c r="B41">
        <v>37</v>
      </c>
      <c r="C41" s="7" t="str">
        <f>IF('Course 2'!$H39='tab2'!C$3,'Course 2'!$I39," ")</f>
        <v xml:space="preserve"> </v>
      </c>
      <c r="D41" s="8" t="str">
        <f>IF('Course 2'!$H39='tab2'!D$3,'Course 2'!$I39," ")</f>
        <v xml:space="preserve"> </v>
      </c>
      <c r="E41" s="8" t="str">
        <f>IF('Course 2'!$H39='tab2'!E$3,'Course 2'!$I39," ")</f>
        <v xml:space="preserve"> </v>
      </c>
      <c r="F41" s="8" t="str">
        <f>IF('Course 2'!$H39='tab2'!F$3,'Course 2'!$I39," ")</f>
        <v xml:space="preserve"> </v>
      </c>
      <c r="G41" s="8" t="str">
        <f>IF('Course 2'!$H39='tab2'!G$3,'Course 2'!$I39," ")</f>
        <v xml:space="preserve"> </v>
      </c>
      <c r="H41" s="8" t="str">
        <f>IF('Course 2'!$H39='tab2'!H$3,'Course 2'!$I39," ")</f>
        <v xml:space="preserve"> </v>
      </c>
      <c r="I41" s="8" t="str">
        <f>IF('Course 2'!$H39='tab2'!I$3,'Course 2'!$I39," ")</f>
        <v xml:space="preserve"> </v>
      </c>
      <c r="J41" s="8" t="str">
        <f>IF('Course 2'!$H39='tab2'!J$3,'Course 2'!$I39," ")</f>
        <v xml:space="preserve"> </v>
      </c>
      <c r="K41" s="8" t="str">
        <f>IF('Course 2'!$H39='tab2'!K$3,'Course 2'!$I39," ")</f>
        <v xml:space="preserve"> </v>
      </c>
      <c r="L41" s="8" t="str">
        <f>IF('Course 2'!$H39='tab2'!L$3,'Course 2'!$I39," ")</f>
        <v xml:space="preserve"> </v>
      </c>
      <c r="M41" s="8" t="str">
        <f>IF('Course 2'!$H39='tab2'!M$3,'Course 2'!$I39," ")</f>
        <v xml:space="preserve"> </v>
      </c>
      <c r="N41" s="9" t="str">
        <f>IF('Course 2'!$H39='tab2'!N$3,'Course 2'!$I39," ")</f>
        <v xml:space="preserve"> </v>
      </c>
    </row>
    <row r="42" spans="2:14">
      <c r="B42">
        <v>38</v>
      </c>
      <c r="C42" s="7" t="str">
        <f>IF('Course 2'!$H40='tab2'!C$3,'Course 2'!$I40," ")</f>
        <v xml:space="preserve"> </v>
      </c>
      <c r="D42" s="8" t="str">
        <f>IF('Course 2'!$H40='tab2'!D$3,'Course 2'!$I40," ")</f>
        <v xml:space="preserve"> </v>
      </c>
      <c r="E42" s="8" t="str">
        <f>IF('Course 2'!$H40='tab2'!E$3,'Course 2'!$I40," ")</f>
        <v xml:space="preserve"> </v>
      </c>
      <c r="F42" s="8" t="str">
        <f>IF('Course 2'!$H40='tab2'!F$3,'Course 2'!$I40," ")</f>
        <v xml:space="preserve"> </v>
      </c>
      <c r="G42" s="8" t="str">
        <f>IF('Course 2'!$H40='tab2'!G$3,'Course 2'!$I40," ")</f>
        <v xml:space="preserve"> </v>
      </c>
      <c r="H42" s="8" t="str">
        <f>IF('Course 2'!$H40='tab2'!H$3,'Course 2'!$I40," ")</f>
        <v xml:space="preserve"> </v>
      </c>
      <c r="I42" s="8" t="str">
        <f>IF('Course 2'!$H40='tab2'!I$3,'Course 2'!$I40," ")</f>
        <v xml:space="preserve"> </v>
      </c>
      <c r="J42" s="8" t="str">
        <f>IF('Course 2'!$H40='tab2'!J$3,'Course 2'!$I40," ")</f>
        <v xml:space="preserve"> </v>
      </c>
      <c r="K42" s="8" t="str">
        <f>IF('Course 2'!$H40='tab2'!K$3,'Course 2'!$I40," ")</f>
        <v xml:space="preserve"> </v>
      </c>
      <c r="L42" s="8" t="str">
        <f>IF('Course 2'!$H40='tab2'!L$3,'Course 2'!$I40," ")</f>
        <v xml:space="preserve"> </v>
      </c>
      <c r="M42" s="8" t="str">
        <f>IF('Course 2'!$H40='tab2'!M$3,'Course 2'!$I40," ")</f>
        <v xml:space="preserve"> </v>
      </c>
      <c r="N42" s="9" t="str">
        <f>IF('Course 2'!$H40='tab2'!N$3,'Course 2'!$I40," ")</f>
        <v xml:space="preserve"> </v>
      </c>
    </row>
    <row r="43" spans="2:14">
      <c r="B43">
        <v>39</v>
      </c>
      <c r="C43" s="7" t="str">
        <f>IF('Course 2'!$H41='tab2'!C$3,'Course 2'!$I41," ")</f>
        <v xml:space="preserve"> </v>
      </c>
      <c r="D43" s="8" t="str">
        <f>IF('Course 2'!$H41='tab2'!D$3,'Course 2'!$I41," ")</f>
        <v xml:space="preserve"> </v>
      </c>
      <c r="E43" s="8" t="str">
        <f>IF('Course 2'!$H41='tab2'!E$3,'Course 2'!$I41," ")</f>
        <v xml:space="preserve"> </v>
      </c>
      <c r="F43" s="8" t="str">
        <f>IF('Course 2'!$H41='tab2'!F$3,'Course 2'!$I41," ")</f>
        <v xml:space="preserve"> </v>
      </c>
      <c r="G43" s="8" t="str">
        <f>IF('Course 2'!$H41='tab2'!G$3,'Course 2'!$I41," ")</f>
        <v xml:space="preserve"> </v>
      </c>
      <c r="H43" s="8" t="str">
        <f>IF('Course 2'!$H41='tab2'!H$3,'Course 2'!$I41," ")</f>
        <v xml:space="preserve"> </v>
      </c>
      <c r="I43" s="8" t="str">
        <f>IF('Course 2'!$H41='tab2'!I$3,'Course 2'!$I41," ")</f>
        <v xml:space="preserve"> </v>
      </c>
      <c r="J43" s="8" t="str">
        <f>IF('Course 2'!$H41='tab2'!J$3,'Course 2'!$I41," ")</f>
        <v xml:space="preserve"> </v>
      </c>
      <c r="K43" s="8" t="str">
        <f>IF('Course 2'!$H41='tab2'!K$3,'Course 2'!$I41," ")</f>
        <v xml:space="preserve"> </v>
      </c>
      <c r="L43" s="8" t="str">
        <f>IF('Course 2'!$H41='tab2'!L$3,'Course 2'!$I41," ")</f>
        <v xml:space="preserve"> </v>
      </c>
      <c r="M43" s="8" t="str">
        <f>IF('Course 2'!$H41='tab2'!M$3,'Course 2'!$I41," ")</f>
        <v xml:space="preserve"> </v>
      </c>
      <c r="N43" s="9" t="str">
        <f>IF('Course 2'!$H41='tab2'!N$3,'Course 2'!$I41," ")</f>
        <v xml:space="preserve"> </v>
      </c>
    </row>
    <row r="44" spans="2:14">
      <c r="B44">
        <v>40</v>
      </c>
      <c r="C44" s="7" t="str">
        <f>IF('Course 2'!$H42='tab2'!C$3,'Course 2'!$I42," ")</f>
        <v xml:space="preserve"> </v>
      </c>
      <c r="D44" s="8" t="str">
        <f>IF('Course 2'!$H42='tab2'!D$3,'Course 2'!$I42," ")</f>
        <v xml:space="preserve"> </v>
      </c>
      <c r="E44" s="8" t="str">
        <f>IF('Course 2'!$H42='tab2'!E$3,'Course 2'!$I42," ")</f>
        <v xml:space="preserve"> </v>
      </c>
      <c r="F44" s="8" t="str">
        <f>IF('Course 2'!$H42='tab2'!F$3,'Course 2'!$I42," ")</f>
        <v xml:space="preserve"> </v>
      </c>
      <c r="G44" s="8" t="str">
        <f>IF('Course 2'!$H42='tab2'!G$3,'Course 2'!$I42," ")</f>
        <v xml:space="preserve"> </v>
      </c>
      <c r="H44" s="8" t="str">
        <f>IF('Course 2'!$H42='tab2'!H$3,'Course 2'!$I42," ")</f>
        <v xml:space="preserve"> </v>
      </c>
      <c r="I44" s="8" t="str">
        <f>IF('Course 2'!$H42='tab2'!I$3,'Course 2'!$I42," ")</f>
        <v xml:space="preserve"> </v>
      </c>
      <c r="J44" s="8" t="str">
        <f>IF('Course 2'!$H42='tab2'!J$3,'Course 2'!$I42," ")</f>
        <v xml:space="preserve"> </v>
      </c>
      <c r="K44" s="8" t="str">
        <f>IF('Course 2'!$H42='tab2'!K$3,'Course 2'!$I42," ")</f>
        <v xml:space="preserve"> </v>
      </c>
      <c r="L44" s="8" t="str">
        <f>IF('Course 2'!$H42='tab2'!L$3,'Course 2'!$I42," ")</f>
        <v xml:space="preserve"> </v>
      </c>
      <c r="M44" s="8" t="str">
        <f>IF('Course 2'!$H42='tab2'!M$3,'Course 2'!$I42," ")</f>
        <v xml:space="preserve"> </v>
      </c>
      <c r="N44" s="9" t="str">
        <f>IF('Course 2'!$H42='tab2'!N$3,'Course 2'!$I42," ")</f>
        <v xml:space="preserve"> </v>
      </c>
    </row>
    <row r="45" spans="2:14">
      <c r="B45">
        <v>41</v>
      </c>
      <c r="C45" s="7" t="str">
        <f>IF('Course 2'!$H43='tab2'!C$3,'Course 2'!$I43," ")</f>
        <v xml:space="preserve"> </v>
      </c>
      <c r="D45" s="8" t="str">
        <f>IF('Course 2'!$H43='tab2'!D$3,'Course 2'!$I43," ")</f>
        <v xml:space="preserve"> </v>
      </c>
      <c r="E45" s="8" t="str">
        <f>IF('Course 2'!$H43='tab2'!E$3,'Course 2'!$I43," ")</f>
        <v xml:space="preserve"> </v>
      </c>
      <c r="F45" s="8" t="str">
        <f>IF('Course 2'!$H43='tab2'!F$3,'Course 2'!$I43," ")</f>
        <v xml:space="preserve"> </v>
      </c>
      <c r="G45" s="8" t="str">
        <f>IF('Course 2'!$H43='tab2'!G$3,'Course 2'!$I43," ")</f>
        <v xml:space="preserve"> </v>
      </c>
      <c r="H45" s="8" t="str">
        <f>IF('Course 2'!$H43='tab2'!H$3,'Course 2'!$I43," ")</f>
        <v xml:space="preserve"> </v>
      </c>
      <c r="I45" s="8" t="str">
        <f>IF('Course 2'!$H43='tab2'!I$3,'Course 2'!$I43," ")</f>
        <v xml:space="preserve"> </v>
      </c>
      <c r="J45" s="8" t="str">
        <f>IF('Course 2'!$H43='tab2'!J$3,'Course 2'!$I43," ")</f>
        <v xml:space="preserve"> </v>
      </c>
      <c r="K45" s="8" t="str">
        <f>IF('Course 2'!$H43='tab2'!K$3,'Course 2'!$I43," ")</f>
        <v xml:space="preserve"> </v>
      </c>
      <c r="L45" s="8" t="str">
        <f>IF('Course 2'!$H43='tab2'!L$3,'Course 2'!$I43," ")</f>
        <v xml:space="preserve"> </v>
      </c>
      <c r="M45" s="8" t="str">
        <f>IF('Course 2'!$H43='tab2'!M$3,'Course 2'!$I43," ")</f>
        <v xml:space="preserve"> </v>
      </c>
      <c r="N45" s="9" t="str">
        <f>IF('Course 2'!$H43='tab2'!N$3,'Course 2'!$I43," ")</f>
        <v xml:space="preserve"> </v>
      </c>
    </row>
    <row r="46" spans="2:14">
      <c r="B46">
        <v>42</v>
      </c>
      <c r="C46" s="7" t="str">
        <f>IF('Course 2'!$H44='tab2'!C$3,'Course 2'!$I44," ")</f>
        <v xml:space="preserve"> </v>
      </c>
      <c r="D46" s="8" t="str">
        <f>IF('Course 2'!$H44='tab2'!D$3,'Course 2'!$I44," ")</f>
        <v xml:space="preserve"> </v>
      </c>
      <c r="E46" s="8" t="str">
        <f>IF('Course 2'!$H44='tab2'!E$3,'Course 2'!$I44," ")</f>
        <v xml:space="preserve"> </v>
      </c>
      <c r="F46" s="8" t="str">
        <f>IF('Course 2'!$H44='tab2'!F$3,'Course 2'!$I44," ")</f>
        <v xml:space="preserve"> </v>
      </c>
      <c r="G46" s="8" t="str">
        <f>IF('Course 2'!$H44='tab2'!G$3,'Course 2'!$I44," ")</f>
        <v xml:space="preserve"> </v>
      </c>
      <c r="H46" s="8" t="str">
        <f>IF('Course 2'!$H44='tab2'!H$3,'Course 2'!$I44," ")</f>
        <v xml:space="preserve"> </v>
      </c>
      <c r="I46" s="8" t="str">
        <f>IF('Course 2'!$H44='tab2'!I$3,'Course 2'!$I44," ")</f>
        <v xml:space="preserve"> </v>
      </c>
      <c r="J46" s="8" t="str">
        <f>IF('Course 2'!$H44='tab2'!J$3,'Course 2'!$I44," ")</f>
        <v xml:space="preserve"> </v>
      </c>
      <c r="K46" s="8" t="str">
        <f>IF('Course 2'!$H44='tab2'!K$3,'Course 2'!$I44," ")</f>
        <v xml:space="preserve"> </v>
      </c>
      <c r="L46" s="8" t="str">
        <f>IF('Course 2'!$H44='tab2'!L$3,'Course 2'!$I44," ")</f>
        <v xml:space="preserve"> </v>
      </c>
      <c r="M46" s="8" t="str">
        <f>IF('Course 2'!$H44='tab2'!M$3,'Course 2'!$I44," ")</f>
        <v xml:space="preserve"> </v>
      </c>
      <c r="N46" s="9" t="str">
        <f>IF('Course 2'!$H44='tab2'!N$3,'Course 2'!$I44," ")</f>
        <v xml:space="preserve"> </v>
      </c>
    </row>
    <row r="47" spans="2:14">
      <c r="B47">
        <v>43</v>
      </c>
      <c r="C47" s="7" t="str">
        <f>IF('Course 2'!$H45='tab2'!C$3,'Course 2'!$I45," ")</f>
        <v xml:space="preserve"> </v>
      </c>
      <c r="D47" s="8" t="str">
        <f>IF('Course 2'!$H45='tab2'!D$3,'Course 2'!$I45," ")</f>
        <v xml:space="preserve"> </v>
      </c>
      <c r="E47" s="8" t="str">
        <f>IF('Course 2'!$H45='tab2'!E$3,'Course 2'!$I45," ")</f>
        <v xml:space="preserve"> </v>
      </c>
      <c r="F47" s="8" t="str">
        <f>IF('Course 2'!$H45='tab2'!F$3,'Course 2'!$I45," ")</f>
        <v xml:space="preserve"> </v>
      </c>
      <c r="G47" s="8" t="str">
        <f>IF('Course 2'!$H45='tab2'!G$3,'Course 2'!$I45," ")</f>
        <v xml:space="preserve"> </v>
      </c>
      <c r="H47" s="8" t="str">
        <f>IF('Course 2'!$H45='tab2'!H$3,'Course 2'!$I45," ")</f>
        <v xml:space="preserve"> </v>
      </c>
      <c r="I47" s="8" t="str">
        <f>IF('Course 2'!$H45='tab2'!I$3,'Course 2'!$I45," ")</f>
        <v xml:space="preserve"> </v>
      </c>
      <c r="J47" s="8" t="str">
        <f>IF('Course 2'!$H45='tab2'!J$3,'Course 2'!$I45," ")</f>
        <v xml:space="preserve"> </v>
      </c>
      <c r="K47" s="8" t="str">
        <f>IF('Course 2'!$H45='tab2'!K$3,'Course 2'!$I45," ")</f>
        <v xml:space="preserve"> </v>
      </c>
      <c r="L47" s="8" t="str">
        <f>IF('Course 2'!$H45='tab2'!L$3,'Course 2'!$I45," ")</f>
        <v xml:space="preserve"> </v>
      </c>
      <c r="M47" s="8" t="str">
        <f>IF('Course 2'!$H45='tab2'!M$3,'Course 2'!$I45," ")</f>
        <v xml:space="preserve"> </v>
      </c>
      <c r="N47" s="9" t="str">
        <f>IF('Course 2'!$H45='tab2'!N$3,'Course 2'!$I45," ")</f>
        <v xml:space="preserve"> </v>
      </c>
    </row>
    <row r="48" spans="2:14">
      <c r="B48">
        <v>44</v>
      </c>
      <c r="C48" s="7" t="str">
        <f>IF('Course 2'!$H46='tab2'!C$3,'Course 2'!$I46," ")</f>
        <v xml:space="preserve"> </v>
      </c>
      <c r="D48" s="8" t="str">
        <f>IF('Course 2'!$H46='tab2'!D$3,'Course 2'!$I46," ")</f>
        <v xml:space="preserve"> </v>
      </c>
      <c r="E48" s="8" t="str">
        <f>IF('Course 2'!$H46='tab2'!E$3,'Course 2'!$I46," ")</f>
        <v xml:space="preserve"> </v>
      </c>
      <c r="F48" s="8" t="str">
        <f>IF('Course 2'!$H46='tab2'!F$3,'Course 2'!$I46," ")</f>
        <v xml:space="preserve"> </v>
      </c>
      <c r="G48" s="8" t="str">
        <f>IF('Course 2'!$H46='tab2'!G$3,'Course 2'!$I46," ")</f>
        <v xml:space="preserve"> </v>
      </c>
      <c r="H48" s="8" t="str">
        <f>IF('Course 2'!$H46='tab2'!H$3,'Course 2'!$I46," ")</f>
        <v xml:space="preserve"> </v>
      </c>
      <c r="I48" s="8" t="str">
        <f>IF('Course 2'!$H46='tab2'!I$3,'Course 2'!$I46," ")</f>
        <v xml:space="preserve"> </v>
      </c>
      <c r="J48" s="8" t="str">
        <f>IF('Course 2'!$H46='tab2'!J$3,'Course 2'!$I46," ")</f>
        <v xml:space="preserve"> </v>
      </c>
      <c r="K48" s="8" t="str">
        <f>IF('Course 2'!$H46='tab2'!K$3,'Course 2'!$I46," ")</f>
        <v xml:space="preserve"> </v>
      </c>
      <c r="L48" s="8" t="str">
        <f>IF('Course 2'!$H46='tab2'!L$3,'Course 2'!$I46," ")</f>
        <v xml:space="preserve"> </v>
      </c>
      <c r="M48" s="8" t="str">
        <f>IF('Course 2'!$H46='tab2'!M$3,'Course 2'!$I46," ")</f>
        <v xml:space="preserve"> </v>
      </c>
      <c r="N48" s="9" t="str">
        <f>IF('Course 2'!$H46='tab2'!N$3,'Course 2'!$I46," ")</f>
        <v xml:space="preserve"> </v>
      </c>
    </row>
    <row r="49" spans="2:14">
      <c r="B49">
        <v>45</v>
      </c>
      <c r="C49" s="7" t="str">
        <f>IF('Course 2'!$H47='tab2'!C$3,'Course 2'!$I47," ")</f>
        <v xml:space="preserve"> </v>
      </c>
      <c r="D49" s="8" t="str">
        <f>IF('Course 2'!$H47='tab2'!D$3,'Course 2'!$I47," ")</f>
        <v xml:space="preserve"> </v>
      </c>
      <c r="E49" s="8" t="str">
        <f>IF('Course 2'!$H47='tab2'!E$3,'Course 2'!$I47," ")</f>
        <v xml:space="preserve"> </v>
      </c>
      <c r="F49" s="8" t="str">
        <f>IF('Course 2'!$H47='tab2'!F$3,'Course 2'!$I47," ")</f>
        <v xml:space="preserve"> </v>
      </c>
      <c r="G49" s="8" t="str">
        <f>IF('Course 2'!$H47='tab2'!G$3,'Course 2'!$I47," ")</f>
        <v xml:space="preserve"> </v>
      </c>
      <c r="H49" s="8" t="str">
        <f>IF('Course 2'!$H47='tab2'!H$3,'Course 2'!$I47," ")</f>
        <v xml:space="preserve"> </v>
      </c>
      <c r="I49" s="8" t="str">
        <f>IF('Course 2'!$H47='tab2'!I$3,'Course 2'!$I47," ")</f>
        <v xml:space="preserve"> </v>
      </c>
      <c r="J49" s="8" t="str">
        <f>IF('Course 2'!$H47='tab2'!J$3,'Course 2'!$I47," ")</f>
        <v xml:space="preserve"> </v>
      </c>
      <c r="K49" s="8" t="str">
        <f>IF('Course 2'!$H47='tab2'!K$3,'Course 2'!$I47," ")</f>
        <v xml:space="preserve"> </v>
      </c>
      <c r="L49" s="8" t="str">
        <f>IF('Course 2'!$H47='tab2'!L$3,'Course 2'!$I47," ")</f>
        <v xml:space="preserve"> </v>
      </c>
      <c r="M49" s="8" t="str">
        <f>IF('Course 2'!$H47='tab2'!M$3,'Course 2'!$I47," ")</f>
        <v xml:space="preserve"> </v>
      </c>
      <c r="N49" s="9" t="str">
        <f>IF('Course 2'!$H47='tab2'!N$3,'Course 2'!$I47," ")</f>
        <v xml:space="preserve"> </v>
      </c>
    </row>
    <row r="50" spans="2:14">
      <c r="B50">
        <v>46</v>
      </c>
      <c r="C50" s="7" t="str">
        <f>IF('Course 2'!$H48='tab2'!C$3,'Course 2'!$I48," ")</f>
        <v xml:space="preserve"> </v>
      </c>
      <c r="D50" s="8" t="str">
        <f>IF('Course 2'!$H48='tab2'!D$3,'Course 2'!$I48," ")</f>
        <v xml:space="preserve"> </v>
      </c>
      <c r="E50" s="8" t="str">
        <f>IF('Course 2'!$H48='tab2'!E$3,'Course 2'!$I48," ")</f>
        <v xml:space="preserve"> </v>
      </c>
      <c r="F50" s="8" t="str">
        <f>IF('Course 2'!$H48='tab2'!F$3,'Course 2'!$I48," ")</f>
        <v xml:space="preserve"> </v>
      </c>
      <c r="G50" s="8" t="str">
        <f>IF('Course 2'!$H48='tab2'!G$3,'Course 2'!$I48," ")</f>
        <v xml:space="preserve"> </v>
      </c>
      <c r="H50" s="8" t="str">
        <f>IF('Course 2'!$H48='tab2'!H$3,'Course 2'!$I48," ")</f>
        <v xml:space="preserve"> </v>
      </c>
      <c r="I50" s="8" t="str">
        <f>IF('Course 2'!$H48='tab2'!I$3,'Course 2'!$I48," ")</f>
        <v xml:space="preserve"> </v>
      </c>
      <c r="J50" s="8" t="str">
        <f>IF('Course 2'!$H48='tab2'!J$3,'Course 2'!$I48," ")</f>
        <v xml:space="preserve"> </v>
      </c>
      <c r="K50" s="8" t="str">
        <f>IF('Course 2'!$H48='tab2'!K$3,'Course 2'!$I48," ")</f>
        <v xml:space="preserve"> </v>
      </c>
      <c r="L50" s="8" t="str">
        <f>IF('Course 2'!$H48='tab2'!L$3,'Course 2'!$I48," ")</f>
        <v xml:space="preserve"> </v>
      </c>
      <c r="M50" s="8" t="str">
        <f>IF('Course 2'!$H48='tab2'!M$3,'Course 2'!$I48," ")</f>
        <v xml:space="preserve"> </v>
      </c>
      <c r="N50" s="9" t="str">
        <f>IF('Course 2'!$H48='tab2'!N$3,'Course 2'!$I48," ")</f>
        <v xml:space="preserve"> </v>
      </c>
    </row>
    <row r="51" spans="2:14">
      <c r="B51">
        <v>47</v>
      </c>
      <c r="C51" s="7" t="str">
        <f>IF('Course 2'!$H49='tab2'!C$3,'Course 2'!$I49," ")</f>
        <v xml:space="preserve"> </v>
      </c>
      <c r="D51" s="8" t="str">
        <f>IF('Course 2'!$H49='tab2'!D$3,'Course 2'!$I49," ")</f>
        <v xml:space="preserve"> </v>
      </c>
      <c r="E51" s="8" t="str">
        <f>IF('Course 2'!$H49='tab2'!E$3,'Course 2'!$I49," ")</f>
        <v xml:space="preserve"> </v>
      </c>
      <c r="F51" s="8" t="str">
        <f>IF('Course 2'!$H49='tab2'!F$3,'Course 2'!$I49," ")</f>
        <v xml:space="preserve"> </v>
      </c>
      <c r="G51" s="8" t="str">
        <f>IF('Course 2'!$H49='tab2'!G$3,'Course 2'!$I49," ")</f>
        <v xml:space="preserve"> </v>
      </c>
      <c r="H51" s="8" t="str">
        <f>IF('Course 2'!$H49='tab2'!H$3,'Course 2'!$I49," ")</f>
        <v xml:space="preserve"> </v>
      </c>
      <c r="I51" s="8" t="str">
        <f>IF('Course 2'!$H49='tab2'!I$3,'Course 2'!$I49," ")</f>
        <v xml:space="preserve"> </v>
      </c>
      <c r="J51" s="8" t="str">
        <f>IF('Course 2'!$H49='tab2'!J$3,'Course 2'!$I49," ")</f>
        <v xml:space="preserve"> </v>
      </c>
      <c r="K51" s="8" t="str">
        <f>IF('Course 2'!$H49='tab2'!K$3,'Course 2'!$I49," ")</f>
        <v xml:space="preserve"> </v>
      </c>
      <c r="L51" s="8" t="str">
        <f>IF('Course 2'!$H49='tab2'!L$3,'Course 2'!$I49," ")</f>
        <v xml:space="preserve"> </v>
      </c>
      <c r="M51" s="8" t="str">
        <f>IF('Course 2'!$H49='tab2'!M$3,'Course 2'!$I49," ")</f>
        <v xml:space="preserve"> </v>
      </c>
      <c r="N51" s="9" t="str">
        <f>IF('Course 2'!$H49='tab2'!N$3,'Course 2'!$I49," ")</f>
        <v xml:space="preserve"> </v>
      </c>
    </row>
    <row r="52" spans="2:14">
      <c r="B52">
        <v>48</v>
      </c>
      <c r="C52" s="7" t="str">
        <f>IF('Course 2'!$H50='tab2'!C$3,'Course 2'!$I50," ")</f>
        <v xml:space="preserve"> </v>
      </c>
      <c r="D52" s="8" t="str">
        <f>IF('Course 2'!$H50='tab2'!D$3,'Course 2'!$I50," ")</f>
        <v xml:space="preserve"> </v>
      </c>
      <c r="E52" s="8" t="str">
        <f>IF('Course 2'!$H50='tab2'!E$3,'Course 2'!$I50," ")</f>
        <v xml:space="preserve"> </v>
      </c>
      <c r="F52" s="8" t="str">
        <f>IF('Course 2'!$H50='tab2'!F$3,'Course 2'!$I50," ")</f>
        <v xml:space="preserve"> </v>
      </c>
      <c r="G52" s="8" t="str">
        <f>IF('Course 2'!$H50='tab2'!G$3,'Course 2'!$I50," ")</f>
        <v xml:space="preserve"> </v>
      </c>
      <c r="H52" s="8" t="str">
        <f>IF('Course 2'!$H50='tab2'!H$3,'Course 2'!$I50," ")</f>
        <v xml:space="preserve"> </v>
      </c>
      <c r="I52" s="8" t="str">
        <f>IF('Course 2'!$H50='tab2'!I$3,'Course 2'!$I50," ")</f>
        <v xml:space="preserve"> </v>
      </c>
      <c r="J52" s="8" t="str">
        <f>IF('Course 2'!$H50='tab2'!J$3,'Course 2'!$I50," ")</f>
        <v xml:space="preserve"> </v>
      </c>
      <c r="K52" s="8" t="str">
        <f>IF('Course 2'!$H50='tab2'!K$3,'Course 2'!$I50," ")</f>
        <v xml:space="preserve"> </v>
      </c>
      <c r="L52" s="8" t="str">
        <f>IF('Course 2'!$H50='tab2'!L$3,'Course 2'!$I50," ")</f>
        <v xml:space="preserve"> </v>
      </c>
      <c r="M52" s="8" t="str">
        <f>IF('Course 2'!$H50='tab2'!M$3,'Course 2'!$I50," ")</f>
        <v xml:space="preserve"> </v>
      </c>
      <c r="N52" s="9" t="str">
        <f>IF('Course 2'!$H50='tab2'!N$3,'Course 2'!$I50," ")</f>
        <v xml:space="preserve"> </v>
      </c>
    </row>
    <row r="53" spans="2:14">
      <c r="B53">
        <v>49</v>
      </c>
      <c r="C53" s="7" t="str">
        <f>IF('Course 2'!$H51='tab2'!C$3,'Course 2'!$I51," ")</f>
        <v xml:space="preserve"> </v>
      </c>
      <c r="D53" s="8" t="str">
        <f>IF('Course 2'!$H51='tab2'!D$3,'Course 2'!$I51," ")</f>
        <v xml:space="preserve"> </v>
      </c>
      <c r="E53" s="8" t="str">
        <f>IF('Course 2'!$H51='tab2'!E$3,'Course 2'!$I51," ")</f>
        <v xml:space="preserve"> </v>
      </c>
      <c r="F53" s="8" t="str">
        <f>IF('Course 2'!$H51='tab2'!F$3,'Course 2'!$I51," ")</f>
        <v xml:space="preserve"> </v>
      </c>
      <c r="G53" s="8" t="str">
        <f>IF('Course 2'!$H51='tab2'!G$3,'Course 2'!$I51," ")</f>
        <v xml:space="preserve"> </v>
      </c>
      <c r="H53" s="8" t="str">
        <f>IF('Course 2'!$H51='tab2'!H$3,'Course 2'!$I51," ")</f>
        <v xml:space="preserve"> </v>
      </c>
      <c r="I53" s="8" t="str">
        <f>IF('Course 2'!$H51='tab2'!I$3,'Course 2'!$I51," ")</f>
        <v xml:space="preserve"> </v>
      </c>
      <c r="J53" s="8" t="str">
        <f>IF('Course 2'!$H51='tab2'!J$3,'Course 2'!$I51," ")</f>
        <v xml:space="preserve"> </v>
      </c>
      <c r="K53" s="8" t="str">
        <f>IF('Course 2'!$H51='tab2'!K$3,'Course 2'!$I51," ")</f>
        <v xml:space="preserve"> </v>
      </c>
      <c r="L53" s="8" t="str">
        <f>IF('Course 2'!$H51='tab2'!L$3,'Course 2'!$I51," ")</f>
        <v xml:space="preserve"> </v>
      </c>
      <c r="M53" s="8" t="str">
        <f>IF('Course 2'!$H51='tab2'!M$3,'Course 2'!$I51," ")</f>
        <v xml:space="preserve"> </v>
      </c>
      <c r="N53" s="9" t="str">
        <f>IF('Course 2'!$H51='tab2'!N$3,'Course 2'!$I51," ")</f>
        <v xml:space="preserve"> </v>
      </c>
    </row>
    <row r="54" spans="2:14">
      <c r="B54">
        <v>50</v>
      </c>
      <c r="C54" s="7" t="str">
        <f>IF('Course 2'!$H52='tab2'!C$3,'Course 2'!$I52," ")</f>
        <v xml:space="preserve"> </v>
      </c>
      <c r="D54" s="8" t="str">
        <f>IF('Course 2'!$H52='tab2'!D$3,'Course 2'!$I52," ")</f>
        <v xml:space="preserve"> </v>
      </c>
      <c r="E54" s="8" t="str">
        <f>IF('Course 2'!$H52='tab2'!E$3,'Course 2'!$I52," ")</f>
        <v xml:space="preserve"> </v>
      </c>
      <c r="F54" s="8" t="str">
        <f>IF('Course 2'!$H52='tab2'!F$3,'Course 2'!$I52," ")</f>
        <v xml:space="preserve"> </v>
      </c>
      <c r="G54" s="8" t="str">
        <f>IF('Course 2'!$H52='tab2'!G$3,'Course 2'!$I52," ")</f>
        <v xml:space="preserve"> </v>
      </c>
      <c r="H54" s="8" t="str">
        <f>IF('Course 2'!$H52='tab2'!H$3,'Course 2'!$I52," ")</f>
        <v xml:space="preserve"> </v>
      </c>
      <c r="I54" s="8" t="str">
        <f>IF('Course 2'!$H52='tab2'!I$3,'Course 2'!$I52," ")</f>
        <v xml:space="preserve"> </v>
      </c>
      <c r="J54" s="8" t="str">
        <f>IF('Course 2'!$H52='tab2'!J$3,'Course 2'!$I52," ")</f>
        <v xml:space="preserve"> </v>
      </c>
      <c r="K54" s="8" t="str">
        <f>IF('Course 2'!$H52='tab2'!K$3,'Course 2'!$I52," ")</f>
        <v xml:space="preserve"> </v>
      </c>
      <c r="L54" s="8" t="str">
        <f>IF('Course 2'!$H52='tab2'!L$3,'Course 2'!$I52," ")</f>
        <v xml:space="preserve"> </v>
      </c>
      <c r="M54" s="8" t="str">
        <f>IF('Course 2'!$H52='tab2'!M$3,'Course 2'!$I52," ")</f>
        <v xml:space="preserve"> </v>
      </c>
      <c r="N54" s="9" t="str">
        <f>IF('Course 2'!$H52='tab2'!N$3,'Course 2'!$I52," ")</f>
        <v xml:space="preserve"> </v>
      </c>
    </row>
    <row r="55" spans="2:14">
      <c r="B55">
        <v>51</v>
      </c>
      <c r="C55" s="7" t="str">
        <f>IF('Course 2'!$H53='tab2'!C$3,'Course 2'!$I53," ")</f>
        <v xml:space="preserve"> </v>
      </c>
      <c r="D55" s="8" t="str">
        <f>IF('Course 2'!$H53='tab2'!D$3,'Course 2'!$I53," ")</f>
        <v xml:space="preserve"> </v>
      </c>
      <c r="E55" s="8" t="str">
        <f>IF('Course 2'!$H53='tab2'!E$3,'Course 2'!$I53," ")</f>
        <v xml:space="preserve"> </v>
      </c>
      <c r="F55" s="8" t="str">
        <f>IF('Course 2'!$H53='tab2'!F$3,'Course 2'!$I53," ")</f>
        <v xml:space="preserve"> </v>
      </c>
      <c r="G55" s="8" t="str">
        <f>IF('Course 2'!$H53='tab2'!G$3,'Course 2'!$I53," ")</f>
        <v xml:space="preserve"> </v>
      </c>
      <c r="H55" s="8" t="str">
        <f>IF('Course 2'!$H53='tab2'!H$3,'Course 2'!$I53," ")</f>
        <v xml:space="preserve"> </v>
      </c>
      <c r="I55" s="8" t="str">
        <f>IF('Course 2'!$H53='tab2'!I$3,'Course 2'!$I53," ")</f>
        <v xml:space="preserve"> </v>
      </c>
      <c r="J55" s="8" t="str">
        <f>IF('Course 2'!$H53='tab2'!J$3,'Course 2'!$I53," ")</f>
        <v xml:space="preserve"> </v>
      </c>
      <c r="K55" s="8" t="str">
        <f>IF('Course 2'!$H53='tab2'!K$3,'Course 2'!$I53," ")</f>
        <v xml:space="preserve"> </v>
      </c>
      <c r="L55" s="8" t="str">
        <f>IF('Course 2'!$H53='tab2'!L$3,'Course 2'!$I53," ")</f>
        <v xml:space="preserve"> </v>
      </c>
      <c r="M55" s="8" t="str">
        <f>IF('Course 2'!$H53='tab2'!M$3,'Course 2'!$I53," ")</f>
        <v xml:space="preserve"> </v>
      </c>
      <c r="N55" s="9" t="str">
        <f>IF('Course 2'!$H53='tab2'!N$3,'Course 2'!$I53," ")</f>
        <v xml:space="preserve"> </v>
      </c>
    </row>
    <row r="56" spans="2:14">
      <c r="B56">
        <v>52</v>
      </c>
      <c r="C56" s="7" t="str">
        <f>IF('Course 2'!$H54='tab2'!C$3,'Course 2'!$I54," ")</f>
        <v xml:space="preserve"> </v>
      </c>
      <c r="D56" s="8" t="str">
        <f>IF('Course 2'!$H54='tab2'!D$3,'Course 2'!$I54," ")</f>
        <v xml:space="preserve"> </v>
      </c>
      <c r="E56" s="8" t="str">
        <f>IF('Course 2'!$H54='tab2'!E$3,'Course 2'!$I54," ")</f>
        <v xml:space="preserve"> </v>
      </c>
      <c r="F56" s="8" t="str">
        <f>IF('Course 2'!$H54='tab2'!F$3,'Course 2'!$I54," ")</f>
        <v xml:space="preserve"> </v>
      </c>
      <c r="G56" s="8" t="str">
        <f>IF('Course 2'!$H54='tab2'!G$3,'Course 2'!$I54," ")</f>
        <v xml:space="preserve"> </v>
      </c>
      <c r="H56" s="8" t="str">
        <f>IF('Course 2'!$H54='tab2'!H$3,'Course 2'!$I54," ")</f>
        <v xml:space="preserve"> </v>
      </c>
      <c r="I56" s="8" t="str">
        <f>IF('Course 2'!$H54='tab2'!I$3,'Course 2'!$I54," ")</f>
        <v xml:space="preserve"> </v>
      </c>
      <c r="J56" s="8" t="str">
        <f>IF('Course 2'!$H54='tab2'!J$3,'Course 2'!$I54," ")</f>
        <v xml:space="preserve"> </v>
      </c>
      <c r="K56" s="8" t="str">
        <f>IF('Course 2'!$H54='tab2'!K$3,'Course 2'!$I54," ")</f>
        <v xml:space="preserve"> </v>
      </c>
      <c r="L56" s="8" t="str">
        <f>IF('Course 2'!$H54='tab2'!L$3,'Course 2'!$I54," ")</f>
        <v xml:space="preserve"> </v>
      </c>
      <c r="M56" s="8" t="str">
        <f>IF('Course 2'!$H54='tab2'!M$3,'Course 2'!$I54," ")</f>
        <v xml:space="preserve"> </v>
      </c>
      <c r="N56" s="9" t="str">
        <f>IF('Course 2'!$H54='tab2'!N$3,'Course 2'!$I54," ")</f>
        <v xml:space="preserve"> </v>
      </c>
    </row>
    <row r="57" spans="2:14">
      <c r="B57">
        <v>53</v>
      </c>
      <c r="C57" s="7" t="str">
        <f>IF('Course 2'!$H55='tab2'!C$3,'Course 2'!$I55," ")</f>
        <v xml:space="preserve"> </v>
      </c>
      <c r="D57" s="8" t="str">
        <f>IF('Course 2'!$H55='tab2'!D$3,'Course 2'!$I55," ")</f>
        <v xml:space="preserve"> </v>
      </c>
      <c r="E57" s="8" t="str">
        <f>IF('Course 2'!$H55='tab2'!E$3,'Course 2'!$I55," ")</f>
        <v xml:space="preserve"> </v>
      </c>
      <c r="F57" s="8" t="str">
        <f>IF('Course 2'!$H55='tab2'!F$3,'Course 2'!$I55," ")</f>
        <v xml:space="preserve"> </v>
      </c>
      <c r="G57" s="8" t="str">
        <f>IF('Course 2'!$H55='tab2'!G$3,'Course 2'!$I55," ")</f>
        <v xml:space="preserve"> </v>
      </c>
      <c r="H57" s="8" t="str">
        <f>IF('Course 2'!$H55='tab2'!H$3,'Course 2'!$I55," ")</f>
        <v xml:space="preserve"> </v>
      </c>
      <c r="I57" s="8" t="str">
        <f>IF('Course 2'!$H55='tab2'!I$3,'Course 2'!$I55," ")</f>
        <v xml:space="preserve"> </v>
      </c>
      <c r="J57" s="8" t="str">
        <f>IF('Course 2'!$H55='tab2'!J$3,'Course 2'!$I55," ")</f>
        <v xml:space="preserve"> </v>
      </c>
      <c r="K57" s="8" t="str">
        <f>IF('Course 2'!$H55='tab2'!K$3,'Course 2'!$I55," ")</f>
        <v xml:space="preserve"> </v>
      </c>
      <c r="L57" s="8" t="str">
        <f>IF('Course 2'!$H55='tab2'!L$3,'Course 2'!$I55," ")</f>
        <v xml:space="preserve"> </v>
      </c>
      <c r="M57" s="8" t="str">
        <f>IF('Course 2'!$H55='tab2'!M$3,'Course 2'!$I55," ")</f>
        <v xml:space="preserve"> </v>
      </c>
      <c r="N57" s="9" t="str">
        <f>IF('Course 2'!$H55='tab2'!N$3,'Course 2'!$I55," ")</f>
        <v xml:space="preserve"> </v>
      </c>
    </row>
    <row r="58" spans="2:14">
      <c r="B58">
        <v>54</v>
      </c>
      <c r="C58" s="7" t="str">
        <f>IF('Course 2'!$H56='tab2'!C$3,'Course 2'!$I56," ")</f>
        <v xml:space="preserve"> </v>
      </c>
      <c r="D58" s="8" t="str">
        <f>IF('Course 2'!$H56='tab2'!D$3,'Course 2'!$I56," ")</f>
        <v xml:space="preserve"> </v>
      </c>
      <c r="E58" s="8" t="str">
        <f>IF('Course 2'!$H56='tab2'!E$3,'Course 2'!$I56," ")</f>
        <v xml:space="preserve"> </v>
      </c>
      <c r="F58" s="8" t="str">
        <f>IF('Course 2'!$H56='tab2'!F$3,'Course 2'!$I56," ")</f>
        <v xml:space="preserve"> </v>
      </c>
      <c r="G58" s="8" t="str">
        <f>IF('Course 2'!$H56='tab2'!G$3,'Course 2'!$I56," ")</f>
        <v xml:space="preserve"> </v>
      </c>
      <c r="H58" s="8" t="str">
        <f>IF('Course 2'!$H56='tab2'!H$3,'Course 2'!$I56," ")</f>
        <v xml:space="preserve"> </v>
      </c>
      <c r="I58" s="8" t="str">
        <f>IF('Course 2'!$H56='tab2'!I$3,'Course 2'!$I56," ")</f>
        <v xml:space="preserve"> </v>
      </c>
      <c r="J58" s="8" t="str">
        <f>IF('Course 2'!$H56='tab2'!J$3,'Course 2'!$I56," ")</f>
        <v xml:space="preserve"> </v>
      </c>
      <c r="K58" s="8" t="str">
        <f>IF('Course 2'!$H56='tab2'!K$3,'Course 2'!$I56," ")</f>
        <v xml:space="preserve"> </v>
      </c>
      <c r="L58" s="8" t="str">
        <f>IF('Course 2'!$H56='tab2'!L$3,'Course 2'!$I56," ")</f>
        <v xml:space="preserve"> </v>
      </c>
      <c r="M58" s="8" t="str">
        <f>IF('Course 2'!$H56='tab2'!M$3,'Course 2'!$I56," ")</f>
        <v xml:space="preserve"> </v>
      </c>
      <c r="N58" s="9" t="str">
        <f>IF('Course 2'!$H56='tab2'!N$3,'Course 2'!$I56," ")</f>
        <v xml:space="preserve"> </v>
      </c>
    </row>
    <row r="59" spans="2:14">
      <c r="B59">
        <v>55</v>
      </c>
      <c r="C59" s="7" t="str">
        <f>IF('Course 2'!$H57='tab2'!C$3,'Course 2'!$I57," ")</f>
        <v xml:space="preserve"> </v>
      </c>
      <c r="D59" s="8" t="str">
        <f>IF('Course 2'!$H57='tab2'!D$3,'Course 2'!$I57," ")</f>
        <v xml:space="preserve"> </v>
      </c>
      <c r="E59" s="8" t="str">
        <f>IF('Course 2'!$H57='tab2'!E$3,'Course 2'!$I57," ")</f>
        <v xml:space="preserve"> </v>
      </c>
      <c r="F59" s="8" t="str">
        <f>IF('Course 2'!$H57='tab2'!F$3,'Course 2'!$I57," ")</f>
        <v xml:space="preserve"> </v>
      </c>
      <c r="G59" s="8" t="str">
        <f>IF('Course 2'!$H57='tab2'!G$3,'Course 2'!$I57," ")</f>
        <v xml:space="preserve"> </v>
      </c>
      <c r="H59" s="8" t="str">
        <f>IF('Course 2'!$H57='tab2'!H$3,'Course 2'!$I57," ")</f>
        <v xml:space="preserve"> </v>
      </c>
      <c r="I59" s="8" t="str">
        <f>IF('Course 2'!$H57='tab2'!I$3,'Course 2'!$I57," ")</f>
        <v xml:space="preserve"> </v>
      </c>
      <c r="J59" s="8" t="str">
        <f>IF('Course 2'!$H57='tab2'!J$3,'Course 2'!$I57," ")</f>
        <v xml:space="preserve"> </v>
      </c>
      <c r="K59" s="8" t="str">
        <f>IF('Course 2'!$H57='tab2'!K$3,'Course 2'!$I57," ")</f>
        <v xml:space="preserve"> </v>
      </c>
      <c r="L59" s="8" t="str">
        <f>IF('Course 2'!$H57='tab2'!L$3,'Course 2'!$I57," ")</f>
        <v xml:space="preserve"> </v>
      </c>
      <c r="M59" s="8" t="str">
        <f>IF('Course 2'!$H57='tab2'!M$3,'Course 2'!$I57," ")</f>
        <v xml:space="preserve"> </v>
      </c>
      <c r="N59" s="9" t="str">
        <f>IF('Course 2'!$H57='tab2'!N$3,'Course 2'!$I57," ")</f>
        <v xml:space="preserve"> </v>
      </c>
    </row>
    <row r="60" spans="2:14">
      <c r="B60">
        <v>56</v>
      </c>
      <c r="C60" s="7" t="str">
        <f>IF('Course 2'!$H58='tab2'!C$3,'Course 2'!$I58," ")</f>
        <v xml:space="preserve"> </v>
      </c>
      <c r="D60" s="8" t="str">
        <f>IF('Course 2'!$H58='tab2'!D$3,'Course 2'!$I58," ")</f>
        <v xml:space="preserve"> </v>
      </c>
      <c r="E60" s="8" t="str">
        <f>IF('Course 2'!$H58='tab2'!E$3,'Course 2'!$I58," ")</f>
        <v xml:space="preserve"> </v>
      </c>
      <c r="F60" s="8" t="str">
        <f>IF('Course 2'!$H58='tab2'!F$3,'Course 2'!$I58," ")</f>
        <v xml:space="preserve"> </v>
      </c>
      <c r="G60" s="8" t="str">
        <f>IF('Course 2'!$H58='tab2'!G$3,'Course 2'!$I58," ")</f>
        <v xml:space="preserve"> </v>
      </c>
      <c r="H60" s="8" t="str">
        <f>IF('Course 2'!$H58='tab2'!H$3,'Course 2'!$I58," ")</f>
        <v xml:space="preserve"> </v>
      </c>
      <c r="I60" s="8" t="str">
        <f>IF('Course 2'!$H58='tab2'!I$3,'Course 2'!$I58," ")</f>
        <v xml:space="preserve"> </v>
      </c>
      <c r="J60" s="8" t="str">
        <f>IF('Course 2'!$H58='tab2'!J$3,'Course 2'!$I58," ")</f>
        <v xml:space="preserve"> </v>
      </c>
      <c r="K60" s="8" t="str">
        <f>IF('Course 2'!$H58='tab2'!K$3,'Course 2'!$I58," ")</f>
        <v xml:space="preserve"> </v>
      </c>
      <c r="L60" s="8" t="str">
        <f>IF('Course 2'!$H58='tab2'!L$3,'Course 2'!$I58," ")</f>
        <v xml:space="preserve"> </v>
      </c>
      <c r="M60" s="8" t="str">
        <f>IF('Course 2'!$H58='tab2'!M$3,'Course 2'!$I58," ")</f>
        <v xml:space="preserve"> </v>
      </c>
      <c r="N60" s="9" t="str">
        <f>IF('Course 2'!$H58='tab2'!N$3,'Course 2'!$I58," ")</f>
        <v xml:space="preserve"> </v>
      </c>
    </row>
    <row r="61" spans="2:14">
      <c r="B61">
        <v>57</v>
      </c>
      <c r="C61" s="7" t="str">
        <f>IF('Course 2'!$H59='tab2'!C$3,'Course 2'!$I59," ")</f>
        <v xml:space="preserve"> </v>
      </c>
      <c r="D61" s="8" t="str">
        <f>IF('Course 2'!$H59='tab2'!D$3,'Course 2'!$I59," ")</f>
        <v xml:space="preserve"> </v>
      </c>
      <c r="E61" s="8" t="str">
        <f>IF('Course 2'!$H59='tab2'!E$3,'Course 2'!$I59," ")</f>
        <v xml:space="preserve"> </v>
      </c>
      <c r="F61" s="8" t="str">
        <f>IF('Course 2'!$H59='tab2'!F$3,'Course 2'!$I59," ")</f>
        <v xml:space="preserve"> </v>
      </c>
      <c r="G61" s="8" t="str">
        <f>IF('Course 2'!$H59='tab2'!G$3,'Course 2'!$I59," ")</f>
        <v xml:space="preserve"> </v>
      </c>
      <c r="H61" s="8" t="str">
        <f>IF('Course 2'!$H59='tab2'!H$3,'Course 2'!$I59," ")</f>
        <v xml:space="preserve"> </v>
      </c>
      <c r="I61" s="8" t="str">
        <f>IF('Course 2'!$H59='tab2'!I$3,'Course 2'!$I59," ")</f>
        <v xml:space="preserve"> </v>
      </c>
      <c r="J61" s="8" t="str">
        <f>IF('Course 2'!$H59='tab2'!J$3,'Course 2'!$I59," ")</f>
        <v xml:space="preserve"> </v>
      </c>
      <c r="K61" s="8" t="str">
        <f>IF('Course 2'!$H59='tab2'!K$3,'Course 2'!$I59," ")</f>
        <v xml:space="preserve"> </v>
      </c>
      <c r="L61" s="8" t="str">
        <f>IF('Course 2'!$H59='tab2'!L$3,'Course 2'!$I59," ")</f>
        <v xml:space="preserve"> </v>
      </c>
      <c r="M61" s="8" t="str">
        <f>IF('Course 2'!$H59='tab2'!M$3,'Course 2'!$I59," ")</f>
        <v xml:space="preserve"> </v>
      </c>
      <c r="N61" s="9" t="str">
        <f>IF('Course 2'!$H59='tab2'!N$3,'Course 2'!$I59," ")</f>
        <v xml:space="preserve"> </v>
      </c>
    </row>
    <row r="62" spans="2:14">
      <c r="B62">
        <v>58</v>
      </c>
      <c r="C62" s="7" t="str">
        <f>IF('Course 2'!$H60='tab2'!C$3,'Course 2'!$I60," ")</f>
        <v xml:space="preserve"> </v>
      </c>
      <c r="D62" s="8" t="str">
        <f>IF('Course 2'!$H60='tab2'!D$3,'Course 2'!$I60," ")</f>
        <v xml:space="preserve"> </v>
      </c>
      <c r="E62" s="8" t="str">
        <f>IF('Course 2'!$H60='tab2'!E$3,'Course 2'!$I60," ")</f>
        <v xml:space="preserve"> </v>
      </c>
      <c r="F62" s="8" t="str">
        <f>IF('Course 2'!$H60='tab2'!F$3,'Course 2'!$I60," ")</f>
        <v xml:space="preserve"> </v>
      </c>
      <c r="G62" s="8" t="str">
        <f>IF('Course 2'!$H60='tab2'!G$3,'Course 2'!$I60," ")</f>
        <v xml:space="preserve"> </v>
      </c>
      <c r="H62" s="8" t="str">
        <f>IF('Course 2'!$H60='tab2'!H$3,'Course 2'!$I60," ")</f>
        <v xml:space="preserve"> </v>
      </c>
      <c r="I62" s="8" t="str">
        <f>IF('Course 2'!$H60='tab2'!I$3,'Course 2'!$I60," ")</f>
        <v xml:space="preserve"> </v>
      </c>
      <c r="J62" s="8" t="str">
        <f>IF('Course 2'!$H60='tab2'!J$3,'Course 2'!$I60," ")</f>
        <v xml:space="preserve"> </v>
      </c>
      <c r="K62" s="8" t="str">
        <f>IF('Course 2'!$H60='tab2'!K$3,'Course 2'!$I60," ")</f>
        <v xml:space="preserve"> </v>
      </c>
      <c r="L62" s="8" t="str">
        <f>IF('Course 2'!$H60='tab2'!L$3,'Course 2'!$I60," ")</f>
        <v xml:space="preserve"> </v>
      </c>
      <c r="M62" s="8" t="str">
        <f>IF('Course 2'!$H60='tab2'!M$3,'Course 2'!$I60," ")</f>
        <v xml:space="preserve"> </v>
      </c>
      <c r="N62" s="9" t="str">
        <f>IF('Course 2'!$H60='tab2'!N$3,'Course 2'!$I60," ")</f>
        <v xml:space="preserve"> </v>
      </c>
    </row>
    <row r="63" spans="2:14">
      <c r="B63">
        <v>59</v>
      </c>
      <c r="C63" s="7" t="str">
        <f>IF('Course 2'!$H61='tab2'!C$3,'Course 2'!$I61," ")</f>
        <v xml:space="preserve"> </v>
      </c>
      <c r="D63" s="8" t="str">
        <f>IF('Course 2'!$H61='tab2'!D$3,'Course 2'!$I61," ")</f>
        <v xml:space="preserve"> </v>
      </c>
      <c r="E63" s="8" t="str">
        <f>IF('Course 2'!$H61='tab2'!E$3,'Course 2'!$I61," ")</f>
        <v xml:space="preserve"> </v>
      </c>
      <c r="F63" s="8" t="str">
        <f>IF('Course 2'!$H61='tab2'!F$3,'Course 2'!$I61," ")</f>
        <v xml:space="preserve"> </v>
      </c>
      <c r="G63" s="8" t="str">
        <f>IF('Course 2'!$H61='tab2'!G$3,'Course 2'!$I61," ")</f>
        <v xml:space="preserve"> </v>
      </c>
      <c r="H63" s="8" t="str">
        <f>IF('Course 2'!$H61='tab2'!H$3,'Course 2'!$I61," ")</f>
        <v xml:space="preserve"> </v>
      </c>
      <c r="I63" s="8" t="str">
        <f>IF('Course 2'!$H61='tab2'!I$3,'Course 2'!$I61," ")</f>
        <v xml:space="preserve"> </v>
      </c>
      <c r="J63" s="8" t="str">
        <f>IF('Course 2'!$H61='tab2'!J$3,'Course 2'!$I61," ")</f>
        <v xml:space="preserve"> </v>
      </c>
      <c r="K63" s="8" t="str">
        <f>IF('Course 2'!$H61='tab2'!K$3,'Course 2'!$I61," ")</f>
        <v xml:space="preserve"> </v>
      </c>
      <c r="L63" s="8" t="str">
        <f>IF('Course 2'!$H61='tab2'!L$3,'Course 2'!$I61," ")</f>
        <v xml:space="preserve"> </v>
      </c>
      <c r="M63" s="8" t="str">
        <f>IF('Course 2'!$H61='tab2'!M$3,'Course 2'!$I61," ")</f>
        <v xml:space="preserve"> </v>
      </c>
      <c r="N63" s="9" t="str">
        <f>IF('Course 2'!$H61='tab2'!N$3,'Course 2'!$I61," ")</f>
        <v xml:space="preserve"> </v>
      </c>
    </row>
    <row r="64" spans="2:14">
      <c r="B64">
        <v>60</v>
      </c>
      <c r="C64" s="7" t="str">
        <f>IF('Course 2'!$H62='tab2'!C$3,'Course 2'!$I62," ")</f>
        <v xml:space="preserve"> </v>
      </c>
      <c r="D64" s="8" t="str">
        <f>IF('Course 2'!$H62='tab2'!D$3,'Course 2'!$I62," ")</f>
        <v xml:space="preserve"> </v>
      </c>
      <c r="E64" s="8" t="str">
        <f>IF('Course 2'!$H62='tab2'!E$3,'Course 2'!$I62," ")</f>
        <v xml:space="preserve"> </v>
      </c>
      <c r="F64" s="8" t="str">
        <f>IF('Course 2'!$H62='tab2'!F$3,'Course 2'!$I62," ")</f>
        <v xml:space="preserve"> </v>
      </c>
      <c r="G64" s="8" t="str">
        <f>IF('Course 2'!$H62='tab2'!G$3,'Course 2'!$I62," ")</f>
        <v xml:space="preserve"> </v>
      </c>
      <c r="H64" s="8" t="str">
        <f>IF('Course 2'!$H62='tab2'!H$3,'Course 2'!$I62," ")</f>
        <v xml:space="preserve"> </v>
      </c>
      <c r="I64" s="8" t="str">
        <f>IF('Course 2'!$H62='tab2'!I$3,'Course 2'!$I62," ")</f>
        <v xml:space="preserve"> </v>
      </c>
      <c r="J64" s="8" t="str">
        <f>IF('Course 2'!$H62='tab2'!J$3,'Course 2'!$I62," ")</f>
        <v xml:space="preserve"> </v>
      </c>
      <c r="K64" s="8" t="str">
        <f>IF('Course 2'!$H62='tab2'!K$3,'Course 2'!$I62," ")</f>
        <v xml:space="preserve"> </v>
      </c>
      <c r="L64" s="8" t="str">
        <f>IF('Course 2'!$H62='tab2'!L$3,'Course 2'!$I62," ")</f>
        <v xml:space="preserve"> </v>
      </c>
      <c r="M64" s="8" t="str">
        <f>IF('Course 2'!$H62='tab2'!M$3,'Course 2'!$I62," ")</f>
        <v xml:space="preserve"> </v>
      </c>
      <c r="N64" s="9" t="str">
        <f>IF('Course 2'!$H62='tab2'!N$3,'Course 2'!$I62," ")</f>
        <v xml:space="preserve"> </v>
      </c>
    </row>
    <row r="65" spans="2:14">
      <c r="B65">
        <v>61</v>
      </c>
      <c r="C65" s="7" t="str">
        <f>IF('Course 2'!$H63='tab2'!C$3,'Course 2'!$I63," ")</f>
        <v xml:space="preserve"> </v>
      </c>
      <c r="D65" s="8" t="str">
        <f>IF('Course 2'!$H63='tab2'!D$3,'Course 2'!$I63," ")</f>
        <v xml:space="preserve"> </v>
      </c>
      <c r="E65" s="8" t="str">
        <f>IF('Course 2'!$H63='tab2'!E$3,'Course 2'!$I63," ")</f>
        <v xml:space="preserve"> </v>
      </c>
      <c r="F65" s="8" t="str">
        <f>IF('Course 2'!$H63='tab2'!F$3,'Course 2'!$I63," ")</f>
        <v xml:space="preserve"> </v>
      </c>
      <c r="G65" s="8" t="str">
        <f>IF('Course 2'!$H63='tab2'!G$3,'Course 2'!$I63," ")</f>
        <v xml:space="preserve"> </v>
      </c>
      <c r="H65" s="8" t="str">
        <f>IF('Course 2'!$H63='tab2'!H$3,'Course 2'!$I63," ")</f>
        <v xml:space="preserve"> </v>
      </c>
      <c r="I65" s="8" t="str">
        <f>IF('Course 2'!$H63='tab2'!I$3,'Course 2'!$I63," ")</f>
        <v xml:space="preserve"> </v>
      </c>
      <c r="J65" s="8" t="str">
        <f>IF('Course 2'!$H63='tab2'!J$3,'Course 2'!$I63," ")</f>
        <v xml:space="preserve"> </v>
      </c>
      <c r="K65" s="8" t="str">
        <f>IF('Course 2'!$H63='tab2'!K$3,'Course 2'!$I63," ")</f>
        <v xml:space="preserve"> </v>
      </c>
      <c r="L65" s="8" t="str">
        <f>IF('Course 2'!$H63='tab2'!L$3,'Course 2'!$I63," ")</f>
        <v xml:space="preserve"> </v>
      </c>
      <c r="M65" s="8" t="str">
        <f>IF('Course 2'!$H63='tab2'!M$3,'Course 2'!$I63," ")</f>
        <v xml:space="preserve"> </v>
      </c>
      <c r="N65" s="9" t="str">
        <f>IF('Course 2'!$H63='tab2'!N$3,'Course 2'!$I63," ")</f>
        <v xml:space="preserve"> </v>
      </c>
    </row>
    <row r="66" spans="2:14">
      <c r="B66">
        <v>62</v>
      </c>
      <c r="C66" s="7" t="str">
        <f>IF('Course 2'!$H64='tab2'!C$3,'Course 2'!$I64," ")</f>
        <v xml:space="preserve"> </v>
      </c>
      <c r="D66" s="8" t="str">
        <f>IF('Course 2'!$H64='tab2'!D$3,'Course 2'!$I64," ")</f>
        <v xml:space="preserve"> </v>
      </c>
      <c r="E66" s="8" t="str">
        <f>IF('Course 2'!$H64='tab2'!E$3,'Course 2'!$I64," ")</f>
        <v xml:space="preserve"> </v>
      </c>
      <c r="F66" s="8" t="str">
        <f>IF('Course 2'!$H64='tab2'!F$3,'Course 2'!$I64," ")</f>
        <v xml:space="preserve"> </v>
      </c>
      <c r="G66" s="8" t="str">
        <f>IF('Course 2'!$H64='tab2'!G$3,'Course 2'!$I64," ")</f>
        <v xml:space="preserve"> </v>
      </c>
      <c r="H66" s="8" t="str">
        <f>IF('Course 2'!$H64='tab2'!H$3,'Course 2'!$I64," ")</f>
        <v xml:space="preserve"> </v>
      </c>
      <c r="I66" s="8" t="str">
        <f>IF('Course 2'!$H64='tab2'!I$3,'Course 2'!$I64," ")</f>
        <v xml:space="preserve"> </v>
      </c>
      <c r="J66" s="8" t="str">
        <f>IF('Course 2'!$H64='tab2'!J$3,'Course 2'!$I64," ")</f>
        <v xml:space="preserve"> </v>
      </c>
      <c r="K66" s="8" t="str">
        <f>IF('Course 2'!$H64='tab2'!K$3,'Course 2'!$I64," ")</f>
        <v xml:space="preserve"> </v>
      </c>
      <c r="L66" s="8" t="str">
        <f>IF('Course 2'!$H64='tab2'!L$3,'Course 2'!$I64," ")</f>
        <v xml:space="preserve"> </v>
      </c>
      <c r="M66" s="8" t="str">
        <f>IF('Course 2'!$H64='tab2'!M$3,'Course 2'!$I64," ")</f>
        <v xml:space="preserve"> </v>
      </c>
      <c r="N66" s="9" t="str">
        <f>IF('Course 2'!$H64='tab2'!N$3,'Course 2'!$I64," ")</f>
        <v xml:space="preserve"> </v>
      </c>
    </row>
    <row r="67" spans="2:14">
      <c r="B67">
        <v>63</v>
      </c>
      <c r="C67" s="7" t="str">
        <f>IF('Course 2'!$H65='tab2'!C$3,'Course 2'!$I65," ")</f>
        <v xml:space="preserve"> </v>
      </c>
      <c r="D67" s="8" t="str">
        <f>IF('Course 2'!$H65='tab2'!D$3,'Course 2'!$I65," ")</f>
        <v xml:space="preserve"> </v>
      </c>
      <c r="E67" s="8" t="str">
        <f>IF('Course 2'!$H65='tab2'!E$3,'Course 2'!$I65," ")</f>
        <v xml:space="preserve"> </v>
      </c>
      <c r="F67" s="8" t="str">
        <f>IF('Course 2'!$H65='tab2'!F$3,'Course 2'!$I65," ")</f>
        <v xml:space="preserve"> </v>
      </c>
      <c r="G67" s="8" t="str">
        <f>IF('Course 2'!$H65='tab2'!G$3,'Course 2'!$I65," ")</f>
        <v xml:space="preserve"> </v>
      </c>
      <c r="H67" s="8" t="str">
        <f>IF('Course 2'!$H65='tab2'!H$3,'Course 2'!$I65," ")</f>
        <v xml:space="preserve"> </v>
      </c>
      <c r="I67" s="8" t="str">
        <f>IF('Course 2'!$H65='tab2'!I$3,'Course 2'!$I65," ")</f>
        <v xml:space="preserve"> </v>
      </c>
      <c r="J67" s="8" t="str">
        <f>IF('Course 2'!$H65='tab2'!J$3,'Course 2'!$I65," ")</f>
        <v xml:space="preserve"> </v>
      </c>
      <c r="K67" s="8" t="str">
        <f>IF('Course 2'!$H65='tab2'!K$3,'Course 2'!$I65," ")</f>
        <v xml:space="preserve"> </v>
      </c>
      <c r="L67" s="8" t="str">
        <f>IF('Course 2'!$H65='tab2'!L$3,'Course 2'!$I65," ")</f>
        <v xml:space="preserve"> </v>
      </c>
      <c r="M67" s="8" t="str">
        <f>IF('Course 2'!$H65='tab2'!M$3,'Course 2'!$I65," ")</f>
        <v xml:space="preserve"> </v>
      </c>
      <c r="N67" s="9" t="str">
        <f>IF('Course 2'!$H65='tab2'!N$3,'Course 2'!$I65," ")</f>
        <v xml:space="preserve"> </v>
      </c>
    </row>
    <row r="68" spans="2:14">
      <c r="B68">
        <v>64</v>
      </c>
      <c r="C68" s="7" t="str">
        <f>IF('Course 2'!$H66='tab2'!C$3,'Course 2'!$I66," ")</f>
        <v xml:space="preserve"> </v>
      </c>
      <c r="D68" s="8" t="str">
        <f>IF('Course 2'!$H66='tab2'!D$3,'Course 2'!$I66," ")</f>
        <v xml:space="preserve"> </v>
      </c>
      <c r="E68" s="8" t="str">
        <f>IF('Course 2'!$H66='tab2'!E$3,'Course 2'!$I66," ")</f>
        <v xml:space="preserve"> </v>
      </c>
      <c r="F68" s="8" t="str">
        <f>IF('Course 2'!$H66='tab2'!F$3,'Course 2'!$I66," ")</f>
        <v xml:space="preserve"> </v>
      </c>
      <c r="G68" s="8" t="str">
        <f>IF('Course 2'!$H66='tab2'!G$3,'Course 2'!$I66," ")</f>
        <v xml:space="preserve"> </v>
      </c>
      <c r="H68" s="8" t="str">
        <f>IF('Course 2'!$H66='tab2'!H$3,'Course 2'!$I66," ")</f>
        <v xml:space="preserve"> </v>
      </c>
      <c r="I68" s="8" t="str">
        <f>IF('Course 2'!$H66='tab2'!I$3,'Course 2'!$I66," ")</f>
        <v xml:space="preserve"> </v>
      </c>
      <c r="J68" s="8" t="str">
        <f>IF('Course 2'!$H66='tab2'!J$3,'Course 2'!$I66," ")</f>
        <v xml:space="preserve"> </v>
      </c>
      <c r="K68" s="8" t="str">
        <f>IF('Course 2'!$H66='tab2'!K$3,'Course 2'!$I66," ")</f>
        <v xml:space="preserve"> </v>
      </c>
      <c r="L68" s="8" t="str">
        <f>IF('Course 2'!$H66='tab2'!L$3,'Course 2'!$I66," ")</f>
        <v xml:space="preserve"> </v>
      </c>
      <c r="M68" s="8" t="str">
        <f>IF('Course 2'!$H66='tab2'!M$3,'Course 2'!$I66," ")</f>
        <v xml:space="preserve"> </v>
      </c>
      <c r="N68" s="9" t="str">
        <f>IF('Course 2'!$H66='tab2'!N$3,'Course 2'!$I66," ")</f>
        <v xml:space="preserve"> </v>
      </c>
    </row>
    <row r="69" spans="2:14">
      <c r="B69">
        <v>65</v>
      </c>
      <c r="C69" s="7" t="str">
        <f>IF('Course 2'!$H67='tab2'!C$3,'Course 2'!$I67," ")</f>
        <v xml:space="preserve"> </v>
      </c>
      <c r="D69" s="8" t="str">
        <f>IF('Course 2'!$H67='tab2'!D$3,'Course 2'!$I67," ")</f>
        <v xml:space="preserve"> </v>
      </c>
      <c r="E69" s="8" t="str">
        <f>IF('Course 2'!$H67='tab2'!E$3,'Course 2'!$I67," ")</f>
        <v xml:space="preserve"> </v>
      </c>
      <c r="F69" s="8" t="str">
        <f>IF('Course 2'!$H67='tab2'!F$3,'Course 2'!$I67," ")</f>
        <v xml:space="preserve"> </v>
      </c>
      <c r="G69" s="8" t="str">
        <f>IF('Course 2'!$H67='tab2'!G$3,'Course 2'!$I67," ")</f>
        <v xml:space="preserve"> </v>
      </c>
      <c r="H69" s="8" t="str">
        <f>IF('Course 2'!$H67='tab2'!H$3,'Course 2'!$I67," ")</f>
        <v xml:space="preserve"> </v>
      </c>
      <c r="I69" s="8" t="str">
        <f>IF('Course 2'!$H67='tab2'!I$3,'Course 2'!$I67," ")</f>
        <v xml:space="preserve"> </v>
      </c>
      <c r="J69" s="8" t="str">
        <f>IF('Course 2'!$H67='tab2'!J$3,'Course 2'!$I67," ")</f>
        <v xml:space="preserve"> </v>
      </c>
      <c r="K69" s="8" t="str">
        <f>IF('Course 2'!$H67='tab2'!K$3,'Course 2'!$I67," ")</f>
        <v xml:space="preserve"> </v>
      </c>
      <c r="L69" s="8" t="str">
        <f>IF('Course 2'!$H67='tab2'!L$3,'Course 2'!$I67," ")</f>
        <v xml:space="preserve"> </v>
      </c>
      <c r="M69" s="8" t="str">
        <f>IF('Course 2'!$H67='tab2'!M$3,'Course 2'!$I67," ")</f>
        <v xml:space="preserve"> </v>
      </c>
      <c r="N69" s="9" t="str">
        <f>IF('Course 2'!$H67='tab2'!N$3,'Course 2'!$I67," ")</f>
        <v xml:space="preserve"> </v>
      </c>
    </row>
    <row r="70" spans="2:14">
      <c r="B70">
        <v>66</v>
      </c>
      <c r="C70" s="7" t="str">
        <f>IF('Course 2'!$H68='tab2'!C$3,'Course 2'!$I68," ")</f>
        <v xml:space="preserve"> </v>
      </c>
      <c r="D70" s="8" t="str">
        <f>IF('Course 2'!$H68='tab2'!D$3,'Course 2'!$I68," ")</f>
        <v xml:space="preserve"> </v>
      </c>
      <c r="E70" s="8" t="str">
        <f>IF('Course 2'!$H68='tab2'!E$3,'Course 2'!$I68," ")</f>
        <v xml:space="preserve"> </v>
      </c>
      <c r="F70" s="8" t="str">
        <f>IF('Course 2'!$H68='tab2'!F$3,'Course 2'!$I68," ")</f>
        <v xml:space="preserve"> </v>
      </c>
      <c r="G70" s="8" t="str">
        <f>IF('Course 2'!$H68='tab2'!G$3,'Course 2'!$I68," ")</f>
        <v xml:space="preserve"> </v>
      </c>
      <c r="H70" s="8" t="str">
        <f>IF('Course 2'!$H68='tab2'!H$3,'Course 2'!$I68," ")</f>
        <v xml:space="preserve"> </v>
      </c>
      <c r="I70" s="8" t="str">
        <f>IF('Course 2'!$H68='tab2'!I$3,'Course 2'!$I68," ")</f>
        <v xml:space="preserve"> </v>
      </c>
      <c r="J70" s="8" t="str">
        <f>IF('Course 2'!$H68='tab2'!J$3,'Course 2'!$I68," ")</f>
        <v xml:space="preserve"> </v>
      </c>
      <c r="K70" s="8" t="str">
        <f>IF('Course 2'!$H68='tab2'!K$3,'Course 2'!$I68," ")</f>
        <v xml:space="preserve"> </v>
      </c>
      <c r="L70" s="8" t="str">
        <f>IF('Course 2'!$H68='tab2'!L$3,'Course 2'!$I68," ")</f>
        <v xml:space="preserve"> </v>
      </c>
      <c r="M70" s="8" t="str">
        <f>IF('Course 2'!$H68='tab2'!M$3,'Course 2'!$I68," ")</f>
        <v xml:space="preserve"> </v>
      </c>
      <c r="N70" s="9" t="str">
        <f>IF('Course 2'!$H68='tab2'!N$3,'Course 2'!$I68," ")</f>
        <v xml:space="preserve"> </v>
      </c>
    </row>
    <row r="71" spans="2:14">
      <c r="B71">
        <v>67</v>
      </c>
      <c r="C71" s="7" t="str">
        <f>IF('Course 2'!$H69='tab2'!C$3,'Course 2'!$I69," ")</f>
        <v xml:space="preserve"> </v>
      </c>
      <c r="D71" s="8" t="str">
        <f>IF('Course 2'!$H69='tab2'!D$3,'Course 2'!$I69," ")</f>
        <v xml:space="preserve"> </v>
      </c>
      <c r="E71" s="8" t="str">
        <f>IF('Course 2'!$H69='tab2'!E$3,'Course 2'!$I69," ")</f>
        <v xml:space="preserve"> </v>
      </c>
      <c r="F71" s="8" t="str">
        <f>IF('Course 2'!$H69='tab2'!F$3,'Course 2'!$I69," ")</f>
        <v xml:space="preserve"> </v>
      </c>
      <c r="G71" s="8" t="str">
        <f>IF('Course 2'!$H69='tab2'!G$3,'Course 2'!$I69," ")</f>
        <v xml:space="preserve"> </v>
      </c>
      <c r="H71" s="8" t="str">
        <f>IF('Course 2'!$H69='tab2'!H$3,'Course 2'!$I69," ")</f>
        <v xml:space="preserve"> </v>
      </c>
      <c r="I71" s="8" t="str">
        <f>IF('Course 2'!$H69='tab2'!I$3,'Course 2'!$I69," ")</f>
        <v xml:space="preserve"> </v>
      </c>
      <c r="J71" s="8" t="str">
        <f>IF('Course 2'!$H69='tab2'!J$3,'Course 2'!$I69," ")</f>
        <v xml:space="preserve"> </v>
      </c>
      <c r="K71" s="8" t="str">
        <f>IF('Course 2'!$H69='tab2'!K$3,'Course 2'!$I69," ")</f>
        <v xml:space="preserve"> </v>
      </c>
      <c r="L71" s="8" t="str">
        <f>IF('Course 2'!$H69='tab2'!L$3,'Course 2'!$I69," ")</f>
        <v xml:space="preserve"> </v>
      </c>
      <c r="M71" s="8" t="str">
        <f>IF('Course 2'!$H69='tab2'!M$3,'Course 2'!$I69," ")</f>
        <v xml:space="preserve"> </v>
      </c>
      <c r="N71" s="9" t="str">
        <f>IF('Course 2'!$H69='tab2'!N$3,'Course 2'!$I69," ")</f>
        <v xml:space="preserve"> </v>
      </c>
    </row>
    <row r="72" spans="2:14">
      <c r="B72">
        <v>68</v>
      </c>
      <c r="C72" s="7" t="str">
        <f>IF('Course 2'!$H70='tab2'!C$3,'Course 2'!$I70," ")</f>
        <v xml:space="preserve"> </v>
      </c>
      <c r="D72" s="8" t="str">
        <f>IF('Course 2'!$H70='tab2'!D$3,'Course 2'!$I70," ")</f>
        <v xml:space="preserve"> </v>
      </c>
      <c r="E72" s="8" t="str">
        <f>IF('Course 2'!$H70='tab2'!E$3,'Course 2'!$I70," ")</f>
        <v xml:space="preserve"> </v>
      </c>
      <c r="F72" s="8" t="str">
        <f>IF('Course 2'!$H70='tab2'!F$3,'Course 2'!$I70," ")</f>
        <v xml:space="preserve"> </v>
      </c>
      <c r="G72" s="8" t="str">
        <f>IF('Course 2'!$H70='tab2'!G$3,'Course 2'!$I70," ")</f>
        <v xml:space="preserve"> </v>
      </c>
      <c r="H72" s="8" t="str">
        <f>IF('Course 2'!$H70='tab2'!H$3,'Course 2'!$I70," ")</f>
        <v xml:space="preserve"> </v>
      </c>
      <c r="I72" s="8" t="str">
        <f>IF('Course 2'!$H70='tab2'!I$3,'Course 2'!$I70," ")</f>
        <v xml:space="preserve"> </v>
      </c>
      <c r="J72" s="8" t="str">
        <f>IF('Course 2'!$H70='tab2'!J$3,'Course 2'!$I70," ")</f>
        <v xml:space="preserve"> </v>
      </c>
      <c r="K72" s="8" t="str">
        <f>IF('Course 2'!$H70='tab2'!K$3,'Course 2'!$I70," ")</f>
        <v xml:space="preserve"> </v>
      </c>
      <c r="L72" s="8" t="str">
        <f>IF('Course 2'!$H70='tab2'!L$3,'Course 2'!$I70," ")</f>
        <v xml:space="preserve"> </v>
      </c>
      <c r="M72" s="8" t="str">
        <f>IF('Course 2'!$H70='tab2'!M$3,'Course 2'!$I70," ")</f>
        <v xml:space="preserve"> </v>
      </c>
      <c r="N72" s="9" t="str">
        <f>IF('Course 2'!$H70='tab2'!N$3,'Course 2'!$I70," ")</f>
        <v xml:space="preserve"> </v>
      </c>
    </row>
    <row r="73" spans="2:14">
      <c r="B73">
        <v>69</v>
      </c>
      <c r="C73" s="7" t="str">
        <f>IF('Course 2'!$H71='tab2'!C$3,'Course 2'!$I71," ")</f>
        <v xml:space="preserve"> </v>
      </c>
      <c r="D73" s="8" t="str">
        <f>IF('Course 2'!$H71='tab2'!D$3,'Course 2'!$I71," ")</f>
        <v xml:space="preserve"> </v>
      </c>
      <c r="E73" s="8" t="str">
        <f>IF('Course 2'!$H71='tab2'!E$3,'Course 2'!$I71," ")</f>
        <v xml:space="preserve"> </v>
      </c>
      <c r="F73" s="8" t="str">
        <f>IF('Course 2'!$H71='tab2'!F$3,'Course 2'!$I71," ")</f>
        <v xml:space="preserve"> </v>
      </c>
      <c r="G73" s="8" t="str">
        <f>IF('Course 2'!$H71='tab2'!G$3,'Course 2'!$I71," ")</f>
        <v xml:space="preserve"> </v>
      </c>
      <c r="H73" s="8" t="str">
        <f>IF('Course 2'!$H71='tab2'!H$3,'Course 2'!$I71," ")</f>
        <v xml:space="preserve"> </v>
      </c>
      <c r="I73" s="8" t="str">
        <f>IF('Course 2'!$H71='tab2'!I$3,'Course 2'!$I71," ")</f>
        <v xml:space="preserve"> </v>
      </c>
      <c r="J73" s="8" t="str">
        <f>IF('Course 2'!$H71='tab2'!J$3,'Course 2'!$I71," ")</f>
        <v xml:space="preserve"> </v>
      </c>
      <c r="K73" s="8" t="str">
        <f>IF('Course 2'!$H71='tab2'!K$3,'Course 2'!$I71," ")</f>
        <v xml:space="preserve"> </v>
      </c>
      <c r="L73" s="8" t="str">
        <f>IF('Course 2'!$H71='tab2'!L$3,'Course 2'!$I71," ")</f>
        <v xml:space="preserve"> </v>
      </c>
      <c r="M73" s="8" t="str">
        <f>IF('Course 2'!$H71='tab2'!M$3,'Course 2'!$I71," ")</f>
        <v xml:space="preserve"> </v>
      </c>
      <c r="N73" s="9" t="str">
        <f>IF('Course 2'!$H71='tab2'!N$3,'Course 2'!$I71," ")</f>
        <v xml:space="preserve"> </v>
      </c>
    </row>
    <row r="74" spans="2:14">
      <c r="B74">
        <v>70</v>
      </c>
      <c r="C74" s="7" t="str">
        <f>IF('Course 2'!$H72='tab2'!C$3,'Course 2'!$I72," ")</f>
        <v xml:space="preserve"> </v>
      </c>
      <c r="D74" s="8" t="str">
        <f>IF('Course 2'!$H72='tab2'!D$3,'Course 2'!$I72," ")</f>
        <v xml:space="preserve"> </v>
      </c>
      <c r="E74" s="8" t="str">
        <f>IF('Course 2'!$H72='tab2'!E$3,'Course 2'!$I72," ")</f>
        <v xml:space="preserve"> </v>
      </c>
      <c r="F74" s="8" t="str">
        <f>IF('Course 2'!$H72='tab2'!F$3,'Course 2'!$I72," ")</f>
        <v xml:space="preserve"> </v>
      </c>
      <c r="G74" s="8" t="str">
        <f>IF('Course 2'!$H72='tab2'!G$3,'Course 2'!$I72," ")</f>
        <v xml:space="preserve"> </v>
      </c>
      <c r="H74" s="8" t="str">
        <f>IF('Course 2'!$H72='tab2'!H$3,'Course 2'!$I72," ")</f>
        <v xml:space="preserve"> </v>
      </c>
      <c r="I74" s="8" t="str">
        <f>IF('Course 2'!$H72='tab2'!I$3,'Course 2'!$I72," ")</f>
        <v xml:space="preserve"> </v>
      </c>
      <c r="J74" s="8" t="str">
        <f>IF('Course 2'!$H72='tab2'!J$3,'Course 2'!$I72," ")</f>
        <v xml:space="preserve"> </v>
      </c>
      <c r="K74" s="8" t="str">
        <f>IF('Course 2'!$H72='tab2'!K$3,'Course 2'!$I72," ")</f>
        <v xml:space="preserve"> </v>
      </c>
      <c r="L74" s="8" t="str">
        <f>IF('Course 2'!$H72='tab2'!L$3,'Course 2'!$I72," ")</f>
        <v xml:space="preserve"> </v>
      </c>
      <c r="M74" s="8" t="str">
        <f>IF('Course 2'!$H72='tab2'!M$3,'Course 2'!$I72," ")</f>
        <v xml:space="preserve"> </v>
      </c>
      <c r="N74" s="9" t="str">
        <f>IF('Course 2'!$H72='tab2'!N$3,'Course 2'!$I72," ")</f>
        <v xml:space="preserve"> </v>
      </c>
    </row>
    <row r="75" spans="2:14">
      <c r="B75">
        <v>71</v>
      </c>
      <c r="C75" s="7" t="str">
        <f>IF('Course 2'!$H73='tab2'!C$3,'Course 2'!$I73," ")</f>
        <v xml:space="preserve"> </v>
      </c>
      <c r="D75" s="8" t="str">
        <f>IF('Course 2'!$H73='tab2'!D$3,'Course 2'!$I73," ")</f>
        <v xml:space="preserve"> </v>
      </c>
      <c r="E75" s="8" t="str">
        <f>IF('Course 2'!$H73='tab2'!E$3,'Course 2'!$I73," ")</f>
        <v xml:space="preserve"> </v>
      </c>
      <c r="F75" s="8" t="str">
        <f>IF('Course 2'!$H73='tab2'!F$3,'Course 2'!$I73," ")</f>
        <v xml:space="preserve"> </v>
      </c>
      <c r="G75" s="8" t="str">
        <f>IF('Course 2'!$H73='tab2'!G$3,'Course 2'!$I73," ")</f>
        <v xml:space="preserve"> </v>
      </c>
      <c r="H75" s="8" t="str">
        <f>IF('Course 2'!$H73='tab2'!H$3,'Course 2'!$I73," ")</f>
        <v xml:space="preserve"> </v>
      </c>
      <c r="I75" s="8" t="str">
        <f>IF('Course 2'!$H73='tab2'!I$3,'Course 2'!$I73," ")</f>
        <v xml:space="preserve"> </v>
      </c>
      <c r="J75" s="8" t="str">
        <f>IF('Course 2'!$H73='tab2'!J$3,'Course 2'!$I73," ")</f>
        <v xml:space="preserve"> </v>
      </c>
      <c r="K75" s="8" t="str">
        <f>IF('Course 2'!$H73='tab2'!K$3,'Course 2'!$I73," ")</f>
        <v xml:space="preserve"> </v>
      </c>
      <c r="L75" s="8" t="str">
        <f>IF('Course 2'!$H73='tab2'!L$3,'Course 2'!$I73," ")</f>
        <v xml:space="preserve"> </v>
      </c>
      <c r="M75" s="8" t="str">
        <f>IF('Course 2'!$H73='tab2'!M$3,'Course 2'!$I73," ")</f>
        <v xml:space="preserve"> </v>
      </c>
      <c r="N75" s="9" t="str">
        <f>IF('Course 2'!$H73='tab2'!N$3,'Course 2'!$I73," ")</f>
        <v xml:space="preserve"> </v>
      </c>
    </row>
    <row r="76" spans="2:14">
      <c r="B76">
        <v>72</v>
      </c>
      <c r="C76" s="7" t="str">
        <f>IF('Course 2'!$H74='tab2'!C$3,'Course 2'!$I74," ")</f>
        <v xml:space="preserve"> </v>
      </c>
      <c r="D76" s="8" t="str">
        <f>IF('Course 2'!$H74='tab2'!D$3,'Course 2'!$I74," ")</f>
        <v xml:space="preserve"> </v>
      </c>
      <c r="E76" s="8" t="str">
        <f>IF('Course 2'!$H74='tab2'!E$3,'Course 2'!$I74," ")</f>
        <v xml:space="preserve"> </v>
      </c>
      <c r="F76" s="8" t="str">
        <f>IF('Course 2'!$H74='tab2'!F$3,'Course 2'!$I74," ")</f>
        <v xml:space="preserve"> </v>
      </c>
      <c r="G76" s="8" t="str">
        <f>IF('Course 2'!$H74='tab2'!G$3,'Course 2'!$I74," ")</f>
        <v xml:space="preserve"> </v>
      </c>
      <c r="H76" s="8" t="str">
        <f>IF('Course 2'!$H74='tab2'!H$3,'Course 2'!$I74," ")</f>
        <v xml:space="preserve"> </v>
      </c>
      <c r="I76" s="8" t="str">
        <f>IF('Course 2'!$H74='tab2'!I$3,'Course 2'!$I74," ")</f>
        <v xml:space="preserve"> </v>
      </c>
      <c r="J76" s="8" t="str">
        <f>IF('Course 2'!$H74='tab2'!J$3,'Course 2'!$I74," ")</f>
        <v xml:space="preserve"> </v>
      </c>
      <c r="K76" s="8" t="str">
        <f>IF('Course 2'!$H74='tab2'!K$3,'Course 2'!$I74," ")</f>
        <v xml:space="preserve"> </v>
      </c>
      <c r="L76" s="8" t="str">
        <f>IF('Course 2'!$H74='tab2'!L$3,'Course 2'!$I74," ")</f>
        <v xml:space="preserve"> </v>
      </c>
      <c r="M76" s="8" t="str">
        <f>IF('Course 2'!$H74='tab2'!M$3,'Course 2'!$I74," ")</f>
        <v xml:space="preserve"> </v>
      </c>
      <c r="N76" s="9" t="str">
        <f>IF('Course 2'!$H74='tab2'!N$3,'Course 2'!$I74," ")</f>
        <v xml:space="preserve"> </v>
      </c>
    </row>
    <row r="77" spans="2:14">
      <c r="B77">
        <v>73</v>
      </c>
      <c r="C77" s="7" t="str">
        <f>IF('Course 2'!$H75='tab2'!C$3,'Course 2'!$I75," ")</f>
        <v xml:space="preserve"> </v>
      </c>
      <c r="D77" s="8" t="str">
        <f>IF('Course 2'!$H75='tab2'!D$3,'Course 2'!$I75," ")</f>
        <v xml:space="preserve"> </v>
      </c>
      <c r="E77" s="8" t="str">
        <f>IF('Course 2'!$H75='tab2'!E$3,'Course 2'!$I75," ")</f>
        <v xml:space="preserve"> </v>
      </c>
      <c r="F77" s="8" t="str">
        <f>IF('Course 2'!$H75='tab2'!F$3,'Course 2'!$I75," ")</f>
        <v xml:space="preserve"> </v>
      </c>
      <c r="G77" s="8" t="str">
        <f>IF('Course 2'!$H75='tab2'!G$3,'Course 2'!$I75," ")</f>
        <v xml:space="preserve"> </v>
      </c>
      <c r="H77" s="8" t="str">
        <f>IF('Course 2'!$H75='tab2'!H$3,'Course 2'!$I75," ")</f>
        <v xml:space="preserve"> </v>
      </c>
      <c r="I77" s="8" t="str">
        <f>IF('Course 2'!$H75='tab2'!I$3,'Course 2'!$I75," ")</f>
        <v xml:space="preserve"> </v>
      </c>
      <c r="J77" s="8" t="str">
        <f>IF('Course 2'!$H75='tab2'!J$3,'Course 2'!$I75," ")</f>
        <v xml:space="preserve"> </v>
      </c>
      <c r="K77" s="8" t="str">
        <f>IF('Course 2'!$H75='tab2'!K$3,'Course 2'!$I75," ")</f>
        <v xml:space="preserve"> </v>
      </c>
      <c r="L77" s="8" t="str">
        <f>IF('Course 2'!$H75='tab2'!L$3,'Course 2'!$I75," ")</f>
        <v xml:space="preserve"> </v>
      </c>
      <c r="M77" s="8" t="str">
        <f>IF('Course 2'!$H75='tab2'!M$3,'Course 2'!$I75," ")</f>
        <v xml:space="preserve"> </v>
      </c>
      <c r="N77" s="9" t="str">
        <f>IF('Course 2'!$H75='tab2'!N$3,'Course 2'!$I75," ")</f>
        <v xml:space="preserve"> </v>
      </c>
    </row>
    <row r="78" spans="2:14">
      <c r="B78">
        <v>74</v>
      </c>
      <c r="C78" s="7" t="str">
        <f>IF('Course 2'!$H76='tab2'!C$3,'Course 2'!$I76," ")</f>
        <v xml:space="preserve"> </v>
      </c>
      <c r="D78" s="8" t="str">
        <f>IF('Course 2'!$H76='tab2'!D$3,'Course 2'!$I76," ")</f>
        <v xml:space="preserve"> </v>
      </c>
      <c r="E78" s="8" t="str">
        <f>IF('Course 2'!$H76='tab2'!E$3,'Course 2'!$I76," ")</f>
        <v xml:space="preserve"> </v>
      </c>
      <c r="F78" s="8" t="str">
        <f>IF('Course 2'!$H76='tab2'!F$3,'Course 2'!$I76," ")</f>
        <v xml:space="preserve"> </v>
      </c>
      <c r="G78" s="8" t="str">
        <f>IF('Course 2'!$H76='tab2'!G$3,'Course 2'!$I76," ")</f>
        <v xml:space="preserve"> </v>
      </c>
      <c r="H78" s="8" t="str">
        <f>IF('Course 2'!$H76='tab2'!H$3,'Course 2'!$I76," ")</f>
        <v xml:space="preserve"> </v>
      </c>
      <c r="I78" s="8" t="str">
        <f>IF('Course 2'!$H76='tab2'!I$3,'Course 2'!$I76," ")</f>
        <v xml:space="preserve"> </v>
      </c>
      <c r="J78" s="8" t="str">
        <f>IF('Course 2'!$H76='tab2'!J$3,'Course 2'!$I76," ")</f>
        <v xml:space="preserve"> </v>
      </c>
      <c r="K78" s="8" t="str">
        <f>IF('Course 2'!$H76='tab2'!K$3,'Course 2'!$I76," ")</f>
        <v xml:space="preserve"> </v>
      </c>
      <c r="L78" s="8" t="str">
        <f>IF('Course 2'!$H76='tab2'!L$3,'Course 2'!$I76," ")</f>
        <v xml:space="preserve"> </v>
      </c>
      <c r="M78" s="8" t="str">
        <f>IF('Course 2'!$H76='tab2'!M$3,'Course 2'!$I76," ")</f>
        <v xml:space="preserve"> </v>
      </c>
      <c r="N78" s="9" t="str">
        <f>IF('Course 2'!$H76='tab2'!N$3,'Course 2'!$I76," ")</f>
        <v xml:space="preserve"> </v>
      </c>
    </row>
    <row r="79" spans="2:14">
      <c r="B79">
        <v>75</v>
      </c>
      <c r="C79" s="7" t="str">
        <f>IF('Course 2'!$H77='tab2'!C$3,'Course 2'!$I77," ")</f>
        <v xml:space="preserve"> </v>
      </c>
      <c r="D79" s="8" t="str">
        <f>IF('Course 2'!$H77='tab2'!D$3,'Course 2'!$I77," ")</f>
        <v xml:space="preserve"> </v>
      </c>
      <c r="E79" s="8" t="str">
        <f>IF('Course 2'!$H77='tab2'!E$3,'Course 2'!$I77," ")</f>
        <v xml:space="preserve"> </v>
      </c>
      <c r="F79" s="8" t="str">
        <f>IF('Course 2'!$H77='tab2'!F$3,'Course 2'!$I77," ")</f>
        <v xml:space="preserve"> </v>
      </c>
      <c r="G79" s="8" t="str">
        <f>IF('Course 2'!$H77='tab2'!G$3,'Course 2'!$I77," ")</f>
        <v xml:space="preserve"> </v>
      </c>
      <c r="H79" s="8" t="str">
        <f>IF('Course 2'!$H77='tab2'!H$3,'Course 2'!$I77," ")</f>
        <v xml:space="preserve"> </v>
      </c>
      <c r="I79" s="8" t="str">
        <f>IF('Course 2'!$H77='tab2'!I$3,'Course 2'!$I77," ")</f>
        <v xml:space="preserve"> </v>
      </c>
      <c r="J79" s="8" t="str">
        <f>IF('Course 2'!$H77='tab2'!J$3,'Course 2'!$I77," ")</f>
        <v xml:space="preserve"> </v>
      </c>
      <c r="K79" s="8" t="str">
        <f>IF('Course 2'!$H77='tab2'!K$3,'Course 2'!$I77," ")</f>
        <v xml:space="preserve"> </v>
      </c>
      <c r="L79" s="8" t="str">
        <f>IF('Course 2'!$H77='tab2'!L$3,'Course 2'!$I77," ")</f>
        <v xml:space="preserve"> </v>
      </c>
      <c r="M79" s="8" t="str">
        <f>IF('Course 2'!$H77='tab2'!M$3,'Course 2'!$I77," ")</f>
        <v xml:space="preserve"> </v>
      </c>
      <c r="N79" s="9" t="str">
        <f>IF('Course 2'!$H77='tab2'!N$3,'Course 2'!$I77," ")</f>
        <v xml:space="preserve"> </v>
      </c>
    </row>
    <row r="80" spans="2:14">
      <c r="B80">
        <v>76</v>
      </c>
      <c r="C80" s="7" t="str">
        <f>IF('Course 2'!$H78='tab2'!C$3,'Course 2'!$I78," ")</f>
        <v xml:space="preserve"> </v>
      </c>
      <c r="D80" s="8" t="str">
        <f>IF('Course 2'!$H78='tab2'!D$3,'Course 2'!$I78," ")</f>
        <v xml:space="preserve"> </v>
      </c>
      <c r="E80" s="8" t="str">
        <f>IF('Course 2'!$H78='tab2'!E$3,'Course 2'!$I78," ")</f>
        <v xml:space="preserve"> </v>
      </c>
      <c r="F80" s="8" t="str">
        <f>IF('Course 2'!$H78='tab2'!F$3,'Course 2'!$I78," ")</f>
        <v xml:space="preserve"> </v>
      </c>
      <c r="G80" s="8" t="str">
        <f>IF('Course 2'!$H78='tab2'!G$3,'Course 2'!$I78," ")</f>
        <v xml:space="preserve"> </v>
      </c>
      <c r="H80" s="8" t="str">
        <f>IF('Course 2'!$H78='tab2'!H$3,'Course 2'!$I78," ")</f>
        <v xml:space="preserve"> </v>
      </c>
      <c r="I80" s="8" t="str">
        <f>IF('Course 2'!$H78='tab2'!I$3,'Course 2'!$I78," ")</f>
        <v xml:space="preserve"> </v>
      </c>
      <c r="J80" s="8" t="str">
        <f>IF('Course 2'!$H78='tab2'!J$3,'Course 2'!$I78," ")</f>
        <v xml:space="preserve"> </v>
      </c>
      <c r="K80" s="8" t="str">
        <f>IF('Course 2'!$H78='tab2'!K$3,'Course 2'!$I78," ")</f>
        <v xml:space="preserve"> </v>
      </c>
      <c r="L80" s="8" t="str">
        <f>IF('Course 2'!$H78='tab2'!L$3,'Course 2'!$I78," ")</f>
        <v xml:space="preserve"> </v>
      </c>
      <c r="M80" s="8" t="str">
        <f>IF('Course 2'!$H78='tab2'!M$3,'Course 2'!$I78," ")</f>
        <v xml:space="preserve"> </v>
      </c>
      <c r="N80" s="9" t="str">
        <f>IF('Course 2'!$H78='tab2'!N$3,'Course 2'!$I78," ")</f>
        <v xml:space="preserve"> </v>
      </c>
    </row>
    <row r="81" spans="2:14">
      <c r="B81">
        <v>77</v>
      </c>
      <c r="C81" s="7" t="str">
        <f>IF('Course 2'!$H79='tab2'!C$3,'Course 2'!$I79," ")</f>
        <v xml:space="preserve"> </v>
      </c>
      <c r="D81" s="8" t="str">
        <f>IF('Course 2'!$H79='tab2'!D$3,'Course 2'!$I79," ")</f>
        <v xml:space="preserve"> </v>
      </c>
      <c r="E81" s="8" t="str">
        <f>IF('Course 2'!$H79='tab2'!E$3,'Course 2'!$I79," ")</f>
        <v xml:space="preserve"> </v>
      </c>
      <c r="F81" s="8" t="str">
        <f>IF('Course 2'!$H79='tab2'!F$3,'Course 2'!$I79," ")</f>
        <v xml:space="preserve"> </v>
      </c>
      <c r="G81" s="8" t="str">
        <f>IF('Course 2'!$H79='tab2'!G$3,'Course 2'!$I79," ")</f>
        <v xml:space="preserve"> </v>
      </c>
      <c r="H81" s="8" t="str">
        <f>IF('Course 2'!$H79='tab2'!H$3,'Course 2'!$I79," ")</f>
        <v xml:space="preserve"> </v>
      </c>
      <c r="I81" s="8" t="str">
        <f>IF('Course 2'!$H79='tab2'!I$3,'Course 2'!$I79," ")</f>
        <v xml:space="preserve"> </v>
      </c>
      <c r="J81" s="8" t="str">
        <f>IF('Course 2'!$H79='tab2'!J$3,'Course 2'!$I79," ")</f>
        <v xml:space="preserve"> </v>
      </c>
      <c r="K81" s="8" t="str">
        <f>IF('Course 2'!$H79='tab2'!K$3,'Course 2'!$I79," ")</f>
        <v xml:space="preserve"> </v>
      </c>
      <c r="L81" s="8" t="str">
        <f>IF('Course 2'!$H79='tab2'!L$3,'Course 2'!$I79," ")</f>
        <v xml:space="preserve"> </v>
      </c>
      <c r="M81" s="8" t="str">
        <f>IF('Course 2'!$H79='tab2'!M$3,'Course 2'!$I79," ")</f>
        <v xml:space="preserve"> </v>
      </c>
      <c r="N81" s="9" t="str">
        <f>IF('Course 2'!$H79='tab2'!N$3,'Course 2'!$I79," ")</f>
        <v xml:space="preserve"> </v>
      </c>
    </row>
    <row r="82" spans="2:14">
      <c r="B82">
        <v>78</v>
      </c>
      <c r="C82" s="7" t="str">
        <f>IF('Course 2'!$H80='tab2'!C$3,'Course 2'!$I80," ")</f>
        <v xml:space="preserve"> </v>
      </c>
      <c r="D82" s="8" t="str">
        <f>IF('Course 2'!$H80='tab2'!D$3,'Course 2'!$I80," ")</f>
        <v xml:space="preserve"> </v>
      </c>
      <c r="E82" s="8" t="str">
        <f>IF('Course 2'!$H80='tab2'!E$3,'Course 2'!$I80," ")</f>
        <v xml:space="preserve"> </v>
      </c>
      <c r="F82" s="8" t="str">
        <f>IF('Course 2'!$H80='tab2'!F$3,'Course 2'!$I80," ")</f>
        <v xml:space="preserve"> </v>
      </c>
      <c r="G82" s="8" t="str">
        <f>IF('Course 2'!$H80='tab2'!G$3,'Course 2'!$I80," ")</f>
        <v xml:space="preserve"> </v>
      </c>
      <c r="H82" s="8" t="str">
        <f>IF('Course 2'!$H80='tab2'!H$3,'Course 2'!$I80," ")</f>
        <v xml:space="preserve"> </v>
      </c>
      <c r="I82" s="8" t="str">
        <f>IF('Course 2'!$H80='tab2'!I$3,'Course 2'!$I80," ")</f>
        <v xml:space="preserve"> </v>
      </c>
      <c r="J82" s="8" t="str">
        <f>IF('Course 2'!$H80='tab2'!J$3,'Course 2'!$I80," ")</f>
        <v xml:space="preserve"> </v>
      </c>
      <c r="K82" s="8" t="str">
        <f>IF('Course 2'!$H80='tab2'!K$3,'Course 2'!$I80," ")</f>
        <v xml:space="preserve"> </v>
      </c>
      <c r="L82" s="8" t="str">
        <f>IF('Course 2'!$H80='tab2'!L$3,'Course 2'!$I80," ")</f>
        <v xml:space="preserve"> </v>
      </c>
      <c r="M82" s="8" t="str">
        <f>IF('Course 2'!$H80='tab2'!M$3,'Course 2'!$I80," ")</f>
        <v xml:space="preserve"> </v>
      </c>
      <c r="N82" s="9" t="str">
        <f>IF('Course 2'!$H80='tab2'!N$3,'Course 2'!$I80," ")</f>
        <v xml:space="preserve"> </v>
      </c>
    </row>
    <row r="83" spans="2:14">
      <c r="B83">
        <v>79</v>
      </c>
      <c r="C83" s="7" t="str">
        <f>IF('Course 2'!$H81='tab2'!C$3,'Course 2'!$I81," ")</f>
        <v xml:space="preserve"> </v>
      </c>
      <c r="D83" s="8" t="str">
        <f>IF('Course 2'!$H81='tab2'!D$3,'Course 2'!$I81," ")</f>
        <v xml:space="preserve"> </v>
      </c>
      <c r="E83" s="8" t="str">
        <f>IF('Course 2'!$H81='tab2'!E$3,'Course 2'!$I81," ")</f>
        <v xml:space="preserve"> </v>
      </c>
      <c r="F83" s="8" t="str">
        <f>IF('Course 2'!$H81='tab2'!F$3,'Course 2'!$I81," ")</f>
        <v xml:space="preserve"> </v>
      </c>
      <c r="G83" s="8" t="str">
        <f>IF('Course 2'!$H81='tab2'!G$3,'Course 2'!$I81," ")</f>
        <v xml:space="preserve"> </v>
      </c>
      <c r="H83" s="8" t="str">
        <f>IF('Course 2'!$H81='tab2'!H$3,'Course 2'!$I81," ")</f>
        <v xml:space="preserve"> </v>
      </c>
      <c r="I83" s="8" t="str">
        <f>IF('Course 2'!$H81='tab2'!I$3,'Course 2'!$I81," ")</f>
        <v xml:space="preserve"> </v>
      </c>
      <c r="J83" s="8" t="str">
        <f>IF('Course 2'!$H81='tab2'!J$3,'Course 2'!$I81," ")</f>
        <v xml:space="preserve"> </v>
      </c>
      <c r="K83" s="8" t="str">
        <f>IF('Course 2'!$H81='tab2'!K$3,'Course 2'!$I81," ")</f>
        <v xml:space="preserve"> </v>
      </c>
      <c r="L83" s="8" t="str">
        <f>IF('Course 2'!$H81='tab2'!L$3,'Course 2'!$I81," ")</f>
        <v xml:space="preserve"> </v>
      </c>
      <c r="M83" s="8" t="str">
        <f>IF('Course 2'!$H81='tab2'!M$3,'Course 2'!$I81," ")</f>
        <v xml:space="preserve"> </v>
      </c>
      <c r="N83" s="9" t="str">
        <f>IF('Course 2'!$H81='tab2'!N$3,'Course 2'!$I81," ")</f>
        <v xml:space="preserve"> </v>
      </c>
    </row>
    <row r="84" spans="2:14">
      <c r="B84">
        <v>80</v>
      </c>
      <c r="C84" s="7" t="str">
        <f>IF('Course 2'!$H82='tab2'!C$3,'Course 2'!$I82," ")</f>
        <v xml:space="preserve"> </v>
      </c>
      <c r="D84" s="8" t="str">
        <f>IF('Course 2'!$H82='tab2'!D$3,'Course 2'!$I82," ")</f>
        <v xml:space="preserve"> </v>
      </c>
      <c r="E84" s="8" t="str">
        <f>IF('Course 2'!$H82='tab2'!E$3,'Course 2'!$I82," ")</f>
        <v xml:space="preserve"> </v>
      </c>
      <c r="F84" s="8" t="str">
        <f>IF('Course 2'!$H82='tab2'!F$3,'Course 2'!$I82," ")</f>
        <v xml:space="preserve"> </v>
      </c>
      <c r="G84" s="8" t="str">
        <f>IF('Course 2'!$H82='tab2'!G$3,'Course 2'!$I82," ")</f>
        <v xml:space="preserve"> </v>
      </c>
      <c r="H84" s="8" t="str">
        <f>IF('Course 2'!$H82='tab2'!H$3,'Course 2'!$I82," ")</f>
        <v xml:space="preserve"> </v>
      </c>
      <c r="I84" s="8" t="str">
        <f>IF('Course 2'!$H82='tab2'!I$3,'Course 2'!$I82," ")</f>
        <v xml:space="preserve"> </v>
      </c>
      <c r="J84" s="8" t="str">
        <f>IF('Course 2'!$H82='tab2'!J$3,'Course 2'!$I82," ")</f>
        <v xml:space="preserve"> </v>
      </c>
      <c r="K84" s="8" t="str">
        <f>IF('Course 2'!$H82='tab2'!K$3,'Course 2'!$I82," ")</f>
        <v xml:space="preserve"> </v>
      </c>
      <c r="L84" s="8" t="str">
        <f>IF('Course 2'!$H82='tab2'!L$3,'Course 2'!$I82," ")</f>
        <v xml:space="preserve"> </v>
      </c>
      <c r="M84" s="8" t="str">
        <f>IF('Course 2'!$H82='tab2'!M$3,'Course 2'!$I82," ")</f>
        <v xml:space="preserve"> </v>
      </c>
      <c r="N84" s="9" t="str">
        <f>IF('Course 2'!$H82='tab2'!N$3,'Course 2'!$I82," ")</f>
        <v xml:space="preserve"> </v>
      </c>
    </row>
    <row r="85" spans="2:14">
      <c r="B85">
        <v>81</v>
      </c>
      <c r="C85" s="7" t="str">
        <f>IF('Course 2'!$H83='tab2'!C$3,'Course 2'!$I83," ")</f>
        <v xml:space="preserve"> </v>
      </c>
      <c r="D85" s="8" t="str">
        <f>IF('Course 2'!$H83='tab2'!D$3,'Course 2'!$I83," ")</f>
        <v xml:space="preserve"> </v>
      </c>
      <c r="E85" s="8" t="str">
        <f>IF('Course 2'!$H83='tab2'!E$3,'Course 2'!$I83," ")</f>
        <v xml:space="preserve"> </v>
      </c>
      <c r="F85" s="8" t="str">
        <f>IF('Course 2'!$H83='tab2'!F$3,'Course 2'!$I83," ")</f>
        <v xml:space="preserve"> </v>
      </c>
      <c r="G85" s="8" t="str">
        <f>IF('Course 2'!$H83='tab2'!G$3,'Course 2'!$I83," ")</f>
        <v xml:space="preserve"> </v>
      </c>
      <c r="H85" s="8" t="str">
        <f>IF('Course 2'!$H83='tab2'!H$3,'Course 2'!$I83," ")</f>
        <v xml:space="preserve"> </v>
      </c>
      <c r="I85" s="8" t="str">
        <f>IF('Course 2'!$H83='tab2'!I$3,'Course 2'!$I83," ")</f>
        <v xml:space="preserve"> </v>
      </c>
      <c r="J85" s="8" t="str">
        <f>IF('Course 2'!$H83='tab2'!J$3,'Course 2'!$I83," ")</f>
        <v xml:space="preserve"> </v>
      </c>
      <c r="K85" s="8" t="str">
        <f>IF('Course 2'!$H83='tab2'!K$3,'Course 2'!$I83," ")</f>
        <v xml:space="preserve"> </v>
      </c>
      <c r="L85" s="8" t="str">
        <f>IF('Course 2'!$H83='tab2'!L$3,'Course 2'!$I83," ")</f>
        <v xml:space="preserve"> </v>
      </c>
      <c r="M85" s="8" t="str">
        <f>IF('Course 2'!$H83='tab2'!M$3,'Course 2'!$I83," ")</f>
        <v xml:space="preserve"> </v>
      </c>
      <c r="N85" s="9" t="str">
        <f>IF('Course 2'!$H83='tab2'!N$3,'Course 2'!$I83," ")</f>
        <v xml:space="preserve"> </v>
      </c>
    </row>
    <row r="86" spans="2:14">
      <c r="B86">
        <v>82</v>
      </c>
      <c r="C86" s="7" t="str">
        <f>IF('Course 2'!$H84='tab2'!C$3,'Course 2'!$I84," ")</f>
        <v xml:space="preserve"> </v>
      </c>
      <c r="D86" s="8" t="str">
        <f>IF('Course 2'!$H84='tab2'!D$3,'Course 2'!$I84," ")</f>
        <v xml:space="preserve"> </v>
      </c>
      <c r="E86" s="8" t="str">
        <f>IF('Course 2'!$H84='tab2'!E$3,'Course 2'!$I84," ")</f>
        <v xml:space="preserve"> </v>
      </c>
      <c r="F86" s="8" t="str">
        <f>IF('Course 2'!$H84='tab2'!F$3,'Course 2'!$I84," ")</f>
        <v xml:space="preserve"> </v>
      </c>
      <c r="G86" s="8" t="str">
        <f>IF('Course 2'!$H84='tab2'!G$3,'Course 2'!$I84," ")</f>
        <v xml:space="preserve"> </v>
      </c>
      <c r="H86" s="8" t="str">
        <f>IF('Course 2'!$H84='tab2'!H$3,'Course 2'!$I84," ")</f>
        <v xml:space="preserve"> </v>
      </c>
      <c r="I86" s="8" t="str">
        <f>IF('Course 2'!$H84='tab2'!I$3,'Course 2'!$I84," ")</f>
        <v xml:space="preserve"> </v>
      </c>
      <c r="J86" s="8" t="str">
        <f>IF('Course 2'!$H84='tab2'!J$3,'Course 2'!$I84," ")</f>
        <v xml:space="preserve"> </v>
      </c>
      <c r="K86" s="8" t="str">
        <f>IF('Course 2'!$H84='tab2'!K$3,'Course 2'!$I84," ")</f>
        <v xml:space="preserve"> </v>
      </c>
      <c r="L86" s="8" t="str">
        <f>IF('Course 2'!$H84='tab2'!L$3,'Course 2'!$I84," ")</f>
        <v xml:space="preserve"> </v>
      </c>
      <c r="M86" s="8" t="str">
        <f>IF('Course 2'!$H84='tab2'!M$3,'Course 2'!$I84," ")</f>
        <v xml:space="preserve"> </v>
      </c>
      <c r="N86" s="9" t="str">
        <f>IF('Course 2'!$H84='tab2'!N$3,'Course 2'!$I84," ")</f>
        <v xml:space="preserve"> </v>
      </c>
    </row>
    <row r="87" spans="2:14">
      <c r="B87">
        <v>83</v>
      </c>
      <c r="C87" s="7" t="str">
        <f>IF('Course 2'!$H85='tab2'!C$3,'Course 2'!$I85," ")</f>
        <v xml:space="preserve"> </v>
      </c>
      <c r="D87" s="8" t="str">
        <f>IF('Course 2'!$H85='tab2'!D$3,'Course 2'!$I85," ")</f>
        <v xml:space="preserve"> </v>
      </c>
      <c r="E87" s="8" t="str">
        <f>IF('Course 2'!$H85='tab2'!E$3,'Course 2'!$I85," ")</f>
        <v xml:space="preserve"> </v>
      </c>
      <c r="F87" s="8" t="str">
        <f>IF('Course 2'!$H85='tab2'!F$3,'Course 2'!$I85," ")</f>
        <v xml:space="preserve"> </v>
      </c>
      <c r="G87" s="8" t="str">
        <f>IF('Course 2'!$H85='tab2'!G$3,'Course 2'!$I85," ")</f>
        <v xml:space="preserve"> </v>
      </c>
      <c r="H87" s="8" t="str">
        <f>IF('Course 2'!$H85='tab2'!H$3,'Course 2'!$I85," ")</f>
        <v xml:space="preserve"> </v>
      </c>
      <c r="I87" s="8" t="str">
        <f>IF('Course 2'!$H85='tab2'!I$3,'Course 2'!$I85," ")</f>
        <v xml:space="preserve"> </v>
      </c>
      <c r="J87" s="8" t="str">
        <f>IF('Course 2'!$H85='tab2'!J$3,'Course 2'!$I85," ")</f>
        <v xml:space="preserve"> </v>
      </c>
      <c r="K87" s="8" t="str">
        <f>IF('Course 2'!$H85='tab2'!K$3,'Course 2'!$I85," ")</f>
        <v xml:space="preserve"> </v>
      </c>
      <c r="L87" s="8" t="str">
        <f>IF('Course 2'!$H85='tab2'!L$3,'Course 2'!$I85," ")</f>
        <v xml:space="preserve"> </v>
      </c>
      <c r="M87" s="8" t="str">
        <f>IF('Course 2'!$H85='tab2'!M$3,'Course 2'!$I85," ")</f>
        <v xml:space="preserve"> </v>
      </c>
      <c r="N87" s="9" t="str">
        <f>IF('Course 2'!$H85='tab2'!N$3,'Course 2'!$I85," ")</f>
        <v xml:space="preserve"> </v>
      </c>
    </row>
    <row r="88" spans="2:14">
      <c r="B88">
        <v>84</v>
      </c>
      <c r="C88" s="7" t="str">
        <f>IF('Course 2'!$H86='tab2'!C$3,'Course 2'!$I86," ")</f>
        <v xml:space="preserve"> </v>
      </c>
      <c r="D88" s="8" t="str">
        <f>IF('Course 2'!$H86='tab2'!D$3,'Course 2'!$I86," ")</f>
        <v xml:space="preserve"> </v>
      </c>
      <c r="E88" s="8" t="str">
        <f>IF('Course 2'!$H86='tab2'!E$3,'Course 2'!$I86," ")</f>
        <v xml:space="preserve"> </v>
      </c>
      <c r="F88" s="8" t="str">
        <f>IF('Course 2'!$H86='tab2'!F$3,'Course 2'!$I86," ")</f>
        <v xml:space="preserve"> </v>
      </c>
      <c r="G88" s="8" t="str">
        <f>IF('Course 2'!$H86='tab2'!G$3,'Course 2'!$I86," ")</f>
        <v xml:space="preserve"> </v>
      </c>
      <c r="H88" s="8" t="str">
        <f>IF('Course 2'!$H86='tab2'!H$3,'Course 2'!$I86," ")</f>
        <v xml:space="preserve"> </v>
      </c>
      <c r="I88" s="8" t="str">
        <f>IF('Course 2'!$H86='tab2'!I$3,'Course 2'!$I86," ")</f>
        <v xml:space="preserve"> </v>
      </c>
      <c r="J88" s="8" t="str">
        <f>IF('Course 2'!$H86='tab2'!J$3,'Course 2'!$I86," ")</f>
        <v xml:space="preserve"> </v>
      </c>
      <c r="K88" s="8" t="str">
        <f>IF('Course 2'!$H86='tab2'!K$3,'Course 2'!$I86," ")</f>
        <v xml:space="preserve"> </v>
      </c>
      <c r="L88" s="8" t="str">
        <f>IF('Course 2'!$H86='tab2'!L$3,'Course 2'!$I86," ")</f>
        <v xml:space="preserve"> </v>
      </c>
      <c r="M88" s="8" t="str">
        <f>IF('Course 2'!$H86='tab2'!M$3,'Course 2'!$I86," ")</f>
        <v xml:space="preserve"> </v>
      </c>
      <c r="N88" s="9" t="str">
        <f>IF('Course 2'!$H86='tab2'!N$3,'Course 2'!$I86," ")</f>
        <v xml:space="preserve"> </v>
      </c>
    </row>
    <row r="89" spans="2:14">
      <c r="B89">
        <v>85</v>
      </c>
      <c r="C89" s="7" t="str">
        <f>IF('Course 2'!$H87='tab2'!C$3,'Course 2'!$I87," ")</f>
        <v xml:space="preserve"> </v>
      </c>
      <c r="D89" s="8" t="str">
        <f>IF('Course 2'!$H87='tab2'!D$3,'Course 2'!$I87," ")</f>
        <v xml:space="preserve"> </v>
      </c>
      <c r="E89" s="8" t="str">
        <f>IF('Course 2'!$H87='tab2'!E$3,'Course 2'!$I87," ")</f>
        <v xml:space="preserve"> </v>
      </c>
      <c r="F89" s="8" t="str">
        <f>IF('Course 2'!$H87='tab2'!F$3,'Course 2'!$I87," ")</f>
        <v xml:space="preserve"> </v>
      </c>
      <c r="G89" s="8" t="str">
        <f>IF('Course 2'!$H87='tab2'!G$3,'Course 2'!$I87," ")</f>
        <v xml:space="preserve"> </v>
      </c>
      <c r="H89" s="8" t="str">
        <f>IF('Course 2'!$H87='tab2'!H$3,'Course 2'!$I87," ")</f>
        <v xml:space="preserve"> </v>
      </c>
      <c r="I89" s="8" t="str">
        <f>IF('Course 2'!$H87='tab2'!I$3,'Course 2'!$I87," ")</f>
        <v xml:space="preserve"> </v>
      </c>
      <c r="J89" s="8" t="str">
        <f>IF('Course 2'!$H87='tab2'!J$3,'Course 2'!$I87," ")</f>
        <v xml:space="preserve"> </v>
      </c>
      <c r="K89" s="8" t="str">
        <f>IF('Course 2'!$H87='tab2'!K$3,'Course 2'!$I87," ")</f>
        <v xml:space="preserve"> </v>
      </c>
      <c r="L89" s="8" t="str">
        <f>IF('Course 2'!$H87='tab2'!L$3,'Course 2'!$I87," ")</f>
        <v xml:space="preserve"> </v>
      </c>
      <c r="M89" s="8" t="str">
        <f>IF('Course 2'!$H87='tab2'!M$3,'Course 2'!$I87," ")</f>
        <v xml:space="preserve"> </v>
      </c>
      <c r="N89" s="9" t="str">
        <f>IF('Course 2'!$H87='tab2'!N$3,'Course 2'!$I87," ")</f>
        <v xml:space="preserve"> </v>
      </c>
    </row>
    <row r="90" spans="2:14">
      <c r="B90">
        <v>86</v>
      </c>
      <c r="C90" s="7" t="str">
        <f>IF('Course 2'!$H88='tab2'!C$3,'Course 2'!$I88," ")</f>
        <v xml:space="preserve"> </v>
      </c>
      <c r="D90" s="8" t="str">
        <f>IF('Course 2'!$H88='tab2'!D$3,'Course 2'!$I88," ")</f>
        <v xml:space="preserve"> </v>
      </c>
      <c r="E90" s="8" t="str">
        <f>IF('Course 2'!$H88='tab2'!E$3,'Course 2'!$I88," ")</f>
        <v xml:space="preserve"> </v>
      </c>
      <c r="F90" s="8" t="str">
        <f>IF('Course 2'!$H88='tab2'!F$3,'Course 2'!$I88," ")</f>
        <v xml:space="preserve"> </v>
      </c>
      <c r="G90" s="8" t="str">
        <f>IF('Course 2'!$H88='tab2'!G$3,'Course 2'!$I88," ")</f>
        <v xml:space="preserve"> </v>
      </c>
      <c r="H90" s="8" t="str">
        <f>IF('Course 2'!$H88='tab2'!H$3,'Course 2'!$I88," ")</f>
        <v xml:space="preserve"> </v>
      </c>
      <c r="I90" s="8" t="str">
        <f>IF('Course 2'!$H88='tab2'!I$3,'Course 2'!$I88," ")</f>
        <v xml:space="preserve"> </v>
      </c>
      <c r="J90" s="8" t="str">
        <f>IF('Course 2'!$H88='tab2'!J$3,'Course 2'!$I88," ")</f>
        <v xml:space="preserve"> </v>
      </c>
      <c r="K90" s="8" t="str">
        <f>IF('Course 2'!$H88='tab2'!K$3,'Course 2'!$I88," ")</f>
        <v xml:space="preserve"> </v>
      </c>
      <c r="L90" s="8" t="str">
        <f>IF('Course 2'!$H88='tab2'!L$3,'Course 2'!$I88," ")</f>
        <v xml:space="preserve"> </v>
      </c>
      <c r="M90" s="8" t="str">
        <f>IF('Course 2'!$H88='tab2'!M$3,'Course 2'!$I88," ")</f>
        <v xml:space="preserve"> </v>
      </c>
      <c r="N90" s="9" t="str">
        <f>IF('Course 2'!$H88='tab2'!N$3,'Course 2'!$I88," ")</f>
        <v xml:space="preserve"> </v>
      </c>
    </row>
    <row r="91" spans="2:14">
      <c r="B91">
        <v>87</v>
      </c>
      <c r="C91" s="7" t="str">
        <f>IF('Course 2'!$H89='tab2'!C$3,'Course 2'!$I89," ")</f>
        <v xml:space="preserve"> </v>
      </c>
      <c r="D91" s="8" t="str">
        <f>IF('Course 2'!$H89='tab2'!D$3,'Course 2'!$I89," ")</f>
        <v xml:space="preserve"> </v>
      </c>
      <c r="E91" s="8" t="str">
        <f>IF('Course 2'!$H89='tab2'!E$3,'Course 2'!$I89," ")</f>
        <v xml:space="preserve"> </v>
      </c>
      <c r="F91" s="8" t="str">
        <f>IF('Course 2'!$H89='tab2'!F$3,'Course 2'!$I89," ")</f>
        <v xml:space="preserve"> </v>
      </c>
      <c r="G91" s="8" t="str">
        <f>IF('Course 2'!$H89='tab2'!G$3,'Course 2'!$I89," ")</f>
        <v xml:space="preserve"> </v>
      </c>
      <c r="H91" s="8" t="str">
        <f>IF('Course 2'!$H89='tab2'!H$3,'Course 2'!$I89," ")</f>
        <v xml:space="preserve"> </v>
      </c>
      <c r="I91" s="8" t="str">
        <f>IF('Course 2'!$H89='tab2'!I$3,'Course 2'!$I89," ")</f>
        <v xml:space="preserve"> </v>
      </c>
      <c r="J91" s="8" t="str">
        <f>IF('Course 2'!$H89='tab2'!J$3,'Course 2'!$I89," ")</f>
        <v xml:space="preserve"> </v>
      </c>
      <c r="K91" s="8" t="str">
        <f>IF('Course 2'!$H89='tab2'!K$3,'Course 2'!$I89," ")</f>
        <v xml:space="preserve"> </v>
      </c>
      <c r="L91" s="8" t="str">
        <f>IF('Course 2'!$H89='tab2'!L$3,'Course 2'!$I89," ")</f>
        <v xml:space="preserve"> </v>
      </c>
      <c r="M91" s="8" t="str">
        <f>IF('Course 2'!$H89='tab2'!M$3,'Course 2'!$I89," ")</f>
        <v xml:space="preserve"> </v>
      </c>
      <c r="N91" s="9" t="str">
        <f>IF('Course 2'!$H89='tab2'!N$3,'Course 2'!$I89," ")</f>
        <v xml:space="preserve"> </v>
      </c>
    </row>
    <row r="92" spans="2:14">
      <c r="B92">
        <v>88</v>
      </c>
      <c r="C92" s="7" t="str">
        <f>IF('Course 2'!$H90='tab2'!C$3,'Course 2'!$I90," ")</f>
        <v xml:space="preserve"> </v>
      </c>
      <c r="D92" s="8" t="str">
        <f>IF('Course 2'!$H90='tab2'!D$3,'Course 2'!$I90," ")</f>
        <v xml:space="preserve"> </v>
      </c>
      <c r="E92" s="8" t="str">
        <f>IF('Course 2'!$H90='tab2'!E$3,'Course 2'!$I90," ")</f>
        <v xml:space="preserve"> </v>
      </c>
      <c r="F92" s="8" t="str">
        <f>IF('Course 2'!$H90='tab2'!F$3,'Course 2'!$I90," ")</f>
        <v xml:space="preserve"> </v>
      </c>
      <c r="G92" s="8" t="str">
        <f>IF('Course 2'!$H90='tab2'!G$3,'Course 2'!$I90," ")</f>
        <v xml:space="preserve"> </v>
      </c>
      <c r="H92" s="8" t="str">
        <f>IF('Course 2'!$H90='tab2'!H$3,'Course 2'!$I90," ")</f>
        <v xml:space="preserve"> </v>
      </c>
      <c r="I92" s="8" t="str">
        <f>IF('Course 2'!$H90='tab2'!I$3,'Course 2'!$I90," ")</f>
        <v xml:space="preserve"> </v>
      </c>
      <c r="J92" s="8" t="str">
        <f>IF('Course 2'!$H90='tab2'!J$3,'Course 2'!$I90," ")</f>
        <v xml:space="preserve"> </v>
      </c>
      <c r="K92" s="8" t="str">
        <f>IF('Course 2'!$H90='tab2'!K$3,'Course 2'!$I90," ")</f>
        <v xml:space="preserve"> </v>
      </c>
      <c r="L92" s="8" t="str">
        <f>IF('Course 2'!$H90='tab2'!L$3,'Course 2'!$I90," ")</f>
        <v xml:space="preserve"> </v>
      </c>
      <c r="M92" s="8" t="str">
        <f>IF('Course 2'!$H90='tab2'!M$3,'Course 2'!$I90," ")</f>
        <v xml:space="preserve"> </v>
      </c>
      <c r="N92" s="9" t="str">
        <f>IF('Course 2'!$H90='tab2'!N$3,'Course 2'!$I90," ")</f>
        <v xml:space="preserve"> </v>
      </c>
    </row>
    <row r="93" spans="2:14">
      <c r="B93">
        <v>89</v>
      </c>
      <c r="C93" s="7" t="str">
        <f>IF('Course 2'!$H91='tab2'!C$3,'Course 2'!$I91," ")</f>
        <v xml:space="preserve"> </v>
      </c>
      <c r="D93" s="8" t="str">
        <f>IF('Course 2'!$H91='tab2'!D$3,'Course 2'!$I91," ")</f>
        <v xml:space="preserve"> </v>
      </c>
      <c r="E93" s="8" t="str">
        <f>IF('Course 2'!$H91='tab2'!E$3,'Course 2'!$I91," ")</f>
        <v xml:space="preserve"> </v>
      </c>
      <c r="F93" s="8" t="str">
        <f>IF('Course 2'!$H91='tab2'!F$3,'Course 2'!$I91," ")</f>
        <v xml:space="preserve"> </v>
      </c>
      <c r="G93" s="8" t="str">
        <f>IF('Course 2'!$H91='tab2'!G$3,'Course 2'!$I91," ")</f>
        <v xml:space="preserve"> </v>
      </c>
      <c r="H93" s="8" t="str">
        <f>IF('Course 2'!$H91='tab2'!H$3,'Course 2'!$I91," ")</f>
        <v xml:space="preserve"> </v>
      </c>
      <c r="I93" s="8" t="str">
        <f>IF('Course 2'!$H91='tab2'!I$3,'Course 2'!$I91," ")</f>
        <v xml:space="preserve"> </v>
      </c>
      <c r="J93" s="8" t="str">
        <f>IF('Course 2'!$H91='tab2'!J$3,'Course 2'!$I91," ")</f>
        <v xml:space="preserve"> </v>
      </c>
      <c r="K93" s="8" t="str">
        <f>IF('Course 2'!$H91='tab2'!K$3,'Course 2'!$I91," ")</f>
        <v xml:space="preserve"> </v>
      </c>
      <c r="L93" s="8" t="str">
        <f>IF('Course 2'!$H91='tab2'!L$3,'Course 2'!$I91," ")</f>
        <v xml:space="preserve"> </v>
      </c>
      <c r="M93" s="8" t="str">
        <f>IF('Course 2'!$H91='tab2'!M$3,'Course 2'!$I91," ")</f>
        <v xml:space="preserve"> </v>
      </c>
      <c r="N93" s="9" t="str">
        <f>IF('Course 2'!$H91='tab2'!N$3,'Course 2'!$I91," ")</f>
        <v xml:space="preserve"> </v>
      </c>
    </row>
    <row r="94" spans="2:14">
      <c r="B94">
        <v>90</v>
      </c>
      <c r="C94" s="7" t="str">
        <f>IF('Course 2'!$H92='tab2'!C$3,'Course 2'!$I92," ")</f>
        <v xml:space="preserve"> </v>
      </c>
      <c r="D94" s="8" t="str">
        <f>IF('Course 2'!$H92='tab2'!D$3,'Course 2'!$I92," ")</f>
        <v xml:space="preserve"> </v>
      </c>
      <c r="E94" s="8" t="str">
        <f>IF('Course 2'!$H92='tab2'!E$3,'Course 2'!$I92," ")</f>
        <v xml:space="preserve"> </v>
      </c>
      <c r="F94" s="8" t="str">
        <f>IF('Course 2'!$H92='tab2'!F$3,'Course 2'!$I92," ")</f>
        <v xml:space="preserve"> </v>
      </c>
      <c r="G94" s="8" t="str">
        <f>IF('Course 2'!$H92='tab2'!G$3,'Course 2'!$I92," ")</f>
        <v xml:space="preserve"> </v>
      </c>
      <c r="H94" s="8" t="str">
        <f>IF('Course 2'!$H92='tab2'!H$3,'Course 2'!$I92," ")</f>
        <v xml:space="preserve"> </v>
      </c>
      <c r="I94" s="8" t="str">
        <f>IF('Course 2'!$H92='tab2'!I$3,'Course 2'!$I92," ")</f>
        <v xml:space="preserve"> </v>
      </c>
      <c r="J94" s="8" t="str">
        <f>IF('Course 2'!$H92='tab2'!J$3,'Course 2'!$I92," ")</f>
        <v xml:space="preserve"> </v>
      </c>
      <c r="K94" s="8" t="str">
        <f>IF('Course 2'!$H92='tab2'!K$3,'Course 2'!$I92," ")</f>
        <v xml:space="preserve"> </v>
      </c>
      <c r="L94" s="8" t="str">
        <f>IF('Course 2'!$H92='tab2'!L$3,'Course 2'!$I92," ")</f>
        <v xml:space="preserve"> </v>
      </c>
      <c r="M94" s="8" t="str">
        <f>IF('Course 2'!$H92='tab2'!M$3,'Course 2'!$I92," ")</f>
        <v xml:space="preserve"> </v>
      </c>
      <c r="N94" s="9" t="str">
        <f>IF('Course 2'!$H92='tab2'!N$3,'Course 2'!$I92," ")</f>
        <v xml:space="preserve"> </v>
      </c>
    </row>
    <row r="95" spans="2:14">
      <c r="B95">
        <v>91</v>
      </c>
      <c r="C95" s="7" t="str">
        <f>IF('Course 2'!$H93='tab2'!C$3,'Course 2'!$I93," ")</f>
        <v xml:space="preserve"> </v>
      </c>
      <c r="D95" s="8" t="str">
        <f>IF('Course 2'!$H93='tab2'!D$3,'Course 2'!$I93," ")</f>
        <v xml:space="preserve"> </v>
      </c>
      <c r="E95" s="8" t="str">
        <f>IF('Course 2'!$H93='tab2'!E$3,'Course 2'!$I93," ")</f>
        <v xml:space="preserve"> </v>
      </c>
      <c r="F95" s="8" t="str">
        <f>IF('Course 2'!$H93='tab2'!F$3,'Course 2'!$I93," ")</f>
        <v xml:space="preserve"> </v>
      </c>
      <c r="G95" s="8" t="str">
        <f>IF('Course 2'!$H93='tab2'!G$3,'Course 2'!$I93," ")</f>
        <v xml:space="preserve"> </v>
      </c>
      <c r="H95" s="8" t="str">
        <f>IF('Course 2'!$H93='tab2'!H$3,'Course 2'!$I93," ")</f>
        <v xml:space="preserve"> </v>
      </c>
      <c r="I95" s="8" t="str">
        <f>IF('Course 2'!$H93='tab2'!I$3,'Course 2'!$I93," ")</f>
        <v xml:space="preserve"> </v>
      </c>
      <c r="J95" s="8" t="str">
        <f>IF('Course 2'!$H93='tab2'!J$3,'Course 2'!$I93," ")</f>
        <v xml:space="preserve"> </v>
      </c>
      <c r="K95" s="8" t="str">
        <f>IF('Course 2'!$H93='tab2'!K$3,'Course 2'!$I93," ")</f>
        <v xml:space="preserve"> </v>
      </c>
      <c r="L95" s="8" t="str">
        <f>IF('Course 2'!$H93='tab2'!L$3,'Course 2'!$I93," ")</f>
        <v xml:space="preserve"> </v>
      </c>
      <c r="M95" s="8" t="str">
        <f>IF('Course 2'!$H93='tab2'!M$3,'Course 2'!$I93," ")</f>
        <v xml:space="preserve"> </v>
      </c>
      <c r="N95" s="9" t="str">
        <f>IF('Course 2'!$H93='tab2'!N$3,'Course 2'!$I93," ")</f>
        <v xml:space="preserve"> </v>
      </c>
    </row>
    <row r="96" spans="2:14">
      <c r="B96">
        <v>92</v>
      </c>
      <c r="C96" s="7" t="str">
        <f>IF('Course 2'!$H94='tab2'!C$3,'Course 2'!$I94," ")</f>
        <v xml:space="preserve"> </v>
      </c>
      <c r="D96" s="8" t="str">
        <f>IF('Course 2'!$H94='tab2'!D$3,'Course 2'!$I94," ")</f>
        <v xml:space="preserve"> </v>
      </c>
      <c r="E96" s="8" t="str">
        <f>IF('Course 2'!$H94='tab2'!E$3,'Course 2'!$I94," ")</f>
        <v xml:space="preserve"> </v>
      </c>
      <c r="F96" s="8" t="str">
        <f>IF('Course 2'!$H94='tab2'!F$3,'Course 2'!$I94," ")</f>
        <v xml:space="preserve"> </v>
      </c>
      <c r="G96" s="8" t="str">
        <f>IF('Course 2'!$H94='tab2'!G$3,'Course 2'!$I94," ")</f>
        <v xml:space="preserve"> </v>
      </c>
      <c r="H96" s="8" t="str">
        <f>IF('Course 2'!$H94='tab2'!H$3,'Course 2'!$I94," ")</f>
        <v xml:space="preserve"> </v>
      </c>
      <c r="I96" s="8" t="str">
        <f>IF('Course 2'!$H94='tab2'!I$3,'Course 2'!$I94," ")</f>
        <v xml:space="preserve"> </v>
      </c>
      <c r="J96" s="8" t="str">
        <f>IF('Course 2'!$H94='tab2'!J$3,'Course 2'!$I94," ")</f>
        <v xml:space="preserve"> </v>
      </c>
      <c r="K96" s="8" t="str">
        <f>IF('Course 2'!$H94='tab2'!K$3,'Course 2'!$I94," ")</f>
        <v xml:space="preserve"> </v>
      </c>
      <c r="L96" s="8" t="str">
        <f>IF('Course 2'!$H94='tab2'!L$3,'Course 2'!$I94," ")</f>
        <v xml:space="preserve"> </v>
      </c>
      <c r="M96" s="8" t="str">
        <f>IF('Course 2'!$H94='tab2'!M$3,'Course 2'!$I94," ")</f>
        <v xml:space="preserve"> </v>
      </c>
      <c r="N96" s="9" t="str">
        <f>IF('Course 2'!$H94='tab2'!N$3,'Course 2'!$I94," ")</f>
        <v xml:space="preserve"> </v>
      </c>
    </row>
    <row r="97" spans="2:14">
      <c r="B97">
        <v>93</v>
      </c>
      <c r="C97" s="7" t="str">
        <f>IF('Course 2'!$H95='tab2'!C$3,'Course 2'!$I95," ")</f>
        <v xml:space="preserve"> </v>
      </c>
      <c r="D97" s="8" t="str">
        <f>IF('Course 2'!$H95='tab2'!D$3,'Course 2'!$I95," ")</f>
        <v xml:space="preserve"> </v>
      </c>
      <c r="E97" s="8" t="str">
        <f>IF('Course 2'!$H95='tab2'!E$3,'Course 2'!$I95," ")</f>
        <v xml:space="preserve"> </v>
      </c>
      <c r="F97" s="8" t="str">
        <f>IF('Course 2'!$H95='tab2'!F$3,'Course 2'!$I95," ")</f>
        <v xml:space="preserve"> </v>
      </c>
      <c r="G97" s="8" t="str">
        <f>IF('Course 2'!$H95='tab2'!G$3,'Course 2'!$I95," ")</f>
        <v xml:space="preserve"> </v>
      </c>
      <c r="H97" s="8" t="str">
        <f>IF('Course 2'!$H95='tab2'!H$3,'Course 2'!$I95," ")</f>
        <v xml:space="preserve"> </v>
      </c>
      <c r="I97" s="8" t="str">
        <f>IF('Course 2'!$H95='tab2'!I$3,'Course 2'!$I95," ")</f>
        <v xml:space="preserve"> </v>
      </c>
      <c r="J97" s="8" t="str">
        <f>IF('Course 2'!$H95='tab2'!J$3,'Course 2'!$I95," ")</f>
        <v xml:space="preserve"> </v>
      </c>
      <c r="K97" s="8" t="str">
        <f>IF('Course 2'!$H95='tab2'!K$3,'Course 2'!$I95," ")</f>
        <v xml:space="preserve"> </v>
      </c>
      <c r="L97" s="8" t="str">
        <f>IF('Course 2'!$H95='tab2'!L$3,'Course 2'!$I95," ")</f>
        <v xml:space="preserve"> </v>
      </c>
      <c r="M97" s="8" t="str">
        <f>IF('Course 2'!$H95='tab2'!M$3,'Course 2'!$I95," ")</f>
        <v xml:space="preserve"> </v>
      </c>
      <c r="N97" s="9" t="str">
        <f>IF('Course 2'!$H95='tab2'!N$3,'Course 2'!$I95," ")</f>
        <v xml:space="preserve"> </v>
      </c>
    </row>
    <row r="98" spans="2:14">
      <c r="B98">
        <v>94</v>
      </c>
      <c r="C98" s="7" t="str">
        <f>IF('Course 2'!$H96='tab2'!C$3,'Course 2'!$I96," ")</f>
        <v xml:space="preserve"> </v>
      </c>
      <c r="D98" s="8" t="str">
        <f>IF('Course 2'!$H96='tab2'!D$3,'Course 2'!$I96," ")</f>
        <v xml:space="preserve"> </v>
      </c>
      <c r="E98" s="8" t="str">
        <f>IF('Course 2'!$H96='tab2'!E$3,'Course 2'!$I96," ")</f>
        <v xml:space="preserve"> </v>
      </c>
      <c r="F98" s="8" t="str">
        <f>IF('Course 2'!$H96='tab2'!F$3,'Course 2'!$I96," ")</f>
        <v xml:space="preserve"> </v>
      </c>
      <c r="G98" s="8" t="str">
        <f>IF('Course 2'!$H96='tab2'!G$3,'Course 2'!$I96," ")</f>
        <v xml:space="preserve"> </v>
      </c>
      <c r="H98" s="8" t="str">
        <f>IF('Course 2'!$H96='tab2'!H$3,'Course 2'!$I96," ")</f>
        <v xml:space="preserve"> </v>
      </c>
      <c r="I98" s="8" t="str">
        <f>IF('Course 2'!$H96='tab2'!I$3,'Course 2'!$I96," ")</f>
        <v xml:space="preserve"> </v>
      </c>
      <c r="J98" s="8" t="str">
        <f>IF('Course 2'!$H96='tab2'!J$3,'Course 2'!$I96," ")</f>
        <v xml:space="preserve"> </v>
      </c>
      <c r="K98" s="8" t="str">
        <f>IF('Course 2'!$H96='tab2'!K$3,'Course 2'!$I96," ")</f>
        <v xml:space="preserve"> </v>
      </c>
      <c r="L98" s="8" t="str">
        <f>IF('Course 2'!$H96='tab2'!L$3,'Course 2'!$I96," ")</f>
        <v xml:space="preserve"> </v>
      </c>
      <c r="M98" s="8" t="str">
        <f>IF('Course 2'!$H96='tab2'!M$3,'Course 2'!$I96," ")</f>
        <v xml:space="preserve"> </v>
      </c>
      <c r="N98" s="9" t="str">
        <f>IF('Course 2'!$H96='tab2'!N$3,'Course 2'!$I96," ")</f>
        <v xml:space="preserve"> </v>
      </c>
    </row>
    <row r="99" spans="2:14">
      <c r="B99">
        <v>95</v>
      </c>
      <c r="C99" s="7" t="str">
        <f>IF('Course 2'!$H97='tab2'!C$3,'Course 2'!$I97," ")</f>
        <v xml:space="preserve"> </v>
      </c>
      <c r="D99" s="8" t="str">
        <f>IF('Course 2'!$H97='tab2'!D$3,'Course 2'!$I97," ")</f>
        <v xml:space="preserve"> </v>
      </c>
      <c r="E99" s="8" t="str">
        <f>IF('Course 2'!$H97='tab2'!E$3,'Course 2'!$I97," ")</f>
        <v xml:space="preserve"> </v>
      </c>
      <c r="F99" s="8" t="str">
        <f>IF('Course 2'!$H97='tab2'!F$3,'Course 2'!$I97," ")</f>
        <v xml:space="preserve"> </v>
      </c>
      <c r="G99" s="8" t="str">
        <f>IF('Course 2'!$H97='tab2'!G$3,'Course 2'!$I97," ")</f>
        <v xml:space="preserve"> </v>
      </c>
      <c r="H99" s="8" t="str">
        <f>IF('Course 2'!$H97='tab2'!H$3,'Course 2'!$I97," ")</f>
        <v xml:space="preserve"> </v>
      </c>
      <c r="I99" s="8" t="str">
        <f>IF('Course 2'!$H97='tab2'!I$3,'Course 2'!$I97," ")</f>
        <v xml:space="preserve"> </v>
      </c>
      <c r="J99" s="8" t="str">
        <f>IF('Course 2'!$H97='tab2'!J$3,'Course 2'!$I97," ")</f>
        <v xml:space="preserve"> </v>
      </c>
      <c r="K99" s="8" t="str">
        <f>IF('Course 2'!$H97='tab2'!K$3,'Course 2'!$I97," ")</f>
        <v xml:space="preserve"> </v>
      </c>
      <c r="L99" s="8" t="str">
        <f>IF('Course 2'!$H97='tab2'!L$3,'Course 2'!$I97," ")</f>
        <v xml:space="preserve"> </v>
      </c>
      <c r="M99" s="8" t="str">
        <f>IF('Course 2'!$H97='tab2'!M$3,'Course 2'!$I97," ")</f>
        <v xml:space="preserve"> </v>
      </c>
      <c r="N99" s="9" t="str">
        <f>IF('Course 2'!$H97='tab2'!N$3,'Course 2'!$I97," ")</f>
        <v xml:space="preserve"> </v>
      </c>
    </row>
    <row r="100" spans="2:14">
      <c r="B100">
        <v>96</v>
      </c>
      <c r="C100" s="7" t="str">
        <f>IF('Course 2'!$H98='tab2'!C$3,'Course 2'!$I98," ")</f>
        <v xml:space="preserve"> </v>
      </c>
      <c r="D100" s="8" t="str">
        <f>IF('Course 2'!$H98='tab2'!D$3,'Course 2'!$I98," ")</f>
        <v xml:space="preserve"> </v>
      </c>
      <c r="E100" s="8" t="str">
        <f>IF('Course 2'!$H98='tab2'!E$3,'Course 2'!$I98," ")</f>
        <v xml:space="preserve"> </v>
      </c>
      <c r="F100" s="8" t="str">
        <f>IF('Course 2'!$H98='tab2'!F$3,'Course 2'!$I98," ")</f>
        <v xml:space="preserve"> </v>
      </c>
      <c r="G100" s="8" t="str">
        <f>IF('Course 2'!$H98='tab2'!G$3,'Course 2'!$I98," ")</f>
        <v xml:space="preserve"> </v>
      </c>
      <c r="H100" s="8" t="str">
        <f>IF('Course 2'!$H98='tab2'!H$3,'Course 2'!$I98," ")</f>
        <v xml:space="preserve"> </v>
      </c>
      <c r="I100" s="8" t="str">
        <f>IF('Course 2'!$H98='tab2'!I$3,'Course 2'!$I98," ")</f>
        <v xml:space="preserve"> </v>
      </c>
      <c r="J100" s="8" t="str">
        <f>IF('Course 2'!$H98='tab2'!J$3,'Course 2'!$I98," ")</f>
        <v xml:space="preserve"> </v>
      </c>
      <c r="K100" s="8" t="str">
        <f>IF('Course 2'!$H98='tab2'!K$3,'Course 2'!$I98," ")</f>
        <v xml:space="preserve"> </v>
      </c>
      <c r="L100" s="8" t="str">
        <f>IF('Course 2'!$H98='tab2'!L$3,'Course 2'!$I98," ")</f>
        <v xml:space="preserve"> </v>
      </c>
      <c r="M100" s="8" t="str">
        <f>IF('Course 2'!$H98='tab2'!M$3,'Course 2'!$I98," ")</f>
        <v xml:space="preserve"> </v>
      </c>
      <c r="N100" s="9" t="str">
        <f>IF('Course 2'!$H98='tab2'!N$3,'Course 2'!$I98," ")</f>
        <v xml:space="preserve"> </v>
      </c>
    </row>
    <row r="101" spans="2:14">
      <c r="B101">
        <v>97</v>
      </c>
      <c r="C101" s="7" t="str">
        <f>IF('Course 2'!$H99='tab2'!C$3,'Course 2'!$I99," ")</f>
        <v xml:space="preserve"> </v>
      </c>
      <c r="D101" s="8" t="str">
        <f>IF('Course 2'!$H99='tab2'!D$3,'Course 2'!$I99," ")</f>
        <v xml:space="preserve"> </v>
      </c>
      <c r="E101" s="8" t="str">
        <f>IF('Course 2'!$H99='tab2'!E$3,'Course 2'!$I99," ")</f>
        <v xml:space="preserve"> </v>
      </c>
      <c r="F101" s="8" t="str">
        <f>IF('Course 2'!$H99='tab2'!F$3,'Course 2'!$I99," ")</f>
        <v xml:space="preserve"> </v>
      </c>
      <c r="G101" s="8" t="str">
        <f>IF('Course 2'!$H99='tab2'!G$3,'Course 2'!$I99," ")</f>
        <v xml:space="preserve"> </v>
      </c>
      <c r="H101" s="8" t="str">
        <f>IF('Course 2'!$H99='tab2'!H$3,'Course 2'!$I99," ")</f>
        <v xml:space="preserve"> </v>
      </c>
      <c r="I101" s="8" t="str">
        <f>IF('Course 2'!$H99='tab2'!I$3,'Course 2'!$I99," ")</f>
        <v xml:space="preserve"> </v>
      </c>
      <c r="J101" s="8" t="str">
        <f>IF('Course 2'!$H99='tab2'!J$3,'Course 2'!$I99," ")</f>
        <v xml:space="preserve"> </v>
      </c>
      <c r="K101" s="8" t="str">
        <f>IF('Course 2'!$H99='tab2'!K$3,'Course 2'!$I99," ")</f>
        <v xml:space="preserve"> </v>
      </c>
      <c r="L101" s="8" t="str">
        <f>IF('Course 2'!$H99='tab2'!L$3,'Course 2'!$I99," ")</f>
        <v xml:space="preserve"> </v>
      </c>
      <c r="M101" s="8" t="str">
        <f>IF('Course 2'!$H99='tab2'!M$3,'Course 2'!$I99," ")</f>
        <v xml:space="preserve"> </v>
      </c>
      <c r="N101" s="9" t="str">
        <f>IF('Course 2'!$H99='tab2'!N$3,'Course 2'!$I99," ")</f>
        <v xml:space="preserve"> </v>
      </c>
    </row>
    <row r="102" spans="2:14">
      <c r="B102">
        <v>98</v>
      </c>
      <c r="C102" s="7" t="str">
        <f>IF('Course 2'!$H100='tab2'!C$3,'Course 2'!$I100," ")</f>
        <v xml:space="preserve"> </v>
      </c>
      <c r="D102" s="8" t="str">
        <f>IF('Course 2'!$H100='tab2'!D$3,'Course 2'!$I100," ")</f>
        <v xml:space="preserve"> </v>
      </c>
      <c r="E102" s="8" t="str">
        <f>IF('Course 2'!$H100='tab2'!E$3,'Course 2'!$I100," ")</f>
        <v xml:space="preserve"> </v>
      </c>
      <c r="F102" s="8" t="str">
        <f>IF('Course 2'!$H100='tab2'!F$3,'Course 2'!$I100," ")</f>
        <v xml:space="preserve"> </v>
      </c>
      <c r="G102" s="8" t="str">
        <f>IF('Course 2'!$H100='tab2'!G$3,'Course 2'!$I100," ")</f>
        <v xml:space="preserve"> </v>
      </c>
      <c r="H102" s="8" t="str">
        <f>IF('Course 2'!$H100='tab2'!H$3,'Course 2'!$I100," ")</f>
        <v xml:space="preserve"> </v>
      </c>
      <c r="I102" s="8" t="str">
        <f>IF('Course 2'!$H100='tab2'!I$3,'Course 2'!$I100," ")</f>
        <v xml:space="preserve"> </v>
      </c>
      <c r="J102" s="8" t="str">
        <f>IF('Course 2'!$H100='tab2'!J$3,'Course 2'!$I100," ")</f>
        <v xml:space="preserve"> </v>
      </c>
      <c r="K102" s="8" t="str">
        <f>IF('Course 2'!$H100='tab2'!K$3,'Course 2'!$I100," ")</f>
        <v xml:space="preserve"> </v>
      </c>
      <c r="L102" s="8" t="str">
        <f>IF('Course 2'!$H100='tab2'!L$3,'Course 2'!$I100," ")</f>
        <v xml:space="preserve"> </v>
      </c>
      <c r="M102" s="8" t="str">
        <f>IF('Course 2'!$H100='tab2'!M$3,'Course 2'!$I100," ")</f>
        <v xml:space="preserve"> </v>
      </c>
      <c r="N102" s="9" t="str">
        <f>IF('Course 2'!$H100='tab2'!N$3,'Course 2'!$I100," ")</f>
        <v xml:space="preserve"> </v>
      </c>
    </row>
    <row r="103" spans="2:14">
      <c r="B103">
        <v>99</v>
      </c>
      <c r="C103" s="7" t="str">
        <f>IF('Course 2'!$H101='tab2'!C$3,'Course 2'!$I101," ")</f>
        <v xml:space="preserve"> </v>
      </c>
      <c r="D103" s="8" t="str">
        <f>IF('Course 2'!$H101='tab2'!D$3,'Course 2'!$I101," ")</f>
        <v xml:space="preserve"> </v>
      </c>
      <c r="E103" s="8" t="str">
        <f>IF('Course 2'!$H101='tab2'!E$3,'Course 2'!$I101," ")</f>
        <v xml:space="preserve"> </v>
      </c>
      <c r="F103" s="8" t="str">
        <f>IF('Course 2'!$H101='tab2'!F$3,'Course 2'!$I101," ")</f>
        <v xml:space="preserve"> </v>
      </c>
      <c r="G103" s="8" t="str">
        <f>IF('Course 2'!$H101='tab2'!G$3,'Course 2'!$I101," ")</f>
        <v xml:space="preserve"> </v>
      </c>
      <c r="H103" s="8" t="str">
        <f>IF('Course 2'!$H101='tab2'!H$3,'Course 2'!$I101," ")</f>
        <v xml:space="preserve"> </v>
      </c>
      <c r="I103" s="8" t="str">
        <f>IF('Course 2'!$H101='tab2'!I$3,'Course 2'!$I101," ")</f>
        <v xml:space="preserve"> </v>
      </c>
      <c r="J103" s="8" t="str">
        <f>IF('Course 2'!$H101='tab2'!J$3,'Course 2'!$I101," ")</f>
        <v xml:space="preserve"> </v>
      </c>
      <c r="K103" s="8" t="str">
        <f>IF('Course 2'!$H101='tab2'!K$3,'Course 2'!$I101," ")</f>
        <v xml:space="preserve"> </v>
      </c>
      <c r="L103" s="8" t="str">
        <f>IF('Course 2'!$H101='tab2'!L$3,'Course 2'!$I101," ")</f>
        <v xml:space="preserve"> </v>
      </c>
      <c r="M103" s="8" t="str">
        <f>IF('Course 2'!$H101='tab2'!M$3,'Course 2'!$I101," ")</f>
        <v xml:space="preserve"> </v>
      </c>
      <c r="N103" s="9" t="str">
        <f>IF('Course 2'!$H101='tab2'!N$3,'Course 2'!$I101," ")</f>
        <v xml:space="preserve"> </v>
      </c>
    </row>
    <row r="104" spans="2:14">
      <c r="B104">
        <v>100</v>
      </c>
      <c r="C104" s="7" t="str">
        <f>IF('Course 2'!$H102='tab2'!C$3,'Course 2'!$I102," ")</f>
        <v xml:space="preserve"> </v>
      </c>
      <c r="D104" s="8" t="str">
        <f>IF('Course 2'!$H102='tab2'!D$3,'Course 2'!$I102," ")</f>
        <v xml:space="preserve"> </v>
      </c>
      <c r="E104" s="8" t="str">
        <f>IF('Course 2'!$H102='tab2'!E$3,'Course 2'!$I102," ")</f>
        <v xml:space="preserve"> </v>
      </c>
      <c r="F104" s="8" t="str">
        <f>IF('Course 2'!$H102='tab2'!F$3,'Course 2'!$I102," ")</f>
        <v xml:space="preserve"> </v>
      </c>
      <c r="G104" s="8" t="str">
        <f>IF('Course 2'!$H102='tab2'!G$3,'Course 2'!$I102," ")</f>
        <v xml:space="preserve"> </v>
      </c>
      <c r="H104" s="8" t="str">
        <f>IF('Course 2'!$H102='tab2'!H$3,'Course 2'!$I102," ")</f>
        <v xml:space="preserve"> </v>
      </c>
      <c r="I104" s="8" t="str">
        <f>IF('Course 2'!$H102='tab2'!I$3,'Course 2'!$I102," ")</f>
        <v xml:space="preserve"> </v>
      </c>
      <c r="J104" s="8" t="str">
        <f>IF('Course 2'!$H102='tab2'!J$3,'Course 2'!$I102," ")</f>
        <v xml:space="preserve"> </v>
      </c>
      <c r="K104" s="8" t="str">
        <f>IF('Course 2'!$H102='tab2'!K$3,'Course 2'!$I102," ")</f>
        <v xml:space="preserve"> </v>
      </c>
      <c r="L104" s="8" t="str">
        <f>IF('Course 2'!$H102='tab2'!L$3,'Course 2'!$I102," ")</f>
        <v xml:space="preserve"> </v>
      </c>
      <c r="M104" s="8" t="str">
        <f>IF('Course 2'!$H102='tab2'!M$3,'Course 2'!$I102," ")</f>
        <v xml:space="preserve"> </v>
      </c>
      <c r="N104" s="9" t="str">
        <f>IF('Course 2'!$H102='tab2'!N$3,'Course 2'!$I102," ")</f>
        <v xml:space="preserve"> </v>
      </c>
    </row>
    <row r="105" spans="2:14">
      <c r="B105">
        <v>101</v>
      </c>
      <c r="C105" s="7" t="str">
        <f>IF('Course 2'!$H103='tab2'!C$3,'Course 2'!$I103," ")</f>
        <v xml:space="preserve"> </v>
      </c>
      <c r="D105" s="8" t="str">
        <f>IF('Course 2'!$H103='tab2'!D$3,'Course 2'!$I103," ")</f>
        <v xml:space="preserve"> </v>
      </c>
      <c r="E105" s="8" t="str">
        <f>IF('Course 2'!$H103='tab2'!E$3,'Course 2'!$I103," ")</f>
        <v xml:space="preserve"> </v>
      </c>
      <c r="F105" s="8" t="str">
        <f>IF('Course 2'!$H103='tab2'!F$3,'Course 2'!$I103," ")</f>
        <v xml:space="preserve"> </v>
      </c>
      <c r="G105" s="8" t="str">
        <f>IF('Course 2'!$H103='tab2'!G$3,'Course 2'!$I103," ")</f>
        <v xml:space="preserve"> </v>
      </c>
      <c r="H105" s="8" t="str">
        <f>IF('Course 2'!$H103='tab2'!H$3,'Course 2'!$I103," ")</f>
        <v xml:space="preserve"> </v>
      </c>
      <c r="I105" s="8" t="str">
        <f>IF('Course 2'!$H103='tab2'!I$3,'Course 2'!$I103," ")</f>
        <v xml:space="preserve"> </v>
      </c>
      <c r="J105" s="8" t="str">
        <f>IF('Course 2'!$H103='tab2'!J$3,'Course 2'!$I103," ")</f>
        <v xml:space="preserve"> </v>
      </c>
      <c r="K105" s="8" t="str">
        <f>IF('Course 2'!$H103='tab2'!K$3,'Course 2'!$I103," ")</f>
        <v xml:space="preserve"> </v>
      </c>
      <c r="L105" s="8" t="str">
        <f>IF('Course 2'!$H103='tab2'!L$3,'Course 2'!$I103," ")</f>
        <v xml:space="preserve"> </v>
      </c>
      <c r="M105" s="8" t="str">
        <f>IF('Course 2'!$H103='tab2'!M$3,'Course 2'!$I103," ")</f>
        <v xml:space="preserve"> </v>
      </c>
      <c r="N105" s="9" t="str">
        <f>IF('Course 2'!$H103='tab2'!N$3,'Course 2'!$I103," ")</f>
        <v xml:space="preserve"> </v>
      </c>
    </row>
    <row r="106" spans="2:14">
      <c r="B106">
        <v>102</v>
      </c>
      <c r="C106" s="7" t="str">
        <f>IF('Course 2'!$H104='tab2'!C$3,'Course 2'!$I104," ")</f>
        <v xml:space="preserve"> </v>
      </c>
      <c r="D106" s="8" t="str">
        <f>IF('Course 2'!$H104='tab2'!D$3,'Course 2'!$I104," ")</f>
        <v xml:space="preserve"> </v>
      </c>
      <c r="E106" s="8" t="str">
        <f>IF('Course 2'!$H104='tab2'!E$3,'Course 2'!$I104," ")</f>
        <v xml:space="preserve"> </v>
      </c>
      <c r="F106" s="8" t="str">
        <f>IF('Course 2'!$H104='tab2'!F$3,'Course 2'!$I104," ")</f>
        <v xml:space="preserve"> </v>
      </c>
      <c r="G106" s="8" t="str">
        <f>IF('Course 2'!$H104='tab2'!G$3,'Course 2'!$I104," ")</f>
        <v xml:space="preserve"> </v>
      </c>
      <c r="H106" s="8" t="str">
        <f>IF('Course 2'!$H104='tab2'!H$3,'Course 2'!$I104," ")</f>
        <v xml:space="preserve"> </v>
      </c>
      <c r="I106" s="8" t="str">
        <f>IF('Course 2'!$H104='tab2'!I$3,'Course 2'!$I104," ")</f>
        <v xml:space="preserve"> </v>
      </c>
      <c r="J106" s="8" t="str">
        <f>IF('Course 2'!$H104='tab2'!J$3,'Course 2'!$I104," ")</f>
        <v xml:space="preserve"> </v>
      </c>
      <c r="K106" s="8" t="str">
        <f>IF('Course 2'!$H104='tab2'!K$3,'Course 2'!$I104," ")</f>
        <v xml:space="preserve"> </v>
      </c>
      <c r="L106" s="8" t="str">
        <f>IF('Course 2'!$H104='tab2'!L$3,'Course 2'!$I104," ")</f>
        <v xml:space="preserve"> </v>
      </c>
      <c r="M106" s="8" t="str">
        <f>IF('Course 2'!$H104='tab2'!M$3,'Course 2'!$I104," ")</f>
        <v xml:space="preserve"> </v>
      </c>
      <c r="N106" s="9" t="str">
        <f>IF('Course 2'!$H104='tab2'!N$3,'Course 2'!$I104," ")</f>
        <v xml:space="preserve"> </v>
      </c>
    </row>
    <row r="107" spans="2:14">
      <c r="B107">
        <v>103</v>
      </c>
      <c r="C107" s="7" t="str">
        <f>IF('Course 2'!$H105='tab2'!C$3,'Course 2'!$I105," ")</f>
        <v xml:space="preserve"> </v>
      </c>
      <c r="D107" s="8" t="str">
        <f>IF('Course 2'!$H105='tab2'!D$3,'Course 2'!$I105," ")</f>
        <v xml:space="preserve"> </v>
      </c>
      <c r="E107" s="8" t="str">
        <f>IF('Course 2'!$H105='tab2'!E$3,'Course 2'!$I105," ")</f>
        <v xml:space="preserve"> </v>
      </c>
      <c r="F107" s="8" t="str">
        <f>IF('Course 2'!$H105='tab2'!F$3,'Course 2'!$I105," ")</f>
        <v xml:space="preserve"> </v>
      </c>
      <c r="G107" s="8" t="str">
        <f>IF('Course 2'!$H105='tab2'!G$3,'Course 2'!$I105," ")</f>
        <v xml:space="preserve"> </v>
      </c>
      <c r="H107" s="8" t="str">
        <f>IF('Course 2'!$H105='tab2'!H$3,'Course 2'!$I105," ")</f>
        <v xml:space="preserve"> </v>
      </c>
      <c r="I107" s="8" t="str">
        <f>IF('Course 2'!$H105='tab2'!I$3,'Course 2'!$I105," ")</f>
        <v xml:space="preserve"> </v>
      </c>
      <c r="J107" s="8" t="str">
        <f>IF('Course 2'!$H105='tab2'!J$3,'Course 2'!$I105," ")</f>
        <v xml:space="preserve"> </v>
      </c>
      <c r="K107" s="8" t="str">
        <f>IF('Course 2'!$H105='tab2'!K$3,'Course 2'!$I105," ")</f>
        <v xml:space="preserve"> </v>
      </c>
      <c r="L107" s="8" t="str">
        <f>IF('Course 2'!$H105='tab2'!L$3,'Course 2'!$I105," ")</f>
        <v xml:space="preserve"> </v>
      </c>
      <c r="M107" s="8" t="str">
        <f>IF('Course 2'!$H105='tab2'!M$3,'Course 2'!$I105," ")</f>
        <v xml:space="preserve"> </v>
      </c>
      <c r="N107" s="9" t="str">
        <f>IF('Course 2'!$H105='tab2'!N$3,'Course 2'!$I105," ")</f>
        <v xml:space="preserve"> </v>
      </c>
    </row>
    <row r="108" spans="2:14">
      <c r="B108">
        <v>104</v>
      </c>
      <c r="C108" s="7" t="str">
        <f>IF('Course 2'!$H106='tab2'!C$3,'Course 2'!$I106," ")</f>
        <v xml:space="preserve"> </v>
      </c>
      <c r="D108" s="8" t="str">
        <f>IF('Course 2'!$H106='tab2'!D$3,'Course 2'!$I106," ")</f>
        <v xml:space="preserve"> </v>
      </c>
      <c r="E108" s="8" t="str">
        <f>IF('Course 2'!$H106='tab2'!E$3,'Course 2'!$I106," ")</f>
        <v xml:space="preserve"> </v>
      </c>
      <c r="F108" s="8" t="str">
        <f>IF('Course 2'!$H106='tab2'!F$3,'Course 2'!$I106," ")</f>
        <v xml:space="preserve"> </v>
      </c>
      <c r="G108" s="8" t="str">
        <f>IF('Course 2'!$H106='tab2'!G$3,'Course 2'!$I106," ")</f>
        <v xml:space="preserve"> </v>
      </c>
      <c r="H108" s="8" t="str">
        <f>IF('Course 2'!$H106='tab2'!H$3,'Course 2'!$I106," ")</f>
        <v xml:space="preserve"> </v>
      </c>
      <c r="I108" s="8" t="str">
        <f>IF('Course 2'!$H106='tab2'!I$3,'Course 2'!$I106," ")</f>
        <v xml:space="preserve"> </v>
      </c>
      <c r="J108" s="8" t="str">
        <f>IF('Course 2'!$H106='tab2'!J$3,'Course 2'!$I106," ")</f>
        <v xml:space="preserve"> </v>
      </c>
      <c r="K108" s="8" t="str">
        <f>IF('Course 2'!$H106='tab2'!K$3,'Course 2'!$I106," ")</f>
        <v xml:space="preserve"> </v>
      </c>
      <c r="L108" s="8" t="str">
        <f>IF('Course 2'!$H106='tab2'!L$3,'Course 2'!$I106," ")</f>
        <v xml:space="preserve"> </v>
      </c>
      <c r="M108" s="8" t="str">
        <f>IF('Course 2'!$H106='tab2'!M$3,'Course 2'!$I106," ")</f>
        <v xml:space="preserve"> </v>
      </c>
      <c r="N108" s="9" t="str">
        <f>IF('Course 2'!$H106='tab2'!N$3,'Course 2'!$I106," ")</f>
        <v xml:space="preserve"> </v>
      </c>
    </row>
    <row r="109" spans="2:14">
      <c r="B109">
        <v>105</v>
      </c>
      <c r="C109" s="7" t="str">
        <f>IF('Course 2'!$H107='tab2'!C$3,'Course 2'!$I107," ")</f>
        <v xml:space="preserve"> </v>
      </c>
      <c r="D109" s="8" t="str">
        <f>IF('Course 2'!$H107='tab2'!D$3,'Course 2'!$I107," ")</f>
        <v xml:space="preserve"> </v>
      </c>
      <c r="E109" s="8" t="str">
        <f>IF('Course 2'!$H107='tab2'!E$3,'Course 2'!$I107," ")</f>
        <v xml:space="preserve"> </v>
      </c>
      <c r="F109" s="8" t="str">
        <f>IF('Course 2'!$H107='tab2'!F$3,'Course 2'!$I107," ")</f>
        <v xml:space="preserve"> </v>
      </c>
      <c r="G109" s="8" t="str">
        <f>IF('Course 2'!$H107='tab2'!G$3,'Course 2'!$I107," ")</f>
        <v xml:space="preserve"> </v>
      </c>
      <c r="H109" s="8" t="str">
        <f>IF('Course 2'!$H107='tab2'!H$3,'Course 2'!$I107," ")</f>
        <v xml:space="preserve"> </v>
      </c>
      <c r="I109" s="8" t="str">
        <f>IF('Course 2'!$H107='tab2'!I$3,'Course 2'!$I107," ")</f>
        <v xml:space="preserve"> </v>
      </c>
      <c r="J109" s="8" t="str">
        <f>IF('Course 2'!$H107='tab2'!J$3,'Course 2'!$I107," ")</f>
        <v xml:space="preserve"> </v>
      </c>
      <c r="K109" s="8" t="str">
        <f>IF('Course 2'!$H107='tab2'!K$3,'Course 2'!$I107," ")</f>
        <v xml:space="preserve"> </v>
      </c>
      <c r="L109" s="8" t="str">
        <f>IF('Course 2'!$H107='tab2'!L$3,'Course 2'!$I107," ")</f>
        <v xml:space="preserve"> </v>
      </c>
      <c r="M109" s="8" t="str">
        <f>IF('Course 2'!$H107='tab2'!M$3,'Course 2'!$I107," ")</f>
        <v xml:space="preserve"> </v>
      </c>
      <c r="N109" s="9" t="str">
        <f>IF('Course 2'!$H107='tab2'!N$3,'Course 2'!$I107," ")</f>
        <v xml:space="preserve"> </v>
      </c>
    </row>
    <row r="110" spans="2:14">
      <c r="B110">
        <v>106</v>
      </c>
      <c r="C110" s="7" t="str">
        <f>IF('Course 2'!$H108='tab2'!C$3,'Course 2'!$I108," ")</f>
        <v xml:space="preserve"> </v>
      </c>
      <c r="D110" s="8" t="str">
        <f>IF('Course 2'!$H108='tab2'!D$3,'Course 2'!$I108," ")</f>
        <v xml:space="preserve"> </v>
      </c>
      <c r="E110" s="8" t="str">
        <f>IF('Course 2'!$H108='tab2'!E$3,'Course 2'!$I108," ")</f>
        <v xml:space="preserve"> </v>
      </c>
      <c r="F110" s="8" t="str">
        <f>IF('Course 2'!$H108='tab2'!F$3,'Course 2'!$I108," ")</f>
        <v xml:space="preserve"> </v>
      </c>
      <c r="G110" s="8" t="str">
        <f>IF('Course 2'!$H108='tab2'!G$3,'Course 2'!$I108," ")</f>
        <v xml:space="preserve"> </v>
      </c>
      <c r="H110" s="8" t="str">
        <f>IF('Course 2'!$H108='tab2'!H$3,'Course 2'!$I108," ")</f>
        <v xml:space="preserve"> </v>
      </c>
      <c r="I110" s="8" t="str">
        <f>IF('Course 2'!$H108='tab2'!I$3,'Course 2'!$I108," ")</f>
        <v xml:space="preserve"> </v>
      </c>
      <c r="J110" s="8" t="str">
        <f>IF('Course 2'!$H108='tab2'!J$3,'Course 2'!$I108," ")</f>
        <v xml:space="preserve"> </v>
      </c>
      <c r="K110" s="8" t="str">
        <f>IF('Course 2'!$H108='tab2'!K$3,'Course 2'!$I108," ")</f>
        <v xml:space="preserve"> </v>
      </c>
      <c r="L110" s="8" t="str">
        <f>IF('Course 2'!$H108='tab2'!L$3,'Course 2'!$I108," ")</f>
        <v xml:space="preserve"> </v>
      </c>
      <c r="M110" s="8" t="str">
        <f>IF('Course 2'!$H108='tab2'!M$3,'Course 2'!$I108," ")</f>
        <v xml:space="preserve"> </v>
      </c>
      <c r="N110" s="9" t="str">
        <f>IF('Course 2'!$H108='tab2'!N$3,'Course 2'!$I108," ")</f>
        <v xml:space="preserve"> </v>
      </c>
    </row>
    <row r="111" spans="2:14">
      <c r="B111">
        <v>107</v>
      </c>
      <c r="C111" s="7" t="str">
        <f>IF('Course 2'!$H109='tab2'!C$3,'Course 2'!$I109," ")</f>
        <v xml:space="preserve"> </v>
      </c>
      <c r="D111" s="8" t="str">
        <f>IF('Course 2'!$H109='tab2'!D$3,'Course 2'!$I109," ")</f>
        <v xml:space="preserve"> </v>
      </c>
      <c r="E111" s="8" t="str">
        <f>IF('Course 2'!$H109='tab2'!E$3,'Course 2'!$I109," ")</f>
        <v xml:space="preserve"> </v>
      </c>
      <c r="F111" s="8" t="str">
        <f>IF('Course 2'!$H109='tab2'!F$3,'Course 2'!$I109," ")</f>
        <v xml:space="preserve"> </v>
      </c>
      <c r="G111" s="8" t="str">
        <f>IF('Course 2'!$H109='tab2'!G$3,'Course 2'!$I109," ")</f>
        <v xml:space="preserve"> </v>
      </c>
      <c r="H111" s="8" t="str">
        <f>IF('Course 2'!$H109='tab2'!H$3,'Course 2'!$I109," ")</f>
        <v xml:space="preserve"> </v>
      </c>
      <c r="I111" s="8" t="str">
        <f>IF('Course 2'!$H109='tab2'!I$3,'Course 2'!$I109," ")</f>
        <v xml:space="preserve"> </v>
      </c>
      <c r="J111" s="8" t="str">
        <f>IF('Course 2'!$H109='tab2'!J$3,'Course 2'!$I109," ")</f>
        <v xml:space="preserve"> </v>
      </c>
      <c r="K111" s="8" t="str">
        <f>IF('Course 2'!$H109='tab2'!K$3,'Course 2'!$I109," ")</f>
        <v xml:space="preserve"> </v>
      </c>
      <c r="L111" s="8" t="str">
        <f>IF('Course 2'!$H109='tab2'!L$3,'Course 2'!$I109," ")</f>
        <v xml:space="preserve"> </v>
      </c>
      <c r="M111" s="8" t="str">
        <f>IF('Course 2'!$H109='tab2'!M$3,'Course 2'!$I109," ")</f>
        <v xml:space="preserve"> </v>
      </c>
      <c r="N111" s="9" t="str">
        <f>IF('Course 2'!$H109='tab2'!N$3,'Course 2'!$I109," ")</f>
        <v xml:space="preserve"> </v>
      </c>
    </row>
    <row r="112" spans="2:14">
      <c r="B112">
        <v>108</v>
      </c>
      <c r="C112" s="7" t="str">
        <f>IF('Course 2'!$H110='tab2'!C$3,'Course 2'!$I110," ")</f>
        <v xml:space="preserve"> </v>
      </c>
      <c r="D112" s="8" t="str">
        <f>IF('Course 2'!$H110='tab2'!D$3,'Course 2'!$I110," ")</f>
        <v xml:space="preserve"> </v>
      </c>
      <c r="E112" s="8" t="str">
        <f>IF('Course 2'!$H110='tab2'!E$3,'Course 2'!$I110," ")</f>
        <v xml:space="preserve"> </v>
      </c>
      <c r="F112" s="8" t="str">
        <f>IF('Course 2'!$H110='tab2'!F$3,'Course 2'!$I110," ")</f>
        <v xml:space="preserve"> </v>
      </c>
      <c r="G112" s="8" t="str">
        <f>IF('Course 2'!$H110='tab2'!G$3,'Course 2'!$I110," ")</f>
        <v xml:space="preserve"> </v>
      </c>
      <c r="H112" s="8" t="str">
        <f>IF('Course 2'!$H110='tab2'!H$3,'Course 2'!$I110," ")</f>
        <v xml:space="preserve"> </v>
      </c>
      <c r="I112" s="8" t="str">
        <f>IF('Course 2'!$H110='tab2'!I$3,'Course 2'!$I110," ")</f>
        <v xml:space="preserve"> </v>
      </c>
      <c r="J112" s="8" t="str">
        <f>IF('Course 2'!$H110='tab2'!J$3,'Course 2'!$I110," ")</f>
        <v xml:space="preserve"> </v>
      </c>
      <c r="K112" s="8" t="str">
        <f>IF('Course 2'!$H110='tab2'!K$3,'Course 2'!$I110," ")</f>
        <v xml:space="preserve"> </v>
      </c>
      <c r="L112" s="8" t="str">
        <f>IF('Course 2'!$H110='tab2'!L$3,'Course 2'!$I110," ")</f>
        <v xml:space="preserve"> </v>
      </c>
      <c r="M112" s="8" t="str">
        <f>IF('Course 2'!$H110='tab2'!M$3,'Course 2'!$I110," ")</f>
        <v xml:space="preserve"> </v>
      </c>
      <c r="N112" s="9" t="str">
        <f>IF('Course 2'!$H110='tab2'!N$3,'Course 2'!$I110," ")</f>
        <v xml:space="preserve"> </v>
      </c>
    </row>
    <row r="113" spans="2:14">
      <c r="B113">
        <v>109</v>
      </c>
      <c r="C113" s="7" t="str">
        <f>IF('Course 2'!$H111='tab2'!C$3,'Course 2'!$I111," ")</f>
        <v xml:space="preserve"> </v>
      </c>
      <c r="D113" s="8" t="str">
        <f>IF('Course 2'!$H111='tab2'!D$3,'Course 2'!$I111," ")</f>
        <v xml:space="preserve"> </v>
      </c>
      <c r="E113" s="8" t="str">
        <f>IF('Course 2'!$H111='tab2'!E$3,'Course 2'!$I111," ")</f>
        <v xml:space="preserve"> </v>
      </c>
      <c r="F113" s="8" t="str">
        <f>IF('Course 2'!$H111='tab2'!F$3,'Course 2'!$I111," ")</f>
        <v xml:space="preserve"> </v>
      </c>
      <c r="G113" s="8" t="str">
        <f>IF('Course 2'!$H111='tab2'!G$3,'Course 2'!$I111," ")</f>
        <v xml:space="preserve"> </v>
      </c>
      <c r="H113" s="8" t="str">
        <f>IF('Course 2'!$H111='tab2'!H$3,'Course 2'!$I111," ")</f>
        <v xml:space="preserve"> </v>
      </c>
      <c r="I113" s="8" t="str">
        <f>IF('Course 2'!$H111='tab2'!I$3,'Course 2'!$I111," ")</f>
        <v xml:space="preserve"> </v>
      </c>
      <c r="J113" s="8" t="str">
        <f>IF('Course 2'!$H111='tab2'!J$3,'Course 2'!$I111," ")</f>
        <v xml:space="preserve"> </v>
      </c>
      <c r="K113" s="8" t="str">
        <f>IF('Course 2'!$H111='tab2'!K$3,'Course 2'!$I111," ")</f>
        <v xml:space="preserve"> </v>
      </c>
      <c r="L113" s="8" t="str">
        <f>IF('Course 2'!$H111='tab2'!L$3,'Course 2'!$I111," ")</f>
        <v xml:space="preserve"> </v>
      </c>
      <c r="M113" s="8" t="str">
        <f>IF('Course 2'!$H111='tab2'!M$3,'Course 2'!$I111," ")</f>
        <v xml:space="preserve"> </v>
      </c>
      <c r="N113" s="9" t="str">
        <f>IF('Course 2'!$H111='tab2'!N$3,'Course 2'!$I111," ")</f>
        <v xml:space="preserve"> </v>
      </c>
    </row>
    <row r="114" spans="2:14">
      <c r="B114">
        <v>110</v>
      </c>
      <c r="C114" s="7" t="str">
        <f>IF('Course 2'!$H112='tab2'!C$3,'Course 2'!$I112," ")</f>
        <v xml:space="preserve"> </v>
      </c>
      <c r="D114" s="8" t="str">
        <f>IF('Course 2'!$H112='tab2'!D$3,'Course 2'!$I112," ")</f>
        <v xml:space="preserve"> </v>
      </c>
      <c r="E114" s="8" t="str">
        <f>IF('Course 2'!$H112='tab2'!E$3,'Course 2'!$I112," ")</f>
        <v xml:space="preserve"> </v>
      </c>
      <c r="F114" s="8" t="str">
        <f>IF('Course 2'!$H112='tab2'!F$3,'Course 2'!$I112," ")</f>
        <v xml:space="preserve"> </v>
      </c>
      <c r="G114" s="8" t="str">
        <f>IF('Course 2'!$H112='tab2'!G$3,'Course 2'!$I112," ")</f>
        <v xml:space="preserve"> </v>
      </c>
      <c r="H114" s="8" t="str">
        <f>IF('Course 2'!$H112='tab2'!H$3,'Course 2'!$I112," ")</f>
        <v xml:space="preserve"> </v>
      </c>
      <c r="I114" s="8" t="str">
        <f>IF('Course 2'!$H112='tab2'!I$3,'Course 2'!$I112," ")</f>
        <v xml:space="preserve"> </v>
      </c>
      <c r="J114" s="8" t="str">
        <f>IF('Course 2'!$H112='tab2'!J$3,'Course 2'!$I112," ")</f>
        <v xml:space="preserve"> </v>
      </c>
      <c r="K114" s="8" t="str">
        <f>IF('Course 2'!$H112='tab2'!K$3,'Course 2'!$I112," ")</f>
        <v xml:space="preserve"> </v>
      </c>
      <c r="L114" s="8" t="str">
        <f>IF('Course 2'!$H112='tab2'!L$3,'Course 2'!$I112," ")</f>
        <v xml:space="preserve"> </v>
      </c>
      <c r="M114" s="8" t="str">
        <f>IF('Course 2'!$H112='tab2'!M$3,'Course 2'!$I112," ")</f>
        <v xml:space="preserve"> </v>
      </c>
      <c r="N114" s="9" t="str">
        <f>IF('Course 2'!$H112='tab2'!N$3,'Course 2'!$I112," ")</f>
        <v xml:space="preserve"> </v>
      </c>
    </row>
    <row r="115" spans="2:14">
      <c r="B115">
        <v>111</v>
      </c>
      <c r="C115" s="7" t="str">
        <f>IF('Course 2'!$H113='tab2'!C$3,'Course 2'!$I113," ")</f>
        <v xml:space="preserve"> </v>
      </c>
      <c r="D115" s="8" t="str">
        <f>IF('Course 2'!$H113='tab2'!D$3,'Course 2'!$I113," ")</f>
        <v xml:space="preserve"> </v>
      </c>
      <c r="E115" s="8" t="str">
        <f>IF('Course 2'!$H113='tab2'!E$3,'Course 2'!$I113," ")</f>
        <v xml:space="preserve"> </v>
      </c>
      <c r="F115" s="8" t="str">
        <f>IF('Course 2'!$H113='tab2'!F$3,'Course 2'!$I113," ")</f>
        <v xml:space="preserve"> </v>
      </c>
      <c r="G115" s="8" t="str">
        <f>IF('Course 2'!$H113='tab2'!G$3,'Course 2'!$I113," ")</f>
        <v xml:space="preserve"> </v>
      </c>
      <c r="H115" s="8" t="str">
        <f>IF('Course 2'!$H113='tab2'!H$3,'Course 2'!$I113," ")</f>
        <v xml:space="preserve"> </v>
      </c>
      <c r="I115" s="8" t="str">
        <f>IF('Course 2'!$H113='tab2'!I$3,'Course 2'!$I113," ")</f>
        <v xml:space="preserve"> </v>
      </c>
      <c r="J115" s="8" t="str">
        <f>IF('Course 2'!$H113='tab2'!J$3,'Course 2'!$I113," ")</f>
        <v xml:space="preserve"> </v>
      </c>
      <c r="K115" s="8" t="str">
        <f>IF('Course 2'!$H113='tab2'!K$3,'Course 2'!$I113," ")</f>
        <v xml:space="preserve"> </v>
      </c>
      <c r="L115" s="8" t="str">
        <f>IF('Course 2'!$H113='tab2'!L$3,'Course 2'!$I113," ")</f>
        <v xml:space="preserve"> </v>
      </c>
      <c r="M115" s="8" t="str">
        <f>IF('Course 2'!$H113='tab2'!M$3,'Course 2'!$I113," ")</f>
        <v xml:space="preserve"> </v>
      </c>
      <c r="N115" s="9" t="str">
        <f>IF('Course 2'!$H113='tab2'!N$3,'Course 2'!$I113," ")</f>
        <v xml:space="preserve"> </v>
      </c>
    </row>
    <row r="116" spans="2:14">
      <c r="B116">
        <v>112</v>
      </c>
      <c r="C116" s="7" t="str">
        <f>IF('Course 2'!$H114='tab2'!C$3,'Course 2'!$I114," ")</f>
        <v xml:space="preserve"> </v>
      </c>
      <c r="D116" s="8" t="str">
        <f>IF('Course 2'!$H114='tab2'!D$3,'Course 2'!$I114," ")</f>
        <v xml:space="preserve"> </v>
      </c>
      <c r="E116" s="8" t="str">
        <f>IF('Course 2'!$H114='tab2'!E$3,'Course 2'!$I114," ")</f>
        <v xml:space="preserve"> </v>
      </c>
      <c r="F116" s="8" t="str">
        <f>IF('Course 2'!$H114='tab2'!F$3,'Course 2'!$I114," ")</f>
        <v xml:space="preserve"> </v>
      </c>
      <c r="G116" s="8" t="str">
        <f>IF('Course 2'!$H114='tab2'!G$3,'Course 2'!$I114," ")</f>
        <v xml:space="preserve"> </v>
      </c>
      <c r="H116" s="8" t="str">
        <f>IF('Course 2'!$H114='tab2'!H$3,'Course 2'!$I114," ")</f>
        <v xml:space="preserve"> </v>
      </c>
      <c r="I116" s="8" t="str">
        <f>IF('Course 2'!$H114='tab2'!I$3,'Course 2'!$I114," ")</f>
        <v xml:space="preserve"> </v>
      </c>
      <c r="J116" s="8" t="str">
        <f>IF('Course 2'!$H114='tab2'!J$3,'Course 2'!$I114," ")</f>
        <v xml:space="preserve"> </v>
      </c>
      <c r="K116" s="8" t="str">
        <f>IF('Course 2'!$H114='tab2'!K$3,'Course 2'!$I114," ")</f>
        <v xml:space="preserve"> </v>
      </c>
      <c r="L116" s="8" t="str">
        <f>IF('Course 2'!$H114='tab2'!L$3,'Course 2'!$I114," ")</f>
        <v xml:space="preserve"> </v>
      </c>
      <c r="M116" s="8" t="str">
        <f>IF('Course 2'!$H114='tab2'!M$3,'Course 2'!$I114," ")</f>
        <v xml:space="preserve"> </v>
      </c>
      <c r="N116" s="9" t="str">
        <f>IF('Course 2'!$H114='tab2'!N$3,'Course 2'!$I114," ")</f>
        <v xml:space="preserve"> </v>
      </c>
    </row>
    <row r="117" spans="2:14">
      <c r="B117">
        <v>113</v>
      </c>
      <c r="C117" s="7" t="str">
        <f>IF('Course 2'!$H115='tab2'!C$3,'Course 2'!$I115," ")</f>
        <v xml:space="preserve"> </v>
      </c>
      <c r="D117" s="8" t="str">
        <f>IF('Course 2'!$H115='tab2'!D$3,'Course 2'!$I115," ")</f>
        <v xml:space="preserve"> </v>
      </c>
      <c r="E117" s="8" t="str">
        <f>IF('Course 2'!$H115='tab2'!E$3,'Course 2'!$I115," ")</f>
        <v xml:space="preserve"> </v>
      </c>
      <c r="F117" s="8" t="str">
        <f>IF('Course 2'!$H115='tab2'!F$3,'Course 2'!$I115," ")</f>
        <v xml:space="preserve"> </v>
      </c>
      <c r="G117" s="8" t="str">
        <f>IF('Course 2'!$H115='tab2'!G$3,'Course 2'!$I115," ")</f>
        <v xml:space="preserve"> </v>
      </c>
      <c r="H117" s="8" t="str">
        <f>IF('Course 2'!$H115='tab2'!H$3,'Course 2'!$I115," ")</f>
        <v xml:space="preserve"> </v>
      </c>
      <c r="I117" s="8" t="str">
        <f>IF('Course 2'!$H115='tab2'!I$3,'Course 2'!$I115," ")</f>
        <v xml:space="preserve"> </v>
      </c>
      <c r="J117" s="8" t="str">
        <f>IF('Course 2'!$H115='tab2'!J$3,'Course 2'!$I115," ")</f>
        <v xml:space="preserve"> </v>
      </c>
      <c r="K117" s="8" t="str">
        <f>IF('Course 2'!$H115='tab2'!K$3,'Course 2'!$I115," ")</f>
        <v xml:space="preserve"> </v>
      </c>
      <c r="L117" s="8" t="str">
        <f>IF('Course 2'!$H115='tab2'!L$3,'Course 2'!$I115," ")</f>
        <v xml:space="preserve"> </v>
      </c>
      <c r="M117" s="8" t="str">
        <f>IF('Course 2'!$H115='tab2'!M$3,'Course 2'!$I115," ")</f>
        <v xml:space="preserve"> </v>
      </c>
      <c r="N117" s="9" t="str">
        <f>IF('Course 2'!$H115='tab2'!N$3,'Course 2'!$I115," ")</f>
        <v xml:space="preserve"> </v>
      </c>
    </row>
    <row r="118" spans="2:14">
      <c r="B118">
        <v>114</v>
      </c>
      <c r="C118" s="7" t="str">
        <f>IF('Course 2'!$H116='tab2'!C$3,'Course 2'!$I116," ")</f>
        <v xml:space="preserve"> </v>
      </c>
      <c r="D118" s="8" t="str">
        <f>IF('Course 2'!$H116='tab2'!D$3,'Course 2'!$I116," ")</f>
        <v xml:space="preserve"> </v>
      </c>
      <c r="E118" s="8" t="str">
        <f>IF('Course 2'!$H116='tab2'!E$3,'Course 2'!$I116," ")</f>
        <v xml:space="preserve"> </v>
      </c>
      <c r="F118" s="8" t="str">
        <f>IF('Course 2'!$H116='tab2'!F$3,'Course 2'!$I116," ")</f>
        <v xml:space="preserve"> </v>
      </c>
      <c r="G118" s="8" t="str">
        <f>IF('Course 2'!$H116='tab2'!G$3,'Course 2'!$I116," ")</f>
        <v xml:space="preserve"> </v>
      </c>
      <c r="H118" s="8" t="str">
        <f>IF('Course 2'!$H116='tab2'!H$3,'Course 2'!$I116," ")</f>
        <v xml:space="preserve"> </v>
      </c>
      <c r="I118" s="8" t="str">
        <f>IF('Course 2'!$H116='tab2'!I$3,'Course 2'!$I116," ")</f>
        <v xml:space="preserve"> </v>
      </c>
      <c r="J118" s="8" t="str">
        <f>IF('Course 2'!$H116='tab2'!J$3,'Course 2'!$I116," ")</f>
        <v xml:space="preserve"> </v>
      </c>
      <c r="K118" s="8" t="str">
        <f>IF('Course 2'!$H116='tab2'!K$3,'Course 2'!$I116," ")</f>
        <v xml:space="preserve"> </v>
      </c>
      <c r="L118" s="8" t="str">
        <f>IF('Course 2'!$H116='tab2'!L$3,'Course 2'!$I116," ")</f>
        <v xml:space="preserve"> </v>
      </c>
      <c r="M118" s="8" t="str">
        <f>IF('Course 2'!$H116='tab2'!M$3,'Course 2'!$I116," ")</f>
        <v xml:space="preserve"> </v>
      </c>
      <c r="N118" s="9" t="str">
        <f>IF('Course 2'!$H116='tab2'!N$3,'Course 2'!$I116," ")</f>
        <v xml:space="preserve"> </v>
      </c>
    </row>
    <row r="119" spans="2:14">
      <c r="B119">
        <v>115</v>
      </c>
      <c r="C119" s="7" t="str">
        <f>IF('Course 2'!$H117='tab2'!C$3,'Course 2'!$I117," ")</f>
        <v xml:space="preserve"> </v>
      </c>
      <c r="D119" s="8" t="str">
        <f>IF('Course 2'!$H117='tab2'!D$3,'Course 2'!$I117," ")</f>
        <v xml:space="preserve"> </v>
      </c>
      <c r="E119" s="8" t="str">
        <f>IF('Course 2'!$H117='tab2'!E$3,'Course 2'!$I117," ")</f>
        <v xml:space="preserve"> </v>
      </c>
      <c r="F119" s="8" t="str">
        <f>IF('Course 2'!$H117='tab2'!F$3,'Course 2'!$I117," ")</f>
        <v xml:space="preserve"> </v>
      </c>
      <c r="G119" s="8" t="str">
        <f>IF('Course 2'!$H117='tab2'!G$3,'Course 2'!$I117," ")</f>
        <v xml:space="preserve"> </v>
      </c>
      <c r="H119" s="8" t="str">
        <f>IF('Course 2'!$H117='tab2'!H$3,'Course 2'!$I117," ")</f>
        <v xml:space="preserve"> </v>
      </c>
      <c r="I119" s="8" t="str">
        <f>IF('Course 2'!$H117='tab2'!I$3,'Course 2'!$I117," ")</f>
        <v xml:space="preserve"> </v>
      </c>
      <c r="J119" s="8" t="str">
        <f>IF('Course 2'!$H117='tab2'!J$3,'Course 2'!$I117," ")</f>
        <v xml:space="preserve"> </v>
      </c>
      <c r="K119" s="8" t="str">
        <f>IF('Course 2'!$H117='tab2'!K$3,'Course 2'!$I117," ")</f>
        <v xml:space="preserve"> </v>
      </c>
      <c r="L119" s="8" t="str">
        <f>IF('Course 2'!$H117='tab2'!L$3,'Course 2'!$I117," ")</f>
        <v xml:space="preserve"> </v>
      </c>
      <c r="M119" s="8" t="str">
        <f>IF('Course 2'!$H117='tab2'!M$3,'Course 2'!$I117," ")</f>
        <v xml:space="preserve"> </v>
      </c>
      <c r="N119" s="9" t="str">
        <f>IF('Course 2'!$H117='tab2'!N$3,'Course 2'!$I117," ")</f>
        <v xml:space="preserve"> </v>
      </c>
    </row>
    <row r="120" spans="2:14">
      <c r="B120">
        <v>116</v>
      </c>
      <c r="C120" s="7" t="str">
        <f>IF('Course 2'!$H118='tab2'!C$3,'Course 2'!$I118," ")</f>
        <v xml:space="preserve"> </v>
      </c>
      <c r="D120" s="8" t="str">
        <f>IF('Course 2'!$H118='tab2'!D$3,'Course 2'!$I118," ")</f>
        <v xml:space="preserve"> </v>
      </c>
      <c r="E120" s="8" t="str">
        <f>IF('Course 2'!$H118='tab2'!E$3,'Course 2'!$I118," ")</f>
        <v xml:space="preserve"> </v>
      </c>
      <c r="F120" s="8" t="str">
        <f>IF('Course 2'!$H118='tab2'!F$3,'Course 2'!$I118," ")</f>
        <v xml:space="preserve"> </v>
      </c>
      <c r="G120" s="8" t="str">
        <f>IF('Course 2'!$H118='tab2'!G$3,'Course 2'!$I118," ")</f>
        <v xml:space="preserve"> </v>
      </c>
      <c r="H120" s="8" t="str">
        <f>IF('Course 2'!$H118='tab2'!H$3,'Course 2'!$I118," ")</f>
        <v xml:space="preserve"> </v>
      </c>
      <c r="I120" s="8" t="str">
        <f>IF('Course 2'!$H118='tab2'!I$3,'Course 2'!$I118," ")</f>
        <v xml:space="preserve"> </v>
      </c>
      <c r="J120" s="8" t="str">
        <f>IF('Course 2'!$H118='tab2'!J$3,'Course 2'!$I118," ")</f>
        <v xml:space="preserve"> </v>
      </c>
      <c r="K120" s="8" t="str">
        <f>IF('Course 2'!$H118='tab2'!K$3,'Course 2'!$I118," ")</f>
        <v xml:space="preserve"> </v>
      </c>
      <c r="L120" s="8" t="str">
        <f>IF('Course 2'!$H118='tab2'!L$3,'Course 2'!$I118," ")</f>
        <v xml:space="preserve"> </v>
      </c>
      <c r="M120" s="8" t="str">
        <f>IF('Course 2'!$H118='tab2'!M$3,'Course 2'!$I118," ")</f>
        <v xml:space="preserve"> </v>
      </c>
      <c r="N120" s="9" t="str">
        <f>IF('Course 2'!$H118='tab2'!N$3,'Course 2'!$I118," ")</f>
        <v xml:space="preserve"> </v>
      </c>
    </row>
    <row r="121" spans="2:14">
      <c r="B121">
        <v>117</v>
      </c>
      <c r="C121" s="7" t="str">
        <f>IF('Course 2'!$H119='tab2'!C$3,'Course 2'!$I119," ")</f>
        <v xml:space="preserve"> </v>
      </c>
      <c r="D121" s="8" t="str">
        <f>IF('Course 2'!$H119='tab2'!D$3,'Course 2'!$I119," ")</f>
        <v xml:space="preserve"> </v>
      </c>
      <c r="E121" s="8" t="str">
        <f>IF('Course 2'!$H119='tab2'!E$3,'Course 2'!$I119," ")</f>
        <v xml:space="preserve"> </v>
      </c>
      <c r="F121" s="8" t="str">
        <f>IF('Course 2'!$H119='tab2'!F$3,'Course 2'!$I119," ")</f>
        <v xml:space="preserve"> </v>
      </c>
      <c r="G121" s="8" t="str">
        <f>IF('Course 2'!$H119='tab2'!G$3,'Course 2'!$I119," ")</f>
        <v xml:space="preserve"> </v>
      </c>
      <c r="H121" s="8" t="str">
        <f>IF('Course 2'!$H119='tab2'!H$3,'Course 2'!$I119," ")</f>
        <v xml:space="preserve"> </v>
      </c>
      <c r="I121" s="8" t="str">
        <f>IF('Course 2'!$H119='tab2'!I$3,'Course 2'!$I119," ")</f>
        <v xml:space="preserve"> </v>
      </c>
      <c r="J121" s="8" t="str">
        <f>IF('Course 2'!$H119='tab2'!J$3,'Course 2'!$I119," ")</f>
        <v xml:space="preserve"> </v>
      </c>
      <c r="K121" s="8" t="str">
        <f>IF('Course 2'!$H119='tab2'!K$3,'Course 2'!$I119," ")</f>
        <v xml:space="preserve"> </v>
      </c>
      <c r="L121" s="8" t="str">
        <f>IF('Course 2'!$H119='tab2'!L$3,'Course 2'!$I119," ")</f>
        <v xml:space="preserve"> </v>
      </c>
      <c r="M121" s="8" t="str">
        <f>IF('Course 2'!$H119='tab2'!M$3,'Course 2'!$I119," ")</f>
        <v xml:space="preserve"> </v>
      </c>
      <c r="N121" s="9" t="str">
        <f>IF('Course 2'!$H119='tab2'!N$3,'Course 2'!$I119," ")</f>
        <v xml:space="preserve"> </v>
      </c>
    </row>
    <row r="122" spans="2:14">
      <c r="B122">
        <v>118</v>
      </c>
      <c r="C122" s="7" t="str">
        <f>IF('Course 2'!$H120='tab2'!C$3,'Course 2'!$I120," ")</f>
        <v xml:space="preserve"> </v>
      </c>
      <c r="D122" s="8" t="str">
        <f>IF('Course 2'!$H120='tab2'!D$3,'Course 2'!$I120," ")</f>
        <v xml:space="preserve"> </v>
      </c>
      <c r="E122" s="8" t="str">
        <f>IF('Course 2'!$H120='tab2'!E$3,'Course 2'!$I120," ")</f>
        <v xml:space="preserve"> </v>
      </c>
      <c r="F122" s="8" t="str">
        <f>IF('Course 2'!$H120='tab2'!F$3,'Course 2'!$I120," ")</f>
        <v xml:space="preserve"> </v>
      </c>
      <c r="G122" s="8" t="str">
        <f>IF('Course 2'!$H120='tab2'!G$3,'Course 2'!$I120," ")</f>
        <v xml:space="preserve"> </v>
      </c>
      <c r="H122" s="8" t="str">
        <f>IF('Course 2'!$H120='tab2'!H$3,'Course 2'!$I120," ")</f>
        <v xml:space="preserve"> </v>
      </c>
      <c r="I122" s="8" t="str">
        <f>IF('Course 2'!$H120='tab2'!I$3,'Course 2'!$I120," ")</f>
        <v xml:space="preserve"> </v>
      </c>
      <c r="J122" s="8" t="str">
        <f>IF('Course 2'!$H120='tab2'!J$3,'Course 2'!$I120," ")</f>
        <v xml:space="preserve"> </v>
      </c>
      <c r="K122" s="8" t="str">
        <f>IF('Course 2'!$H120='tab2'!K$3,'Course 2'!$I120," ")</f>
        <v xml:space="preserve"> </v>
      </c>
      <c r="L122" s="8" t="str">
        <f>IF('Course 2'!$H120='tab2'!L$3,'Course 2'!$I120," ")</f>
        <v xml:space="preserve"> </v>
      </c>
      <c r="M122" s="8" t="str">
        <f>IF('Course 2'!$H120='tab2'!M$3,'Course 2'!$I120," ")</f>
        <v xml:space="preserve"> </v>
      </c>
      <c r="N122" s="9" t="str">
        <f>IF('Course 2'!$H120='tab2'!N$3,'Course 2'!$I120," ")</f>
        <v xml:space="preserve"> </v>
      </c>
    </row>
    <row r="123" spans="2:14">
      <c r="B123">
        <v>119</v>
      </c>
      <c r="C123" s="7" t="str">
        <f>IF('Course 2'!$H121='tab2'!C$3,'Course 2'!$I121," ")</f>
        <v xml:space="preserve"> </v>
      </c>
      <c r="D123" s="8" t="str">
        <f>IF('Course 2'!$H121='tab2'!D$3,'Course 2'!$I121," ")</f>
        <v xml:space="preserve"> </v>
      </c>
      <c r="E123" s="8" t="str">
        <f>IF('Course 2'!$H121='tab2'!E$3,'Course 2'!$I121," ")</f>
        <v xml:space="preserve"> </v>
      </c>
      <c r="F123" s="8" t="str">
        <f>IF('Course 2'!$H121='tab2'!F$3,'Course 2'!$I121," ")</f>
        <v xml:space="preserve"> </v>
      </c>
      <c r="G123" s="8" t="str">
        <f>IF('Course 2'!$H121='tab2'!G$3,'Course 2'!$I121," ")</f>
        <v xml:space="preserve"> </v>
      </c>
      <c r="H123" s="8" t="str">
        <f>IF('Course 2'!$H121='tab2'!H$3,'Course 2'!$I121," ")</f>
        <v xml:space="preserve"> </v>
      </c>
      <c r="I123" s="8" t="str">
        <f>IF('Course 2'!$H121='tab2'!I$3,'Course 2'!$I121," ")</f>
        <v xml:space="preserve"> </v>
      </c>
      <c r="J123" s="8" t="str">
        <f>IF('Course 2'!$H121='tab2'!J$3,'Course 2'!$I121," ")</f>
        <v xml:space="preserve"> </v>
      </c>
      <c r="K123" s="8" t="str">
        <f>IF('Course 2'!$H121='tab2'!K$3,'Course 2'!$I121," ")</f>
        <v xml:space="preserve"> </v>
      </c>
      <c r="L123" s="8" t="str">
        <f>IF('Course 2'!$H121='tab2'!L$3,'Course 2'!$I121," ")</f>
        <v xml:space="preserve"> </v>
      </c>
      <c r="M123" s="8" t="str">
        <f>IF('Course 2'!$H121='tab2'!M$3,'Course 2'!$I121," ")</f>
        <v xml:space="preserve"> </v>
      </c>
      <c r="N123" s="9" t="str">
        <f>IF('Course 2'!$H121='tab2'!N$3,'Course 2'!$I121," ")</f>
        <v xml:space="preserve"> </v>
      </c>
    </row>
    <row r="124" spans="2:14">
      <c r="B124">
        <v>120</v>
      </c>
      <c r="C124" s="7" t="str">
        <f>IF('Course 2'!$H122='tab2'!C$3,'Course 2'!$I122," ")</f>
        <v xml:space="preserve"> </v>
      </c>
      <c r="D124" s="8" t="str">
        <f>IF('Course 2'!$H122='tab2'!D$3,'Course 2'!$I122," ")</f>
        <v xml:space="preserve"> </v>
      </c>
      <c r="E124" s="8" t="str">
        <f>IF('Course 2'!$H122='tab2'!E$3,'Course 2'!$I122," ")</f>
        <v xml:space="preserve"> </v>
      </c>
      <c r="F124" s="8" t="str">
        <f>IF('Course 2'!$H122='tab2'!F$3,'Course 2'!$I122," ")</f>
        <v xml:space="preserve"> </v>
      </c>
      <c r="G124" s="8" t="str">
        <f>IF('Course 2'!$H122='tab2'!G$3,'Course 2'!$I122," ")</f>
        <v xml:space="preserve"> </v>
      </c>
      <c r="H124" s="8" t="str">
        <f>IF('Course 2'!$H122='tab2'!H$3,'Course 2'!$I122," ")</f>
        <v xml:space="preserve"> </v>
      </c>
      <c r="I124" s="8" t="str">
        <f>IF('Course 2'!$H122='tab2'!I$3,'Course 2'!$I122," ")</f>
        <v xml:space="preserve"> </v>
      </c>
      <c r="J124" s="8" t="str">
        <f>IF('Course 2'!$H122='tab2'!J$3,'Course 2'!$I122," ")</f>
        <v xml:space="preserve"> </v>
      </c>
      <c r="K124" s="8" t="str">
        <f>IF('Course 2'!$H122='tab2'!K$3,'Course 2'!$I122," ")</f>
        <v xml:space="preserve"> </v>
      </c>
      <c r="L124" s="8" t="str">
        <f>IF('Course 2'!$H122='tab2'!L$3,'Course 2'!$I122," ")</f>
        <v xml:space="preserve"> </v>
      </c>
      <c r="M124" s="8" t="str">
        <f>IF('Course 2'!$H122='tab2'!M$3,'Course 2'!$I122," ")</f>
        <v xml:space="preserve"> </v>
      </c>
      <c r="N124" s="9" t="str">
        <f>IF('Course 2'!$H122='tab2'!N$3,'Course 2'!$I122," ")</f>
        <v xml:space="preserve"> </v>
      </c>
    </row>
    <row r="125" spans="2:14">
      <c r="B125">
        <v>121</v>
      </c>
      <c r="C125" s="7" t="str">
        <f>IF('Course 2'!$H123='tab2'!C$3,'Course 2'!$I123," ")</f>
        <v xml:space="preserve"> </v>
      </c>
      <c r="D125" s="8" t="str">
        <f>IF('Course 2'!$H123='tab2'!D$3,'Course 2'!$I123," ")</f>
        <v xml:space="preserve"> </v>
      </c>
      <c r="E125" s="8" t="str">
        <f>IF('Course 2'!$H123='tab2'!E$3,'Course 2'!$I123," ")</f>
        <v xml:space="preserve"> </v>
      </c>
      <c r="F125" s="8" t="str">
        <f>IF('Course 2'!$H123='tab2'!F$3,'Course 2'!$I123," ")</f>
        <v xml:space="preserve"> </v>
      </c>
      <c r="G125" s="8" t="str">
        <f>IF('Course 2'!$H123='tab2'!G$3,'Course 2'!$I123," ")</f>
        <v xml:space="preserve"> </v>
      </c>
      <c r="H125" s="8" t="str">
        <f>IF('Course 2'!$H123='tab2'!H$3,'Course 2'!$I123," ")</f>
        <v xml:space="preserve"> </v>
      </c>
      <c r="I125" s="8" t="str">
        <f>IF('Course 2'!$H123='tab2'!I$3,'Course 2'!$I123," ")</f>
        <v xml:space="preserve"> </v>
      </c>
      <c r="J125" s="8" t="str">
        <f>IF('Course 2'!$H123='tab2'!J$3,'Course 2'!$I123," ")</f>
        <v xml:space="preserve"> </v>
      </c>
      <c r="K125" s="8" t="str">
        <f>IF('Course 2'!$H123='tab2'!K$3,'Course 2'!$I123," ")</f>
        <v xml:space="preserve"> </v>
      </c>
      <c r="L125" s="8" t="str">
        <f>IF('Course 2'!$H123='tab2'!L$3,'Course 2'!$I123," ")</f>
        <v xml:space="preserve"> </v>
      </c>
      <c r="M125" s="8" t="str">
        <f>IF('Course 2'!$H123='tab2'!M$3,'Course 2'!$I123," ")</f>
        <v xml:space="preserve"> </v>
      </c>
      <c r="N125" s="9" t="str">
        <f>IF('Course 2'!$H123='tab2'!N$3,'Course 2'!$I123," ")</f>
        <v xml:space="preserve"> </v>
      </c>
    </row>
    <row r="126" spans="2:14">
      <c r="B126">
        <v>122</v>
      </c>
      <c r="C126" s="7" t="str">
        <f>IF('Course 2'!$H124='tab2'!C$3,'Course 2'!$I124," ")</f>
        <v xml:space="preserve"> </v>
      </c>
      <c r="D126" s="8" t="str">
        <f>IF('Course 2'!$H124='tab2'!D$3,'Course 2'!$I124," ")</f>
        <v xml:space="preserve"> </v>
      </c>
      <c r="E126" s="8" t="str">
        <f>IF('Course 2'!$H124='tab2'!E$3,'Course 2'!$I124," ")</f>
        <v xml:space="preserve"> </v>
      </c>
      <c r="F126" s="8" t="str">
        <f>IF('Course 2'!$H124='tab2'!F$3,'Course 2'!$I124," ")</f>
        <v xml:space="preserve"> </v>
      </c>
      <c r="G126" s="8" t="str">
        <f>IF('Course 2'!$H124='tab2'!G$3,'Course 2'!$I124," ")</f>
        <v xml:space="preserve"> </v>
      </c>
      <c r="H126" s="8" t="str">
        <f>IF('Course 2'!$H124='tab2'!H$3,'Course 2'!$I124," ")</f>
        <v xml:space="preserve"> </v>
      </c>
      <c r="I126" s="8" t="str">
        <f>IF('Course 2'!$H124='tab2'!I$3,'Course 2'!$I124," ")</f>
        <v xml:space="preserve"> </v>
      </c>
      <c r="J126" s="8" t="str">
        <f>IF('Course 2'!$H124='tab2'!J$3,'Course 2'!$I124," ")</f>
        <v xml:space="preserve"> </v>
      </c>
      <c r="K126" s="8" t="str">
        <f>IF('Course 2'!$H124='tab2'!K$3,'Course 2'!$I124," ")</f>
        <v xml:space="preserve"> </v>
      </c>
      <c r="L126" s="8" t="str">
        <f>IF('Course 2'!$H124='tab2'!L$3,'Course 2'!$I124," ")</f>
        <v xml:space="preserve"> </v>
      </c>
      <c r="M126" s="8" t="str">
        <f>IF('Course 2'!$H124='tab2'!M$3,'Course 2'!$I124," ")</f>
        <v xml:space="preserve"> </v>
      </c>
      <c r="N126" s="9" t="str">
        <f>IF('Course 2'!$H124='tab2'!N$3,'Course 2'!$I124," ")</f>
        <v xml:space="preserve"> </v>
      </c>
    </row>
    <row r="127" spans="2:14">
      <c r="B127">
        <v>123</v>
      </c>
      <c r="C127" s="7" t="str">
        <f>IF('Course 2'!$H125='tab2'!C$3,'Course 2'!$I125," ")</f>
        <v xml:space="preserve"> </v>
      </c>
      <c r="D127" s="8" t="str">
        <f>IF('Course 2'!$H125='tab2'!D$3,'Course 2'!$I125," ")</f>
        <v xml:space="preserve"> </v>
      </c>
      <c r="E127" s="8" t="str">
        <f>IF('Course 2'!$H125='tab2'!E$3,'Course 2'!$I125," ")</f>
        <v xml:space="preserve"> </v>
      </c>
      <c r="F127" s="8" t="str">
        <f>IF('Course 2'!$H125='tab2'!F$3,'Course 2'!$I125," ")</f>
        <v xml:space="preserve"> </v>
      </c>
      <c r="G127" s="8" t="str">
        <f>IF('Course 2'!$H125='tab2'!G$3,'Course 2'!$I125," ")</f>
        <v xml:space="preserve"> </v>
      </c>
      <c r="H127" s="8" t="str">
        <f>IF('Course 2'!$H125='tab2'!H$3,'Course 2'!$I125," ")</f>
        <v xml:space="preserve"> </v>
      </c>
      <c r="I127" s="8" t="str">
        <f>IF('Course 2'!$H125='tab2'!I$3,'Course 2'!$I125," ")</f>
        <v xml:space="preserve"> </v>
      </c>
      <c r="J127" s="8" t="str">
        <f>IF('Course 2'!$H125='tab2'!J$3,'Course 2'!$I125," ")</f>
        <v xml:space="preserve"> </v>
      </c>
      <c r="K127" s="8" t="str">
        <f>IF('Course 2'!$H125='tab2'!K$3,'Course 2'!$I125," ")</f>
        <v xml:space="preserve"> </v>
      </c>
      <c r="L127" s="8" t="str">
        <f>IF('Course 2'!$H125='tab2'!L$3,'Course 2'!$I125," ")</f>
        <v xml:space="preserve"> </v>
      </c>
      <c r="M127" s="8" t="str">
        <f>IF('Course 2'!$H125='tab2'!M$3,'Course 2'!$I125," ")</f>
        <v xml:space="preserve"> </v>
      </c>
      <c r="N127" s="9" t="str">
        <f>IF('Course 2'!$H125='tab2'!N$3,'Course 2'!$I125," ")</f>
        <v xml:space="preserve"> </v>
      </c>
    </row>
    <row r="128" spans="2:14">
      <c r="B128">
        <v>124</v>
      </c>
      <c r="C128" s="7" t="str">
        <f>IF('Course 2'!$H126='tab2'!C$3,'Course 2'!$I126," ")</f>
        <v xml:space="preserve"> </v>
      </c>
      <c r="D128" s="8" t="str">
        <f>IF('Course 2'!$H126='tab2'!D$3,'Course 2'!$I126," ")</f>
        <v xml:space="preserve"> </v>
      </c>
      <c r="E128" s="8" t="str">
        <f>IF('Course 2'!$H126='tab2'!E$3,'Course 2'!$I126," ")</f>
        <v xml:space="preserve"> </v>
      </c>
      <c r="F128" s="8" t="str">
        <f>IF('Course 2'!$H126='tab2'!F$3,'Course 2'!$I126," ")</f>
        <v xml:space="preserve"> </v>
      </c>
      <c r="G128" s="8" t="str">
        <f>IF('Course 2'!$H126='tab2'!G$3,'Course 2'!$I126," ")</f>
        <v xml:space="preserve"> </v>
      </c>
      <c r="H128" s="8" t="str">
        <f>IF('Course 2'!$H126='tab2'!H$3,'Course 2'!$I126," ")</f>
        <v xml:space="preserve"> </v>
      </c>
      <c r="I128" s="8" t="str">
        <f>IF('Course 2'!$H126='tab2'!I$3,'Course 2'!$I126," ")</f>
        <v xml:space="preserve"> </v>
      </c>
      <c r="J128" s="8" t="str">
        <f>IF('Course 2'!$H126='tab2'!J$3,'Course 2'!$I126," ")</f>
        <v xml:space="preserve"> </v>
      </c>
      <c r="K128" s="8" t="str">
        <f>IF('Course 2'!$H126='tab2'!K$3,'Course 2'!$I126," ")</f>
        <v xml:space="preserve"> </v>
      </c>
      <c r="L128" s="8" t="str">
        <f>IF('Course 2'!$H126='tab2'!L$3,'Course 2'!$I126," ")</f>
        <v xml:space="preserve"> </v>
      </c>
      <c r="M128" s="8" t="str">
        <f>IF('Course 2'!$H126='tab2'!M$3,'Course 2'!$I126," ")</f>
        <v xml:space="preserve"> </v>
      </c>
      <c r="N128" s="9" t="str">
        <f>IF('Course 2'!$H126='tab2'!N$3,'Course 2'!$I126," ")</f>
        <v xml:space="preserve"> </v>
      </c>
    </row>
    <row r="129" spans="2:14">
      <c r="B129">
        <v>125</v>
      </c>
      <c r="C129" s="7" t="str">
        <f>IF('Course 2'!$H127='tab2'!C$3,'Course 2'!$I127," ")</f>
        <v xml:space="preserve"> </v>
      </c>
      <c r="D129" s="8" t="str">
        <f>IF('Course 2'!$H127='tab2'!D$3,'Course 2'!$I127," ")</f>
        <v xml:space="preserve"> </v>
      </c>
      <c r="E129" s="8" t="str">
        <f>IF('Course 2'!$H127='tab2'!E$3,'Course 2'!$I127," ")</f>
        <v xml:space="preserve"> </v>
      </c>
      <c r="F129" s="8" t="str">
        <f>IF('Course 2'!$H127='tab2'!F$3,'Course 2'!$I127," ")</f>
        <v xml:space="preserve"> </v>
      </c>
      <c r="G129" s="8" t="str">
        <f>IF('Course 2'!$H127='tab2'!G$3,'Course 2'!$I127," ")</f>
        <v xml:space="preserve"> </v>
      </c>
      <c r="H129" s="8" t="str">
        <f>IF('Course 2'!$H127='tab2'!H$3,'Course 2'!$I127," ")</f>
        <v xml:space="preserve"> </v>
      </c>
      <c r="I129" s="8" t="str">
        <f>IF('Course 2'!$H127='tab2'!I$3,'Course 2'!$I127," ")</f>
        <v xml:space="preserve"> </v>
      </c>
      <c r="J129" s="8" t="str">
        <f>IF('Course 2'!$H127='tab2'!J$3,'Course 2'!$I127," ")</f>
        <v xml:space="preserve"> </v>
      </c>
      <c r="K129" s="8" t="str">
        <f>IF('Course 2'!$H127='tab2'!K$3,'Course 2'!$I127," ")</f>
        <v xml:space="preserve"> </v>
      </c>
      <c r="L129" s="8" t="str">
        <f>IF('Course 2'!$H127='tab2'!L$3,'Course 2'!$I127," ")</f>
        <v xml:space="preserve"> </v>
      </c>
      <c r="M129" s="8" t="str">
        <f>IF('Course 2'!$H127='tab2'!M$3,'Course 2'!$I127," ")</f>
        <v xml:space="preserve"> </v>
      </c>
      <c r="N129" s="9" t="str">
        <f>IF('Course 2'!$H127='tab2'!N$3,'Course 2'!$I127," ")</f>
        <v xml:space="preserve"> </v>
      </c>
    </row>
    <row r="130" spans="2:14">
      <c r="B130">
        <v>126</v>
      </c>
      <c r="C130" s="7" t="str">
        <f>IF('Course 2'!$H128='tab2'!C$3,'Course 2'!$I128," ")</f>
        <v xml:space="preserve"> </v>
      </c>
      <c r="D130" s="8" t="str">
        <f>IF('Course 2'!$H128='tab2'!D$3,'Course 2'!$I128," ")</f>
        <v xml:space="preserve"> </v>
      </c>
      <c r="E130" s="8" t="str">
        <f>IF('Course 2'!$H128='tab2'!E$3,'Course 2'!$I128," ")</f>
        <v xml:space="preserve"> </v>
      </c>
      <c r="F130" s="8" t="str">
        <f>IF('Course 2'!$H128='tab2'!F$3,'Course 2'!$I128," ")</f>
        <v xml:space="preserve"> </v>
      </c>
      <c r="G130" s="8" t="str">
        <f>IF('Course 2'!$H128='tab2'!G$3,'Course 2'!$I128," ")</f>
        <v xml:space="preserve"> </v>
      </c>
      <c r="H130" s="8" t="str">
        <f>IF('Course 2'!$H128='tab2'!H$3,'Course 2'!$I128," ")</f>
        <v xml:space="preserve"> </v>
      </c>
      <c r="I130" s="8" t="str">
        <f>IF('Course 2'!$H128='tab2'!I$3,'Course 2'!$I128," ")</f>
        <v xml:space="preserve"> </v>
      </c>
      <c r="J130" s="8" t="str">
        <f>IF('Course 2'!$H128='tab2'!J$3,'Course 2'!$I128," ")</f>
        <v xml:space="preserve"> </v>
      </c>
      <c r="K130" s="8" t="str">
        <f>IF('Course 2'!$H128='tab2'!K$3,'Course 2'!$I128," ")</f>
        <v xml:space="preserve"> </v>
      </c>
      <c r="L130" s="8" t="str">
        <f>IF('Course 2'!$H128='tab2'!L$3,'Course 2'!$I128," ")</f>
        <v xml:space="preserve"> </v>
      </c>
      <c r="M130" s="8" t="str">
        <f>IF('Course 2'!$H128='tab2'!M$3,'Course 2'!$I128," ")</f>
        <v xml:space="preserve"> </v>
      </c>
      <c r="N130" s="9" t="str">
        <f>IF('Course 2'!$H128='tab2'!N$3,'Course 2'!$I128," ")</f>
        <v xml:space="preserve"> </v>
      </c>
    </row>
    <row r="131" spans="2:14">
      <c r="B131">
        <v>127</v>
      </c>
      <c r="C131" s="7" t="str">
        <f>IF('Course 2'!$H129='tab2'!C$3,'Course 2'!$I129," ")</f>
        <v xml:space="preserve"> </v>
      </c>
      <c r="D131" s="8" t="str">
        <f>IF('Course 2'!$H129='tab2'!D$3,'Course 2'!$I129," ")</f>
        <v xml:space="preserve"> </v>
      </c>
      <c r="E131" s="8" t="str">
        <f>IF('Course 2'!$H129='tab2'!E$3,'Course 2'!$I129," ")</f>
        <v xml:space="preserve"> </v>
      </c>
      <c r="F131" s="8" t="str">
        <f>IF('Course 2'!$H129='tab2'!F$3,'Course 2'!$I129," ")</f>
        <v xml:space="preserve"> </v>
      </c>
      <c r="G131" s="8" t="str">
        <f>IF('Course 2'!$H129='tab2'!G$3,'Course 2'!$I129," ")</f>
        <v xml:space="preserve"> </v>
      </c>
      <c r="H131" s="8" t="str">
        <f>IF('Course 2'!$H129='tab2'!H$3,'Course 2'!$I129," ")</f>
        <v xml:space="preserve"> </v>
      </c>
      <c r="I131" s="8" t="str">
        <f>IF('Course 2'!$H129='tab2'!I$3,'Course 2'!$I129," ")</f>
        <v xml:space="preserve"> </v>
      </c>
      <c r="J131" s="8" t="str">
        <f>IF('Course 2'!$H129='tab2'!J$3,'Course 2'!$I129," ")</f>
        <v xml:space="preserve"> </v>
      </c>
      <c r="K131" s="8" t="str">
        <f>IF('Course 2'!$H129='tab2'!K$3,'Course 2'!$I129," ")</f>
        <v xml:space="preserve"> </v>
      </c>
      <c r="L131" s="8" t="str">
        <f>IF('Course 2'!$H129='tab2'!L$3,'Course 2'!$I129," ")</f>
        <v xml:space="preserve"> </v>
      </c>
      <c r="M131" s="8" t="str">
        <f>IF('Course 2'!$H129='tab2'!M$3,'Course 2'!$I129," ")</f>
        <v xml:space="preserve"> </v>
      </c>
      <c r="N131" s="9" t="str">
        <f>IF('Course 2'!$H129='tab2'!N$3,'Course 2'!$I129," ")</f>
        <v xml:space="preserve"> </v>
      </c>
    </row>
    <row r="132" spans="2:14">
      <c r="B132">
        <v>128</v>
      </c>
      <c r="C132" s="7" t="str">
        <f>IF('Course 2'!$H130='tab2'!C$3,'Course 2'!$I130," ")</f>
        <v xml:space="preserve"> </v>
      </c>
      <c r="D132" s="8" t="str">
        <f>IF('Course 2'!$H130='tab2'!D$3,'Course 2'!$I130," ")</f>
        <v xml:space="preserve"> </v>
      </c>
      <c r="E132" s="8" t="str">
        <f>IF('Course 2'!$H130='tab2'!E$3,'Course 2'!$I130," ")</f>
        <v xml:space="preserve"> </v>
      </c>
      <c r="F132" s="8" t="str">
        <f>IF('Course 2'!$H130='tab2'!F$3,'Course 2'!$I130," ")</f>
        <v xml:space="preserve"> </v>
      </c>
      <c r="G132" s="8" t="str">
        <f>IF('Course 2'!$H130='tab2'!G$3,'Course 2'!$I130," ")</f>
        <v xml:space="preserve"> </v>
      </c>
      <c r="H132" s="8" t="str">
        <f>IF('Course 2'!$H130='tab2'!H$3,'Course 2'!$I130," ")</f>
        <v xml:space="preserve"> </v>
      </c>
      <c r="I132" s="8" t="str">
        <f>IF('Course 2'!$H130='tab2'!I$3,'Course 2'!$I130," ")</f>
        <v xml:space="preserve"> </v>
      </c>
      <c r="J132" s="8" t="str">
        <f>IF('Course 2'!$H130='tab2'!J$3,'Course 2'!$I130," ")</f>
        <v xml:space="preserve"> </v>
      </c>
      <c r="K132" s="8" t="str">
        <f>IF('Course 2'!$H130='tab2'!K$3,'Course 2'!$I130," ")</f>
        <v xml:space="preserve"> </v>
      </c>
      <c r="L132" s="8" t="str">
        <f>IF('Course 2'!$H130='tab2'!L$3,'Course 2'!$I130," ")</f>
        <v xml:space="preserve"> </v>
      </c>
      <c r="M132" s="8" t="str">
        <f>IF('Course 2'!$H130='tab2'!M$3,'Course 2'!$I130," ")</f>
        <v xml:space="preserve"> </v>
      </c>
      <c r="N132" s="9" t="str">
        <f>IF('Course 2'!$H130='tab2'!N$3,'Course 2'!$I130," ")</f>
        <v xml:space="preserve"> </v>
      </c>
    </row>
    <row r="133" spans="2:14">
      <c r="B133">
        <v>129</v>
      </c>
      <c r="C133" s="7" t="str">
        <f>IF('Course 2'!$H131='tab2'!C$3,'Course 2'!$I131," ")</f>
        <v xml:space="preserve"> </v>
      </c>
      <c r="D133" s="8" t="str">
        <f>IF('Course 2'!$H131='tab2'!D$3,'Course 2'!$I131," ")</f>
        <v xml:space="preserve"> </v>
      </c>
      <c r="E133" s="8" t="str">
        <f>IF('Course 2'!$H131='tab2'!E$3,'Course 2'!$I131," ")</f>
        <v xml:space="preserve"> </v>
      </c>
      <c r="F133" s="8" t="str">
        <f>IF('Course 2'!$H131='tab2'!F$3,'Course 2'!$I131," ")</f>
        <v xml:space="preserve"> </v>
      </c>
      <c r="G133" s="8" t="str">
        <f>IF('Course 2'!$H131='tab2'!G$3,'Course 2'!$I131," ")</f>
        <v xml:space="preserve"> </v>
      </c>
      <c r="H133" s="8" t="str">
        <f>IF('Course 2'!$H131='tab2'!H$3,'Course 2'!$I131," ")</f>
        <v xml:space="preserve"> </v>
      </c>
      <c r="I133" s="8" t="str">
        <f>IF('Course 2'!$H131='tab2'!I$3,'Course 2'!$I131," ")</f>
        <v xml:space="preserve"> </v>
      </c>
      <c r="J133" s="8" t="str">
        <f>IF('Course 2'!$H131='tab2'!J$3,'Course 2'!$I131," ")</f>
        <v xml:space="preserve"> </v>
      </c>
      <c r="K133" s="8" t="str">
        <f>IF('Course 2'!$H131='tab2'!K$3,'Course 2'!$I131," ")</f>
        <v xml:space="preserve"> </v>
      </c>
      <c r="L133" s="8" t="str">
        <f>IF('Course 2'!$H131='tab2'!L$3,'Course 2'!$I131," ")</f>
        <v xml:space="preserve"> </v>
      </c>
      <c r="M133" s="8" t="str">
        <f>IF('Course 2'!$H131='tab2'!M$3,'Course 2'!$I131," ")</f>
        <v xml:space="preserve"> </v>
      </c>
      <c r="N133" s="9" t="str">
        <f>IF('Course 2'!$H131='tab2'!N$3,'Course 2'!$I131," ")</f>
        <v xml:space="preserve"> </v>
      </c>
    </row>
    <row r="134" spans="2:14">
      <c r="B134">
        <v>130</v>
      </c>
      <c r="C134" s="7" t="str">
        <f>IF('Course 2'!$H132='tab2'!C$3,'Course 2'!$I132," ")</f>
        <v xml:space="preserve"> </v>
      </c>
      <c r="D134" s="8" t="str">
        <f>IF('Course 2'!$H132='tab2'!D$3,'Course 2'!$I132," ")</f>
        <v xml:space="preserve"> </v>
      </c>
      <c r="E134" s="8" t="str">
        <f>IF('Course 2'!$H132='tab2'!E$3,'Course 2'!$I132," ")</f>
        <v xml:space="preserve"> </v>
      </c>
      <c r="F134" s="8" t="str">
        <f>IF('Course 2'!$H132='tab2'!F$3,'Course 2'!$I132," ")</f>
        <v xml:space="preserve"> </v>
      </c>
      <c r="G134" s="8" t="str">
        <f>IF('Course 2'!$H132='tab2'!G$3,'Course 2'!$I132," ")</f>
        <v xml:space="preserve"> </v>
      </c>
      <c r="H134" s="8" t="str">
        <f>IF('Course 2'!$H132='tab2'!H$3,'Course 2'!$I132," ")</f>
        <v xml:space="preserve"> </v>
      </c>
      <c r="I134" s="8" t="str">
        <f>IF('Course 2'!$H132='tab2'!I$3,'Course 2'!$I132," ")</f>
        <v xml:space="preserve"> </v>
      </c>
      <c r="J134" s="8" t="str">
        <f>IF('Course 2'!$H132='tab2'!J$3,'Course 2'!$I132," ")</f>
        <v xml:space="preserve"> </v>
      </c>
      <c r="K134" s="8" t="str">
        <f>IF('Course 2'!$H132='tab2'!K$3,'Course 2'!$I132," ")</f>
        <v xml:space="preserve"> </v>
      </c>
      <c r="L134" s="8" t="str">
        <f>IF('Course 2'!$H132='tab2'!L$3,'Course 2'!$I132," ")</f>
        <v xml:space="preserve"> </v>
      </c>
      <c r="M134" s="8" t="str">
        <f>IF('Course 2'!$H132='tab2'!M$3,'Course 2'!$I132," ")</f>
        <v xml:space="preserve"> </v>
      </c>
      <c r="N134" s="9" t="str">
        <f>IF('Course 2'!$H132='tab2'!N$3,'Course 2'!$I132," ")</f>
        <v xml:space="preserve"> </v>
      </c>
    </row>
    <row r="135" spans="2:14">
      <c r="B135">
        <v>131</v>
      </c>
      <c r="C135" s="7" t="str">
        <f>IF('Course 2'!$H133='tab2'!C$3,'Course 2'!$I133," ")</f>
        <v xml:space="preserve"> </v>
      </c>
      <c r="D135" s="8" t="str">
        <f>IF('Course 2'!$H133='tab2'!D$3,'Course 2'!$I133," ")</f>
        <v xml:space="preserve"> </v>
      </c>
      <c r="E135" s="8" t="str">
        <f>IF('Course 2'!$H133='tab2'!E$3,'Course 2'!$I133," ")</f>
        <v xml:space="preserve"> </v>
      </c>
      <c r="F135" s="8" t="str">
        <f>IF('Course 2'!$H133='tab2'!F$3,'Course 2'!$I133," ")</f>
        <v xml:space="preserve"> </v>
      </c>
      <c r="G135" s="8" t="str">
        <f>IF('Course 2'!$H133='tab2'!G$3,'Course 2'!$I133," ")</f>
        <v xml:space="preserve"> </v>
      </c>
      <c r="H135" s="8" t="str">
        <f>IF('Course 2'!$H133='tab2'!H$3,'Course 2'!$I133," ")</f>
        <v xml:space="preserve"> </v>
      </c>
      <c r="I135" s="8" t="str">
        <f>IF('Course 2'!$H133='tab2'!I$3,'Course 2'!$I133," ")</f>
        <v xml:space="preserve"> </v>
      </c>
      <c r="J135" s="8" t="str">
        <f>IF('Course 2'!$H133='tab2'!J$3,'Course 2'!$I133," ")</f>
        <v xml:space="preserve"> </v>
      </c>
      <c r="K135" s="8" t="str">
        <f>IF('Course 2'!$H133='tab2'!K$3,'Course 2'!$I133," ")</f>
        <v xml:space="preserve"> </v>
      </c>
      <c r="L135" s="8" t="str">
        <f>IF('Course 2'!$H133='tab2'!L$3,'Course 2'!$I133," ")</f>
        <v xml:space="preserve"> </v>
      </c>
      <c r="M135" s="8" t="str">
        <f>IF('Course 2'!$H133='tab2'!M$3,'Course 2'!$I133," ")</f>
        <v xml:space="preserve"> </v>
      </c>
      <c r="N135" s="9" t="str">
        <f>IF('Course 2'!$H133='tab2'!N$3,'Course 2'!$I133," ")</f>
        <v xml:space="preserve"> </v>
      </c>
    </row>
    <row r="136" spans="2:14">
      <c r="B136">
        <v>132</v>
      </c>
      <c r="C136" s="7" t="str">
        <f>IF('Course 2'!$H134='tab2'!C$3,'Course 2'!$I134," ")</f>
        <v xml:space="preserve"> </v>
      </c>
      <c r="D136" s="8" t="str">
        <f>IF('Course 2'!$H134='tab2'!D$3,'Course 2'!$I134," ")</f>
        <v xml:space="preserve"> </v>
      </c>
      <c r="E136" s="8" t="str">
        <f>IF('Course 2'!$H134='tab2'!E$3,'Course 2'!$I134," ")</f>
        <v xml:space="preserve"> </v>
      </c>
      <c r="F136" s="8" t="str">
        <f>IF('Course 2'!$H134='tab2'!F$3,'Course 2'!$I134," ")</f>
        <v xml:space="preserve"> </v>
      </c>
      <c r="G136" s="8" t="str">
        <f>IF('Course 2'!$H134='tab2'!G$3,'Course 2'!$I134," ")</f>
        <v xml:space="preserve"> </v>
      </c>
      <c r="H136" s="8" t="str">
        <f>IF('Course 2'!$H134='tab2'!H$3,'Course 2'!$I134," ")</f>
        <v xml:space="preserve"> </v>
      </c>
      <c r="I136" s="8" t="str">
        <f>IF('Course 2'!$H134='tab2'!I$3,'Course 2'!$I134," ")</f>
        <v xml:space="preserve"> </v>
      </c>
      <c r="J136" s="8" t="str">
        <f>IF('Course 2'!$H134='tab2'!J$3,'Course 2'!$I134," ")</f>
        <v xml:space="preserve"> </v>
      </c>
      <c r="K136" s="8" t="str">
        <f>IF('Course 2'!$H134='tab2'!K$3,'Course 2'!$I134," ")</f>
        <v xml:space="preserve"> </v>
      </c>
      <c r="L136" s="8" t="str">
        <f>IF('Course 2'!$H134='tab2'!L$3,'Course 2'!$I134," ")</f>
        <v xml:space="preserve"> </v>
      </c>
      <c r="M136" s="8" t="str">
        <f>IF('Course 2'!$H134='tab2'!M$3,'Course 2'!$I134," ")</f>
        <v xml:space="preserve"> </v>
      </c>
      <c r="N136" s="9" t="str">
        <f>IF('Course 2'!$H134='tab2'!N$3,'Course 2'!$I134," ")</f>
        <v xml:space="preserve"> </v>
      </c>
    </row>
    <row r="137" spans="2:14">
      <c r="B137">
        <v>133</v>
      </c>
      <c r="C137" s="7" t="str">
        <f>IF('Course 2'!$H135='tab2'!C$3,'Course 2'!$I135," ")</f>
        <v xml:space="preserve"> </v>
      </c>
      <c r="D137" s="8" t="str">
        <f>IF('Course 2'!$H135='tab2'!D$3,'Course 2'!$I135," ")</f>
        <v xml:space="preserve"> </v>
      </c>
      <c r="E137" s="8" t="str">
        <f>IF('Course 2'!$H135='tab2'!E$3,'Course 2'!$I135," ")</f>
        <v xml:space="preserve"> </v>
      </c>
      <c r="F137" s="8" t="str">
        <f>IF('Course 2'!$H135='tab2'!F$3,'Course 2'!$I135," ")</f>
        <v xml:space="preserve"> </v>
      </c>
      <c r="G137" s="8" t="str">
        <f>IF('Course 2'!$H135='tab2'!G$3,'Course 2'!$I135," ")</f>
        <v xml:space="preserve"> </v>
      </c>
      <c r="H137" s="8" t="str">
        <f>IF('Course 2'!$H135='tab2'!H$3,'Course 2'!$I135," ")</f>
        <v xml:space="preserve"> </v>
      </c>
      <c r="I137" s="8" t="str">
        <f>IF('Course 2'!$H135='tab2'!I$3,'Course 2'!$I135," ")</f>
        <v xml:space="preserve"> </v>
      </c>
      <c r="J137" s="8" t="str">
        <f>IF('Course 2'!$H135='tab2'!J$3,'Course 2'!$I135," ")</f>
        <v xml:space="preserve"> </v>
      </c>
      <c r="K137" s="8" t="str">
        <f>IF('Course 2'!$H135='tab2'!K$3,'Course 2'!$I135," ")</f>
        <v xml:space="preserve"> </v>
      </c>
      <c r="L137" s="8" t="str">
        <f>IF('Course 2'!$H135='tab2'!L$3,'Course 2'!$I135," ")</f>
        <v xml:space="preserve"> </v>
      </c>
      <c r="M137" s="8" t="str">
        <f>IF('Course 2'!$H135='tab2'!M$3,'Course 2'!$I135," ")</f>
        <v xml:space="preserve"> </v>
      </c>
      <c r="N137" s="9" t="str">
        <f>IF('Course 2'!$H135='tab2'!N$3,'Course 2'!$I135," ")</f>
        <v xml:space="preserve"> </v>
      </c>
    </row>
    <row r="138" spans="2:14">
      <c r="B138">
        <v>134</v>
      </c>
      <c r="C138" s="7" t="str">
        <f>IF('Course 2'!$H136='tab2'!C$3,'Course 2'!$I136," ")</f>
        <v xml:space="preserve"> </v>
      </c>
      <c r="D138" s="8" t="str">
        <f>IF('Course 2'!$H136='tab2'!D$3,'Course 2'!$I136," ")</f>
        <v xml:space="preserve"> </v>
      </c>
      <c r="E138" s="8" t="str">
        <f>IF('Course 2'!$H136='tab2'!E$3,'Course 2'!$I136," ")</f>
        <v xml:space="preserve"> </v>
      </c>
      <c r="F138" s="8" t="str">
        <f>IF('Course 2'!$H136='tab2'!F$3,'Course 2'!$I136," ")</f>
        <v xml:space="preserve"> </v>
      </c>
      <c r="G138" s="8" t="str">
        <f>IF('Course 2'!$H136='tab2'!G$3,'Course 2'!$I136," ")</f>
        <v xml:space="preserve"> </v>
      </c>
      <c r="H138" s="8" t="str">
        <f>IF('Course 2'!$H136='tab2'!H$3,'Course 2'!$I136," ")</f>
        <v xml:space="preserve"> </v>
      </c>
      <c r="I138" s="8" t="str">
        <f>IF('Course 2'!$H136='tab2'!I$3,'Course 2'!$I136," ")</f>
        <v xml:space="preserve"> </v>
      </c>
      <c r="J138" s="8" t="str">
        <f>IF('Course 2'!$H136='tab2'!J$3,'Course 2'!$I136," ")</f>
        <v xml:space="preserve"> </v>
      </c>
      <c r="K138" s="8" t="str">
        <f>IF('Course 2'!$H136='tab2'!K$3,'Course 2'!$I136," ")</f>
        <v xml:space="preserve"> </v>
      </c>
      <c r="L138" s="8" t="str">
        <f>IF('Course 2'!$H136='tab2'!L$3,'Course 2'!$I136," ")</f>
        <v xml:space="preserve"> </v>
      </c>
      <c r="M138" s="8" t="str">
        <f>IF('Course 2'!$H136='tab2'!M$3,'Course 2'!$I136," ")</f>
        <v xml:space="preserve"> </v>
      </c>
      <c r="N138" s="9" t="str">
        <f>IF('Course 2'!$H136='tab2'!N$3,'Course 2'!$I136," ")</f>
        <v xml:space="preserve"> </v>
      </c>
    </row>
    <row r="139" spans="2:14">
      <c r="B139">
        <v>135</v>
      </c>
      <c r="C139" s="7" t="str">
        <f>IF('Course 2'!$H137='tab2'!C$3,'Course 2'!$I137," ")</f>
        <v xml:space="preserve"> </v>
      </c>
      <c r="D139" s="8" t="str">
        <f>IF('Course 2'!$H137='tab2'!D$3,'Course 2'!$I137," ")</f>
        <v xml:space="preserve"> </v>
      </c>
      <c r="E139" s="8" t="str">
        <f>IF('Course 2'!$H137='tab2'!E$3,'Course 2'!$I137," ")</f>
        <v xml:space="preserve"> </v>
      </c>
      <c r="F139" s="8" t="str">
        <f>IF('Course 2'!$H137='tab2'!F$3,'Course 2'!$I137," ")</f>
        <v xml:space="preserve"> </v>
      </c>
      <c r="G139" s="8" t="str">
        <f>IF('Course 2'!$H137='tab2'!G$3,'Course 2'!$I137," ")</f>
        <v xml:space="preserve"> </v>
      </c>
      <c r="H139" s="8" t="str">
        <f>IF('Course 2'!$H137='tab2'!H$3,'Course 2'!$I137," ")</f>
        <v xml:space="preserve"> </v>
      </c>
      <c r="I139" s="8" t="str">
        <f>IF('Course 2'!$H137='tab2'!I$3,'Course 2'!$I137," ")</f>
        <v xml:space="preserve"> </v>
      </c>
      <c r="J139" s="8" t="str">
        <f>IF('Course 2'!$H137='tab2'!J$3,'Course 2'!$I137," ")</f>
        <v xml:space="preserve"> </v>
      </c>
      <c r="K139" s="8" t="str">
        <f>IF('Course 2'!$H137='tab2'!K$3,'Course 2'!$I137," ")</f>
        <v xml:space="preserve"> </v>
      </c>
      <c r="L139" s="8" t="str">
        <f>IF('Course 2'!$H137='tab2'!L$3,'Course 2'!$I137," ")</f>
        <v xml:space="preserve"> </v>
      </c>
      <c r="M139" s="8" t="str">
        <f>IF('Course 2'!$H137='tab2'!M$3,'Course 2'!$I137," ")</f>
        <v xml:space="preserve"> </v>
      </c>
      <c r="N139" s="9" t="str">
        <f>IF('Course 2'!$H137='tab2'!N$3,'Course 2'!$I137," ")</f>
        <v xml:space="preserve"> </v>
      </c>
    </row>
    <row r="140" spans="2:14">
      <c r="B140">
        <v>136</v>
      </c>
      <c r="C140" s="7" t="str">
        <f>IF('Course 2'!$H138='tab2'!C$3,'Course 2'!$I138," ")</f>
        <v xml:space="preserve"> </v>
      </c>
      <c r="D140" s="8" t="str">
        <f>IF('Course 2'!$H138='tab2'!D$3,'Course 2'!$I138," ")</f>
        <v xml:space="preserve"> </v>
      </c>
      <c r="E140" s="8" t="str">
        <f>IF('Course 2'!$H138='tab2'!E$3,'Course 2'!$I138," ")</f>
        <v xml:space="preserve"> </v>
      </c>
      <c r="F140" s="8" t="str">
        <f>IF('Course 2'!$H138='tab2'!F$3,'Course 2'!$I138," ")</f>
        <v xml:space="preserve"> </v>
      </c>
      <c r="G140" s="8" t="str">
        <f>IF('Course 2'!$H138='tab2'!G$3,'Course 2'!$I138," ")</f>
        <v xml:space="preserve"> </v>
      </c>
      <c r="H140" s="8" t="str">
        <f>IF('Course 2'!$H138='tab2'!H$3,'Course 2'!$I138," ")</f>
        <v xml:space="preserve"> </v>
      </c>
      <c r="I140" s="8" t="str">
        <f>IF('Course 2'!$H138='tab2'!I$3,'Course 2'!$I138," ")</f>
        <v xml:space="preserve"> </v>
      </c>
      <c r="J140" s="8" t="str">
        <f>IF('Course 2'!$H138='tab2'!J$3,'Course 2'!$I138," ")</f>
        <v xml:space="preserve"> </v>
      </c>
      <c r="K140" s="8" t="str">
        <f>IF('Course 2'!$H138='tab2'!K$3,'Course 2'!$I138," ")</f>
        <v xml:space="preserve"> </v>
      </c>
      <c r="L140" s="8" t="str">
        <f>IF('Course 2'!$H138='tab2'!L$3,'Course 2'!$I138," ")</f>
        <v xml:space="preserve"> </v>
      </c>
      <c r="M140" s="8" t="str">
        <f>IF('Course 2'!$H138='tab2'!M$3,'Course 2'!$I138," ")</f>
        <v xml:space="preserve"> </v>
      </c>
      <c r="N140" s="9" t="str">
        <f>IF('Course 2'!$H138='tab2'!N$3,'Course 2'!$I138," ")</f>
        <v xml:space="preserve"> </v>
      </c>
    </row>
    <row r="141" spans="2:14">
      <c r="B141">
        <v>137</v>
      </c>
      <c r="C141" s="7" t="str">
        <f>IF('Course 2'!$H139='tab2'!C$3,'Course 2'!$I139," ")</f>
        <v xml:space="preserve"> </v>
      </c>
      <c r="D141" s="8" t="str">
        <f>IF('Course 2'!$H139='tab2'!D$3,'Course 2'!$I139," ")</f>
        <v xml:space="preserve"> </v>
      </c>
      <c r="E141" s="8" t="str">
        <f>IF('Course 2'!$H139='tab2'!E$3,'Course 2'!$I139," ")</f>
        <v xml:space="preserve"> </v>
      </c>
      <c r="F141" s="8" t="str">
        <f>IF('Course 2'!$H139='tab2'!F$3,'Course 2'!$I139," ")</f>
        <v xml:space="preserve"> </v>
      </c>
      <c r="G141" s="8" t="str">
        <f>IF('Course 2'!$H139='tab2'!G$3,'Course 2'!$I139," ")</f>
        <v xml:space="preserve"> </v>
      </c>
      <c r="H141" s="8" t="str">
        <f>IF('Course 2'!$H139='tab2'!H$3,'Course 2'!$I139," ")</f>
        <v xml:space="preserve"> </v>
      </c>
      <c r="I141" s="8" t="str">
        <f>IF('Course 2'!$H139='tab2'!I$3,'Course 2'!$I139," ")</f>
        <v xml:space="preserve"> </v>
      </c>
      <c r="J141" s="8" t="str">
        <f>IF('Course 2'!$H139='tab2'!J$3,'Course 2'!$I139," ")</f>
        <v xml:space="preserve"> </v>
      </c>
      <c r="K141" s="8" t="str">
        <f>IF('Course 2'!$H139='tab2'!K$3,'Course 2'!$I139," ")</f>
        <v xml:space="preserve"> </v>
      </c>
      <c r="L141" s="8" t="str">
        <f>IF('Course 2'!$H139='tab2'!L$3,'Course 2'!$I139," ")</f>
        <v xml:space="preserve"> </v>
      </c>
      <c r="M141" s="8" t="str">
        <f>IF('Course 2'!$H139='tab2'!M$3,'Course 2'!$I139," ")</f>
        <v xml:space="preserve"> </v>
      </c>
      <c r="N141" s="9" t="str">
        <f>IF('Course 2'!$H139='tab2'!N$3,'Course 2'!$I139," ")</f>
        <v xml:space="preserve"> </v>
      </c>
    </row>
    <row r="142" spans="2:14">
      <c r="B142">
        <v>138</v>
      </c>
      <c r="C142" s="7" t="str">
        <f>IF('Course 2'!$H140='tab2'!C$3,'Course 2'!$I140," ")</f>
        <v xml:space="preserve"> </v>
      </c>
      <c r="D142" s="8" t="str">
        <f>IF('Course 2'!$H140='tab2'!D$3,'Course 2'!$I140," ")</f>
        <v xml:space="preserve"> </v>
      </c>
      <c r="E142" s="8" t="str">
        <f>IF('Course 2'!$H140='tab2'!E$3,'Course 2'!$I140," ")</f>
        <v xml:space="preserve"> </v>
      </c>
      <c r="F142" s="8" t="str">
        <f>IF('Course 2'!$H140='tab2'!F$3,'Course 2'!$I140," ")</f>
        <v xml:space="preserve"> </v>
      </c>
      <c r="G142" s="8" t="str">
        <f>IF('Course 2'!$H140='tab2'!G$3,'Course 2'!$I140," ")</f>
        <v xml:space="preserve"> </v>
      </c>
      <c r="H142" s="8" t="str">
        <f>IF('Course 2'!$H140='tab2'!H$3,'Course 2'!$I140," ")</f>
        <v xml:space="preserve"> </v>
      </c>
      <c r="I142" s="8" t="str">
        <f>IF('Course 2'!$H140='tab2'!I$3,'Course 2'!$I140," ")</f>
        <v xml:space="preserve"> </v>
      </c>
      <c r="J142" s="8" t="str">
        <f>IF('Course 2'!$H140='tab2'!J$3,'Course 2'!$I140," ")</f>
        <v xml:space="preserve"> </v>
      </c>
      <c r="K142" s="8" t="str">
        <f>IF('Course 2'!$H140='tab2'!K$3,'Course 2'!$I140," ")</f>
        <v xml:space="preserve"> </v>
      </c>
      <c r="L142" s="8" t="str">
        <f>IF('Course 2'!$H140='tab2'!L$3,'Course 2'!$I140," ")</f>
        <v xml:space="preserve"> </v>
      </c>
      <c r="M142" s="8" t="str">
        <f>IF('Course 2'!$H140='tab2'!M$3,'Course 2'!$I140," ")</f>
        <v xml:space="preserve"> </v>
      </c>
      <c r="N142" s="9" t="str">
        <f>IF('Course 2'!$H140='tab2'!N$3,'Course 2'!$I140," ")</f>
        <v xml:space="preserve"> </v>
      </c>
    </row>
    <row r="143" spans="2:14">
      <c r="B143">
        <v>139</v>
      </c>
      <c r="C143" s="7" t="str">
        <f>IF('Course 2'!$H141='tab2'!C$3,'Course 2'!$I141," ")</f>
        <v xml:space="preserve"> </v>
      </c>
      <c r="D143" s="8" t="str">
        <f>IF('Course 2'!$H141='tab2'!D$3,'Course 2'!$I141," ")</f>
        <v xml:space="preserve"> </v>
      </c>
      <c r="E143" s="8" t="str">
        <f>IF('Course 2'!$H141='tab2'!E$3,'Course 2'!$I141," ")</f>
        <v xml:space="preserve"> </v>
      </c>
      <c r="F143" s="8" t="str">
        <f>IF('Course 2'!$H141='tab2'!F$3,'Course 2'!$I141," ")</f>
        <v xml:space="preserve"> </v>
      </c>
      <c r="G143" s="8" t="str">
        <f>IF('Course 2'!$H141='tab2'!G$3,'Course 2'!$I141," ")</f>
        <v xml:space="preserve"> </v>
      </c>
      <c r="H143" s="8" t="str">
        <f>IF('Course 2'!$H141='tab2'!H$3,'Course 2'!$I141," ")</f>
        <v xml:space="preserve"> </v>
      </c>
      <c r="I143" s="8" t="str">
        <f>IF('Course 2'!$H141='tab2'!I$3,'Course 2'!$I141," ")</f>
        <v xml:space="preserve"> </v>
      </c>
      <c r="J143" s="8" t="str">
        <f>IF('Course 2'!$H141='tab2'!J$3,'Course 2'!$I141," ")</f>
        <v xml:space="preserve"> </v>
      </c>
      <c r="K143" s="8" t="str">
        <f>IF('Course 2'!$H141='tab2'!K$3,'Course 2'!$I141," ")</f>
        <v xml:space="preserve"> </v>
      </c>
      <c r="L143" s="8" t="str">
        <f>IF('Course 2'!$H141='tab2'!L$3,'Course 2'!$I141," ")</f>
        <v xml:space="preserve"> </v>
      </c>
      <c r="M143" s="8" t="str">
        <f>IF('Course 2'!$H141='tab2'!M$3,'Course 2'!$I141," ")</f>
        <v xml:space="preserve"> </v>
      </c>
      <c r="N143" s="9" t="str">
        <f>IF('Course 2'!$H141='tab2'!N$3,'Course 2'!$I141," ")</f>
        <v xml:space="preserve"> </v>
      </c>
    </row>
    <row r="144" spans="2:14">
      <c r="B144">
        <v>140</v>
      </c>
      <c r="C144" s="7" t="str">
        <f>IF('Course 2'!$H142='tab2'!C$3,'Course 2'!$I142," ")</f>
        <v xml:space="preserve"> </v>
      </c>
      <c r="D144" s="8" t="str">
        <f>IF('Course 2'!$H142='tab2'!D$3,'Course 2'!$I142," ")</f>
        <v xml:space="preserve"> </v>
      </c>
      <c r="E144" s="8" t="str">
        <f>IF('Course 2'!$H142='tab2'!E$3,'Course 2'!$I142," ")</f>
        <v xml:space="preserve"> </v>
      </c>
      <c r="F144" s="8" t="str">
        <f>IF('Course 2'!$H142='tab2'!F$3,'Course 2'!$I142," ")</f>
        <v xml:space="preserve"> </v>
      </c>
      <c r="G144" s="8" t="str">
        <f>IF('Course 2'!$H142='tab2'!G$3,'Course 2'!$I142," ")</f>
        <v xml:space="preserve"> </v>
      </c>
      <c r="H144" s="8" t="str">
        <f>IF('Course 2'!$H142='tab2'!H$3,'Course 2'!$I142," ")</f>
        <v xml:space="preserve"> </v>
      </c>
      <c r="I144" s="8" t="str">
        <f>IF('Course 2'!$H142='tab2'!I$3,'Course 2'!$I142," ")</f>
        <v xml:space="preserve"> </v>
      </c>
      <c r="J144" s="8" t="str">
        <f>IF('Course 2'!$H142='tab2'!J$3,'Course 2'!$I142," ")</f>
        <v xml:space="preserve"> </v>
      </c>
      <c r="K144" s="8" t="str">
        <f>IF('Course 2'!$H142='tab2'!K$3,'Course 2'!$I142," ")</f>
        <v xml:space="preserve"> </v>
      </c>
      <c r="L144" s="8" t="str">
        <f>IF('Course 2'!$H142='tab2'!L$3,'Course 2'!$I142," ")</f>
        <v xml:space="preserve"> </v>
      </c>
      <c r="M144" s="8" t="str">
        <f>IF('Course 2'!$H142='tab2'!M$3,'Course 2'!$I142," ")</f>
        <v xml:space="preserve"> </v>
      </c>
      <c r="N144" s="9" t="str">
        <f>IF('Course 2'!$H142='tab2'!N$3,'Course 2'!$I142," ")</f>
        <v xml:space="preserve"> </v>
      </c>
    </row>
    <row r="145" spans="2:14">
      <c r="B145">
        <v>141</v>
      </c>
      <c r="C145" s="7" t="str">
        <f>IF('Course 2'!$H143='tab2'!C$3,'Course 2'!$I143," ")</f>
        <v xml:space="preserve"> </v>
      </c>
      <c r="D145" s="8" t="str">
        <f>IF('Course 2'!$H143='tab2'!D$3,'Course 2'!$I143," ")</f>
        <v xml:space="preserve"> </v>
      </c>
      <c r="E145" s="8" t="str">
        <f>IF('Course 2'!$H143='tab2'!E$3,'Course 2'!$I143," ")</f>
        <v xml:space="preserve"> </v>
      </c>
      <c r="F145" s="8" t="str">
        <f>IF('Course 2'!$H143='tab2'!F$3,'Course 2'!$I143," ")</f>
        <v xml:space="preserve"> </v>
      </c>
      <c r="G145" s="8" t="str">
        <f>IF('Course 2'!$H143='tab2'!G$3,'Course 2'!$I143," ")</f>
        <v xml:space="preserve"> </v>
      </c>
      <c r="H145" s="8" t="str">
        <f>IF('Course 2'!$H143='tab2'!H$3,'Course 2'!$I143," ")</f>
        <v xml:space="preserve"> </v>
      </c>
      <c r="I145" s="8" t="str">
        <f>IF('Course 2'!$H143='tab2'!I$3,'Course 2'!$I143," ")</f>
        <v xml:space="preserve"> </v>
      </c>
      <c r="J145" s="8" t="str">
        <f>IF('Course 2'!$H143='tab2'!J$3,'Course 2'!$I143," ")</f>
        <v xml:space="preserve"> </v>
      </c>
      <c r="K145" s="8" t="str">
        <f>IF('Course 2'!$H143='tab2'!K$3,'Course 2'!$I143," ")</f>
        <v xml:space="preserve"> </v>
      </c>
      <c r="L145" s="8" t="str">
        <f>IF('Course 2'!$H143='tab2'!L$3,'Course 2'!$I143," ")</f>
        <v xml:space="preserve"> </v>
      </c>
      <c r="M145" s="8" t="str">
        <f>IF('Course 2'!$H143='tab2'!M$3,'Course 2'!$I143," ")</f>
        <v xml:space="preserve"> </v>
      </c>
      <c r="N145" s="9" t="str">
        <f>IF('Course 2'!$H143='tab2'!N$3,'Course 2'!$I143," ")</f>
        <v xml:space="preserve"> </v>
      </c>
    </row>
    <row r="146" spans="2:14">
      <c r="B146">
        <v>142</v>
      </c>
      <c r="C146" s="7" t="str">
        <f>IF('Course 2'!$H144='tab2'!C$3,'Course 2'!$I144," ")</f>
        <v xml:space="preserve"> </v>
      </c>
      <c r="D146" s="8" t="str">
        <f>IF('Course 2'!$H144='tab2'!D$3,'Course 2'!$I144," ")</f>
        <v xml:space="preserve"> </v>
      </c>
      <c r="E146" s="8" t="str">
        <f>IF('Course 2'!$H144='tab2'!E$3,'Course 2'!$I144," ")</f>
        <v xml:space="preserve"> </v>
      </c>
      <c r="F146" s="8" t="str">
        <f>IF('Course 2'!$H144='tab2'!F$3,'Course 2'!$I144," ")</f>
        <v xml:space="preserve"> </v>
      </c>
      <c r="G146" s="8" t="str">
        <f>IF('Course 2'!$H144='tab2'!G$3,'Course 2'!$I144," ")</f>
        <v xml:space="preserve"> </v>
      </c>
      <c r="H146" s="8" t="str">
        <f>IF('Course 2'!$H144='tab2'!H$3,'Course 2'!$I144," ")</f>
        <v xml:space="preserve"> </v>
      </c>
      <c r="I146" s="8" t="str">
        <f>IF('Course 2'!$H144='tab2'!I$3,'Course 2'!$I144," ")</f>
        <v xml:space="preserve"> </v>
      </c>
      <c r="J146" s="8" t="str">
        <f>IF('Course 2'!$H144='tab2'!J$3,'Course 2'!$I144," ")</f>
        <v xml:space="preserve"> </v>
      </c>
      <c r="K146" s="8" t="str">
        <f>IF('Course 2'!$H144='tab2'!K$3,'Course 2'!$I144," ")</f>
        <v xml:space="preserve"> </v>
      </c>
      <c r="L146" s="8" t="str">
        <f>IF('Course 2'!$H144='tab2'!L$3,'Course 2'!$I144," ")</f>
        <v xml:space="preserve"> </v>
      </c>
      <c r="M146" s="8" t="str">
        <f>IF('Course 2'!$H144='tab2'!M$3,'Course 2'!$I144," ")</f>
        <v xml:space="preserve"> </v>
      </c>
      <c r="N146" s="9" t="str">
        <f>IF('Course 2'!$H144='tab2'!N$3,'Course 2'!$I144," ")</f>
        <v xml:space="preserve"> </v>
      </c>
    </row>
    <row r="147" spans="2:14">
      <c r="B147">
        <v>143</v>
      </c>
      <c r="C147" s="7" t="str">
        <f>IF('Course 2'!$H145='tab2'!C$3,'Course 2'!$I145," ")</f>
        <v xml:space="preserve"> </v>
      </c>
      <c r="D147" s="8" t="str">
        <f>IF('Course 2'!$H145='tab2'!D$3,'Course 2'!$I145," ")</f>
        <v xml:space="preserve"> </v>
      </c>
      <c r="E147" s="8" t="str">
        <f>IF('Course 2'!$H145='tab2'!E$3,'Course 2'!$I145," ")</f>
        <v xml:space="preserve"> </v>
      </c>
      <c r="F147" s="8" t="str">
        <f>IF('Course 2'!$H145='tab2'!F$3,'Course 2'!$I145," ")</f>
        <v xml:space="preserve"> </v>
      </c>
      <c r="G147" s="8" t="str">
        <f>IF('Course 2'!$H145='tab2'!G$3,'Course 2'!$I145," ")</f>
        <v xml:space="preserve"> </v>
      </c>
      <c r="H147" s="8" t="str">
        <f>IF('Course 2'!$H145='tab2'!H$3,'Course 2'!$I145," ")</f>
        <v xml:space="preserve"> </v>
      </c>
      <c r="I147" s="8" t="str">
        <f>IF('Course 2'!$H145='tab2'!I$3,'Course 2'!$I145," ")</f>
        <v xml:space="preserve"> </v>
      </c>
      <c r="J147" s="8" t="str">
        <f>IF('Course 2'!$H145='tab2'!J$3,'Course 2'!$I145," ")</f>
        <v xml:space="preserve"> </v>
      </c>
      <c r="K147" s="8" t="str">
        <f>IF('Course 2'!$H145='tab2'!K$3,'Course 2'!$I145," ")</f>
        <v xml:space="preserve"> </v>
      </c>
      <c r="L147" s="8" t="str">
        <f>IF('Course 2'!$H145='tab2'!L$3,'Course 2'!$I145," ")</f>
        <v xml:space="preserve"> </v>
      </c>
      <c r="M147" s="8" t="str">
        <f>IF('Course 2'!$H145='tab2'!M$3,'Course 2'!$I145," ")</f>
        <v xml:space="preserve"> </v>
      </c>
      <c r="N147" s="9" t="str">
        <f>IF('Course 2'!$H145='tab2'!N$3,'Course 2'!$I145," ")</f>
        <v xml:space="preserve"> </v>
      </c>
    </row>
    <row r="148" spans="2:14">
      <c r="B148">
        <v>144</v>
      </c>
      <c r="C148" s="7" t="str">
        <f>IF('Course 2'!$H146='tab2'!C$3,'Course 2'!$I146," ")</f>
        <v xml:space="preserve"> </v>
      </c>
      <c r="D148" s="8" t="str">
        <f>IF('Course 2'!$H146='tab2'!D$3,'Course 2'!$I146," ")</f>
        <v xml:space="preserve"> </v>
      </c>
      <c r="E148" s="8" t="str">
        <f>IF('Course 2'!$H146='tab2'!E$3,'Course 2'!$I146," ")</f>
        <v xml:space="preserve"> </v>
      </c>
      <c r="F148" s="8" t="str">
        <f>IF('Course 2'!$H146='tab2'!F$3,'Course 2'!$I146," ")</f>
        <v xml:space="preserve"> </v>
      </c>
      <c r="G148" s="8" t="str">
        <f>IF('Course 2'!$H146='tab2'!G$3,'Course 2'!$I146," ")</f>
        <v xml:space="preserve"> </v>
      </c>
      <c r="H148" s="8" t="str">
        <f>IF('Course 2'!$H146='tab2'!H$3,'Course 2'!$I146," ")</f>
        <v xml:space="preserve"> </v>
      </c>
      <c r="I148" s="8" t="str">
        <f>IF('Course 2'!$H146='tab2'!I$3,'Course 2'!$I146," ")</f>
        <v xml:space="preserve"> </v>
      </c>
      <c r="J148" s="8" t="str">
        <f>IF('Course 2'!$H146='tab2'!J$3,'Course 2'!$I146," ")</f>
        <v xml:space="preserve"> </v>
      </c>
      <c r="K148" s="8" t="str">
        <f>IF('Course 2'!$H146='tab2'!K$3,'Course 2'!$I146," ")</f>
        <v xml:space="preserve"> </v>
      </c>
      <c r="L148" s="8" t="str">
        <f>IF('Course 2'!$H146='tab2'!L$3,'Course 2'!$I146," ")</f>
        <v xml:space="preserve"> </v>
      </c>
      <c r="M148" s="8" t="str">
        <f>IF('Course 2'!$H146='tab2'!M$3,'Course 2'!$I146," ")</f>
        <v xml:space="preserve"> </v>
      </c>
      <c r="N148" s="9" t="str">
        <f>IF('Course 2'!$H146='tab2'!N$3,'Course 2'!$I146," ")</f>
        <v xml:space="preserve"> </v>
      </c>
    </row>
    <row r="149" spans="2:14">
      <c r="B149">
        <v>145</v>
      </c>
      <c r="C149" s="7" t="str">
        <f>IF('Course 2'!$H147='tab2'!C$3,'Course 2'!$I147," ")</f>
        <v xml:space="preserve"> </v>
      </c>
      <c r="D149" s="8" t="str">
        <f>IF('Course 2'!$H147='tab2'!D$3,'Course 2'!$I147," ")</f>
        <v xml:space="preserve"> </v>
      </c>
      <c r="E149" s="8" t="str">
        <f>IF('Course 2'!$H147='tab2'!E$3,'Course 2'!$I147," ")</f>
        <v xml:space="preserve"> </v>
      </c>
      <c r="F149" s="8" t="str">
        <f>IF('Course 2'!$H147='tab2'!F$3,'Course 2'!$I147," ")</f>
        <v xml:space="preserve"> </v>
      </c>
      <c r="G149" s="8" t="str">
        <f>IF('Course 2'!$H147='tab2'!G$3,'Course 2'!$I147," ")</f>
        <v xml:space="preserve"> </v>
      </c>
      <c r="H149" s="8" t="str">
        <f>IF('Course 2'!$H147='tab2'!H$3,'Course 2'!$I147," ")</f>
        <v xml:space="preserve"> </v>
      </c>
      <c r="I149" s="8" t="str">
        <f>IF('Course 2'!$H147='tab2'!I$3,'Course 2'!$I147," ")</f>
        <v xml:space="preserve"> </v>
      </c>
      <c r="J149" s="8" t="str">
        <f>IF('Course 2'!$H147='tab2'!J$3,'Course 2'!$I147," ")</f>
        <v xml:space="preserve"> </v>
      </c>
      <c r="K149" s="8" t="str">
        <f>IF('Course 2'!$H147='tab2'!K$3,'Course 2'!$I147," ")</f>
        <v xml:space="preserve"> </v>
      </c>
      <c r="L149" s="8" t="str">
        <f>IF('Course 2'!$H147='tab2'!L$3,'Course 2'!$I147," ")</f>
        <v xml:space="preserve"> </v>
      </c>
      <c r="M149" s="8" t="str">
        <f>IF('Course 2'!$H147='tab2'!M$3,'Course 2'!$I147," ")</f>
        <v xml:space="preserve"> </v>
      </c>
      <c r="N149" s="9" t="str">
        <f>IF('Course 2'!$H147='tab2'!N$3,'Course 2'!$I147," ")</f>
        <v xml:space="preserve"> </v>
      </c>
    </row>
    <row r="150" spans="2:14">
      <c r="B150">
        <v>146</v>
      </c>
      <c r="C150" s="7" t="str">
        <f>IF('Course 2'!$H148='tab2'!C$3,'Course 2'!$I148," ")</f>
        <v xml:space="preserve"> </v>
      </c>
      <c r="D150" s="8" t="str">
        <f>IF('Course 2'!$H148='tab2'!D$3,'Course 2'!$I148," ")</f>
        <v xml:space="preserve"> </v>
      </c>
      <c r="E150" s="8" t="str">
        <f>IF('Course 2'!$H148='tab2'!E$3,'Course 2'!$I148," ")</f>
        <v xml:space="preserve"> </v>
      </c>
      <c r="F150" s="8" t="str">
        <f>IF('Course 2'!$H148='tab2'!F$3,'Course 2'!$I148," ")</f>
        <v xml:space="preserve"> </v>
      </c>
      <c r="G150" s="8" t="str">
        <f>IF('Course 2'!$H148='tab2'!G$3,'Course 2'!$I148," ")</f>
        <v xml:space="preserve"> </v>
      </c>
      <c r="H150" s="8" t="str">
        <f>IF('Course 2'!$H148='tab2'!H$3,'Course 2'!$I148," ")</f>
        <v xml:space="preserve"> </v>
      </c>
      <c r="I150" s="8" t="str">
        <f>IF('Course 2'!$H148='tab2'!I$3,'Course 2'!$I148," ")</f>
        <v xml:space="preserve"> </v>
      </c>
      <c r="J150" s="8" t="str">
        <f>IF('Course 2'!$H148='tab2'!J$3,'Course 2'!$I148," ")</f>
        <v xml:space="preserve"> </v>
      </c>
      <c r="K150" s="8" t="str">
        <f>IF('Course 2'!$H148='tab2'!K$3,'Course 2'!$I148," ")</f>
        <v xml:space="preserve"> </v>
      </c>
      <c r="L150" s="8" t="str">
        <f>IF('Course 2'!$H148='tab2'!L$3,'Course 2'!$I148," ")</f>
        <v xml:space="preserve"> </v>
      </c>
      <c r="M150" s="8" t="str">
        <f>IF('Course 2'!$H148='tab2'!M$3,'Course 2'!$I148," ")</f>
        <v xml:space="preserve"> </v>
      </c>
      <c r="N150" s="9" t="str">
        <f>IF('Course 2'!$H148='tab2'!N$3,'Course 2'!$I148," ")</f>
        <v xml:space="preserve"> </v>
      </c>
    </row>
    <row r="151" spans="2:14">
      <c r="B151">
        <v>147</v>
      </c>
      <c r="C151" s="7" t="str">
        <f>IF('Course 2'!$H149='tab2'!C$3,'Course 2'!$I149," ")</f>
        <v xml:space="preserve"> </v>
      </c>
      <c r="D151" s="8" t="str">
        <f>IF('Course 2'!$H149='tab2'!D$3,'Course 2'!$I149," ")</f>
        <v xml:space="preserve"> </v>
      </c>
      <c r="E151" s="8" t="str">
        <f>IF('Course 2'!$H149='tab2'!E$3,'Course 2'!$I149," ")</f>
        <v xml:space="preserve"> </v>
      </c>
      <c r="F151" s="8" t="str">
        <f>IF('Course 2'!$H149='tab2'!F$3,'Course 2'!$I149," ")</f>
        <v xml:space="preserve"> </v>
      </c>
      <c r="G151" s="8" t="str">
        <f>IF('Course 2'!$H149='tab2'!G$3,'Course 2'!$I149," ")</f>
        <v xml:space="preserve"> </v>
      </c>
      <c r="H151" s="8" t="str">
        <f>IF('Course 2'!$H149='tab2'!H$3,'Course 2'!$I149," ")</f>
        <v xml:space="preserve"> </v>
      </c>
      <c r="I151" s="8" t="str">
        <f>IF('Course 2'!$H149='tab2'!I$3,'Course 2'!$I149," ")</f>
        <v xml:space="preserve"> </v>
      </c>
      <c r="J151" s="8" t="str">
        <f>IF('Course 2'!$H149='tab2'!J$3,'Course 2'!$I149," ")</f>
        <v xml:space="preserve"> </v>
      </c>
      <c r="K151" s="8" t="str">
        <f>IF('Course 2'!$H149='tab2'!K$3,'Course 2'!$I149," ")</f>
        <v xml:space="preserve"> </v>
      </c>
      <c r="L151" s="8" t="str">
        <f>IF('Course 2'!$H149='tab2'!L$3,'Course 2'!$I149," ")</f>
        <v xml:space="preserve"> </v>
      </c>
      <c r="M151" s="8" t="str">
        <f>IF('Course 2'!$H149='tab2'!M$3,'Course 2'!$I149," ")</f>
        <v xml:space="preserve"> </v>
      </c>
      <c r="N151" s="9" t="str">
        <f>IF('Course 2'!$H149='tab2'!N$3,'Course 2'!$I149," ")</f>
        <v xml:space="preserve"> </v>
      </c>
    </row>
    <row r="152" spans="2:14">
      <c r="B152">
        <v>148</v>
      </c>
      <c r="C152" s="7" t="str">
        <f>IF('Course 2'!$H150='tab2'!C$3,'Course 2'!$I150," ")</f>
        <v xml:space="preserve"> </v>
      </c>
      <c r="D152" s="8" t="str">
        <f>IF('Course 2'!$H150='tab2'!D$3,'Course 2'!$I150," ")</f>
        <v xml:space="preserve"> </v>
      </c>
      <c r="E152" s="8" t="str">
        <f>IF('Course 2'!$H150='tab2'!E$3,'Course 2'!$I150," ")</f>
        <v xml:space="preserve"> </v>
      </c>
      <c r="F152" s="8" t="str">
        <f>IF('Course 2'!$H150='tab2'!F$3,'Course 2'!$I150," ")</f>
        <v xml:space="preserve"> </v>
      </c>
      <c r="G152" s="8" t="str">
        <f>IF('Course 2'!$H150='tab2'!G$3,'Course 2'!$I150," ")</f>
        <v xml:space="preserve"> </v>
      </c>
      <c r="H152" s="8" t="str">
        <f>IF('Course 2'!$H150='tab2'!H$3,'Course 2'!$I150," ")</f>
        <v xml:space="preserve"> </v>
      </c>
      <c r="I152" s="8" t="str">
        <f>IF('Course 2'!$H150='tab2'!I$3,'Course 2'!$I150," ")</f>
        <v xml:space="preserve"> </v>
      </c>
      <c r="J152" s="8" t="str">
        <f>IF('Course 2'!$H150='tab2'!J$3,'Course 2'!$I150," ")</f>
        <v xml:space="preserve"> </v>
      </c>
      <c r="K152" s="8" t="str">
        <f>IF('Course 2'!$H150='tab2'!K$3,'Course 2'!$I150," ")</f>
        <v xml:space="preserve"> </v>
      </c>
      <c r="L152" s="8" t="str">
        <f>IF('Course 2'!$H150='tab2'!L$3,'Course 2'!$I150," ")</f>
        <v xml:space="preserve"> </v>
      </c>
      <c r="M152" s="8" t="str">
        <f>IF('Course 2'!$H150='tab2'!M$3,'Course 2'!$I150," ")</f>
        <v xml:space="preserve"> </v>
      </c>
      <c r="N152" s="9" t="str">
        <f>IF('Course 2'!$H150='tab2'!N$3,'Course 2'!$I150," ")</f>
        <v xml:space="preserve"> </v>
      </c>
    </row>
    <row r="153" spans="2:14">
      <c r="B153">
        <v>149</v>
      </c>
      <c r="C153" s="7" t="str">
        <f>IF('Course 2'!$H151='tab2'!C$3,'Course 2'!$I151," ")</f>
        <v xml:space="preserve"> </v>
      </c>
      <c r="D153" s="8" t="str">
        <f>IF('Course 2'!$H151='tab2'!D$3,'Course 2'!$I151," ")</f>
        <v xml:space="preserve"> </v>
      </c>
      <c r="E153" s="8" t="str">
        <f>IF('Course 2'!$H151='tab2'!E$3,'Course 2'!$I151," ")</f>
        <v xml:space="preserve"> </v>
      </c>
      <c r="F153" s="8" t="str">
        <f>IF('Course 2'!$H151='tab2'!F$3,'Course 2'!$I151," ")</f>
        <v xml:space="preserve"> </v>
      </c>
      <c r="G153" s="8" t="str">
        <f>IF('Course 2'!$H151='tab2'!G$3,'Course 2'!$I151," ")</f>
        <v xml:space="preserve"> </v>
      </c>
      <c r="H153" s="8" t="str">
        <f>IF('Course 2'!$H151='tab2'!H$3,'Course 2'!$I151," ")</f>
        <v xml:space="preserve"> </v>
      </c>
      <c r="I153" s="8" t="str">
        <f>IF('Course 2'!$H151='tab2'!I$3,'Course 2'!$I151," ")</f>
        <v xml:space="preserve"> </v>
      </c>
      <c r="J153" s="8" t="str">
        <f>IF('Course 2'!$H151='tab2'!J$3,'Course 2'!$I151," ")</f>
        <v xml:space="preserve"> </v>
      </c>
      <c r="K153" s="8" t="str">
        <f>IF('Course 2'!$H151='tab2'!K$3,'Course 2'!$I151," ")</f>
        <v xml:space="preserve"> </v>
      </c>
      <c r="L153" s="8" t="str">
        <f>IF('Course 2'!$H151='tab2'!L$3,'Course 2'!$I151," ")</f>
        <v xml:space="preserve"> </v>
      </c>
      <c r="M153" s="8" t="str">
        <f>IF('Course 2'!$H151='tab2'!M$3,'Course 2'!$I151," ")</f>
        <v xml:space="preserve"> </v>
      </c>
      <c r="N153" s="9" t="str">
        <f>IF('Course 2'!$H151='tab2'!N$3,'Course 2'!$I151," ")</f>
        <v xml:space="preserve"> </v>
      </c>
    </row>
    <row r="154" spans="2:14">
      <c r="B154">
        <v>150</v>
      </c>
      <c r="C154" s="7" t="str">
        <f>IF('Course 2'!$H152='tab2'!C$3,'Course 2'!$I152," ")</f>
        <v xml:space="preserve"> </v>
      </c>
      <c r="D154" s="8" t="str">
        <f>IF('Course 2'!$H152='tab2'!D$3,'Course 2'!$I152," ")</f>
        <v xml:space="preserve"> </v>
      </c>
      <c r="E154" s="8" t="str">
        <f>IF('Course 2'!$H152='tab2'!E$3,'Course 2'!$I152," ")</f>
        <v xml:space="preserve"> </v>
      </c>
      <c r="F154" s="8" t="str">
        <f>IF('Course 2'!$H152='tab2'!F$3,'Course 2'!$I152," ")</f>
        <v xml:space="preserve"> </v>
      </c>
      <c r="G154" s="8" t="str">
        <f>IF('Course 2'!$H152='tab2'!G$3,'Course 2'!$I152," ")</f>
        <v xml:space="preserve"> </v>
      </c>
      <c r="H154" s="8" t="str">
        <f>IF('Course 2'!$H152='tab2'!H$3,'Course 2'!$I152," ")</f>
        <v xml:space="preserve"> </v>
      </c>
      <c r="I154" s="8" t="str">
        <f>IF('Course 2'!$H152='tab2'!I$3,'Course 2'!$I152," ")</f>
        <v xml:space="preserve"> </v>
      </c>
      <c r="J154" s="8" t="str">
        <f>IF('Course 2'!$H152='tab2'!J$3,'Course 2'!$I152," ")</f>
        <v xml:space="preserve"> </v>
      </c>
      <c r="K154" s="8" t="str">
        <f>IF('Course 2'!$H152='tab2'!K$3,'Course 2'!$I152," ")</f>
        <v xml:space="preserve"> </v>
      </c>
      <c r="L154" s="8" t="str">
        <f>IF('Course 2'!$H152='tab2'!L$3,'Course 2'!$I152," ")</f>
        <v xml:space="preserve"> </v>
      </c>
      <c r="M154" s="8" t="str">
        <f>IF('Course 2'!$H152='tab2'!M$3,'Course 2'!$I152," ")</f>
        <v xml:space="preserve"> </v>
      </c>
      <c r="N154" s="9" t="str">
        <f>IF('Course 2'!$H152='tab2'!N$3,'Course 2'!$I152," ")</f>
        <v xml:space="preserve"> </v>
      </c>
    </row>
    <row r="155" spans="2:14">
      <c r="B155">
        <v>151</v>
      </c>
      <c r="C155" s="7" t="str">
        <f>IF('Course 2'!$H153='tab2'!C$3,'Course 2'!$I153," ")</f>
        <v xml:space="preserve"> </v>
      </c>
      <c r="D155" s="8" t="str">
        <f>IF('Course 2'!$H153='tab2'!D$3,'Course 2'!$I153," ")</f>
        <v xml:space="preserve"> </v>
      </c>
      <c r="E155" s="8" t="str">
        <f>IF('Course 2'!$H153='tab2'!E$3,'Course 2'!$I153," ")</f>
        <v xml:space="preserve"> </v>
      </c>
      <c r="F155" s="8" t="str">
        <f>IF('Course 2'!$H153='tab2'!F$3,'Course 2'!$I153," ")</f>
        <v xml:space="preserve"> </v>
      </c>
      <c r="G155" s="8" t="str">
        <f>IF('Course 2'!$H153='tab2'!G$3,'Course 2'!$I153," ")</f>
        <v xml:space="preserve"> </v>
      </c>
      <c r="H155" s="8" t="str">
        <f>IF('Course 2'!$H153='tab2'!H$3,'Course 2'!$I153," ")</f>
        <v xml:space="preserve"> </v>
      </c>
      <c r="I155" s="8" t="str">
        <f>IF('Course 2'!$H153='tab2'!I$3,'Course 2'!$I153," ")</f>
        <v xml:space="preserve"> </v>
      </c>
      <c r="J155" s="8" t="str">
        <f>IF('Course 2'!$H153='tab2'!J$3,'Course 2'!$I153," ")</f>
        <v xml:space="preserve"> </v>
      </c>
      <c r="K155" s="8" t="str">
        <f>IF('Course 2'!$H153='tab2'!K$3,'Course 2'!$I153," ")</f>
        <v xml:space="preserve"> </v>
      </c>
      <c r="L155" s="8" t="str">
        <f>IF('Course 2'!$H153='tab2'!L$3,'Course 2'!$I153," ")</f>
        <v xml:space="preserve"> </v>
      </c>
      <c r="M155" s="8" t="str">
        <f>IF('Course 2'!$H153='tab2'!M$3,'Course 2'!$I153," ")</f>
        <v xml:space="preserve"> </v>
      </c>
      <c r="N155" s="9" t="str">
        <f>IF('Course 2'!$H153='tab2'!N$3,'Course 2'!$I153," ")</f>
        <v xml:space="preserve"> </v>
      </c>
    </row>
    <row r="156" spans="2:14">
      <c r="B156">
        <v>152</v>
      </c>
      <c r="C156" s="7" t="str">
        <f>IF('Course 2'!$H154='tab2'!C$3,'Course 2'!$I154," ")</f>
        <v xml:space="preserve"> </v>
      </c>
      <c r="D156" s="8" t="str">
        <f>IF('Course 2'!$H154='tab2'!D$3,'Course 2'!$I154," ")</f>
        <v xml:space="preserve"> </v>
      </c>
      <c r="E156" s="8" t="str">
        <f>IF('Course 2'!$H154='tab2'!E$3,'Course 2'!$I154," ")</f>
        <v xml:space="preserve"> </v>
      </c>
      <c r="F156" s="8" t="str">
        <f>IF('Course 2'!$H154='tab2'!F$3,'Course 2'!$I154," ")</f>
        <v xml:space="preserve"> </v>
      </c>
      <c r="G156" s="8" t="str">
        <f>IF('Course 2'!$H154='tab2'!G$3,'Course 2'!$I154," ")</f>
        <v xml:space="preserve"> </v>
      </c>
      <c r="H156" s="8" t="str">
        <f>IF('Course 2'!$H154='tab2'!H$3,'Course 2'!$I154," ")</f>
        <v xml:space="preserve"> </v>
      </c>
      <c r="I156" s="8" t="str">
        <f>IF('Course 2'!$H154='tab2'!I$3,'Course 2'!$I154," ")</f>
        <v xml:space="preserve"> </v>
      </c>
      <c r="J156" s="8" t="str">
        <f>IF('Course 2'!$H154='tab2'!J$3,'Course 2'!$I154," ")</f>
        <v xml:space="preserve"> </v>
      </c>
      <c r="K156" s="8" t="str">
        <f>IF('Course 2'!$H154='tab2'!K$3,'Course 2'!$I154," ")</f>
        <v xml:space="preserve"> </v>
      </c>
      <c r="L156" s="8" t="str">
        <f>IF('Course 2'!$H154='tab2'!L$3,'Course 2'!$I154," ")</f>
        <v xml:space="preserve"> </v>
      </c>
      <c r="M156" s="8" t="str">
        <f>IF('Course 2'!$H154='tab2'!M$3,'Course 2'!$I154," ")</f>
        <v xml:space="preserve"> </v>
      </c>
      <c r="N156" s="9" t="str">
        <f>IF('Course 2'!$H154='tab2'!N$3,'Course 2'!$I154," ")</f>
        <v xml:space="preserve"> </v>
      </c>
    </row>
    <row r="157" spans="2:14">
      <c r="B157">
        <v>153</v>
      </c>
      <c r="C157" s="7" t="str">
        <f>IF('Course 2'!$H155='tab2'!C$3,'Course 2'!$I155," ")</f>
        <v xml:space="preserve"> </v>
      </c>
      <c r="D157" s="8" t="str">
        <f>IF('Course 2'!$H155='tab2'!D$3,'Course 2'!$I155," ")</f>
        <v xml:space="preserve"> </v>
      </c>
      <c r="E157" s="8" t="str">
        <f>IF('Course 2'!$H155='tab2'!E$3,'Course 2'!$I155," ")</f>
        <v xml:space="preserve"> </v>
      </c>
      <c r="F157" s="8" t="str">
        <f>IF('Course 2'!$H155='tab2'!F$3,'Course 2'!$I155," ")</f>
        <v xml:space="preserve"> </v>
      </c>
      <c r="G157" s="8" t="str">
        <f>IF('Course 2'!$H155='tab2'!G$3,'Course 2'!$I155," ")</f>
        <v xml:space="preserve"> </v>
      </c>
      <c r="H157" s="8" t="str">
        <f>IF('Course 2'!$H155='tab2'!H$3,'Course 2'!$I155," ")</f>
        <v xml:space="preserve"> </v>
      </c>
      <c r="I157" s="8" t="str">
        <f>IF('Course 2'!$H155='tab2'!I$3,'Course 2'!$I155," ")</f>
        <v xml:space="preserve"> </v>
      </c>
      <c r="J157" s="8" t="str">
        <f>IF('Course 2'!$H155='tab2'!J$3,'Course 2'!$I155," ")</f>
        <v xml:space="preserve"> </v>
      </c>
      <c r="K157" s="8" t="str">
        <f>IF('Course 2'!$H155='tab2'!K$3,'Course 2'!$I155," ")</f>
        <v xml:space="preserve"> </v>
      </c>
      <c r="L157" s="8" t="str">
        <f>IF('Course 2'!$H155='tab2'!L$3,'Course 2'!$I155," ")</f>
        <v xml:space="preserve"> </v>
      </c>
      <c r="M157" s="8" t="str">
        <f>IF('Course 2'!$H155='tab2'!M$3,'Course 2'!$I155," ")</f>
        <v xml:space="preserve"> </v>
      </c>
      <c r="N157" s="9" t="str">
        <f>IF('Course 2'!$H155='tab2'!N$3,'Course 2'!$I155," ")</f>
        <v xml:space="preserve"> </v>
      </c>
    </row>
    <row r="158" spans="2:14">
      <c r="B158">
        <v>154</v>
      </c>
      <c r="C158" s="7" t="str">
        <f>IF('Course 2'!$H156='tab2'!C$3,'Course 2'!$I156," ")</f>
        <v xml:space="preserve"> </v>
      </c>
      <c r="D158" s="8" t="str">
        <f>IF('Course 2'!$H156='tab2'!D$3,'Course 2'!$I156," ")</f>
        <v xml:space="preserve"> </v>
      </c>
      <c r="E158" s="8" t="str">
        <f>IF('Course 2'!$H156='tab2'!E$3,'Course 2'!$I156," ")</f>
        <v xml:space="preserve"> </v>
      </c>
      <c r="F158" s="8" t="str">
        <f>IF('Course 2'!$H156='tab2'!F$3,'Course 2'!$I156," ")</f>
        <v xml:space="preserve"> </v>
      </c>
      <c r="G158" s="8" t="str">
        <f>IF('Course 2'!$H156='tab2'!G$3,'Course 2'!$I156," ")</f>
        <v xml:space="preserve"> </v>
      </c>
      <c r="H158" s="8" t="str">
        <f>IF('Course 2'!$H156='tab2'!H$3,'Course 2'!$I156," ")</f>
        <v xml:space="preserve"> </v>
      </c>
      <c r="I158" s="8" t="str">
        <f>IF('Course 2'!$H156='tab2'!I$3,'Course 2'!$I156," ")</f>
        <v xml:space="preserve"> </v>
      </c>
      <c r="J158" s="8" t="str">
        <f>IF('Course 2'!$H156='tab2'!J$3,'Course 2'!$I156," ")</f>
        <v xml:space="preserve"> </v>
      </c>
      <c r="K158" s="8" t="str">
        <f>IF('Course 2'!$H156='tab2'!K$3,'Course 2'!$I156," ")</f>
        <v xml:space="preserve"> </v>
      </c>
      <c r="L158" s="8" t="str">
        <f>IF('Course 2'!$H156='tab2'!L$3,'Course 2'!$I156," ")</f>
        <v xml:space="preserve"> </v>
      </c>
      <c r="M158" s="8" t="str">
        <f>IF('Course 2'!$H156='tab2'!M$3,'Course 2'!$I156," ")</f>
        <v xml:space="preserve"> </v>
      </c>
      <c r="N158" s="9" t="str">
        <f>IF('Course 2'!$H156='tab2'!N$3,'Course 2'!$I156," ")</f>
        <v xml:space="preserve"> </v>
      </c>
    </row>
    <row r="159" spans="2:14">
      <c r="B159">
        <v>155</v>
      </c>
      <c r="C159" s="7" t="str">
        <f>IF('Course 2'!$H157='tab2'!C$3,'Course 2'!$I157," ")</f>
        <v xml:space="preserve"> </v>
      </c>
      <c r="D159" s="8" t="str">
        <f>IF('Course 2'!$H157='tab2'!D$3,'Course 2'!$I157," ")</f>
        <v xml:space="preserve"> </v>
      </c>
      <c r="E159" s="8" t="str">
        <f>IF('Course 2'!$H157='tab2'!E$3,'Course 2'!$I157," ")</f>
        <v xml:space="preserve"> </v>
      </c>
      <c r="F159" s="8" t="str">
        <f>IF('Course 2'!$H157='tab2'!F$3,'Course 2'!$I157," ")</f>
        <v xml:space="preserve"> </v>
      </c>
      <c r="G159" s="8" t="str">
        <f>IF('Course 2'!$H157='tab2'!G$3,'Course 2'!$I157," ")</f>
        <v xml:space="preserve"> </v>
      </c>
      <c r="H159" s="8" t="str">
        <f>IF('Course 2'!$H157='tab2'!H$3,'Course 2'!$I157," ")</f>
        <v xml:space="preserve"> </v>
      </c>
      <c r="I159" s="8" t="str">
        <f>IF('Course 2'!$H157='tab2'!I$3,'Course 2'!$I157," ")</f>
        <v xml:space="preserve"> </v>
      </c>
      <c r="J159" s="8" t="str">
        <f>IF('Course 2'!$H157='tab2'!J$3,'Course 2'!$I157," ")</f>
        <v xml:space="preserve"> </v>
      </c>
      <c r="K159" s="8" t="str">
        <f>IF('Course 2'!$H157='tab2'!K$3,'Course 2'!$I157," ")</f>
        <v xml:space="preserve"> </v>
      </c>
      <c r="L159" s="8" t="str">
        <f>IF('Course 2'!$H157='tab2'!L$3,'Course 2'!$I157," ")</f>
        <v xml:space="preserve"> </v>
      </c>
      <c r="M159" s="8" t="str">
        <f>IF('Course 2'!$H157='tab2'!M$3,'Course 2'!$I157," ")</f>
        <v xml:space="preserve"> </v>
      </c>
      <c r="N159" s="9" t="str">
        <f>IF('Course 2'!$H157='tab2'!N$3,'Course 2'!$I157," ")</f>
        <v xml:space="preserve"> </v>
      </c>
    </row>
    <row r="160" spans="2:14">
      <c r="B160">
        <v>156</v>
      </c>
      <c r="C160" s="7" t="str">
        <f>IF('Course 2'!$H158='tab2'!C$3,'Course 2'!$I158," ")</f>
        <v xml:space="preserve"> </v>
      </c>
      <c r="D160" s="8" t="str">
        <f>IF('Course 2'!$H158='tab2'!D$3,'Course 2'!$I158," ")</f>
        <v xml:space="preserve"> </v>
      </c>
      <c r="E160" s="8" t="str">
        <f>IF('Course 2'!$H158='tab2'!E$3,'Course 2'!$I158," ")</f>
        <v xml:space="preserve"> </v>
      </c>
      <c r="F160" s="8" t="str">
        <f>IF('Course 2'!$H158='tab2'!F$3,'Course 2'!$I158," ")</f>
        <v xml:space="preserve"> </v>
      </c>
      <c r="G160" s="8" t="str">
        <f>IF('Course 2'!$H158='tab2'!G$3,'Course 2'!$I158," ")</f>
        <v xml:space="preserve"> </v>
      </c>
      <c r="H160" s="8" t="str">
        <f>IF('Course 2'!$H158='tab2'!H$3,'Course 2'!$I158," ")</f>
        <v xml:space="preserve"> </v>
      </c>
      <c r="I160" s="8" t="str">
        <f>IF('Course 2'!$H158='tab2'!I$3,'Course 2'!$I158," ")</f>
        <v xml:space="preserve"> </v>
      </c>
      <c r="J160" s="8" t="str">
        <f>IF('Course 2'!$H158='tab2'!J$3,'Course 2'!$I158," ")</f>
        <v xml:space="preserve"> </v>
      </c>
      <c r="K160" s="8" t="str">
        <f>IF('Course 2'!$H158='tab2'!K$3,'Course 2'!$I158," ")</f>
        <v xml:space="preserve"> </v>
      </c>
      <c r="L160" s="8" t="str">
        <f>IF('Course 2'!$H158='tab2'!L$3,'Course 2'!$I158," ")</f>
        <v xml:space="preserve"> </v>
      </c>
      <c r="M160" s="8" t="str">
        <f>IF('Course 2'!$H158='tab2'!M$3,'Course 2'!$I158," ")</f>
        <v xml:space="preserve"> </v>
      </c>
      <c r="N160" s="9" t="str">
        <f>IF('Course 2'!$H158='tab2'!N$3,'Course 2'!$I158," ")</f>
        <v xml:space="preserve"> </v>
      </c>
    </row>
    <row r="161" spans="2:14">
      <c r="B161">
        <v>157</v>
      </c>
      <c r="C161" s="7" t="str">
        <f>IF('Course 2'!$H159='tab2'!C$3,'Course 2'!$I159," ")</f>
        <v xml:space="preserve"> </v>
      </c>
      <c r="D161" s="8" t="str">
        <f>IF('Course 2'!$H159='tab2'!D$3,'Course 2'!$I159," ")</f>
        <v xml:space="preserve"> </v>
      </c>
      <c r="E161" s="8" t="str">
        <f>IF('Course 2'!$H159='tab2'!E$3,'Course 2'!$I159," ")</f>
        <v xml:space="preserve"> </v>
      </c>
      <c r="F161" s="8" t="str">
        <f>IF('Course 2'!$H159='tab2'!F$3,'Course 2'!$I159," ")</f>
        <v xml:space="preserve"> </v>
      </c>
      <c r="G161" s="8" t="str">
        <f>IF('Course 2'!$H159='tab2'!G$3,'Course 2'!$I159," ")</f>
        <v xml:space="preserve"> </v>
      </c>
      <c r="H161" s="8" t="str">
        <f>IF('Course 2'!$H159='tab2'!H$3,'Course 2'!$I159," ")</f>
        <v xml:space="preserve"> </v>
      </c>
      <c r="I161" s="8" t="str">
        <f>IF('Course 2'!$H159='tab2'!I$3,'Course 2'!$I159," ")</f>
        <v xml:space="preserve"> </v>
      </c>
      <c r="J161" s="8" t="str">
        <f>IF('Course 2'!$H159='tab2'!J$3,'Course 2'!$I159," ")</f>
        <v xml:space="preserve"> </v>
      </c>
      <c r="K161" s="8" t="str">
        <f>IF('Course 2'!$H159='tab2'!K$3,'Course 2'!$I159," ")</f>
        <v xml:space="preserve"> </v>
      </c>
      <c r="L161" s="8" t="str">
        <f>IF('Course 2'!$H159='tab2'!L$3,'Course 2'!$I159," ")</f>
        <v xml:space="preserve"> </v>
      </c>
      <c r="M161" s="8" t="str">
        <f>IF('Course 2'!$H159='tab2'!M$3,'Course 2'!$I159," ")</f>
        <v xml:space="preserve"> </v>
      </c>
      <c r="N161" s="9" t="str">
        <f>IF('Course 2'!$H159='tab2'!N$3,'Course 2'!$I159," ")</f>
        <v xml:space="preserve"> </v>
      </c>
    </row>
    <row r="162" spans="2:14">
      <c r="B162">
        <v>158</v>
      </c>
      <c r="C162" s="7" t="str">
        <f>IF('Course 2'!$H160='tab2'!C$3,'Course 2'!$I160," ")</f>
        <v xml:space="preserve"> </v>
      </c>
      <c r="D162" s="8" t="str">
        <f>IF('Course 2'!$H160='tab2'!D$3,'Course 2'!$I160," ")</f>
        <v xml:space="preserve"> </v>
      </c>
      <c r="E162" s="8" t="str">
        <f>IF('Course 2'!$H160='tab2'!E$3,'Course 2'!$I160," ")</f>
        <v xml:space="preserve"> </v>
      </c>
      <c r="F162" s="8" t="str">
        <f>IF('Course 2'!$H160='tab2'!F$3,'Course 2'!$I160," ")</f>
        <v xml:space="preserve"> </v>
      </c>
      <c r="G162" s="8" t="str">
        <f>IF('Course 2'!$H160='tab2'!G$3,'Course 2'!$I160," ")</f>
        <v xml:space="preserve"> </v>
      </c>
      <c r="H162" s="8" t="str">
        <f>IF('Course 2'!$H160='tab2'!H$3,'Course 2'!$I160," ")</f>
        <v xml:space="preserve"> </v>
      </c>
      <c r="I162" s="8" t="str">
        <f>IF('Course 2'!$H160='tab2'!I$3,'Course 2'!$I160," ")</f>
        <v xml:space="preserve"> </v>
      </c>
      <c r="J162" s="8" t="str">
        <f>IF('Course 2'!$H160='tab2'!J$3,'Course 2'!$I160," ")</f>
        <v xml:space="preserve"> </v>
      </c>
      <c r="K162" s="8" t="str">
        <f>IF('Course 2'!$H160='tab2'!K$3,'Course 2'!$I160," ")</f>
        <v xml:space="preserve"> </v>
      </c>
      <c r="L162" s="8" t="str">
        <f>IF('Course 2'!$H160='tab2'!L$3,'Course 2'!$I160," ")</f>
        <v xml:space="preserve"> </v>
      </c>
      <c r="M162" s="8" t="str">
        <f>IF('Course 2'!$H160='tab2'!M$3,'Course 2'!$I160," ")</f>
        <v xml:space="preserve"> </v>
      </c>
      <c r="N162" s="9" t="str">
        <f>IF('Course 2'!$H160='tab2'!N$3,'Course 2'!$I160," ")</f>
        <v xml:space="preserve"> </v>
      </c>
    </row>
    <row r="163" spans="2:14">
      <c r="B163">
        <v>159</v>
      </c>
      <c r="C163" s="7" t="str">
        <f>IF('Course 2'!$H161='tab2'!C$3,'Course 2'!$I161," ")</f>
        <v xml:space="preserve"> </v>
      </c>
      <c r="D163" s="8" t="str">
        <f>IF('Course 2'!$H161='tab2'!D$3,'Course 2'!$I161," ")</f>
        <v xml:space="preserve"> </v>
      </c>
      <c r="E163" s="8" t="str">
        <f>IF('Course 2'!$H161='tab2'!E$3,'Course 2'!$I161," ")</f>
        <v xml:space="preserve"> </v>
      </c>
      <c r="F163" s="8" t="str">
        <f>IF('Course 2'!$H161='tab2'!F$3,'Course 2'!$I161," ")</f>
        <v xml:space="preserve"> </v>
      </c>
      <c r="G163" s="8" t="str">
        <f>IF('Course 2'!$H161='tab2'!G$3,'Course 2'!$I161," ")</f>
        <v xml:space="preserve"> </v>
      </c>
      <c r="H163" s="8" t="str">
        <f>IF('Course 2'!$H161='tab2'!H$3,'Course 2'!$I161," ")</f>
        <v xml:space="preserve"> </v>
      </c>
      <c r="I163" s="8" t="str">
        <f>IF('Course 2'!$H161='tab2'!I$3,'Course 2'!$I161," ")</f>
        <v xml:space="preserve"> </v>
      </c>
      <c r="J163" s="8" t="str">
        <f>IF('Course 2'!$H161='tab2'!J$3,'Course 2'!$I161," ")</f>
        <v xml:space="preserve"> </v>
      </c>
      <c r="K163" s="8" t="str">
        <f>IF('Course 2'!$H161='tab2'!K$3,'Course 2'!$I161," ")</f>
        <v xml:space="preserve"> </v>
      </c>
      <c r="L163" s="8" t="str">
        <f>IF('Course 2'!$H161='tab2'!L$3,'Course 2'!$I161," ")</f>
        <v xml:space="preserve"> </v>
      </c>
      <c r="M163" s="8" t="str">
        <f>IF('Course 2'!$H161='tab2'!M$3,'Course 2'!$I161," ")</f>
        <v xml:space="preserve"> </v>
      </c>
      <c r="N163" s="9" t="str">
        <f>IF('Course 2'!$H161='tab2'!N$3,'Course 2'!$I161," ")</f>
        <v xml:space="preserve"> </v>
      </c>
    </row>
    <row r="164" spans="2:14">
      <c r="B164">
        <v>160</v>
      </c>
      <c r="C164" s="7" t="str">
        <f>IF('Course 2'!$H162='tab2'!C$3,'Course 2'!$I162," ")</f>
        <v xml:space="preserve"> </v>
      </c>
      <c r="D164" s="8" t="str">
        <f>IF('Course 2'!$H162='tab2'!D$3,'Course 2'!$I162," ")</f>
        <v xml:space="preserve"> </v>
      </c>
      <c r="E164" s="8" t="str">
        <f>IF('Course 2'!$H162='tab2'!E$3,'Course 2'!$I162," ")</f>
        <v xml:space="preserve"> </v>
      </c>
      <c r="F164" s="8" t="str">
        <f>IF('Course 2'!$H162='tab2'!F$3,'Course 2'!$I162," ")</f>
        <v xml:space="preserve"> </v>
      </c>
      <c r="G164" s="8" t="str">
        <f>IF('Course 2'!$H162='tab2'!G$3,'Course 2'!$I162," ")</f>
        <v xml:space="preserve"> </v>
      </c>
      <c r="H164" s="8" t="str">
        <f>IF('Course 2'!$H162='tab2'!H$3,'Course 2'!$I162," ")</f>
        <v xml:space="preserve"> </v>
      </c>
      <c r="I164" s="8" t="str">
        <f>IF('Course 2'!$H162='tab2'!I$3,'Course 2'!$I162," ")</f>
        <v xml:space="preserve"> </v>
      </c>
      <c r="J164" s="8" t="str">
        <f>IF('Course 2'!$H162='tab2'!J$3,'Course 2'!$I162," ")</f>
        <v xml:space="preserve"> </v>
      </c>
      <c r="K164" s="8" t="str">
        <f>IF('Course 2'!$H162='tab2'!K$3,'Course 2'!$I162," ")</f>
        <v xml:space="preserve"> </v>
      </c>
      <c r="L164" s="8" t="str">
        <f>IF('Course 2'!$H162='tab2'!L$3,'Course 2'!$I162," ")</f>
        <v xml:space="preserve"> </v>
      </c>
      <c r="M164" s="8" t="str">
        <f>IF('Course 2'!$H162='tab2'!M$3,'Course 2'!$I162," ")</f>
        <v xml:space="preserve"> </v>
      </c>
      <c r="N164" s="9" t="str">
        <f>IF('Course 2'!$H162='tab2'!N$3,'Course 2'!$I162," ")</f>
        <v xml:space="preserve"> </v>
      </c>
    </row>
    <row r="165" spans="2:14">
      <c r="B165">
        <v>161</v>
      </c>
      <c r="C165" s="7" t="str">
        <f>IF('Course 2'!$H163='tab2'!C$3,'Course 2'!$I163," ")</f>
        <v xml:space="preserve"> </v>
      </c>
      <c r="D165" s="8" t="str">
        <f>IF('Course 2'!$H163='tab2'!D$3,'Course 2'!$I163," ")</f>
        <v xml:space="preserve"> </v>
      </c>
      <c r="E165" s="8" t="str">
        <f>IF('Course 2'!$H163='tab2'!E$3,'Course 2'!$I163," ")</f>
        <v xml:space="preserve"> </v>
      </c>
      <c r="F165" s="8" t="str">
        <f>IF('Course 2'!$H163='tab2'!F$3,'Course 2'!$I163," ")</f>
        <v xml:space="preserve"> </v>
      </c>
      <c r="G165" s="8" t="str">
        <f>IF('Course 2'!$H163='tab2'!G$3,'Course 2'!$I163," ")</f>
        <v xml:space="preserve"> </v>
      </c>
      <c r="H165" s="8" t="str">
        <f>IF('Course 2'!$H163='tab2'!H$3,'Course 2'!$I163," ")</f>
        <v xml:space="preserve"> </v>
      </c>
      <c r="I165" s="8" t="str">
        <f>IF('Course 2'!$H163='tab2'!I$3,'Course 2'!$I163," ")</f>
        <v xml:space="preserve"> </v>
      </c>
      <c r="J165" s="8" t="str">
        <f>IF('Course 2'!$H163='tab2'!J$3,'Course 2'!$I163," ")</f>
        <v xml:space="preserve"> </v>
      </c>
      <c r="K165" s="8" t="str">
        <f>IF('Course 2'!$H163='tab2'!K$3,'Course 2'!$I163," ")</f>
        <v xml:space="preserve"> </v>
      </c>
      <c r="L165" s="8" t="str">
        <f>IF('Course 2'!$H163='tab2'!L$3,'Course 2'!$I163," ")</f>
        <v xml:space="preserve"> </v>
      </c>
      <c r="M165" s="8" t="str">
        <f>IF('Course 2'!$H163='tab2'!M$3,'Course 2'!$I163," ")</f>
        <v xml:space="preserve"> </v>
      </c>
      <c r="N165" s="9" t="str">
        <f>IF('Course 2'!$H163='tab2'!N$3,'Course 2'!$I163," ")</f>
        <v xml:space="preserve"> </v>
      </c>
    </row>
    <row r="166" spans="2:14">
      <c r="B166">
        <v>162</v>
      </c>
      <c r="C166" s="7" t="str">
        <f>IF('Course 2'!$H164='tab2'!C$3,'Course 2'!$I164," ")</f>
        <v xml:space="preserve"> </v>
      </c>
      <c r="D166" s="8" t="str">
        <f>IF('Course 2'!$H164='tab2'!D$3,'Course 2'!$I164," ")</f>
        <v xml:space="preserve"> </v>
      </c>
      <c r="E166" s="8" t="str">
        <f>IF('Course 2'!$H164='tab2'!E$3,'Course 2'!$I164," ")</f>
        <v xml:space="preserve"> </v>
      </c>
      <c r="F166" s="8" t="str">
        <f>IF('Course 2'!$H164='tab2'!F$3,'Course 2'!$I164," ")</f>
        <v xml:space="preserve"> </v>
      </c>
      <c r="G166" s="8" t="str">
        <f>IF('Course 2'!$H164='tab2'!G$3,'Course 2'!$I164," ")</f>
        <v xml:space="preserve"> </v>
      </c>
      <c r="H166" s="8" t="str">
        <f>IF('Course 2'!$H164='tab2'!H$3,'Course 2'!$I164," ")</f>
        <v xml:space="preserve"> </v>
      </c>
      <c r="I166" s="8" t="str">
        <f>IF('Course 2'!$H164='tab2'!I$3,'Course 2'!$I164," ")</f>
        <v xml:space="preserve"> </v>
      </c>
      <c r="J166" s="8" t="str">
        <f>IF('Course 2'!$H164='tab2'!J$3,'Course 2'!$I164," ")</f>
        <v xml:space="preserve"> </v>
      </c>
      <c r="K166" s="8" t="str">
        <f>IF('Course 2'!$H164='tab2'!K$3,'Course 2'!$I164," ")</f>
        <v xml:space="preserve"> </v>
      </c>
      <c r="L166" s="8" t="str">
        <f>IF('Course 2'!$H164='tab2'!L$3,'Course 2'!$I164," ")</f>
        <v xml:space="preserve"> </v>
      </c>
      <c r="M166" s="8" t="str">
        <f>IF('Course 2'!$H164='tab2'!M$3,'Course 2'!$I164," ")</f>
        <v xml:space="preserve"> </v>
      </c>
      <c r="N166" s="9" t="str">
        <f>IF('Course 2'!$H164='tab2'!N$3,'Course 2'!$I164," ")</f>
        <v xml:space="preserve"> </v>
      </c>
    </row>
    <row r="167" spans="2:14">
      <c r="B167">
        <v>163</v>
      </c>
      <c r="C167" s="7" t="str">
        <f>IF('Course 2'!$H165='tab2'!C$3,'Course 2'!$I165," ")</f>
        <v xml:space="preserve"> </v>
      </c>
      <c r="D167" s="8" t="str">
        <f>IF('Course 2'!$H165='tab2'!D$3,'Course 2'!$I165," ")</f>
        <v xml:space="preserve"> </v>
      </c>
      <c r="E167" s="8" t="str">
        <f>IF('Course 2'!$H165='tab2'!E$3,'Course 2'!$I165," ")</f>
        <v xml:space="preserve"> </v>
      </c>
      <c r="F167" s="8" t="str">
        <f>IF('Course 2'!$H165='tab2'!F$3,'Course 2'!$I165," ")</f>
        <v xml:space="preserve"> </v>
      </c>
      <c r="G167" s="8" t="str">
        <f>IF('Course 2'!$H165='tab2'!G$3,'Course 2'!$I165," ")</f>
        <v xml:space="preserve"> </v>
      </c>
      <c r="H167" s="8" t="str">
        <f>IF('Course 2'!$H165='tab2'!H$3,'Course 2'!$I165," ")</f>
        <v xml:space="preserve"> </v>
      </c>
      <c r="I167" s="8" t="str">
        <f>IF('Course 2'!$H165='tab2'!I$3,'Course 2'!$I165," ")</f>
        <v xml:space="preserve"> </v>
      </c>
      <c r="J167" s="8" t="str">
        <f>IF('Course 2'!$H165='tab2'!J$3,'Course 2'!$I165," ")</f>
        <v xml:space="preserve"> </v>
      </c>
      <c r="K167" s="8" t="str">
        <f>IF('Course 2'!$H165='tab2'!K$3,'Course 2'!$I165," ")</f>
        <v xml:space="preserve"> </v>
      </c>
      <c r="L167" s="8" t="str">
        <f>IF('Course 2'!$H165='tab2'!L$3,'Course 2'!$I165," ")</f>
        <v xml:space="preserve"> </v>
      </c>
      <c r="M167" s="8" t="str">
        <f>IF('Course 2'!$H165='tab2'!M$3,'Course 2'!$I165," ")</f>
        <v xml:space="preserve"> </v>
      </c>
      <c r="N167" s="9" t="str">
        <f>IF('Course 2'!$H165='tab2'!N$3,'Course 2'!$I165," ")</f>
        <v xml:space="preserve"> </v>
      </c>
    </row>
    <row r="168" spans="2:14">
      <c r="B168">
        <v>164</v>
      </c>
      <c r="C168" s="7" t="str">
        <f>IF('Course 2'!$H166='tab2'!C$3,'Course 2'!$I166," ")</f>
        <v xml:space="preserve"> </v>
      </c>
      <c r="D168" s="8" t="str">
        <f>IF('Course 2'!$H166='tab2'!D$3,'Course 2'!$I166," ")</f>
        <v xml:space="preserve"> </v>
      </c>
      <c r="E168" s="8" t="str">
        <f>IF('Course 2'!$H166='tab2'!E$3,'Course 2'!$I166," ")</f>
        <v xml:space="preserve"> </v>
      </c>
      <c r="F168" s="8" t="str">
        <f>IF('Course 2'!$H166='tab2'!F$3,'Course 2'!$I166," ")</f>
        <v xml:space="preserve"> </v>
      </c>
      <c r="G168" s="8" t="str">
        <f>IF('Course 2'!$H166='tab2'!G$3,'Course 2'!$I166," ")</f>
        <v xml:space="preserve"> </v>
      </c>
      <c r="H168" s="8" t="str">
        <f>IF('Course 2'!$H166='tab2'!H$3,'Course 2'!$I166," ")</f>
        <v xml:space="preserve"> </v>
      </c>
      <c r="I168" s="8" t="str">
        <f>IF('Course 2'!$H166='tab2'!I$3,'Course 2'!$I166," ")</f>
        <v xml:space="preserve"> </v>
      </c>
      <c r="J168" s="8" t="str">
        <f>IF('Course 2'!$H166='tab2'!J$3,'Course 2'!$I166," ")</f>
        <v xml:space="preserve"> </v>
      </c>
      <c r="K168" s="8" t="str">
        <f>IF('Course 2'!$H166='tab2'!K$3,'Course 2'!$I166," ")</f>
        <v xml:space="preserve"> </v>
      </c>
      <c r="L168" s="8" t="str">
        <f>IF('Course 2'!$H166='tab2'!L$3,'Course 2'!$I166," ")</f>
        <v xml:space="preserve"> </v>
      </c>
      <c r="M168" s="8" t="str">
        <f>IF('Course 2'!$H166='tab2'!M$3,'Course 2'!$I166," ")</f>
        <v xml:space="preserve"> </v>
      </c>
      <c r="N168" s="9" t="str">
        <f>IF('Course 2'!$H166='tab2'!N$3,'Course 2'!$I166," ")</f>
        <v xml:space="preserve"> </v>
      </c>
    </row>
    <row r="169" spans="2:14">
      <c r="B169">
        <v>165</v>
      </c>
      <c r="C169" s="7" t="str">
        <f>IF('Course 2'!$H167='tab2'!C$3,'Course 2'!$I167," ")</f>
        <v xml:space="preserve"> </v>
      </c>
      <c r="D169" s="8" t="str">
        <f>IF('Course 2'!$H167='tab2'!D$3,'Course 2'!$I167," ")</f>
        <v xml:space="preserve"> </v>
      </c>
      <c r="E169" s="8" t="str">
        <f>IF('Course 2'!$H167='tab2'!E$3,'Course 2'!$I167," ")</f>
        <v xml:space="preserve"> </v>
      </c>
      <c r="F169" s="8" t="str">
        <f>IF('Course 2'!$H167='tab2'!F$3,'Course 2'!$I167," ")</f>
        <v xml:space="preserve"> </v>
      </c>
      <c r="G169" s="8" t="str">
        <f>IF('Course 2'!$H167='tab2'!G$3,'Course 2'!$I167," ")</f>
        <v xml:space="preserve"> </v>
      </c>
      <c r="H169" s="8" t="str">
        <f>IF('Course 2'!$H167='tab2'!H$3,'Course 2'!$I167," ")</f>
        <v xml:space="preserve"> </v>
      </c>
      <c r="I169" s="8" t="str">
        <f>IF('Course 2'!$H167='tab2'!I$3,'Course 2'!$I167," ")</f>
        <v xml:space="preserve"> </v>
      </c>
      <c r="J169" s="8" t="str">
        <f>IF('Course 2'!$H167='tab2'!J$3,'Course 2'!$I167," ")</f>
        <v xml:space="preserve"> </v>
      </c>
      <c r="K169" s="8" t="str">
        <f>IF('Course 2'!$H167='tab2'!K$3,'Course 2'!$I167," ")</f>
        <v xml:space="preserve"> </v>
      </c>
      <c r="L169" s="8" t="str">
        <f>IF('Course 2'!$H167='tab2'!L$3,'Course 2'!$I167," ")</f>
        <v xml:space="preserve"> </v>
      </c>
      <c r="M169" s="8" t="str">
        <f>IF('Course 2'!$H167='tab2'!M$3,'Course 2'!$I167," ")</f>
        <v xml:space="preserve"> </v>
      </c>
      <c r="N169" s="9" t="str">
        <f>IF('Course 2'!$H167='tab2'!N$3,'Course 2'!$I167," ")</f>
        <v xml:space="preserve"> </v>
      </c>
    </row>
    <row r="170" spans="2:14">
      <c r="B170">
        <v>166</v>
      </c>
      <c r="C170" s="7" t="str">
        <f>IF('Course 2'!$H168='tab2'!C$3,'Course 2'!$I168," ")</f>
        <v xml:space="preserve"> </v>
      </c>
      <c r="D170" s="8" t="str">
        <f>IF('Course 2'!$H168='tab2'!D$3,'Course 2'!$I168," ")</f>
        <v xml:space="preserve"> </v>
      </c>
      <c r="E170" s="8" t="str">
        <f>IF('Course 2'!$H168='tab2'!E$3,'Course 2'!$I168," ")</f>
        <v xml:space="preserve"> </v>
      </c>
      <c r="F170" s="8" t="str">
        <f>IF('Course 2'!$H168='tab2'!F$3,'Course 2'!$I168," ")</f>
        <v xml:space="preserve"> </v>
      </c>
      <c r="G170" s="8" t="str">
        <f>IF('Course 2'!$H168='tab2'!G$3,'Course 2'!$I168," ")</f>
        <v xml:space="preserve"> </v>
      </c>
      <c r="H170" s="8" t="str">
        <f>IF('Course 2'!$H168='tab2'!H$3,'Course 2'!$I168," ")</f>
        <v xml:space="preserve"> </v>
      </c>
      <c r="I170" s="8" t="str">
        <f>IF('Course 2'!$H168='tab2'!I$3,'Course 2'!$I168," ")</f>
        <v xml:space="preserve"> </v>
      </c>
      <c r="J170" s="8" t="str">
        <f>IF('Course 2'!$H168='tab2'!J$3,'Course 2'!$I168," ")</f>
        <v xml:space="preserve"> </v>
      </c>
      <c r="K170" s="8" t="str">
        <f>IF('Course 2'!$H168='tab2'!K$3,'Course 2'!$I168," ")</f>
        <v xml:space="preserve"> </v>
      </c>
      <c r="L170" s="8" t="str">
        <f>IF('Course 2'!$H168='tab2'!L$3,'Course 2'!$I168," ")</f>
        <v xml:space="preserve"> </v>
      </c>
      <c r="M170" s="8" t="str">
        <f>IF('Course 2'!$H168='tab2'!M$3,'Course 2'!$I168," ")</f>
        <v xml:space="preserve"> </v>
      </c>
      <c r="N170" s="9" t="str">
        <f>IF('Course 2'!$H168='tab2'!N$3,'Course 2'!$I168," ")</f>
        <v xml:space="preserve"> </v>
      </c>
    </row>
    <row r="171" spans="2:14">
      <c r="B171">
        <v>167</v>
      </c>
      <c r="C171" s="7" t="str">
        <f>IF('Course 2'!$H169='tab2'!C$3,'Course 2'!$I169," ")</f>
        <v xml:space="preserve"> </v>
      </c>
      <c r="D171" s="8" t="str">
        <f>IF('Course 2'!$H169='tab2'!D$3,'Course 2'!$I169," ")</f>
        <v xml:space="preserve"> </v>
      </c>
      <c r="E171" s="8" t="str">
        <f>IF('Course 2'!$H169='tab2'!E$3,'Course 2'!$I169," ")</f>
        <v xml:space="preserve"> </v>
      </c>
      <c r="F171" s="8" t="str">
        <f>IF('Course 2'!$H169='tab2'!F$3,'Course 2'!$I169," ")</f>
        <v xml:space="preserve"> </v>
      </c>
      <c r="G171" s="8" t="str">
        <f>IF('Course 2'!$H169='tab2'!G$3,'Course 2'!$I169," ")</f>
        <v xml:space="preserve"> </v>
      </c>
      <c r="H171" s="8" t="str">
        <f>IF('Course 2'!$H169='tab2'!H$3,'Course 2'!$I169," ")</f>
        <v xml:space="preserve"> </v>
      </c>
      <c r="I171" s="8" t="str">
        <f>IF('Course 2'!$H169='tab2'!I$3,'Course 2'!$I169," ")</f>
        <v xml:space="preserve"> </v>
      </c>
      <c r="J171" s="8" t="str">
        <f>IF('Course 2'!$H169='tab2'!J$3,'Course 2'!$I169," ")</f>
        <v xml:space="preserve"> </v>
      </c>
      <c r="K171" s="8" t="str">
        <f>IF('Course 2'!$H169='tab2'!K$3,'Course 2'!$I169," ")</f>
        <v xml:space="preserve"> </v>
      </c>
      <c r="L171" s="8" t="str">
        <f>IF('Course 2'!$H169='tab2'!L$3,'Course 2'!$I169," ")</f>
        <v xml:space="preserve"> </v>
      </c>
      <c r="M171" s="8" t="str">
        <f>IF('Course 2'!$H169='tab2'!M$3,'Course 2'!$I169," ")</f>
        <v xml:space="preserve"> </v>
      </c>
      <c r="N171" s="9" t="str">
        <f>IF('Course 2'!$H169='tab2'!N$3,'Course 2'!$I169," ")</f>
        <v xml:space="preserve"> </v>
      </c>
    </row>
    <row r="172" spans="2:14">
      <c r="B172">
        <v>168</v>
      </c>
      <c r="C172" s="7" t="str">
        <f>IF('Course 2'!$H170='tab2'!C$3,'Course 2'!$I170," ")</f>
        <v xml:space="preserve"> </v>
      </c>
      <c r="D172" s="8" t="str">
        <f>IF('Course 2'!$H170='tab2'!D$3,'Course 2'!$I170," ")</f>
        <v xml:space="preserve"> </v>
      </c>
      <c r="E172" s="8" t="str">
        <f>IF('Course 2'!$H170='tab2'!E$3,'Course 2'!$I170," ")</f>
        <v xml:space="preserve"> </v>
      </c>
      <c r="F172" s="8" t="str">
        <f>IF('Course 2'!$H170='tab2'!F$3,'Course 2'!$I170," ")</f>
        <v xml:space="preserve"> </v>
      </c>
      <c r="G172" s="8" t="str">
        <f>IF('Course 2'!$H170='tab2'!G$3,'Course 2'!$I170," ")</f>
        <v xml:space="preserve"> </v>
      </c>
      <c r="H172" s="8" t="str">
        <f>IF('Course 2'!$H170='tab2'!H$3,'Course 2'!$I170," ")</f>
        <v xml:space="preserve"> </v>
      </c>
      <c r="I172" s="8" t="str">
        <f>IF('Course 2'!$H170='tab2'!I$3,'Course 2'!$I170," ")</f>
        <v xml:space="preserve"> </v>
      </c>
      <c r="J172" s="8" t="str">
        <f>IF('Course 2'!$H170='tab2'!J$3,'Course 2'!$I170," ")</f>
        <v xml:space="preserve"> </v>
      </c>
      <c r="K172" s="8" t="str">
        <f>IF('Course 2'!$H170='tab2'!K$3,'Course 2'!$I170," ")</f>
        <v xml:space="preserve"> </v>
      </c>
      <c r="L172" s="8" t="str">
        <f>IF('Course 2'!$H170='tab2'!L$3,'Course 2'!$I170," ")</f>
        <v xml:space="preserve"> </v>
      </c>
      <c r="M172" s="8" t="str">
        <f>IF('Course 2'!$H170='tab2'!M$3,'Course 2'!$I170," ")</f>
        <v xml:space="preserve"> </v>
      </c>
      <c r="N172" s="9" t="str">
        <f>IF('Course 2'!$H170='tab2'!N$3,'Course 2'!$I170," ")</f>
        <v xml:space="preserve"> </v>
      </c>
    </row>
    <row r="173" spans="2:14">
      <c r="B173">
        <v>169</v>
      </c>
      <c r="C173" s="7" t="str">
        <f>IF('Course 2'!$H171='tab2'!C$3,'Course 2'!$I171," ")</f>
        <v xml:space="preserve"> </v>
      </c>
      <c r="D173" s="8" t="str">
        <f>IF('Course 2'!$H171='tab2'!D$3,'Course 2'!$I171," ")</f>
        <v xml:space="preserve"> </v>
      </c>
      <c r="E173" s="8" t="str">
        <f>IF('Course 2'!$H171='tab2'!E$3,'Course 2'!$I171," ")</f>
        <v xml:space="preserve"> </v>
      </c>
      <c r="F173" s="8" t="str">
        <f>IF('Course 2'!$H171='tab2'!F$3,'Course 2'!$I171," ")</f>
        <v xml:space="preserve"> </v>
      </c>
      <c r="G173" s="8" t="str">
        <f>IF('Course 2'!$H171='tab2'!G$3,'Course 2'!$I171," ")</f>
        <v xml:space="preserve"> </v>
      </c>
      <c r="H173" s="8" t="str">
        <f>IF('Course 2'!$H171='tab2'!H$3,'Course 2'!$I171," ")</f>
        <v xml:space="preserve"> </v>
      </c>
      <c r="I173" s="8" t="str">
        <f>IF('Course 2'!$H171='tab2'!I$3,'Course 2'!$I171," ")</f>
        <v xml:space="preserve"> </v>
      </c>
      <c r="J173" s="8" t="str">
        <f>IF('Course 2'!$H171='tab2'!J$3,'Course 2'!$I171," ")</f>
        <v xml:space="preserve"> </v>
      </c>
      <c r="K173" s="8" t="str">
        <f>IF('Course 2'!$H171='tab2'!K$3,'Course 2'!$I171," ")</f>
        <v xml:space="preserve"> </v>
      </c>
      <c r="L173" s="8" t="str">
        <f>IF('Course 2'!$H171='tab2'!L$3,'Course 2'!$I171," ")</f>
        <v xml:space="preserve"> </v>
      </c>
      <c r="M173" s="8" t="str">
        <f>IF('Course 2'!$H171='tab2'!M$3,'Course 2'!$I171," ")</f>
        <v xml:space="preserve"> </v>
      </c>
      <c r="N173" s="9" t="str">
        <f>IF('Course 2'!$H171='tab2'!N$3,'Course 2'!$I171," ")</f>
        <v xml:space="preserve"> </v>
      </c>
    </row>
    <row r="174" spans="2:14">
      <c r="B174">
        <v>170</v>
      </c>
      <c r="C174" s="7" t="str">
        <f>IF('Course 2'!$H172='tab2'!C$3,'Course 2'!$I172," ")</f>
        <v xml:space="preserve"> </v>
      </c>
      <c r="D174" s="8" t="str">
        <f>IF('Course 2'!$H172='tab2'!D$3,'Course 2'!$I172," ")</f>
        <v xml:space="preserve"> </v>
      </c>
      <c r="E174" s="8" t="str">
        <f>IF('Course 2'!$H172='tab2'!E$3,'Course 2'!$I172," ")</f>
        <v xml:space="preserve"> </v>
      </c>
      <c r="F174" s="8" t="str">
        <f>IF('Course 2'!$H172='tab2'!F$3,'Course 2'!$I172," ")</f>
        <v xml:space="preserve"> </v>
      </c>
      <c r="G174" s="8" t="str">
        <f>IF('Course 2'!$H172='tab2'!G$3,'Course 2'!$I172," ")</f>
        <v xml:space="preserve"> </v>
      </c>
      <c r="H174" s="8" t="str">
        <f>IF('Course 2'!$H172='tab2'!H$3,'Course 2'!$I172," ")</f>
        <v xml:space="preserve"> </v>
      </c>
      <c r="I174" s="8" t="str">
        <f>IF('Course 2'!$H172='tab2'!I$3,'Course 2'!$I172," ")</f>
        <v xml:space="preserve"> </v>
      </c>
      <c r="J174" s="8" t="str">
        <f>IF('Course 2'!$H172='tab2'!J$3,'Course 2'!$I172," ")</f>
        <v xml:space="preserve"> </v>
      </c>
      <c r="K174" s="8" t="str">
        <f>IF('Course 2'!$H172='tab2'!K$3,'Course 2'!$I172," ")</f>
        <v xml:space="preserve"> </v>
      </c>
      <c r="L174" s="8" t="str">
        <f>IF('Course 2'!$H172='tab2'!L$3,'Course 2'!$I172," ")</f>
        <v xml:space="preserve"> </v>
      </c>
      <c r="M174" s="8" t="str">
        <f>IF('Course 2'!$H172='tab2'!M$3,'Course 2'!$I172," ")</f>
        <v xml:space="preserve"> </v>
      </c>
      <c r="N174" s="9" t="str">
        <f>IF('Course 2'!$H172='tab2'!N$3,'Course 2'!$I172," ")</f>
        <v xml:space="preserve"> </v>
      </c>
    </row>
    <row r="175" spans="2:14">
      <c r="B175">
        <v>171</v>
      </c>
      <c r="C175" s="7" t="str">
        <f>IF('Course 2'!$H173='tab2'!C$3,'Course 2'!$I173," ")</f>
        <v xml:space="preserve"> </v>
      </c>
      <c r="D175" s="8" t="str">
        <f>IF('Course 2'!$H173='tab2'!D$3,'Course 2'!$I173," ")</f>
        <v xml:space="preserve"> </v>
      </c>
      <c r="E175" s="8" t="str">
        <f>IF('Course 2'!$H173='tab2'!E$3,'Course 2'!$I173," ")</f>
        <v xml:space="preserve"> </v>
      </c>
      <c r="F175" s="8" t="str">
        <f>IF('Course 2'!$H173='tab2'!F$3,'Course 2'!$I173," ")</f>
        <v xml:space="preserve"> </v>
      </c>
      <c r="G175" s="8" t="str">
        <f>IF('Course 2'!$H173='tab2'!G$3,'Course 2'!$I173," ")</f>
        <v xml:space="preserve"> </v>
      </c>
      <c r="H175" s="8" t="str">
        <f>IF('Course 2'!$H173='tab2'!H$3,'Course 2'!$I173," ")</f>
        <v xml:space="preserve"> </v>
      </c>
      <c r="I175" s="8" t="str">
        <f>IF('Course 2'!$H173='tab2'!I$3,'Course 2'!$I173," ")</f>
        <v xml:space="preserve"> </v>
      </c>
      <c r="J175" s="8" t="str">
        <f>IF('Course 2'!$H173='tab2'!J$3,'Course 2'!$I173," ")</f>
        <v xml:space="preserve"> </v>
      </c>
      <c r="K175" s="8" t="str">
        <f>IF('Course 2'!$H173='tab2'!K$3,'Course 2'!$I173," ")</f>
        <v xml:space="preserve"> </v>
      </c>
      <c r="L175" s="8" t="str">
        <f>IF('Course 2'!$H173='tab2'!L$3,'Course 2'!$I173," ")</f>
        <v xml:space="preserve"> </v>
      </c>
      <c r="M175" s="8" t="str">
        <f>IF('Course 2'!$H173='tab2'!M$3,'Course 2'!$I173," ")</f>
        <v xml:space="preserve"> </v>
      </c>
      <c r="N175" s="9" t="str">
        <f>IF('Course 2'!$H173='tab2'!N$3,'Course 2'!$I173," ")</f>
        <v xml:space="preserve"> </v>
      </c>
    </row>
    <row r="176" spans="2:14">
      <c r="B176">
        <v>172</v>
      </c>
      <c r="C176" s="7" t="str">
        <f>IF('Course 2'!$H174='tab2'!C$3,'Course 2'!$I174," ")</f>
        <v xml:space="preserve"> </v>
      </c>
      <c r="D176" s="8" t="str">
        <f>IF('Course 2'!$H174='tab2'!D$3,'Course 2'!$I174," ")</f>
        <v xml:space="preserve"> </v>
      </c>
      <c r="E176" s="8" t="str">
        <f>IF('Course 2'!$H174='tab2'!E$3,'Course 2'!$I174," ")</f>
        <v xml:space="preserve"> </v>
      </c>
      <c r="F176" s="8" t="str">
        <f>IF('Course 2'!$H174='tab2'!F$3,'Course 2'!$I174," ")</f>
        <v xml:space="preserve"> </v>
      </c>
      <c r="G176" s="8" t="str">
        <f>IF('Course 2'!$H174='tab2'!G$3,'Course 2'!$I174," ")</f>
        <v xml:space="preserve"> </v>
      </c>
      <c r="H176" s="8" t="str">
        <f>IF('Course 2'!$H174='tab2'!H$3,'Course 2'!$I174," ")</f>
        <v xml:space="preserve"> </v>
      </c>
      <c r="I176" s="8" t="str">
        <f>IF('Course 2'!$H174='tab2'!I$3,'Course 2'!$I174," ")</f>
        <v xml:space="preserve"> </v>
      </c>
      <c r="J176" s="8" t="str">
        <f>IF('Course 2'!$H174='tab2'!J$3,'Course 2'!$I174," ")</f>
        <v xml:space="preserve"> </v>
      </c>
      <c r="K176" s="8" t="str">
        <f>IF('Course 2'!$H174='tab2'!K$3,'Course 2'!$I174," ")</f>
        <v xml:space="preserve"> </v>
      </c>
      <c r="L176" s="8" t="str">
        <f>IF('Course 2'!$H174='tab2'!L$3,'Course 2'!$I174," ")</f>
        <v xml:space="preserve"> </v>
      </c>
      <c r="M176" s="8" t="str">
        <f>IF('Course 2'!$H174='tab2'!M$3,'Course 2'!$I174," ")</f>
        <v xml:space="preserve"> </v>
      </c>
      <c r="N176" s="9" t="str">
        <f>IF('Course 2'!$H174='tab2'!N$3,'Course 2'!$I174," ")</f>
        <v xml:space="preserve"> </v>
      </c>
    </row>
    <row r="177" spans="2:14">
      <c r="B177">
        <v>173</v>
      </c>
      <c r="C177" s="7" t="str">
        <f>IF('Course 2'!$H175='tab2'!C$3,'Course 2'!$I175," ")</f>
        <v xml:space="preserve"> </v>
      </c>
      <c r="D177" s="8" t="str">
        <f>IF('Course 2'!$H175='tab2'!D$3,'Course 2'!$I175," ")</f>
        <v xml:space="preserve"> </v>
      </c>
      <c r="E177" s="8" t="str">
        <f>IF('Course 2'!$H175='tab2'!E$3,'Course 2'!$I175," ")</f>
        <v xml:space="preserve"> </v>
      </c>
      <c r="F177" s="8" t="str">
        <f>IF('Course 2'!$H175='tab2'!F$3,'Course 2'!$I175," ")</f>
        <v xml:space="preserve"> </v>
      </c>
      <c r="G177" s="8" t="str">
        <f>IF('Course 2'!$H175='tab2'!G$3,'Course 2'!$I175," ")</f>
        <v xml:space="preserve"> </v>
      </c>
      <c r="H177" s="8" t="str">
        <f>IF('Course 2'!$H175='tab2'!H$3,'Course 2'!$I175," ")</f>
        <v xml:space="preserve"> </v>
      </c>
      <c r="I177" s="8" t="str">
        <f>IF('Course 2'!$H175='tab2'!I$3,'Course 2'!$I175," ")</f>
        <v xml:space="preserve"> </v>
      </c>
      <c r="J177" s="8" t="str">
        <f>IF('Course 2'!$H175='tab2'!J$3,'Course 2'!$I175," ")</f>
        <v xml:space="preserve"> </v>
      </c>
      <c r="K177" s="8" t="str">
        <f>IF('Course 2'!$H175='tab2'!K$3,'Course 2'!$I175," ")</f>
        <v xml:space="preserve"> </v>
      </c>
      <c r="L177" s="8" t="str">
        <f>IF('Course 2'!$H175='tab2'!L$3,'Course 2'!$I175," ")</f>
        <v xml:space="preserve"> </v>
      </c>
      <c r="M177" s="8" t="str">
        <f>IF('Course 2'!$H175='tab2'!M$3,'Course 2'!$I175," ")</f>
        <v xml:space="preserve"> </v>
      </c>
      <c r="N177" s="9" t="str">
        <f>IF('Course 2'!$H175='tab2'!N$3,'Course 2'!$I175," ")</f>
        <v xml:space="preserve"> </v>
      </c>
    </row>
    <row r="178" spans="2:14">
      <c r="B178">
        <v>174</v>
      </c>
      <c r="C178" s="7" t="str">
        <f>IF('Course 2'!$H176='tab2'!C$3,'Course 2'!$I176," ")</f>
        <v xml:space="preserve"> </v>
      </c>
      <c r="D178" s="8" t="str">
        <f>IF('Course 2'!$H176='tab2'!D$3,'Course 2'!$I176," ")</f>
        <v xml:space="preserve"> </v>
      </c>
      <c r="E178" s="8" t="str">
        <f>IF('Course 2'!$H176='tab2'!E$3,'Course 2'!$I176," ")</f>
        <v xml:space="preserve"> </v>
      </c>
      <c r="F178" s="8" t="str">
        <f>IF('Course 2'!$H176='tab2'!F$3,'Course 2'!$I176," ")</f>
        <v xml:space="preserve"> </v>
      </c>
      <c r="G178" s="8" t="str">
        <f>IF('Course 2'!$H176='tab2'!G$3,'Course 2'!$I176," ")</f>
        <v xml:space="preserve"> </v>
      </c>
      <c r="H178" s="8" t="str">
        <f>IF('Course 2'!$H176='tab2'!H$3,'Course 2'!$I176," ")</f>
        <v xml:space="preserve"> </v>
      </c>
      <c r="I178" s="8" t="str">
        <f>IF('Course 2'!$H176='tab2'!I$3,'Course 2'!$I176," ")</f>
        <v xml:space="preserve"> </v>
      </c>
      <c r="J178" s="8" t="str">
        <f>IF('Course 2'!$H176='tab2'!J$3,'Course 2'!$I176," ")</f>
        <v xml:space="preserve"> </v>
      </c>
      <c r="K178" s="8" t="str">
        <f>IF('Course 2'!$H176='tab2'!K$3,'Course 2'!$I176," ")</f>
        <v xml:space="preserve"> </v>
      </c>
      <c r="L178" s="8" t="str">
        <f>IF('Course 2'!$H176='tab2'!L$3,'Course 2'!$I176," ")</f>
        <v xml:space="preserve"> </v>
      </c>
      <c r="M178" s="8" t="str">
        <f>IF('Course 2'!$H176='tab2'!M$3,'Course 2'!$I176," ")</f>
        <v xml:space="preserve"> </v>
      </c>
      <c r="N178" s="9" t="str">
        <f>IF('Course 2'!$H176='tab2'!N$3,'Course 2'!$I176," ")</f>
        <v xml:space="preserve"> </v>
      </c>
    </row>
    <row r="179" spans="2:14">
      <c r="B179">
        <v>175</v>
      </c>
      <c r="C179" s="7" t="str">
        <f>IF('Course 2'!$H177='tab2'!C$3,'Course 2'!$I177," ")</f>
        <v xml:space="preserve"> </v>
      </c>
      <c r="D179" s="8" t="str">
        <f>IF('Course 2'!$H177='tab2'!D$3,'Course 2'!$I177," ")</f>
        <v xml:space="preserve"> </v>
      </c>
      <c r="E179" s="8" t="str">
        <f>IF('Course 2'!$H177='tab2'!E$3,'Course 2'!$I177," ")</f>
        <v xml:space="preserve"> </v>
      </c>
      <c r="F179" s="8" t="str">
        <f>IF('Course 2'!$H177='tab2'!F$3,'Course 2'!$I177," ")</f>
        <v xml:space="preserve"> </v>
      </c>
      <c r="G179" s="8" t="str">
        <f>IF('Course 2'!$H177='tab2'!G$3,'Course 2'!$I177," ")</f>
        <v xml:space="preserve"> </v>
      </c>
      <c r="H179" s="8" t="str">
        <f>IF('Course 2'!$H177='tab2'!H$3,'Course 2'!$I177," ")</f>
        <v xml:space="preserve"> </v>
      </c>
      <c r="I179" s="8" t="str">
        <f>IF('Course 2'!$H177='tab2'!I$3,'Course 2'!$I177," ")</f>
        <v xml:space="preserve"> </v>
      </c>
      <c r="J179" s="8" t="str">
        <f>IF('Course 2'!$H177='tab2'!J$3,'Course 2'!$I177," ")</f>
        <v xml:space="preserve"> </v>
      </c>
      <c r="K179" s="8" t="str">
        <f>IF('Course 2'!$H177='tab2'!K$3,'Course 2'!$I177," ")</f>
        <v xml:space="preserve"> </v>
      </c>
      <c r="L179" s="8" t="str">
        <f>IF('Course 2'!$H177='tab2'!L$3,'Course 2'!$I177," ")</f>
        <v xml:space="preserve"> </v>
      </c>
      <c r="M179" s="8" t="str">
        <f>IF('Course 2'!$H177='tab2'!M$3,'Course 2'!$I177," ")</f>
        <v xml:space="preserve"> </v>
      </c>
      <c r="N179" s="9" t="str">
        <f>IF('Course 2'!$H177='tab2'!N$3,'Course 2'!$I177," ")</f>
        <v xml:space="preserve"> </v>
      </c>
    </row>
    <row r="180" spans="2:14">
      <c r="B180">
        <v>176</v>
      </c>
      <c r="C180" s="7" t="str">
        <f>IF('Course 2'!$H178='tab2'!C$3,'Course 2'!$I178," ")</f>
        <v xml:space="preserve"> </v>
      </c>
      <c r="D180" s="8" t="str">
        <f>IF('Course 2'!$H178='tab2'!D$3,'Course 2'!$I178," ")</f>
        <v xml:space="preserve"> </v>
      </c>
      <c r="E180" s="8" t="str">
        <f>IF('Course 2'!$H178='tab2'!E$3,'Course 2'!$I178," ")</f>
        <v xml:space="preserve"> </v>
      </c>
      <c r="F180" s="8" t="str">
        <f>IF('Course 2'!$H178='tab2'!F$3,'Course 2'!$I178," ")</f>
        <v xml:space="preserve"> </v>
      </c>
      <c r="G180" s="8" t="str">
        <f>IF('Course 2'!$H178='tab2'!G$3,'Course 2'!$I178," ")</f>
        <v xml:space="preserve"> </v>
      </c>
      <c r="H180" s="8" t="str">
        <f>IF('Course 2'!$H178='tab2'!H$3,'Course 2'!$I178," ")</f>
        <v xml:space="preserve"> </v>
      </c>
      <c r="I180" s="8" t="str">
        <f>IF('Course 2'!$H178='tab2'!I$3,'Course 2'!$I178," ")</f>
        <v xml:space="preserve"> </v>
      </c>
      <c r="J180" s="8" t="str">
        <f>IF('Course 2'!$H178='tab2'!J$3,'Course 2'!$I178," ")</f>
        <v xml:space="preserve"> </v>
      </c>
      <c r="K180" s="8" t="str">
        <f>IF('Course 2'!$H178='tab2'!K$3,'Course 2'!$I178," ")</f>
        <v xml:space="preserve"> </v>
      </c>
      <c r="L180" s="8" t="str">
        <f>IF('Course 2'!$H178='tab2'!L$3,'Course 2'!$I178," ")</f>
        <v xml:space="preserve"> </v>
      </c>
      <c r="M180" s="8" t="str">
        <f>IF('Course 2'!$H178='tab2'!M$3,'Course 2'!$I178," ")</f>
        <v xml:space="preserve"> </v>
      </c>
      <c r="N180" s="9" t="str">
        <f>IF('Course 2'!$H178='tab2'!N$3,'Course 2'!$I178," ")</f>
        <v xml:space="preserve"> </v>
      </c>
    </row>
    <row r="181" spans="2:14">
      <c r="B181">
        <v>177</v>
      </c>
      <c r="C181" s="7" t="str">
        <f>IF('Course 2'!$H179='tab2'!C$3,'Course 2'!$I179," ")</f>
        <v xml:space="preserve"> </v>
      </c>
      <c r="D181" s="8" t="str">
        <f>IF('Course 2'!$H179='tab2'!D$3,'Course 2'!$I179," ")</f>
        <v xml:space="preserve"> </v>
      </c>
      <c r="E181" s="8" t="str">
        <f>IF('Course 2'!$H179='tab2'!E$3,'Course 2'!$I179," ")</f>
        <v xml:space="preserve"> </v>
      </c>
      <c r="F181" s="8" t="str">
        <f>IF('Course 2'!$H179='tab2'!F$3,'Course 2'!$I179," ")</f>
        <v xml:space="preserve"> </v>
      </c>
      <c r="G181" s="8" t="str">
        <f>IF('Course 2'!$H179='tab2'!G$3,'Course 2'!$I179," ")</f>
        <v xml:space="preserve"> </v>
      </c>
      <c r="H181" s="8" t="str">
        <f>IF('Course 2'!$H179='tab2'!H$3,'Course 2'!$I179," ")</f>
        <v xml:space="preserve"> </v>
      </c>
      <c r="I181" s="8" t="str">
        <f>IF('Course 2'!$H179='tab2'!I$3,'Course 2'!$I179," ")</f>
        <v xml:space="preserve"> </v>
      </c>
      <c r="J181" s="8" t="str">
        <f>IF('Course 2'!$H179='tab2'!J$3,'Course 2'!$I179," ")</f>
        <v xml:space="preserve"> </v>
      </c>
      <c r="K181" s="8" t="str">
        <f>IF('Course 2'!$H179='tab2'!K$3,'Course 2'!$I179," ")</f>
        <v xml:space="preserve"> </v>
      </c>
      <c r="L181" s="8" t="str">
        <f>IF('Course 2'!$H179='tab2'!L$3,'Course 2'!$I179," ")</f>
        <v xml:space="preserve"> </v>
      </c>
      <c r="M181" s="8" t="str">
        <f>IF('Course 2'!$H179='tab2'!M$3,'Course 2'!$I179," ")</f>
        <v xml:space="preserve"> </v>
      </c>
      <c r="N181" s="9" t="str">
        <f>IF('Course 2'!$H179='tab2'!N$3,'Course 2'!$I179," ")</f>
        <v xml:space="preserve"> </v>
      </c>
    </row>
    <row r="182" spans="2:14">
      <c r="B182">
        <v>178</v>
      </c>
      <c r="C182" s="7" t="str">
        <f>IF('Course 2'!$H180='tab2'!C$3,'Course 2'!$I180," ")</f>
        <v xml:space="preserve"> </v>
      </c>
      <c r="D182" s="8" t="str">
        <f>IF('Course 2'!$H180='tab2'!D$3,'Course 2'!$I180," ")</f>
        <v xml:space="preserve"> </v>
      </c>
      <c r="E182" s="8" t="str">
        <f>IF('Course 2'!$H180='tab2'!E$3,'Course 2'!$I180," ")</f>
        <v xml:space="preserve"> </v>
      </c>
      <c r="F182" s="8" t="str">
        <f>IF('Course 2'!$H180='tab2'!F$3,'Course 2'!$I180," ")</f>
        <v xml:space="preserve"> </v>
      </c>
      <c r="G182" s="8" t="str">
        <f>IF('Course 2'!$H180='tab2'!G$3,'Course 2'!$I180," ")</f>
        <v xml:space="preserve"> </v>
      </c>
      <c r="H182" s="8" t="str">
        <f>IF('Course 2'!$H180='tab2'!H$3,'Course 2'!$I180," ")</f>
        <v xml:space="preserve"> </v>
      </c>
      <c r="I182" s="8" t="str">
        <f>IF('Course 2'!$H180='tab2'!I$3,'Course 2'!$I180," ")</f>
        <v xml:space="preserve"> </v>
      </c>
      <c r="J182" s="8" t="str">
        <f>IF('Course 2'!$H180='tab2'!J$3,'Course 2'!$I180," ")</f>
        <v xml:space="preserve"> </v>
      </c>
      <c r="K182" s="8" t="str">
        <f>IF('Course 2'!$H180='tab2'!K$3,'Course 2'!$I180," ")</f>
        <v xml:space="preserve"> </v>
      </c>
      <c r="L182" s="8" t="str">
        <f>IF('Course 2'!$H180='tab2'!L$3,'Course 2'!$I180," ")</f>
        <v xml:space="preserve"> </v>
      </c>
      <c r="M182" s="8" t="str">
        <f>IF('Course 2'!$H180='tab2'!M$3,'Course 2'!$I180," ")</f>
        <v xml:space="preserve"> </v>
      </c>
      <c r="N182" s="9" t="str">
        <f>IF('Course 2'!$H180='tab2'!N$3,'Course 2'!$I180," ")</f>
        <v xml:space="preserve"> </v>
      </c>
    </row>
    <row r="183" spans="2:14">
      <c r="B183">
        <v>179</v>
      </c>
      <c r="C183" s="7" t="str">
        <f>IF('Course 2'!$H181='tab2'!C$3,'Course 2'!$I181," ")</f>
        <v xml:space="preserve"> </v>
      </c>
      <c r="D183" s="8" t="str">
        <f>IF('Course 2'!$H181='tab2'!D$3,'Course 2'!$I181," ")</f>
        <v xml:space="preserve"> </v>
      </c>
      <c r="E183" s="8" t="str">
        <f>IF('Course 2'!$H181='tab2'!E$3,'Course 2'!$I181," ")</f>
        <v xml:space="preserve"> </v>
      </c>
      <c r="F183" s="8" t="str">
        <f>IF('Course 2'!$H181='tab2'!F$3,'Course 2'!$I181," ")</f>
        <v xml:space="preserve"> </v>
      </c>
      <c r="G183" s="8" t="str">
        <f>IF('Course 2'!$H181='tab2'!G$3,'Course 2'!$I181," ")</f>
        <v xml:space="preserve"> </v>
      </c>
      <c r="H183" s="8" t="str">
        <f>IF('Course 2'!$H181='tab2'!H$3,'Course 2'!$I181," ")</f>
        <v xml:space="preserve"> </v>
      </c>
      <c r="I183" s="8" t="str">
        <f>IF('Course 2'!$H181='tab2'!I$3,'Course 2'!$I181," ")</f>
        <v xml:space="preserve"> </v>
      </c>
      <c r="J183" s="8" t="str">
        <f>IF('Course 2'!$H181='tab2'!J$3,'Course 2'!$I181," ")</f>
        <v xml:space="preserve"> </v>
      </c>
      <c r="K183" s="8" t="str">
        <f>IF('Course 2'!$H181='tab2'!K$3,'Course 2'!$I181," ")</f>
        <v xml:space="preserve"> </v>
      </c>
      <c r="L183" s="8" t="str">
        <f>IF('Course 2'!$H181='tab2'!L$3,'Course 2'!$I181," ")</f>
        <v xml:space="preserve"> </v>
      </c>
      <c r="M183" s="8" t="str">
        <f>IF('Course 2'!$H181='tab2'!M$3,'Course 2'!$I181," ")</f>
        <v xml:space="preserve"> </v>
      </c>
      <c r="N183" s="9" t="str">
        <f>IF('Course 2'!$H181='tab2'!N$3,'Course 2'!$I181," ")</f>
        <v xml:space="preserve"> </v>
      </c>
    </row>
    <row r="184" spans="2:14">
      <c r="B184">
        <v>180</v>
      </c>
      <c r="C184" s="7" t="str">
        <f>IF('Course 2'!$H182='tab2'!C$3,'Course 2'!$I182," ")</f>
        <v xml:space="preserve"> </v>
      </c>
      <c r="D184" s="8" t="str">
        <f>IF('Course 2'!$H182='tab2'!D$3,'Course 2'!$I182," ")</f>
        <v xml:space="preserve"> </v>
      </c>
      <c r="E184" s="8" t="str">
        <f>IF('Course 2'!$H182='tab2'!E$3,'Course 2'!$I182," ")</f>
        <v xml:space="preserve"> </v>
      </c>
      <c r="F184" s="8" t="str">
        <f>IF('Course 2'!$H182='tab2'!F$3,'Course 2'!$I182," ")</f>
        <v xml:space="preserve"> </v>
      </c>
      <c r="G184" s="8" t="str">
        <f>IF('Course 2'!$H182='tab2'!G$3,'Course 2'!$I182," ")</f>
        <v xml:space="preserve"> </v>
      </c>
      <c r="H184" s="8" t="str">
        <f>IF('Course 2'!$H182='tab2'!H$3,'Course 2'!$I182," ")</f>
        <v xml:space="preserve"> </v>
      </c>
      <c r="I184" s="8" t="str">
        <f>IF('Course 2'!$H182='tab2'!I$3,'Course 2'!$I182," ")</f>
        <v xml:space="preserve"> </v>
      </c>
      <c r="J184" s="8" t="str">
        <f>IF('Course 2'!$H182='tab2'!J$3,'Course 2'!$I182," ")</f>
        <v xml:space="preserve"> </v>
      </c>
      <c r="K184" s="8" t="str">
        <f>IF('Course 2'!$H182='tab2'!K$3,'Course 2'!$I182," ")</f>
        <v xml:space="preserve"> </v>
      </c>
      <c r="L184" s="8" t="str">
        <f>IF('Course 2'!$H182='tab2'!L$3,'Course 2'!$I182," ")</f>
        <v xml:space="preserve"> </v>
      </c>
      <c r="M184" s="8" t="str">
        <f>IF('Course 2'!$H182='tab2'!M$3,'Course 2'!$I182," ")</f>
        <v xml:space="preserve"> </v>
      </c>
      <c r="N184" s="9" t="str">
        <f>IF('Course 2'!$H182='tab2'!N$3,'Course 2'!$I182," ")</f>
        <v xml:space="preserve"> </v>
      </c>
    </row>
    <row r="185" spans="2:14">
      <c r="B185">
        <v>181</v>
      </c>
      <c r="C185" s="7" t="str">
        <f>IF('Course 2'!$H183='tab2'!C$3,'Course 2'!$I183," ")</f>
        <v xml:space="preserve"> </v>
      </c>
      <c r="D185" s="8" t="str">
        <f>IF('Course 2'!$H183='tab2'!D$3,'Course 2'!$I183," ")</f>
        <v xml:space="preserve"> </v>
      </c>
      <c r="E185" s="8" t="str">
        <f>IF('Course 2'!$H183='tab2'!E$3,'Course 2'!$I183," ")</f>
        <v xml:space="preserve"> </v>
      </c>
      <c r="F185" s="8" t="str">
        <f>IF('Course 2'!$H183='tab2'!F$3,'Course 2'!$I183," ")</f>
        <v xml:space="preserve"> </v>
      </c>
      <c r="G185" s="8" t="str">
        <f>IF('Course 2'!$H183='tab2'!G$3,'Course 2'!$I183," ")</f>
        <v xml:space="preserve"> </v>
      </c>
      <c r="H185" s="8" t="str">
        <f>IF('Course 2'!$H183='tab2'!H$3,'Course 2'!$I183," ")</f>
        <v xml:space="preserve"> </v>
      </c>
      <c r="I185" s="8" t="str">
        <f>IF('Course 2'!$H183='tab2'!I$3,'Course 2'!$I183," ")</f>
        <v xml:space="preserve"> </v>
      </c>
      <c r="J185" s="8" t="str">
        <f>IF('Course 2'!$H183='tab2'!J$3,'Course 2'!$I183," ")</f>
        <v xml:space="preserve"> </v>
      </c>
      <c r="K185" s="8" t="str">
        <f>IF('Course 2'!$H183='tab2'!K$3,'Course 2'!$I183," ")</f>
        <v xml:space="preserve"> </v>
      </c>
      <c r="L185" s="8" t="str">
        <f>IF('Course 2'!$H183='tab2'!L$3,'Course 2'!$I183," ")</f>
        <v xml:space="preserve"> </v>
      </c>
      <c r="M185" s="8" t="str">
        <f>IF('Course 2'!$H183='tab2'!M$3,'Course 2'!$I183," ")</f>
        <v xml:space="preserve"> </v>
      </c>
      <c r="N185" s="9" t="str">
        <f>IF('Course 2'!$H183='tab2'!N$3,'Course 2'!$I183," ")</f>
        <v xml:space="preserve"> </v>
      </c>
    </row>
    <row r="186" spans="2:14">
      <c r="B186">
        <v>182</v>
      </c>
      <c r="C186" s="7" t="str">
        <f>IF('Course 2'!$H184='tab2'!C$3,'Course 2'!$I184," ")</f>
        <v xml:space="preserve"> </v>
      </c>
      <c r="D186" s="8" t="str">
        <f>IF('Course 2'!$H184='tab2'!D$3,'Course 2'!$I184," ")</f>
        <v xml:space="preserve"> </v>
      </c>
      <c r="E186" s="8" t="str">
        <f>IF('Course 2'!$H184='tab2'!E$3,'Course 2'!$I184," ")</f>
        <v xml:space="preserve"> </v>
      </c>
      <c r="F186" s="8" t="str">
        <f>IF('Course 2'!$H184='tab2'!F$3,'Course 2'!$I184," ")</f>
        <v xml:space="preserve"> </v>
      </c>
      <c r="G186" s="8" t="str">
        <f>IF('Course 2'!$H184='tab2'!G$3,'Course 2'!$I184," ")</f>
        <v xml:space="preserve"> </v>
      </c>
      <c r="H186" s="8" t="str">
        <f>IF('Course 2'!$H184='tab2'!H$3,'Course 2'!$I184," ")</f>
        <v xml:space="preserve"> </v>
      </c>
      <c r="I186" s="8" t="str">
        <f>IF('Course 2'!$H184='tab2'!I$3,'Course 2'!$I184," ")</f>
        <v xml:space="preserve"> </v>
      </c>
      <c r="J186" s="8" t="str">
        <f>IF('Course 2'!$H184='tab2'!J$3,'Course 2'!$I184," ")</f>
        <v xml:space="preserve"> </v>
      </c>
      <c r="K186" s="8" t="str">
        <f>IF('Course 2'!$H184='tab2'!K$3,'Course 2'!$I184," ")</f>
        <v xml:space="preserve"> </v>
      </c>
      <c r="L186" s="8" t="str">
        <f>IF('Course 2'!$H184='tab2'!L$3,'Course 2'!$I184," ")</f>
        <v xml:space="preserve"> </v>
      </c>
      <c r="M186" s="8" t="str">
        <f>IF('Course 2'!$H184='tab2'!M$3,'Course 2'!$I184," ")</f>
        <v xml:space="preserve"> </v>
      </c>
      <c r="N186" s="9" t="str">
        <f>IF('Course 2'!$H184='tab2'!N$3,'Course 2'!$I184," ")</f>
        <v xml:space="preserve"> </v>
      </c>
    </row>
    <row r="187" spans="2:14">
      <c r="B187">
        <v>183</v>
      </c>
      <c r="C187" s="7" t="str">
        <f>IF('Course 2'!$H185='tab2'!C$3,'Course 2'!$I185," ")</f>
        <v xml:space="preserve"> </v>
      </c>
      <c r="D187" s="8" t="str">
        <f>IF('Course 2'!$H185='tab2'!D$3,'Course 2'!$I185," ")</f>
        <v xml:space="preserve"> </v>
      </c>
      <c r="E187" s="8" t="str">
        <f>IF('Course 2'!$H185='tab2'!E$3,'Course 2'!$I185," ")</f>
        <v xml:space="preserve"> </v>
      </c>
      <c r="F187" s="8" t="str">
        <f>IF('Course 2'!$H185='tab2'!F$3,'Course 2'!$I185," ")</f>
        <v xml:space="preserve"> </v>
      </c>
      <c r="G187" s="8" t="str">
        <f>IF('Course 2'!$H185='tab2'!G$3,'Course 2'!$I185," ")</f>
        <v xml:space="preserve"> </v>
      </c>
      <c r="H187" s="8" t="str">
        <f>IF('Course 2'!$H185='tab2'!H$3,'Course 2'!$I185," ")</f>
        <v xml:space="preserve"> </v>
      </c>
      <c r="I187" s="8" t="str">
        <f>IF('Course 2'!$H185='tab2'!I$3,'Course 2'!$I185," ")</f>
        <v xml:space="preserve"> </v>
      </c>
      <c r="J187" s="8" t="str">
        <f>IF('Course 2'!$H185='tab2'!J$3,'Course 2'!$I185," ")</f>
        <v xml:space="preserve"> </v>
      </c>
      <c r="K187" s="8" t="str">
        <f>IF('Course 2'!$H185='tab2'!K$3,'Course 2'!$I185," ")</f>
        <v xml:space="preserve"> </v>
      </c>
      <c r="L187" s="8" t="str">
        <f>IF('Course 2'!$H185='tab2'!L$3,'Course 2'!$I185," ")</f>
        <v xml:space="preserve"> </v>
      </c>
      <c r="M187" s="8" t="str">
        <f>IF('Course 2'!$H185='tab2'!M$3,'Course 2'!$I185," ")</f>
        <v xml:space="preserve"> </v>
      </c>
      <c r="N187" s="9" t="str">
        <f>IF('Course 2'!$H185='tab2'!N$3,'Course 2'!$I185," ")</f>
        <v xml:space="preserve"> </v>
      </c>
    </row>
    <row r="188" spans="2:14">
      <c r="B188">
        <v>184</v>
      </c>
      <c r="C188" s="7" t="str">
        <f>IF('Course 2'!$H186='tab2'!C$3,'Course 2'!$I186," ")</f>
        <v xml:space="preserve"> </v>
      </c>
      <c r="D188" s="8" t="str">
        <f>IF('Course 2'!$H186='tab2'!D$3,'Course 2'!$I186," ")</f>
        <v xml:space="preserve"> </v>
      </c>
      <c r="E188" s="8" t="str">
        <f>IF('Course 2'!$H186='tab2'!E$3,'Course 2'!$I186," ")</f>
        <v xml:space="preserve"> </v>
      </c>
      <c r="F188" s="8" t="str">
        <f>IF('Course 2'!$H186='tab2'!F$3,'Course 2'!$I186," ")</f>
        <v xml:space="preserve"> </v>
      </c>
      <c r="G188" s="8" t="str">
        <f>IF('Course 2'!$H186='tab2'!G$3,'Course 2'!$I186," ")</f>
        <v xml:space="preserve"> </v>
      </c>
      <c r="H188" s="8" t="str">
        <f>IF('Course 2'!$H186='tab2'!H$3,'Course 2'!$I186," ")</f>
        <v xml:space="preserve"> </v>
      </c>
      <c r="I188" s="8" t="str">
        <f>IF('Course 2'!$H186='tab2'!I$3,'Course 2'!$I186," ")</f>
        <v xml:space="preserve"> </v>
      </c>
      <c r="J188" s="8" t="str">
        <f>IF('Course 2'!$H186='tab2'!J$3,'Course 2'!$I186," ")</f>
        <v xml:space="preserve"> </v>
      </c>
      <c r="K188" s="8" t="str">
        <f>IF('Course 2'!$H186='tab2'!K$3,'Course 2'!$I186," ")</f>
        <v xml:space="preserve"> </v>
      </c>
      <c r="L188" s="8" t="str">
        <f>IF('Course 2'!$H186='tab2'!L$3,'Course 2'!$I186," ")</f>
        <v xml:space="preserve"> </v>
      </c>
      <c r="M188" s="8" t="str">
        <f>IF('Course 2'!$H186='tab2'!M$3,'Course 2'!$I186," ")</f>
        <v xml:space="preserve"> </v>
      </c>
      <c r="N188" s="9" t="str">
        <f>IF('Course 2'!$H186='tab2'!N$3,'Course 2'!$I186," ")</f>
        <v xml:space="preserve"> </v>
      </c>
    </row>
    <row r="189" spans="2:14">
      <c r="B189">
        <v>185</v>
      </c>
      <c r="C189" s="7" t="str">
        <f>IF('Course 2'!$H187='tab2'!C$3,'Course 2'!$I187," ")</f>
        <v xml:space="preserve"> </v>
      </c>
      <c r="D189" s="8" t="str">
        <f>IF('Course 2'!$H187='tab2'!D$3,'Course 2'!$I187," ")</f>
        <v xml:space="preserve"> </v>
      </c>
      <c r="E189" s="8" t="str">
        <f>IF('Course 2'!$H187='tab2'!E$3,'Course 2'!$I187," ")</f>
        <v xml:space="preserve"> </v>
      </c>
      <c r="F189" s="8" t="str">
        <f>IF('Course 2'!$H187='tab2'!F$3,'Course 2'!$I187," ")</f>
        <v xml:space="preserve"> </v>
      </c>
      <c r="G189" s="8" t="str">
        <f>IF('Course 2'!$H187='tab2'!G$3,'Course 2'!$I187," ")</f>
        <v xml:space="preserve"> </v>
      </c>
      <c r="H189" s="8" t="str">
        <f>IF('Course 2'!$H187='tab2'!H$3,'Course 2'!$I187," ")</f>
        <v xml:space="preserve"> </v>
      </c>
      <c r="I189" s="8" t="str">
        <f>IF('Course 2'!$H187='tab2'!I$3,'Course 2'!$I187," ")</f>
        <v xml:space="preserve"> </v>
      </c>
      <c r="J189" s="8" t="str">
        <f>IF('Course 2'!$H187='tab2'!J$3,'Course 2'!$I187," ")</f>
        <v xml:space="preserve"> </v>
      </c>
      <c r="K189" s="8" t="str">
        <f>IF('Course 2'!$H187='tab2'!K$3,'Course 2'!$I187," ")</f>
        <v xml:space="preserve"> </v>
      </c>
      <c r="L189" s="8" t="str">
        <f>IF('Course 2'!$H187='tab2'!L$3,'Course 2'!$I187," ")</f>
        <v xml:space="preserve"> </v>
      </c>
      <c r="M189" s="8" t="str">
        <f>IF('Course 2'!$H187='tab2'!M$3,'Course 2'!$I187," ")</f>
        <v xml:space="preserve"> </v>
      </c>
      <c r="N189" s="9" t="str">
        <f>IF('Course 2'!$H187='tab2'!N$3,'Course 2'!$I187," ")</f>
        <v xml:space="preserve"> </v>
      </c>
    </row>
    <row r="190" spans="2:14">
      <c r="B190">
        <v>186</v>
      </c>
      <c r="C190" s="7" t="str">
        <f>IF('Course 2'!$H188='tab2'!C$3,'Course 2'!$I188," ")</f>
        <v xml:space="preserve"> </v>
      </c>
      <c r="D190" s="8" t="str">
        <f>IF('Course 2'!$H188='tab2'!D$3,'Course 2'!$I188," ")</f>
        <v xml:space="preserve"> </v>
      </c>
      <c r="E190" s="8" t="str">
        <f>IF('Course 2'!$H188='tab2'!E$3,'Course 2'!$I188," ")</f>
        <v xml:space="preserve"> </v>
      </c>
      <c r="F190" s="8" t="str">
        <f>IF('Course 2'!$H188='tab2'!F$3,'Course 2'!$I188," ")</f>
        <v xml:space="preserve"> </v>
      </c>
      <c r="G190" s="8" t="str">
        <f>IF('Course 2'!$H188='tab2'!G$3,'Course 2'!$I188," ")</f>
        <v xml:space="preserve"> </v>
      </c>
      <c r="H190" s="8" t="str">
        <f>IF('Course 2'!$H188='tab2'!H$3,'Course 2'!$I188," ")</f>
        <v xml:space="preserve"> </v>
      </c>
      <c r="I190" s="8" t="str">
        <f>IF('Course 2'!$H188='tab2'!I$3,'Course 2'!$I188," ")</f>
        <v xml:space="preserve"> </v>
      </c>
      <c r="J190" s="8" t="str">
        <f>IF('Course 2'!$H188='tab2'!J$3,'Course 2'!$I188," ")</f>
        <v xml:space="preserve"> </v>
      </c>
      <c r="K190" s="8" t="str">
        <f>IF('Course 2'!$H188='tab2'!K$3,'Course 2'!$I188," ")</f>
        <v xml:space="preserve"> </v>
      </c>
      <c r="L190" s="8" t="str">
        <f>IF('Course 2'!$H188='tab2'!L$3,'Course 2'!$I188," ")</f>
        <v xml:space="preserve"> </v>
      </c>
      <c r="M190" s="8" t="str">
        <f>IF('Course 2'!$H188='tab2'!M$3,'Course 2'!$I188," ")</f>
        <v xml:space="preserve"> </v>
      </c>
      <c r="N190" s="9" t="str">
        <f>IF('Course 2'!$H188='tab2'!N$3,'Course 2'!$I188," ")</f>
        <v xml:space="preserve"> </v>
      </c>
    </row>
    <row r="191" spans="2:14">
      <c r="B191">
        <v>187</v>
      </c>
      <c r="C191" s="7" t="str">
        <f>IF('Course 2'!$H189='tab2'!C$3,'Course 2'!$I189," ")</f>
        <v xml:space="preserve"> </v>
      </c>
      <c r="D191" s="8" t="str">
        <f>IF('Course 2'!$H189='tab2'!D$3,'Course 2'!$I189," ")</f>
        <v xml:space="preserve"> </v>
      </c>
      <c r="E191" s="8" t="str">
        <f>IF('Course 2'!$H189='tab2'!E$3,'Course 2'!$I189," ")</f>
        <v xml:space="preserve"> </v>
      </c>
      <c r="F191" s="8" t="str">
        <f>IF('Course 2'!$H189='tab2'!F$3,'Course 2'!$I189," ")</f>
        <v xml:space="preserve"> </v>
      </c>
      <c r="G191" s="8" t="str">
        <f>IF('Course 2'!$H189='tab2'!G$3,'Course 2'!$I189," ")</f>
        <v xml:space="preserve"> </v>
      </c>
      <c r="H191" s="8" t="str">
        <f>IF('Course 2'!$H189='tab2'!H$3,'Course 2'!$I189," ")</f>
        <v xml:space="preserve"> </v>
      </c>
      <c r="I191" s="8" t="str">
        <f>IF('Course 2'!$H189='tab2'!I$3,'Course 2'!$I189," ")</f>
        <v xml:space="preserve"> </v>
      </c>
      <c r="J191" s="8" t="str">
        <f>IF('Course 2'!$H189='tab2'!J$3,'Course 2'!$I189," ")</f>
        <v xml:space="preserve"> </v>
      </c>
      <c r="K191" s="8" t="str">
        <f>IF('Course 2'!$H189='tab2'!K$3,'Course 2'!$I189," ")</f>
        <v xml:space="preserve"> </v>
      </c>
      <c r="L191" s="8" t="str">
        <f>IF('Course 2'!$H189='tab2'!L$3,'Course 2'!$I189," ")</f>
        <v xml:space="preserve"> </v>
      </c>
      <c r="M191" s="8" t="str">
        <f>IF('Course 2'!$H189='tab2'!M$3,'Course 2'!$I189," ")</f>
        <v xml:space="preserve"> </v>
      </c>
      <c r="N191" s="9" t="str">
        <f>IF('Course 2'!$H189='tab2'!N$3,'Course 2'!$I189," ")</f>
        <v xml:space="preserve"> </v>
      </c>
    </row>
    <row r="192" spans="2:14">
      <c r="B192">
        <v>188</v>
      </c>
      <c r="C192" s="7" t="str">
        <f>IF('Course 2'!$H190='tab2'!C$3,'Course 2'!$I190," ")</f>
        <v xml:space="preserve"> </v>
      </c>
      <c r="D192" s="8" t="str">
        <f>IF('Course 2'!$H190='tab2'!D$3,'Course 2'!$I190," ")</f>
        <v xml:space="preserve"> </v>
      </c>
      <c r="E192" s="8" t="str">
        <f>IF('Course 2'!$H190='tab2'!E$3,'Course 2'!$I190," ")</f>
        <v xml:space="preserve"> </v>
      </c>
      <c r="F192" s="8" t="str">
        <f>IF('Course 2'!$H190='tab2'!F$3,'Course 2'!$I190," ")</f>
        <v xml:space="preserve"> </v>
      </c>
      <c r="G192" s="8" t="str">
        <f>IF('Course 2'!$H190='tab2'!G$3,'Course 2'!$I190," ")</f>
        <v xml:space="preserve"> </v>
      </c>
      <c r="H192" s="8" t="str">
        <f>IF('Course 2'!$H190='tab2'!H$3,'Course 2'!$I190," ")</f>
        <v xml:space="preserve"> </v>
      </c>
      <c r="I192" s="8" t="str">
        <f>IF('Course 2'!$H190='tab2'!I$3,'Course 2'!$I190," ")</f>
        <v xml:space="preserve"> </v>
      </c>
      <c r="J192" s="8" t="str">
        <f>IF('Course 2'!$H190='tab2'!J$3,'Course 2'!$I190," ")</f>
        <v xml:space="preserve"> </v>
      </c>
      <c r="K192" s="8" t="str">
        <f>IF('Course 2'!$H190='tab2'!K$3,'Course 2'!$I190," ")</f>
        <v xml:space="preserve"> </v>
      </c>
      <c r="L192" s="8" t="str">
        <f>IF('Course 2'!$H190='tab2'!L$3,'Course 2'!$I190," ")</f>
        <v xml:space="preserve"> </v>
      </c>
      <c r="M192" s="8" t="str">
        <f>IF('Course 2'!$H190='tab2'!M$3,'Course 2'!$I190," ")</f>
        <v xml:space="preserve"> </v>
      </c>
      <c r="N192" s="9" t="str">
        <f>IF('Course 2'!$H190='tab2'!N$3,'Course 2'!$I190," ")</f>
        <v xml:space="preserve"> </v>
      </c>
    </row>
    <row r="193" spans="2:14">
      <c r="B193">
        <v>189</v>
      </c>
      <c r="C193" s="7" t="str">
        <f>IF('Course 2'!$H191='tab2'!C$3,'Course 2'!$I191," ")</f>
        <v xml:space="preserve"> </v>
      </c>
      <c r="D193" s="8" t="str">
        <f>IF('Course 2'!$H191='tab2'!D$3,'Course 2'!$I191," ")</f>
        <v xml:space="preserve"> </v>
      </c>
      <c r="E193" s="8" t="str">
        <f>IF('Course 2'!$H191='tab2'!E$3,'Course 2'!$I191," ")</f>
        <v xml:space="preserve"> </v>
      </c>
      <c r="F193" s="8" t="str">
        <f>IF('Course 2'!$H191='tab2'!F$3,'Course 2'!$I191," ")</f>
        <v xml:space="preserve"> </v>
      </c>
      <c r="G193" s="8" t="str">
        <f>IF('Course 2'!$H191='tab2'!G$3,'Course 2'!$I191," ")</f>
        <v xml:space="preserve"> </v>
      </c>
      <c r="H193" s="8" t="str">
        <f>IF('Course 2'!$H191='tab2'!H$3,'Course 2'!$I191," ")</f>
        <v xml:space="preserve"> </v>
      </c>
      <c r="I193" s="8" t="str">
        <f>IF('Course 2'!$H191='tab2'!I$3,'Course 2'!$I191," ")</f>
        <v xml:space="preserve"> </v>
      </c>
      <c r="J193" s="8" t="str">
        <f>IF('Course 2'!$H191='tab2'!J$3,'Course 2'!$I191," ")</f>
        <v xml:space="preserve"> </v>
      </c>
      <c r="K193" s="8" t="str">
        <f>IF('Course 2'!$H191='tab2'!K$3,'Course 2'!$I191," ")</f>
        <v xml:space="preserve"> </v>
      </c>
      <c r="L193" s="8" t="str">
        <f>IF('Course 2'!$H191='tab2'!L$3,'Course 2'!$I191," ")</f>
        <v xml:space="preserve"> </v>
      </c>
      <c r="M193" s="8" t="str">
        <f>IF('Course 2'!$H191='tab2'!M$3,'Course 2'!$I191," ")</f>
        <v xml:space="preserve"> </v>
      </c>
      <c r="N193" s="9" t="str">
        <f>IF('Course 2'!$H191='tab2'!N$3,'Course 2'!$I191," ")</f>
        <v xml:space="preserve"> </v>
      </c>
    </row>
    <row r="194" spans="2:14">
      <c r="B194">
        <v>190</v>
      </c>
      <c r="C194" s="7" t="str">
        <f>IF('Course 2'!$H192='tab2'!C$3,'Course 2'!$I192," ")</f>
        <v xml:space="preserve"> </v>
      </c>
      <c r="D194" s="8" t="str">
        <f>IF('Course 2'!$H192='tab2'!D$3,'Course 2'!$I192," ")</f>
        <v xml:space="preserve"> </v>
      </c>
      <c r="E194" s="8" t="str">
        <f>IF('Course 2'!$H192='tab2'!E$3,'Course 2'!$I192," ")</f>
        <v xml:space="preserve"> </v>
      </c>
      <c r="F194" s="8" t="str">
        <f>IF('Course 2'!$H192='tab2'!F$3,'Course 2'!$I192," ")</f>
        <v xml:space="preserve"> </v>
      </c>
      <c r="G194" s="8" t="str">
        <f>IF('Course 2'!$H192='tab2'!G$3,'Course 2'!$I192," ")</f>
        <v xml:space="preserve"> </v>
      </c>
      <c r="H194" s="8" t="str">
        <f>IF('Course 2'!$H192='tab2'!H$3,'Course 2'!$I192," ")</f>
        <v xml:space="preserve"> </v>
      </c>
      <c r="I194" s="8" t="str">
        <f>IF('Course 2'!$H192='tab2'!I$3,'Course 2'!$I192," ")</f>
        <v xml:space="preserve"> </v>
      </c>
      <c r="J194" s="8" t="str">
        <f>IF('Course 2'!$H192='tab2'!J$3,'Course 2'!$I192," ")</f>
        <v xml:space="preserve"> </v>
      </c>
      <c r="K194" s="8" t="str">
        <f>IF('Course 2'!$H192='tab2'!K$3,'Course 2'!$I192," ")</f>
        <v xml:space="preserve"> </v>
      </c>
      <c r="L194" s="8" t="str">
        <f>IF('Course 2'!$H192='tab2'!L$3,'Course 2'!$I192," ")</f>
        <v xml:space="preserve"> </v>
      </c>
      <c r="M194" s="8" t="str">
        <f>IF('Course 2'!$H192='tab2'!M$3,'Course 2'!$I192," ")</f>
        <v xml:space="preserve"> </v>
      </c>
      <c r="N194" s="9" t="str">
        <f>IF('Course 2'!$H192='tab2'!N$3,'Course 2'!$I192," ")</f>
        <v xml:space="preserve"> </v>
      </c>
    </row>
    <row r="195" spans="2:14">
      <c r="B195">
        <v>191</v>
      </c>
      <c r="C195" s="7" t="str">
        <f>IF('Course 2'!$H193='tab2'!C$3,'Course 2'!$I193," ")</f>
        <v xml:space="preserve"> </v>
      </c>
      <c r="D195" s="8" t="str">
        <f>IF('Course 2'!$H193='tab2'!D$3,'Course 2'!$I193," ")</f>
        <v xml:space="preserve"> </v>
      </c>
      <c r="E195" s="8" t="str">
        <f>IF('Course 2'!$H193='tab2'!E$3,'Course 2'!$I193," ")</f>
        <v xml:space="preserve"> </v>
      </c>
      <c r="F195" s="8" t="str">
        <f>IF('Course 2'!$H193='tab2'!F$3,'Course 2'!$I193," ")</f>
        <v xml:space="preserve"> </v>
      </c>
      <c r="G195" s="8" t="str">
        <f>IF('Course 2'!$H193='tab2'!G$3,'Course 2'!$I193," ")</f>
        <v xml:space="preserve"> </v>
      </c>
      <c r="H195" s="8" t="str">
        <f>IF('Course 2'!$H193='tab2'!H$3,'Course 2'!$I193," ")</f>
        <v xml:space="preserve"> </v>
      </c>
      <c r="I195" s="8" t="str">
        <f>IF('Course 2'!$H193='tab2'!I$3,'Course 2'!$I193," ")</f>
        <v xml:space="preserve"> </v>
      </c>
      <c r="J195" s="8" t="str">
        <f>IF('Course 2'!$H193='tab2'!J$3,'Course 2'!$I193," ")</f>
        <v xml:space="preserve"> </v>
      </c>
      <c r="K195" s="8" t="str">
        <f>IF('Course 2'!$H193='tab2'!K$3,'Course 2'!$I193," ")</f>
        <v xml:space="preserve"> </v>
      </c>
      <c r="L195" s="8" t="str">
        <f>IF('Course 2'!$H193='tab2'!L$3,'Course 2'!$I193," ")</f>
        <v xml:space="preserve"> </v>
      </c>
      <c r="M195" s="8" t="str">
        <f>IF('Course 2'!$H193='tab2'!M$3,'Course 2'!$I193," ")</f>
        <v xml:space="preserve"> </v>
      </c>
      <c r="N195" s="9" t="str">
        <f>IF('Course 2'!$H193='tab2'!N$3,'Course 2'!$I193," ")</f>
        <v xml:space="preserve"> </v>
      </c>
    </row>
    <row r="196" spans="2:14">
      <c r="B196">
        <v>192</v>
      </c>
      <c r="C196" s="7" t="str">
        <f>IF('Course 2'!$H194='tab2'!C$3,'Course 2'!$I194," ")</f>
        <v xml:space="preserve"> </v>
      </c>
      <c r="D196" s="8" t="str">
        <f>IF('Course 2'!$H194='tab2'!D$3,'Course 2'!$I194," ")</f>
        <v xml:space="preserve"> </v>
      </c>
      <c r="E196" s="8" t="str">
        <f>IF('Course 2'!$H194='tab2'!E$3,'Course 2'!$I194," ")</f>
        <v xml:space="preserve"> </v>
      </c>
      <c r="F196" s="8" t="str">
        <f>IF('Course 2'!$H194='tab2'!F$3,'Course 2'!$I194," ")</f>
        <v xml:space="preserve"> </v>
      </c>
      <c r="G196" s="8" t="str">
        <f>IF('Course 2'!$H194='tab2'!G$3,'Course 2'!$I194," ")</f>
        <v xml:space="preserve"> </v>
      </c>
      <c r="H196" s="8" t="str">
        <f>IF('Course 2'!$H194='tab2'!H$3,'Course 2'!$I194," ")</f>
        <v xml:space="preserve"> </v>
      </c>
      <c r="I196" s="8" t="str">
        <f>IF('Course 2'!$H194='tab2'!I$3,'Course 2'!$I194," ")</f>
        <v xml:space="preserve"> </v>
      </c>
      <c r="J196" s="8" t="str">
        <f>IF('Course 2'!$H194='tab2'!J$3,'Course 2'!$I194," ")</f>
        <v xml:space="preserve"> </v>
      </c>
      <c r="K196" s="8" t="str">
        <f>IF('Course 2'!$H194='tab2'!K$3,'Course 2'!$I194," ")</f>
        <v xml:space="preserve"> </v>
      </c>
      <c r="L196" s="8" t="str">
        <f>IF('Course 2'!$H194='tab2'!L$3,'Course 2'!$I194," ")</f>
        <v xml:space="preserve"> </v>
      </c>
      <c r="M196" s="8" t="str">
        <f>IF('Course 2'!$H194='tab2'!M$3,'Course 2'!$I194," ")</f>
        <v xml:space="preserve"> </v>
      </c>
      <c r="N196" s="9" t="str">
        <f>IF('Course 2'!$H194='tab2'!N$3,'Course 2'!$I194," ")</f>
        <v xml:space="preserve"> </v>
      </c>
    </row>
    <row r="197" spans="2:14">
      <c r="B197">
        <v>193</v>
      </c>
      <c r="C197" s="7" t="str">
        <f>IF('Course 2'!$H195='tab2'!C$3,'Course 2'!$I195," ")</f>
        <v xml:space="preserve"> </v>
      </c>
      <c r="D197" s="8" t="str">
        <f>IF('Course 2'!$H195='tab2'!D$3,'Course 2'!$I195," ")</f>
        <v xml:space="preserve"> </v>
      </c>
      <c r="E197" s="8" t="str">
        <f>IF('Course 2'!$H195='tab2'!E$3,'Course 2'!$I195," ")</f>
        <v xml:space="preserve"> </v>
      </c>
      <c r="F197" s="8" t="str">
        <f>IF('Course 2'!$H195='tab2'!F$3,'Course 2'!$I195," ")</f>
        <v xml:space="preserve"> </v>
      </c>
      <c r="G197" s="8" t="str">
        <f>IF('Course 2'!$H195='tab2'!G$3,'Course 2'!$I195," ")</f>
        <v xml:space="preserve"> </v>
      </c>
      <c r="H197" s="8" t="str">
        <f>IF('Course 2'!$H195='tab2'!H$3,'Course 2'!$I195," ")</f>
        <v xml:space="preserve"> </v>
      </c>
      <c r="I197" s="8" t="str">
        <f>IF('Course 2'!$H195='tab2'!I$3,'Course 2'!$I195," ")</f>
        <v xml:space="preserve"> </v>
      </c>
      <c r="J197" s="8" t="str">
        <f>IF('Course 2'!$H195='tab2'!J$3,'Course 2'!$I195," ")</f>
        <v xml:space="preserve"> </v>
      </c>
      <c r="K197" s="8" t="str">
        <f>IF('Course 2'!$H195='tab2'!K$3,'Course 2'!$I195," ")</f>
        <v xml:space="preserve"> </v>
      </c>
      <c r="L197" s="8" t="str">
        <f>IF('Course 2'!$H195='tab2'!L$3,'Course 2'!$I195," ")</f>
        <v xml:space="preserve"> </v>
      </c>
      <c r="M197" s="8" t="str">
        <f>IF('Course 2'!$H195='tab2'!M$3,'Course 2'!$I195," ")</f>
        <v xml:space="preserve"> </v>
      </c>
      <c r="N197" s="9" t="str">
        <f>IF('Course 2'!$H195='tab2'!N$3,'Course 2'!$I195," ")</f>
        <v xml:space="preserve"> </v>
      </c>
    </row>
    <row r="198" spans="2:14">
      <c r="B198">
        <v>194</v>
      </c>
      <c r="C198" s="7" t="str">
        <f>IF('Course 2'!$H196='tab2'!C$3,'Course 2'!$I196," ")</f>
        <v xml:space="preserve"> </v>
      </c>
      <c r="D198" s="8" t="str">
        <f>IF('Course 2'!$H196='tab2'!D$3,'Course 2'!$I196," ")</f>
        <v xml:space="preserve"> </v>
      </c>
      <c r="E198" s="8" t="str">
        <f>IF('Course 2'!$H196='tab2'!E$3,'Course 2'!$I196," ")</f>
        <v xml:space="preserve"> </v>
      </c>
      <c r="F198" s="8" t="str">
        <f>IF('Course 2'!$H196='tab2'!F$3,'Course 2'!$I196," ")</f>
        <v xml:space="preserve"> </v>
      </c>
      <c r="G198" s="8" t="str">
        <f>IF('Course 2'!$H196='tab2'!G$3,'Course 2'!$I196," ")</f>
        <v xml:space="preserve"> </v>
      </c>
      <c r="H198" s="8" t="str">
        <f>IF('Course 2'!$H196='tab2'!H$3,'Course 2'!$I196," ")</f>
        <v xml:space="preserve"> </v>
      </c>
      <c r="I198" s="8" t="str">
        <f>IF('Course 2'!$H196='tab2'!I$3,'Course 2'!$I196," ")</f>
        <v xml:space="preserve"> </v>
      </c>
      <c r="J198" s="8" t="str">
        <f>IF('Course 2'!$H196='tab2'!J$3,'Course 2'!$I196," ")</f>
        <v xml:space="preserve"> </v>
      </c>
      <c r="K198" s="8" t="str">
        <f>IF('Course 2'!$H196='tab2'!K$3,'Course 2'!$I196," ")</f>
        <v xml:space="preserve"> </v>
      </c>
      <c r="L198" s="8" t="str">
        <f>IF('Course 2'!$H196='tab2'!L$3,'Course 2'!$I196," ")</f>
        <v xml:space="preserve"> </v>
      </c>
      <c r="M198" s="8" t="str">
        <f>IF('Course 2'!$H196='tab2'!M$3,'Course 2'!$I196," ")</f>
        <v xml:space="preserve"> </v>
      </c>
      <c r="N198" s="9" t="str">
        <f>IF('Course 2'!$H196='tab2'!N$3,'Course 2'!$I196," ")</f>
        <v xml:space="preserve"> </v>
      </c>
    </row>
    <row r="199" spans="2:14">
      <c r="B199">
        <v>195</v>
      </c>
      <c r="C199" s="7" t="str">
        <f>IF('Course 2'!$H197='tab2'!C$3,'Course 2'!$I197," ")</f>
        <v xml:space="preserve"> </v>
      </c>
      <c r="D199" s="8" t="str">
        <f>IF('Course 2'!$H197='tab2'!D$3,'Course 2'!$I197," ")</f>
        <v xml:space="preserve"> </v>
      </c>
      <c r="E199" s="8" t="str">
        <f>IF('Course 2'!$H197='tab2'!E$3,'Course 2'!$I197," ")</f>
        <v xml:space="preserve"> </v>
      </c>
      <c r="F199" s="8" t="str">
        <f>IF('Course 2'!$H197='tab2'!F$3,'Course 2'!$I197," ")</f>
        <v xml:space="preserve"> </v>
      </c>
      <c r="G199" s="8" t="str">
        <f>IF('Course 2'!$H197='tab2'!G$3,'Course 2'!$I197," ")</f>
        <v xml:space="preserve"> </v>
      </c>
      <c r="H199" s="8" t="str">
        <f>IF('Course 2'!$H197='tab2'!H$3,'Course 2'!$I197," ")</f>
        <v xml:space="preserve"> </v>
      </c>
      <c r="I199" s="8" t="str">
        <f>IF('Course 2'!$H197='tab2'!I$3,'Course 2'!$I197," ")</f>
        <v xml:space="preserve"> </v>
      </c>
      <c r="J199" s="8" t="str">
        <f>IF('Course 2'!$H197='tab2'!J$3,'Course 2'!$I197," ")</f>
        <v xml:space="preserve"> </v>
      </c>
      <c r="K199" s="8" t="str">
        <f>IF('Course 2'!$H197='tab2'!K$3,'Course 2'!$I197," ")</f>
        <v xml:space="preserve"> </v>
      </c>
      <c r="L199" s="8" t="str">
        <f>IF('Course 2'!$H197='tab2'!L$3,'Course 2'!$I197," ")</f>
        <v xml:space="preserve"> </v>
      </c>
      <c r="M199" s="8" t="str">
        <f>IF('Course 2'!$H197='tab2'!M$3,'Course 2'!$I197," ")</f>
        <v xml:space="preserve"> </v>
      </c>
      <c r="N199" s="9" t="str">
        <f>IF('Course 2'!$H197='tab2'!N$3,'Course 2'!$I197," ")</f>
        <v xml:space="preserve"> </v>
      </c>
    </row>
    <row r="200" spans="2:14">
      <c r="B200">
        <v>196</v>
      </c>
      <c r="C200" s="7" t="str">
        <f>IF('Course 2'!$H198='tab2'!C$3,'Course 2'!$I198," ")</f>
        <v xml:space="preserve"> </v>
      </c>
      <c r="D200" s="8" t="str">
        <f>IF('Course 2'!$H198='tab2'!D$3,'Course 2'!$I198," ")</f>
        <v xml:space="preserve"> </v>
      </c>
      <c r="E200" s="8" t="str">
        <f>IF('Course 2'!$H198='tab2'!E$3,'Course 2'!$I198," ")</f>
        <v xml:space="preserve"> </v>
      </c>
      <c r="F200" s="8" t="str">
        <f>IF('Course 2'!$H198='tab2'!F$3,'Course 2'!$I198," ")</f>
        <v xml:space="preserve"> </v>
      </c>
      <c r="G200" s="8" t="str">
        <f>IF('Course 2'!$H198='tab2'!G$3,'Course 2'!$I198," ")</f>
        <v xml:space="preserve"> </v>
      </c>
      <c r="H200" s="8" t="str">
        <f>IF('Course 2'!$H198='tab2'!H$3,'Course 2'!$I198," ")</f>
        <v xml:space="preserve"> </v>
      </c>
      <c r="I200" s="8" t="str">
        <f>IF('Course 2'!$H198='tab2'!I$3,'Course 2'!$I198," ")</f>
        <v xml:space="preserve"> </v>
      </c>
      <c r="J200" s="8" t="str">
        <f>IF('Course 2'!$H198='tab2'!J$3,'Course 2'!$I198," ")</f>
        <v xml:space="preserve"> </v>
      </c>
      <c r="K200" s="8" t="str">
        <f>IF('Course 2'!$H198='tab2'!K$3,'Course 2'!$I198," ")</f>
        <v xml:space="preserve"> </v>
      </c>
      <c r="L200" s="8" t="str">
        <f>IF('Course 2'!$H198='tab2'!L$3,'Course 2'!$I198," ")</f>
        <v xml:space="preserve"> </v>
      </c>
      <c r="M200" s="8" t="str">
        <f>IF('Course 2'!$H198='tab2'!M$3,'Course 2'!$I198," ")</f>
        <v xml:space="preserve"> </v>
      </c>
      <c r="N200" s="9" t="str">
        <f>IF('Course 2'!$H198='tab2'!N$3,'Course 2'!$I198," ")</f>
        <v xml:space="preserve"> </v>
      </c>
    </row>
    <row r="201" spans="2:14">
      <c r="B201">
        <v>197</v>
      </c>
      <c r="C201" s="7" t="str">
        <f>IF('Course 2'!$H199='tab2'!C$3,'Course 2'!$I199," ")</f>
        <v xml:space="preserve"> </v>
      </c>
      <c r="D201" s="8" t="str">
        <f>IF('Course 2'!$H199='tab2'!D$3,'Course 2'!$I199," ")</f>
        <v xml:space="preserve"> </v>
      </c>
      <c r="E201" s="8" t="str">
        <f>IF('Course 2'!$H199='tab2'!E$3,'Course 2'!$I199," ")</f>
        <v xml:space="preserve"> </v>
      </c>
      <c r="F201" s="8" t="str">
        <f>IF('Course 2'!$H199='tab2'!F$3,'Course 2'!$I199," ")</f>
        <v xml:space="preserve"> </v>
      </c>
      <c r="G201" s="8" t="str">
        <f>IF('Course 2'!$H199='tab2'!G$3,'Course 2'!$I199," ")</f>
        <v xml:space="preserve"> </v>
      </c>
      <c r="H201" s="8" t="str">
        <f>IF('Course 2'!$H199='tab2'!H$3,'Course 2'!$I199," ")</f>
        <v xml:space="preserve"> </v>
      </c>
      <c r="I201" s="8" t="str">
        <f>IF('Course 2'!$H199='tab2'!I$3,'Course 2'!$I199," ")</f>
        <v xml:space="preserve"> </v>
      </c>
      <c r="J201" s="8" t="str">
        <f>IF('Course 2'!$H199='tab2'!J$3,'Course 2'!$I199," ")</f>
        <v xml:space="preserve"> </v>
      </c>
      <c r="K201" s="8" t="str">
        <f>IF('Course 2'!$H199='tab2'!K$3,'Course 2'!$I199," ")</f>
        <v xml:space="preserve"> </v>
      </c>
      <c r="L201" s="8" t="str">
        <f>IF('Course 2'!$H199='tab2'!L$3,'Course 2'!$I199," ")</f>
        <v xml:space="preserve"> </v>
      </c>
      <c r="M201" s="8" t="str">
        <f>IF('Course 2'!$H199='tab2'!M$3,'Course 2'!$I199," ")</f>
        <v xml:space="preserve"> </v>
      </c>
      <c r="N201" s="9" t="str">
        <f>IF('Course 2'!$H199='tab2'!N$3,'Course 2'!$I199," ")</f>
        <v xml:space="preserve"> </v>
      </c>
    </row>
    <row r="202" spans="2:14">
      <c r="B202">
        <v>198</v>
      </c>
      <c r="C202" s="7" t="str">
        <f>IF('Course 2'!$H200='tab2'!C$3,'Course 2'!$I200," ")</f>
        <v xml:space="preserve"> </v>
      </c>
      <c r="D202" s="8" t="str">
        <f>IF('Course 2'!$H200='tab2'!D$3,'Course 2'!$I200," ")</f>
        <v xml:space="preserve"> </v>
      </c>
      <c r="E202" s="8" t="str">
        <f>IF('Course 2'!$H200='tab2'!E$3,'Course 2'!$I200," ")</f>
        <v xml:space="preserve"> </v>
      </c>
      <c r="F202" s="8" t="str">
        <f>IF('Course 2'!$H200='tab2'!F$3,'Course 2'!$I200," ")</f>
        <v xml:space="preserve"> </v>
      </c>
      <c r="G202" s="8" t="str">
        <f>IF('Course 2'!$H200='tab2'!G$3,'Course 2'!$I200," ")</f>
        <v xml:space="preserve"> </v>
      </c>
      <c r="H202" s="8" t="str">
        <f>IF('Course 2'!$H200='tab2'!H$3,'Course 2'!$I200," ")</f>
        <v xml:space="preserve"> </v>
      </c>
      <c r="I202" s="8" t="str">
        <f>IF('Course 2'!$H200='tab2'!I$3,'Course 2'!$I200," ")</f>
        <v xml:space="preserve"> </v>
      </c>
      <c r="J202" s="8" t="str">
        <f>IF('Course 2'!$H200='tab2'!J$3,'Course 2'!$I200," ")</f>
        <v xml:space="preserve"> </v>
      </c>
      <c r="K202" s="8" t="str">
        <f>IF('Course 2'!$H200='tab2'!K$3,'Course 2'!$I200," ")</f>
        <v xml:space="preserve"> </v>
      </c>
      <c r="L202" s="8" t="str">
        <f>IF('Course 2'!$H200='tab2'!L$3,'Course 2'!$I200," ")</f>
        <v xml:space="preserve"> </v>
      </c>
      <c r="M202" s="8" t="str">
        <f>IF('Course 2'!$H200='tab2'!M$3,'Course 2'!$I200," ")</f>
        <v xml:space="preserve"> </v>
      </c>
      <c r="N202" s="9" t="str">
        <f>IF('Course 2'!$H200='tab2'!N$3,'Course 2'!$I200," ")</f>
        <v xml:space="preserve"> </v>
      </c>
    </row>
    <row r="203" spans="2:14">
      <c r="B203">
        <v>199</v>
      </c>
      <c r="C203" s="7" t="str">
        <f>IF('Course 2'!$H201='tab2'!C$3,'Course 2'!$I201," ")</f>
        <v xml:space="preserve"> </v>
      </c>
      <c r="D203" s="8" t="str">
        <f>IF('Course 2'!$H201='tab2'!D$3,'Course 2'!$I201," ")</f>
        <v xml:space="preserve"> </v>
      </c>
      <c r="E203" s="8" t="str">
        <f>IF('Course 2'!$H201='tab2'!E$3,'Course 2'!$I201," ")</f>
        <v xml:space="preserve"> </v>
      </c>
      <c r="F203" s="8" t="str">
        <f>IF('Course 2'!$H201='tab2'!F$3,'Course 2'!$I201," ")</f>
        <v xml:space="preserve"> </v>
      </c>
      <c r="G203" s="8" t="str">
        <f>IF('Course 2'!$H201='tab2'!G$3,'Course 2'!$I201," ")</f>
        <v xml:space="preserve"> </v>
      </c>
      <c r="H203" s="8" t="str">
        <f>IF('Course 2'!$H201='tab2'!H$3,'Course 2'!$I201," ")</f>
        <v xml:space="preserve"> </v>
      </c>
      <c r="I203" s="8" t="str">
        <f>IF('Course 2'!$H201='tab2'!I$3,'Course 2'!$I201," ")</f>
        <v xml:space="preserve"> </v>
      </c>
      <c r="J203" s="8" t="str">
        <f>IF('Course 2'!$H201='tab2'!J$3,'Course 2'!$I201," ")</f>
        <v xml:space="preserve"> </v>
      </c>
      <c r="K203" s="8" t="str">
        <f>IF('Course 2'!$H201='tab2'!K$3,'Course 2'!$I201," ")</f>
        <v xml:space="preserve"> </v>
      </c>
      <c r="L203" s="8" t="str">
        <f>IF('Course 2'!$H201='tab2'!L$3,'Course 2'!$I201," ")</f>
        <v xml:space="preserve"> </v>
      </c>
      <c r="M203" s="8" t="str">
        <f>IF('Course 2'!$H201='tab2'!M$3,'Course 2'!$I201," ")</f>
        <v xml:space="preserve"> </v>
      </c>
      <c r="N203" s="9" t="str">
        <f>IF('Course 2'!$H201='tab2'!N$3,'Course 2'!$I201," ")</f>
        <v xml:space="preserve"> </v>
      </c>
    </row>
    <row r="204" spans="2:14">
      <c r="B204">
        <v>200</v>
      </c>
      <c r="C204" s="7" t="str">
        <f>IF('Course 2'!$H202='tab2'!C$3,'Course 2'!$I202," ")</f>
        <v xml:space="preserve"> </v>
      </c>
      <c r="D204" s="8" t="str">
        <f>IF('Course 2'!$H202='tab2'!D$3,'Course 2'!$I202," ")</f>
        <v xml:space="preserve"> </v>
      </c>
      <c r="E204" s="8" t="str">
        <f>IF('Course 2'!$H202='tab2'!E$3,'Course 2'!$I202," ")</f>
        <v xml:space="preserve"> </v>
      </c>
      <c r="F204" s="8" t="str">
        <f>IF('Course 2'!$H202='tab2'!F$3,'Course 2'!$I202," ")</f>
        <v xml:space="preserve"> </v>
      </c>
      <c r="G204" s="8" t="str">
        <f>IF('Course 2'!$H202='tab2'!G$3,'Course 2'!$I202," ")</f>
        <v xml:space="preserve"> </v>
      </c>
      <c r="H204" s="8" t="str">
        <f>IF('Course 2'!$H202='tab2'!H$3,'Course 2'!$I202," ")</f>
        <v xml:space="preserve"> </v>
      </c>
      <c r="I204" s="8" t="str">
        <f>IF('Course 2'!$H202='tab2'!I$3,'Course 2'!$I202," ")</f>
        <v xml:space="preserve"> </v>
      </c>
      <c r="J204" s="8" t="str">
        <f>IF('Course 2'!$H202='tab2'!J$3,'Course 2'!$I202," ")</f>
        <v xml:space="preserve"> </v>
      </c>
      <c r="K204" s="8" t="str">
        <f>IF('Course 2'!$H202='tab2'!K$3,'Course 2'!$I202," ")</f>
        <v xml:space="preserve"> </v>
      </c>
      <c r="L204" s="8" t="str">
        <f>IF('Course 2'!$H202='tab2'!L$3,'Course 2'!$I202," ")</f>
        <v xml:space="preserve"> </v>
      </c>
      <c r="M204" s="8" t="str">
        <f>IF('Course 2'!$H202='tab2'!M$3,'Course 2'!$I202," ")</f>
        <v xml:space="preserve"> </v>
      </c>
      <c r="N204" s="9" t="str">
        <f>IF('Course 2'!$H202='tab2'!N$3,'Course 2'!$I202," ")</f>
        <v xml:space="preserve"> </v>
      </c>
    </row>
    <row r="205" spans="2:14">
      <c r="B205">
        <v>201</v>
      </c>
      <c r="C205" s="7" t="str">
        <f>IF('Course 2'!$H203='tab2'!C$3,'Course 2'!$I203," ")</f>
        <v xml:space="preserve"> </v>
      </c>
      <c r="D205" s="8" t="str">
        <f>IF('Course 2'!$H203='tab2'!D$3,'Course 2'!$I203," ")</f>
        <v xml:space="preserve"> </v>
      </c>
      <c r="E205" s="8" t="str">
        <f>IF('Course 2'!$H203='tab2'!E$3,'Course 2'!$I203," ")</f>
        <v xml:space="preserve"> </v>
      </c>
      <c r="F205" s="8" t="str">
        <f>IF('Course 2'!$H203='tab2'!F$3,'Course 2'!$I203," ")</f>
        <v xml:space="preserve"> </v>
      </c>
      <c r="G205" s="8" t="str">
        <f>IF('Course 2'!$H203='tab2'!G$3,'Course 2'!$I203," ")</f>
        <v xml:space="preserve"> </v>
      </c>
      <c r="H205" s="8" t="str">
        <f>IF('Course 2'!$H203='tab2'!H$3,'Course 2'!$I203," ")</f>
        <v xml:space="preserve"> </v>
      </c>
      <c r="I205" s="8" t="str">
        <f>IF('Course 2'!$H203='tab2'!I$3,'Course 2'!$I203," ")</f>
        <v xml:space="preserve"> </v>
      </c>
      <c r="J205" s="8" t="str">
        <f>IF('Course 2'!$H203='tab2'!J$3,'Course 2'!$I203," ")</f>
        <v xml:space="preserve"> </v>
      </c>
      <c r="K205" s="8" t="str">
        <f>IF('Course 2'!$H203='tab2'!K$3,'Course 2'!$I203," ")</f>
        <v xml:space="preserve"> </v>
      </c>
      <c r="L205" s="8" t="str">
        <f>IF('Course 2'!$H203='tab2'!L$3,'Course 2'!$I203," ")</f>
        <v xml:space="preserve"> </v>
      </c>
      <c r="M205" s="8" t="str">
        <f>IF('Course 2'!$H203='tab2'!M$3,'Course 2'!$I203," ")</f>
        <v xml:space="preserve"> </v>
      </c>
      <c r="N205" s="9" t="str">
        <f>IF('Course 2'!$H203='tab2'!N$3,'Course 2'!$I203," ")</f>
        <v xml:space="preserve"> </v>
      </c>
    </row>
    <row r="206" spans="2:14">
      <c r="B206">
        <v>202</v>
      </c>
      <c r="C206" s="7" t="str">
        <f>IF('Course 2'!$H204='tab2'!C$3,'Course 2'!$I204," ")</f>
        <v xml:space="preserve"> </v>
      </c>
      <c r="D206" s="8" t="str">
        <f>IF('Course 2'!$H204='tab2'!D$3,'Course 2'!$I204," ")</f>
        <v xml:space="preserve"> </v>
      </c>
      <c r="E206" s="8" t="str">
        <f>IF('Course 2'!$H204='tab2'!E$3,'Course 2'!$I204," ")</f>
        <v xml:space="preserve"> </v>
      </c>
      <c r="F206" s="8" t="str">
        <f>IF('Course 2'!$H204='tab2'!F$3,'Course 2'!$I204," ")</f>
        <v xml:space="preserve"> </v>
      </c>
      <c r="G206" s="8" t="str">
        <f>IF('Course 2'!$H204='tab2'!G$3,'Course 2'!$I204," ")</f>
        <v xml:space="preserve"> </v>
      </c>
      <c r="H206" s="8" t="str">
        <f>IF('Course 2'!$H204='tab2'!H$3,'Course 2'!$I204," ")</f>
        <v xml:space="preserve"> </v>
      </c>
      <c r="I206" s="8" t="str">
        <f>IF('Course 2'!$H204='tab2'!I$3,'Course 2'!$I204," ")</f>
        <v xml:space="preserve"> </v>
      </c>
      <c r="J206" s="8" t="str">
        <f>IF('Course 2'!$H204='tab2'!J$3,'Course 2'!$I204," ")</f>
        <v xml:space="preserve"> </v>
      </c>
      <c r="K206" s="8" t="str">
        <f>IF('Course 2'!$H204='tab2'!K$3,'Course 2'!$I204," ")</f>
        <v xml:space="preserve"> </v>
      </c>
      <c r="L206" s="8" t="str">
        <f>IF('Course 2'!$H204='tab2'!L$3,'Course 2'!$I204," ")</f>
        <v xml:space="preserve"> </v>
      </c>
      <c r="M206" s="8" t="str">
        <f>IF('Course 2'!$H204='tab2'!M$3,'Course 2'!$I204," ")</f>
        <v xml:space="preserve"> </v>
      </c>
      <c r="N206" s="9" t="str">
        <f>IF('Course 2'!$H204='tab2'!N$3,'Course 2'!$I204," ")</f>
        <v xml:space="preserve"> </v>
      </c>
    </row>
    <row r="207" spans="2:14">
      <c r="B207">
        <v>203</v>
      </c>
      <c r="C207" s="7" t="str">
        <f>IF('Course 2'!$H205='tab2'!C$3,'Course 2'!$I205," ")</f>
        <v xml:space="preserve"> </v>
      </c>
      <c r="D207" s="8" t="str">
        <f>IF('Course 2'!$H205='tab2'!D$3,'Course 2'!$I205," ")</f>
        <v xml:space="preserve"> </v>
      </c>
      <c r="E207" s="8" t="str">
        <f>IF('Course 2'!$H205='tab2'!E$3,'Course 2'!$I205," ")</f>
        <v xml:space="preserve"> </v>
      </c>
      <c r="F207" s="8" t="str">
        <f>IF('Course 2'!$H205='tab2'!F$3,'Course 2'!$I205," ")</f>
        <v xml:space="preserve"> </v>
      </c>
      <c r="G207" s="8" t="str">
        <f>IF('Course 2'!$H205='tab2'!G$3,'Course 2'!$I205," ")</f>
        <v xml:space="preserve"> </v>
      </c>
      <c r="H207" s="8" t="str">
        <f>IF('Course 2'!$H205='tab2'!H$3,'Course 2'!$I205," ")</f>
        <v xml:space="preserve"> </v>
      </c>
      <c r="I207" s="8" t="str">
        <f>IF('Course 2'!$H205='tab2'!I$3,'Course 2'!$I205," ")</f>
        <v xml:space="preserve"> </v>
      </c>
      <c r="J207" s="8" t="str">
        <f>IF('Course 2'!$H205='tab2'!J$3,'Course 2'!$I205," ")</f>
        <v xml:space="preserve"> </v>
      </c>
      <c r="K207" s="8" t="str">
        <f>IF('Course 2'!$H205='tab2'!K$3,'Course 2'!$I205," ")</f>
        <v xml:space="preserve"> </v>
      </c>
      <c r="L207" s="8" t="str">
        <f>IF('Course 2'!$H205='tab2'!L$3,'Course 2'!$I205," ")</f>
        <v xml:space="preserve"> </v>
      </c>
      <c r="M207" s="8" t="str">
        <f>IF('Course 2'!$H205='tab2'!M$3,'Course 2'!$I205," ")</f>
        <v xml:space="preserve"> </v>
      </c>
      <c r="N207" s="9" t="str">
        <f>IF('Course 2'!$H205='tab2'!N$3,'Course 2'!$I205," ")</f>
        <v xml:space="preserve"> </v>
      </c>
    </row>
    <row r="208" spans="2:14">
      <c r="B208">
        <v>204</v>
      </c>
      <c r="C208" s="7" t="str">
        <f>IF('Course 2'!$H206='tab2'!C$3,'Course 2'!$I206," ")</f>
        <v xml:space="preserve"> </v>
      </c>
      <c r="D208" s="8" t="str">
        <f>IF('Course 2'!$H206='tab2'!D$3,'Course 2'!$I206," ")</f>
        <v xml:space="preserve"> </v>
      </c>
      <c r="E208" s="8" t="str">
        <f>IF('Course 2'!$H206='tab2'!E$3,'Course 2'!$I206," ")</f>
        <v xml:space="preserve"> </v>
      </c>
      <c r="F208" s="8" t="str">
        <f>IF('Course 2'!$H206='tab2'!F$3,'Course 2'!$I206," ")</f>
        <v xml:space="preserve"> </v>
      </c>
      <c r="G208" s="8" t="str">
        <f>IF('Course 2'!$H206='tab2'!G$3,'Course 2'!$I206," ")</f>
        <v xml:space="preserve"> </v>
      </c>
      <c r="H208" s="8" t="str">
        <f>IF('Course 2'!$H206='tab2'!H$3,'Course 2'!$I206," ")</f>
        <v xml:space="preserve"> </v>
      </c>
      <c r="I208" s="8" t="str">
        <f>IF('Course 2'!$H206='tab2'!I$3,'Course 2'!$I206," ")</f>
        <v xml:space="preserve"> </v>
      </c>
      <c r="J208" s="8" t="str">
        <f>IF('Course 2'!$H206='tab2'!J$3,'Course 2'!$I206," ")</f>
        <v xml:space="preserve"> </v>
      </c>
      <c r="K208" s="8" t="str">
        <f>IF('Course 2'!$H206='tab2'!K$3,'Course 2'!$I206," ")</f>
        <v xml:space="preserve"> </v>
      </c>
      <c r="L208" s="8" t="str">
        <f>IF('Course 2'!$H206='tab2'!L$3,'Course 2'!$I206," ")</f>
        <v xml:space="preserve"> </v>
      </c>
      <c r="M208" s="8" t="str">
        <f>IF('Course 2'!$H206='tab2'!M$3,'Course 2'!$I206," ")</f>
        <v xml:space="preserve"> </v>
      </c>
      <c r="N208" s="9" t="str">
        <f>IF('Course 2'!$H206='tab2'!N$3,'Course 2'!$I206," ")</f>
        <v xml:space="preserve"> </v>
      </c>
    </row>
    <row r="209" spans="2:14">
      <c r="B209">
        <v>205</v>
      </c>
      <c r="C209" s="7" t="str">
        <f>IF('Course 2'!$H207='tab2'!C$3,'Course 2'!$I207," ")</f>
        <v xml:space="preserve"> </v>
      </c>
      <c r="D209" s="8" t="str">
        <f>IF('Course 2'!$H207='tab2'!D$3,'Course 2'!$I207," ")</f>
        <v xml:space="preserve"> </v>
      </c>
      <c r="E209" s="8" t="str">
        <f>IF('Course 2'!$H207='tab2'!E$3,'Course 2'!$I207," ")</f>
        <v xml:space="preserve"> </v>
      </c>
      <c r="F209" s="8" t="str">
        <f>IF('Course 2'!$H207='tab2'!F$3,'Course 2'!$I207," ")</f>
        <v xml:space="preserve"> </v>
      </c>
      <c r="G209" s="8" t="str">
        <f>IF('Course 2'!$H207='tab2'!G$3,'Course 2'!$I207," ")</f>
        <v xml:space="preserve"> </v>
      </c>
      <c r="H209" s="8" t="str">
        <f>IF('Course 2'!$H207='tab2'!H$3,'Course 2'!$I207," ")</f>
        <v xml:space="preserve"> </v>
      </c>
      <c r="I209" s="8" t="str">
        <f>IF('Course 2'!$H207='tab2'!I$3,'Course 2'!$I207," ")</f>
        <v xml:space="preserve"> </v>
      </c>
      <c r="J209" s="8" t="str">
        <f>IF('Course 2'!$H207='tab2'!J$3,'Course 2'!$I207," ")</f>
        <v xml:space="preserve"> </v>
      </c>
      <c r="K209" s="8" t="str">
        <f>IF('Course 2'!$H207='tab2'!K$3,'Course 2'!$I207," ")</f>
        <v xml:space="preserve"> </v>
      </c>
      <c r="L209" s="8" t="str">
        <f>IF('Course 2'!$H207='tab2'!L$3,'Course 2'!$I207," ")</f>
        <v xml:space="preserve"> </v>
      </c>
      <c r="M209" s="8" t="str">
        <f>IF('Course 2'!$H207='tab2'!M$3,'Course 2'!$I207," ")</f>
        <v xml:space="preserve"> </v>
      </c>
      <c r="N209" s="9" t="str">
        <f>IF('Course 2'!$H207='tab2'!N$3,'Course 2'!$I207," ")</f>
        <v xml:space="preserve"> </v>
      </c>
    </row>
    <row r="210" spans="2:14">
      <c r="B210">
        <v>206</v>
      </c>
      <c r="C210" s="7" t="str">
        <f>IF('Course 2'!$H208='tab2'!C$3,'Course 2'!$I208," ")</f>
        <v xml:space="preserve"> </v>
      </c>
      <c r="D210" s="8" t="str">
        <f>IF('Course 2'!$H208='tab2'!D$3,'Course 2'!$I208," ")</f>
        <v xml:space="preserve"> </v>
      </c>
      <c r="E210" s="8" t="str">
        <f>IF('Course 2'!$H208='tab2'!E$3,'Course 2'!$I208," ")</f>
        <v xml:space="preserve"> </v>
      </c>
      <c r="F210" s="8" t="str">
        <f>IF('Course 2'!$H208='tab2'!F$3,'Course 2'!$I208," ")</f>
        <v xml:space="preserve"> </v>
      </c>
      <c r="G210" s="8" t="str">
        <f>IF('Course 2'!$H208='tab2'!G$3,'Course 2'!$I208," ")</f>
        <v xml:space="preserve"> </v>
      </c>
      <c r="H210" s="8" t="str">
        <f>IF('Course 2'!$H208='tab2'!H$3,'Course 2'!$I208," ")</f>
        <v xml:space="preserve"> </v>
      </c>
      <c r="I210" s="8" t="str">
        <f>IF('Course 2'!$H208='tab2'!I$3,'Course 2'!$I208," ")</f>
        <v xml:space="preserve"> </v>
      </c>
      <c r="J210" s="8" t="str">
        <f>IF('Course 2'!$H208='tab2'!J$3,'Course 2'!$I208," ")</f>
        <v xml:space="preserve"> </v>
      </c>
      <c r="K210" s="8" t="str">
        <f>IF('Course 2'!$H208='tab2'!K$3,'Course 2'!$I208," ")</f>
        <v xml:space="preserve"> </v>
      </c>
      <c r="L210" s="8" t="str">
        <f>IF('Course 2'!$H208='tab2'!L$3,'Course 2'!$I208," ")</f>
        <v xml:space="preserve"> </v>
      </c>
      <c r="M210" s="8" t="str">
        <f>IF('Course 2'!$H208='tab2'!M$3,'Course 2'!$I208," ")</f>
        <v xml:space="preserve"> </v>
      </c>
      <c r="N210" s="9" t="str">
        <f>IF('Course 2'!$H208='tab2'!N$3,'Course 2'!$I208," ")</f>
        <v xml:space="preserve"> </v>
      </c>
    </row>
    <row r="211" spans="2:14">
      <c r="B211">
        <v>207</v>
      </c>
      <c r="C211" s="7" t="str">
        <f>IF('Course 2'!$H209='tab2'!C$3,'Course 2'!$I209," ")</f>
        <v xml:space="preserve"> </v>
      </c>
      <c r="D211" s="8" t="str">
        <f>IF('Course 2'!$H209='tab2'!D$3,'Course 2'!$I209," ")</f>
        <v xml:space="preserve"> </v>
      </c>
      <c r="E211" s="8" t="str">
        <f>IF('Course 2'!$H209='tab2'!E$3,'Course 2'!$I209," ")</f>
        <v xml:space="preserve"> </v>
      </c>
      <c r="F211" s="8" t="str">
        <f>IF('Course 2'!$H209='tab2'!F$3,'Course 2'!$I209," ")</f>
        <v xml:space="preserve"> </v>
      </c>
      <c r="G211" s="8" t="str">
        <f>IF('Course 2'!$H209='tab2'!G$3,'Course 2'!$I209," ")</f>
        <v xml:space="preserve"> </v>
      </c>
      <c r="H211" s="8" t="str">
        <f>IF('Course 2'!$H209='tab2'!H$3,'Course 2'!$I209," ")</f>
        <v xml:space="preserve"> </v>
      </c>
      <c r="I211" s="8" t="str">
        <f>IF('Course 2'!$H209='tab2'!I$3,'Course 2'!$I209," ")</f>
        <v xml:space="preserve"> </v>
      </c>
      <c r="J211" s="8" t="str">
        <f>IF('Course 2'!$H209='tab2'!J$3,'Course 2'!$I209," ")</f>
        <v xml:space="preserve"> </v>
      </c>
      <c r="K211" s="8" t="str">
        <f>IF('Course 2'!$H209='tab2'!K$3,'Course 2'!$I209," ")</f>
        <v xml:space="preserve"> </v>
      </c>
      <c r="L211" s="8" t="str">
        <f>IF('Course 2'!$H209='tab2'!L$3,'Course 2'!$I209," ")</f>
        <v xml:space="preserve"> </v>
      </c>
      <c r="M211" s="8" t="str">
        <f>IF('Course 2'!$H209='tab2'!M$3,'Course 2'!$I209," ")</f>
        <v xml:space="preserve"> </v>
      </c>
      <c r="N211" s="9" t="str">
        <f>IF('Course 2'!$H209='tab2'!N$3,'Course 2'!$I209," ")</f>
        <v xml:space="preserve"> </v>
      </c>
    </row>
    <row r="212" spans="2:14">
      <c r="B212">
        <v>208</v>
      </c>
      <c r="C212" s="7" t="str">
        <f>IF('Course 2'!$H210='tab2'!C$3,'Course 2'!$I210," ")</f>
        <v xml:space="preserve"> </v>
      </c>
      <c r="D212" s="8" t="str">
        <f>IF('Course 2'!$H210='tab2'!D$3,'Course 2'!$I210," ")</f>
        <v xml:space="preserve"> </v>
      </c>
      <c r="E212" s="8" t="str">
        <f>IF('Course 2'!$H210='tab2'!E$3,'Course 2'!$I210," ")</f>
        <v xml:space="preserve"> </v>
      </c>
      <c r="F212" s="8" t="str">
        <f>IF('Course 2'!$H210='tab2'!F$3,'Course 2'!$I210," ")</f>
        <v xml:space="preserve"> </v>
      </c>
      <c r="G212" s="8" t="str">
        <f>IF('Course 2'!$H210='tab2'!G$3,'Course 2'!$I210," ")</f>
        <v xml:space="preserve"> </v>
      </c>
      <c r="H212" s="8" t="str">
        <f>IF('Course 2'!$H210='tab2'!H$3,'Course 2'!$I210," ")</f>
        <v xml:space="preserve"> </v>
      </c>
      <c r="I212" s="8" t="str">
        <f>IF('Course 2'!$H210='tab2'!I$3,'Course 2'!$I210," ")</f>
        <v xml:space="preserve"> </v>
      </c>
      <c r="J212" s="8" t="str">
        <f>IF('Course 2'!$H210='tab2'!J$3,'Course 2'!$I210," ")</f>
        <v xml:space="preserve"> </v>
      </c>
      <c r="K212" s="8" t="str">
        <f>IF('Course 2'!$H210='tab2'!K$3,'Course 2'!$I210," ")</f>
        <v xml:space="preserve"> </v>
      </c>
      <c r="L212" s="8" t="str">
        <f>IF('Course 2'!$H210='tab2'!L$3,'Course 2'!$I210," ")</f>
        <v xml:space="preserve"> </v>
      </c>
      <c r="M212" s="8" t="str">
        <f>IF('Course 2'!$H210='tab2'!M$3,'Course 2'!$I210," ")</f>
        <v xml:space="preserve"> </v>
      </c>
      <c r="N212" s="9" t="str">
        <f>IF('Course 2'!$H210='tab2'!N$3,'Course 2'!$I210," ")</f>
        <v xml:space="preserve"> </v>
      </c>
    </row>
    <row r="213" spans="2:14">
      <c r="B213">
        <v>209</v>
      </c>
      <c r="C213" s="7" t="str">
        <f>IF('Course 2'!$H211='tab2'!C$3,'Course 2'!$I211," ")</f>
        <v xml:space="preserve"> </v>
      </c>
      <c r="D213" s="8" t="str">
        <f>IF('Course 2'!$H211='tab2'!D$3,'Course 2'!$I211," ")</f>
        <v xml:space="preserve"> </v>
      </c>
      <c r="E213" s="8" t="str">
        <f>IF('Course 2'!$H211='tab2'!E$3,'Course 2'!$I211," ")</f>
        <v xml:space="preserve"> </v>
      </c>
      <c r="F213" s="8" t="str">
        <f>IF('Course 2'!$H211='tab2'!F$3,'Course 2'!$I211," ")</f>
        <v xml:space="preserve"> </v>
      </c>
      <c r="G213" s="8" t="str">
        <f>IF('Course 2'!$H211='tab2'!G$3,'Course 2'!$I211," ")</f>
        <v xml:space="preserve"> </v>
      </c>
      <c r="H213" s="8" t="str">
        <f>IF('Course 2'!$H211='tab2'!H$3,'Course 2'!$I211," ")</f>
        <v xml:space="preserve"> </v>
      </c>
      <c r="I213" s="8" t="str">
        <f>IF('Course 2'!$H211='tab2'!I$3,'Course 2'!$I211," ")</f>
        <v xml:space="preserve"> </v>
      </c>
      <c r="J213" s="8" t="str">
        <f>IF('Course 2'!$H211='tab2'!J$3,'Course 2'!$I211," ")</f>
        <v xml:space="preserve"> </v>
      </c>
      <c r="K213" s="8" t="str">
        <f>IF('Course 2'!$H211='tab2'!K$3,'Course 2'!$I211," ")</f>
        <v xml:space="preserve"> </v>
      </c>
      <c r="L213" s="8" t="str">
        <f>IF('Course 2'!$H211='tab2'!L$3,'Course 2'!$I211," ")</f>
        <v xml:space="preserve"> </v>
      </c>
      <c r="M213" s="8" t="str">
        <f>IF('Course 2'!$H211='tab2'!M$3,'Course 2'!$I211," ")</f>
        <v xml:space="preserve"> </v>
      </c>
      <c r="N213" s="9" t="str">
        <f>IF('Course 2'!$H211='tab2'!N$3,'Course 2'!$I211," ")</f>
        <v xml:space="preserve"> </v>
      </c>
    </row>
    <row r="214" spans="2:14">
      <c r="B214">
        <v>210</v>
      </c>
      <c r="C214" s="7" t="str">
        <f>IF('Course 2'!$H212='tab2'!C$3,'Course 2'!$I212," ")</f>
        <v xml:space="preserve"> </v>
      </c>
      <c r="D214" s="8" t="str">
        <f>IF('Course 2'!$H212='tab2'!D$3,'Course 2'!$I212," ")</f>
        <v xml:space="preserve"> </v>
      </c>
      <c r="E214" s="8" t="str">
        <f>IF('Course 2'!$H212='tab2'!E$3,'Course 2'!$I212," ")</f>
        <v xml:space="preserve"> </v>
      </c>
      <c r="F214" s="8" t="str">
        <f>IF('Course 2'!$H212='tab2'!F$3,'Course 2'!$I212," ")</f>
        <v xml:space="preserve"> </v>
      </c>
      <c r="G214" s="8" t="str">
        <f>IF('Course 2'!$H212='tab2'!G$3,'Course 2'!$I212," ")</f>
        <v xml:space="preserve"> </v>
      </c>
      <c r="H214" s="8" t="str">
        <f>IF('Course 2'!$H212='tab2'!H$3,'Course 2'!$I212," ")</f>
        <v xml:space="preserve"> </v>
      </c>
      <c r="I214" s="8" t="str">
        <f>IF('Course 2'!$H212='tab2'!I$3,'Course 2'!$I212," ")</f>
        <v xml:space="preserve"> </v>
      </c>
      <c r="J214" s="8" t="str">
        <f>IF('Course 2'!$H212='tab2'!J$3,'Course 2'!$I212," ")</f>
        <v xml:space="preserve"> </v>
      </c>
      <c r="K214" s="8" t="str">
        <f>IF('Course 2'!$H212='tab2'!K$3,'Course 2'!$I212," ")</f>
        <v xml:space="preserve"> </v>
      </c>
      <c r="L214" s="8" t="str">
        <f>IF('Course 2'!$H212='tab2'!L$3,'Course 2'!$I212," ")</f>
        <v xml:space="preserve"> </v>
      </c>
      <c r="M214" s="8" t="str">
        <f>IF('Course 2'!$H212='tab2'!M$3,'Course 2'!$I212," ")</f>
        <v xml:space="preserve"> </v>
      </c>
      <c r="N214" s="9" t="str">
        <f>IF('Course 2'!$H212='tab2'!N$3,'Course 2'!$I212," ")</f>
        <v xml:space="preserve"> </v>
      </c>
    </row>
    <row r="215" spans="2:14">
      <c r="B215">
        <v>211</v>
      </c>
      <c r="C215" s="7" t="str">
        <f>IF('Course 2'!$H213='tab2'!C$3,'Course 2'!$I213," ")</f>
        <v xml:space="preserve"> </v>
      </c>
      <c r="D215" s="8" t="str">
        <f>IF('Course 2'!$H213='tab2'!D$3,'Course 2'!$I213," ")</f>
        <v xml:space="preserve"> </v>
      </c>
      <c r="E215" s="8" t="str">
        <f>IF('Course 2'!$H213='tab2'!E$3,'Course 2'!$I213," ")</f>
        <v xml:space="preserve"> </v>
      </c>
      <c r="F215" s="8" t="str">
        <f>IF('Course 2'!$H213='tab2'!F$3,'Course 2'!$I213," ")</f>
        <v xml:space="preserve"> </v>
      </c>
      <c r="G215" s="8" t="str">
        <f>IF('Course 2'!$H213='tab2'!G$3,'Course 2'!$I213," ")</f>
        <v xml:space="preserve"> </v>
      </c>
      <c r="H215" s="8" t="str">
        <f>IF('Course 2'!$H213='tab2'!H$3,'Course 2'!$I213," ")</f>
        <v xml:space="preserve"> </v>
      </c>
      <c r="I215" s="8" t="str">
        <f>IF('Course 2'!$H213='tab2'!I$3,'Course 2'!$I213," ")</f>
        <v xml:space="preserve"> </v>
      </c>
      <c r="J215" s="8" t="str">
        <f>IF('Course 2'!$H213='tab2'!J$3,'Course 2'!$I213," ")</f>
        <v xml:space="preserve"> </v>
      </c>
      <c r="K215" s="8" t="str">
        <f>IF('Course 2'!$H213='tab2'!K$3,'Course 2'!$I213," ")</f>
        <v xml:space="preserve"> </v>
      </c>
      <c r="L215" s="8" t="str">
        <f>IF('Course 2'!$H213='tab2'!L$3,'Course 2'!$I213," ")</f>
        <v xml:space="preserve"> </v>
      </c>
      <c r="M215" s="8" t="str">
        <f>IF('Course 2'!$H213='tab2'!M$3,'Course 2'!$I213," ")</f>
        <v xml:space="preserve"> </v>
      </c>
      <c r="N215" s="9" t="str">
        <f>IF('Course 2'!$H213='tab2'!N$3,'Course 2'!$I213," ")</f>
        <v xml:space="preserve"> </v>
      </c>
    </row>
    <row r="216" spans="2:14">
      <c r="B216">
        <v>212</v>
      </c>
      <c r="C216" s="7" t="str">
        <f>IF('Course 2'!$H214='tab2'!C$3,'Course 2'!$I214," ")</f>
        <v xml:space="preserve"> </v>
      </c>
      <c r="D216" s="8" t="str">
        <f>IF('Course 2'!$H214='tab2'!D$3,'Course 2'!$I214," ")</f>
        <v xml:space="preserve"> </v>
      </c>
      <c r="E216" s="8" t="str">
        <f>IF('Course 2'!$H214='tab2'!E$3,'Course 2'!$I214," ")</f>
        <v xml:space="preserve"> </v>
      </c>
      <c r="F216" s="8" t="str">
        <f>IF('Course 2'!$H214='tab2'!F$3,'Course 2'!$I214," ")</f>
        <v xml:space="preserve"> </v>
      </c>
      <c r="G216" s="8" t="str">
        <f>IF('Course 2'!$H214='tab2'!G$3,'Course 2'!$I214," ")</f>
        <v xml:space="preserve"> </v>
      </c>
      <c r="H216" s="8" t="str">
        <f>IF('Course 2'!$H214='tab2'!H$3,'Course 2'!$I214," ")</f>
        <v xml:space="preserve"> </v>
      </c>
      <c r="I216" s="8" t="str">
        <f>IF('Course 2'!$H214='tab2'!I$3,'Course 2'!$I214," ")</f>
        <v xml:space="preserve"> </v>
      </c>
      <c r="J216" s="8" t="str">
        <f>IF('Course 2'!$H214='tab2'!J$3,'Course 2'!$I214," ")</f>
        <v xml:space="preserve"> </v>
      </c>
      <c r="K216" s="8" t="str">
        <f>IF('Course 2'!$H214='tab2'!K$3,'Course 2'!$I214," ")</f>
        <v xml:space="preserve"> </v>
      </c>
      <c r="L216" s="8" t="str">
        <f>IF('Course 2'!$H214='tab2'!L$3,'Course 2'!$I214," ")</f>
        <v xml:space="preserve"> </v>
      </c>
      <c r="M216" s="8" t="str">
        <f>IF('Course 2'!$H214='tab2'!M$3,'Course 2'!$I214," ")</f>
        <v xml:space="preserve"> </v>
      </c>
      <c r="N216" s="9" t="str">
        <f>IF('Course 2'!$H214='tab2'!N$3,'Course 2'!$I214," ")</f>
        <v xml:space="preserve"> </v>
      </c>
    </row>
    <row r="217" spans="2:14">
      <c r="B217">
        <v>213</v>
      </c>
      <c r="C217" s="7" t="str">
        <f>IF('Course 2'!$H215='tab2'!C$3,'Course 2'!$I215," ")</f>
        <v xml:space="preserve"> </v>
      </c>
      <c r="D217" s="8" t="str">
        <f>IF('Course 2'!$H215='tab2'!D$3,'Course 2'!$I215," ")</f>
        <v xml:space="preserve"> </v>
      </c>
      <c r="E217" s="8" t="str">
        <f>IF('Course 2'!$H215='tab2'!E$3,'Course 2'!$I215," ")</f>
        <v xml:space="preserve"> </v>
      </c>
      <c r="F217" s="8" t="str">
        <f>IF('Course 2'!$H215='tab2'!F$3,'Course 2'!$I215," ")</f>
        <v xml:space="preserve"> </v>
      </c>
      <c r="G217" s="8" t="str">
        <f>IF('Course 2'!$H215='tab2'!G$3,'Course 2'!$I215," ")</f>
        <v xml:space="preserve"> </v>
      </c>
      <c r="H217" s="8" t="str">
        <f>IF('Course 2'!$H215='tab2'!H$3,'Course 2'!$I215," ")</f>
        <v xml:space="preserve"> </v>
      </c>
      <c r="I217" s="8" t="str">
        <f>IF('Course 2'!$H215='tab2'!I$3,'Course 2'!$I215," ")</f>
        <v xml:space="preserve"> </v>
      </c>
      <c r="J217" s="8" t="str">
        <f>IF('Course 2'!$H215='tab2'!J$3,'Course 2'!$I215," ")</f>
        <v xml:space="preserve"> </v>
      </c>
      <c r="K217" s="8" t="str">
        <f>IF('Course 2'!$H215='tab2'!K$3,'Course 2'!$I215," ")</f>
        <v xml:space="preserve"> </v>
      </c>
      <c r="L217" s="8" t="str">
        <f>IF('Course 2'!$H215='tab2'!L$3,'Course 2'!$I215," ")</f>
        <v xml:space="preserve"> </v>
      </c>
      <c r="M217" s="8" t="str">
        <f>IF('Course 2'!$H215='tab2'!M$3,'Course 2'!$I215," ")</f>
        <v xml:space="preserve"> </v>
      </c>
      <c r="N217" s="9" t="str">
        <f>IF('Course 2'!$H215='tab2'!N$3,'Course 2'!$I215," ")</f>
        <v xml:space="preserve"> </v>
      </c>
    </row>
    <row r="218" spans="2:14">
      <c r="B218">
        <v>214</v>
      </c>
      <c r="C218" s="7" t="str">
        <f>IF('Course 2'!$H216='tab2'!C$3,'Course 2'!$I216," ")</f>
        <v xml:space="preserve"> </v>
      </c>
      <c r="D218" s="8" t="str">
        <f>IF('Course 2'!$H216='tab2'!D$3,'Course 2'!$I216," ")</f>
        <v xml:space="preserve"> </v>
      </c>
      <c r="E218" s="8" t="str">
        <f>IF('Course 2'!$H216='tab2'!E$3,'Course 2'!$I216," ")</f>
        <v xml:space="preserve"> </v>
      </c>
      <c r="F218" s="8" t="str">
        <f>IF('Course 2'!$H216='tab2'!F$3,'Course 2'!$I216," ")</f>
        <v xml:space="preserve"> </v>
      </c>
      <c r="G218" s="8" t="str">
        <f>IF('Course 2'!$H216='tab2'!G$3,'Course 2'!$I216," ")</f>
        <v xml:space="preserve"> </v>
      </c>
      <c r="H218" s="8" t="str">
        <f>IF('Course 2'!$H216='tab2'!H$3,'Course 2'!$I216," ")</f>
        <v xml:space="preserve"> </v>
      </c>
      <c r="I218" s="8" t="str">
        <f>IF('Course 2'!$H216='tab2'!I$3,'Course 2'!$I216," ")</f>
        <v xml:space="preserve"> </v>
      </c>
      <c r="J218" s="8" t="str">
        <f>IF('Course 2'!$H216='tab2'!J$3,'Course 2'!$I216," ")</f>
        <v xml:space="preserve"> </v>
      </c>
      <c r="K218" s="8" t="str">
        <f>IF('Course 2'!$H216='tab2'!K$3,'Course 2'!$I216," ")</f>
        <v xml:space="preserve"> </v>
      </c>
      <c r="L218" s="8" t="str">
        <f>IF('Course 2'!$H216='tab2'!L$3,'Course 2'!$I216," ")</f>
        <v xml:space="preserve"> </v>
      </c>
      <c r="M218" s="8" t="str">
        <f>IF('Course 2'!$H216='tab2'!M$3,'Course 2'!$I216," ")</f>
        <v xml:space="preserve"> </v>
      </c>
      <c r="N218" s="9" t="str">
        <f>IF('Course 2'!$H216='tab2'!N$3,'Course 2'!$I216," ")</f>
        <v xml:space="preserve"> </v>
      </c>
    </row>
    <row r="219" spans="2:14">
      <c r="B219">
        <v>215</v>
      </c>
      <c r="C219" s="7" t="str">
        <f>IF('Course 2'!$H217='tab2'!C$3,'Course 2'!$I217," ")</f>
        <v xml:space="preserve"> </v>
      </c>
      <c r="D219" s="8" t="str">
        <f>IF('Course 2'!$H217='tab2'!D$3,'Course 2'!$I217," ")</f>
        <v xml:space="preserve"> </v>
      </c>
      <c r="E219" s="8" t="str">
        <f>IF('Course 2'!$H217='tab2'!E$3,'Course 2'!$I217," ")</f>
        <v xml:space="preserve"> </v>
      </c>
      <c r="F219" s="8" t="str">
        <f>IF('Course 2'!$H217='tab2'!F$3,'Course 2'!$I217," ")</f>
        <v xml:space="preserve"> </v>
      </c>
      <c r="G219" s="8" t="str">
        <f>IF('Course 2'!$H217='tab2'!G$3,'Course 2'!$I217," ")</f>
        <v xml:space="preserve"> </v>
      </c>
      <c r="H219" s="8" t="str">
        <f>IF('Course 2'!$H217='tab2'!H$3,'Course 2'!$I217," ")</f>
        <v xml:space="preserve"> </v>
      </c>
      <c r="I219" s="8" t="str">
        <f>IF('Course 2'!$H217='tab2'!I$3,'Course 2'!$I217," ")</f>
        <v xml:space="preserve"> </v>
      </c>
      <c r="J219" s="8" t="str">
        <f>IF('Course 2'!$H217='tab2'!J$3,'Course 2'!$I217," ")</f>
        <v xml:space="preserve"> </v>
      </c>
      <c r="K219" s="8" t="str">
        <f>IF('Course 2'!$H217='tab2'!K$3,'Course 2'!$I217," ")</f>
        <v xml:space="preserve"> </v>
      </c>
      <c r="L219" s="8" t="str">
        <f>IF('Course 2'!$H217='tab2'!L$3,'Course 2'!$I217," ")</f>
        <v xml:space="preserve"> </v>
      </c>
      <c r="M219" s="8" t="str">
        <f>IF('Course 2'!$H217='tab2'!M$3,'Course 2'!$I217," ")</f>
        <v xml:space="preserve"> </v>
      </c>
      <c r="N219" s="9" t="str">
        <f>IF('Course 2'!$H217='tab2'!N$3,'Course 2'!$I217," ")</f>
        <v xml:space="preserve"> </v>
      </c>
    </row>
    <row r="220" spans="2:14">
      <c r="B220">
        <v>216</v>
      </c>
      <c r="C220" s="7" t="str">
        <f>IF('Course 2'!$H218='tab2'!C$3,'Course 2'!$I218," ")</f>
        <v xml:space="preserve"> </v>
      </c>
      <c r="D220" s="8" t="str">
        <f>IF('Course 2'!$H218='tab2'!D$3,'Course 2'!$I218," ")</f>
        <v xml:space="preserve"> </v>
      </c>
      <c r="E220" s="8" t="str">
        <f>IF('Course 2'!$H218='tab2'!E$3,'Course 2'!$I218," ")</f>
        <v xml:space="preserve"> </v>
      </c>
      <c r="F220" s="8" t="str">
        <f>IF('Course 2'!$H218='tab2'!F$3,'Course 2'!$I218," ")</f>
        <v xml:space="preserve"> </v>
      </c>
      <c r="G220" s="8" t="str">
        <f>IF('Course 2'!$H218='tab2'!G$3,'Course 2'!$I218," ")</f>
        <v xml:space="preserve"> </v>
      </c>
      <c r="H220" s="8" t="str">
        <f>IF('Course 2'!$H218='tab2'!H$3,'Course 2'!$I218," ")</f>
        <v xml:space="preserve"> </v>
      </c>
      <c r="I220" s="8" t="str">
        <f>IF('Course 2'!$H218='tab2'!I$3,'Course 2'!$I218," ")</f>
        <v xml:space="preserve"> </v>
      </c>
      <c r="J220" s="8" t="str">
        <f>IF('Course 2'!$H218='tab2'!J$3,'Course 2'!$I218," ")</f>
        <v xml:space="preserve"> </v>
      </c>
      <c r="K220" s="8" t="str">
        <f>IF('Course 2'!$H218='tab2'!K$3,'Course 2'!$I218," ")</f>
        <v xml:space="preserve"> </v>
      </c>
      <c r="L220" s="8" t="str">
        <f>IF('Course 2'!$H218='tab2'!L$3,'Course 2'!$I218," ")</f>
        <v xml:space="preserve"> </v>
      </c>
      <c r="M220" s="8" t="str">
        <f>IF('Course 2'!$H218='tab2'!M$3,'Course 2'!$I218," ")</f>
        <v xml:space="preserve"> </v>
      </c>
      <c r="N220" s="9" t="str">
        <f>IF('Course 2'!$H218='tab2'!N$3,'Course 2'!$I218," ")</f>
        <v xml:space="preserve"> </v>
      </c>
    </row>
    <row r="221" spans="2:14">
      <c r="B221">
        <v>217</v>
      </c>
      <c r="C221" s="7" t="str">
        <f>IF('Course 2'!$H219='tab2'!C$3,'Course 2'!$I219," ")</f>
        <v xml:space="preserve"> </v>
      </c>
      <c r="D221" s="8" t="str">
        <f>IF('Course 2'!$H219='tab2'!D$3,'Course 2'!$I219," ")</f>
        <v xml:space="preserve"> </v>
      </c>
      <c r="E221" s="8" t="str">
        <f>IF('Course 2'!$H219='tab2'!E$3,'Course 2'!$I219," ")</f>
        <v xml:space="preserve"> </v>
      </c>
      <c r="F221" s="8" t="str">
        <f>IF('Course 2'!$H219='tab2'!F$3,'Course 2'!$I219," ")</f>
        <v xml:space="preserve"> </v>
      </c>
      <c r="G221" s="8" t="str">
        <f>IF('Course 2'!$H219='tab2'!G$3,'Course 2'!$I219," ")</f>
        <v xml:space="preserve"> </v>
      </c>
      <c r="H221" s="8" t="str">
        <f>IF('Course 2'!$H219='tab2'!H$3,'Course 2'!$I219," ")</f>
        <v xml:space="preserve"> </v>
      </c>
      <c r="I221" s="8" t="str">
        <f>IF('Course 2'!$H219='tab2'!I$3,'Course 2'!$I219," ")</f>
        <v xml:space="preserve"> </v>
      </c>
      <c r="J221" s="8" t="str">
        <f>IF('Course 2'!$H219='tab2'!J$3,'Course 2'!$I219," ")</f>
        <v xml:space="preserve"> </v>
      </c>
      <c r="K221" s="8" t="str">
        <f>IF('Course 2'!$H219='tab2'!K$3,'Course 2'!$I219," ")</f>
        <v xml:space="preserve"> </v>
      </c>
      <c r="L221" s="8" t="str">
        <f>IF('Course 2'!$H219='tab2'!L$3,'Course 2'!$I219," ")</f>
        <v xml:space="preserve"> </v>
      </c>
      <c r="M221" s="8" t="str">
        <f>IF('Course 2'!$H219='tab2'!M$3,'Course 2'!$I219," ")</f>
        <v xml:space="preserve"> </v>
      </c>
      <c r="N221" s="9" t="str">
        <f>IF('Course 2'!$H219='tab2'!N$3,'Course 2'!$I219," ")</f>
        <v xml:space="preserve"> </v>
      </c>
    </row>
    <row r="222" spans="2:14">
      <c r="B222">
        <v>218</v>
      </c>
      <c r="C222" s="7" t="str">
        <f>IF('Course 2'!$H220='tab2'!C$3,'Course 2'!$I220," ")</f>
        <v xml:space="preserve"> </v>
      </c>
      <c r="D222" s="8" t="str">
        <f>IF('Course 2'!$H220='tab2'!D$3,'Course 2'!$I220," ")</f>
        <v xml:space="preserve"> </v>
      </c>
      <c r="E222" s="8" t="str">
        <f>IF('Course 2'!$H220='tab2'!E$3,'Course 2'!$I220," ")</f>
        <v xml:space="preserve"> </v>
      </c>
      <c r="F222" s="8" t="str">
        <f>IF('Course 2'!$H220='tab2'!F$3,'Course 2'!$I220," ")</f>
        <v xml:space="preserve"> </v>
      </c>
      <c r="G222" s="8" t="str">
        <f>IF('Course 2'!$H220='tab2'!G$3,'Course 2'!$I220," ")</f>
        <v xml:space="preserve"> </v>
      </c>
      <c r="H222" s="8" t="str">
        <f>IF('Course 2'!$H220='tab2'!H$3,'Course 2'!$I220," ")</f>
        <v xml:space="preserve"> </v>
      </c>
      <c r="I222" s="8" t="str">
        <f>IF('Course 2'!$H220='tab2'!I$3,'Course 2'!$I220," ")</f>
        <v xml:space="preserve"> </v>
      </c>
      <c r="J222" s="8" t="str">
        <f>IF('Course 2'!$H220='tab2'!J$3,'Course 2'!$I220," ")</f>
        <v xml:space="preserve"> </v>
      </c>
      <c r="K222" s="8" t="str">
        <f>IF('Course 2'!$H220='tab2'!K$3,'Course 2'!$I220," ")</f>
        <v xml:space="preserve"> </v>
      </c>
      <c r="L222" s="8" t="str">
        <f>IF('Course 2'!$H220='tab2'!L$3,'Course 2'!$I220," ")</f>
        <v xml:space="preserve"> </v>
      </c>
      <c r="M222" s="8" t="str">
        <f>IF('Course 2'!$H220='tab2'!M$3,'Course 2'!$I220," ")</f>
        <v xml:space="preserve"> </v>
      </c>
      <c r="N222" s="9" t="str">
        <f>IF('Course 2'!$H220='tab2'!N$3,'Course 2'!$I220," ")</f>
        <v xml:space="preserve"> </v>
      </c>
    </row>
    <row r="223" spans="2:14">
      <c r="B223">
        <v>219</v>
      </c>
      <c r="C223" s="7" t="str">
        <f>IF('Course 2'!$H221='tab2'!C$3,'Course 2'!$I221," ")</f>
        <v xml:space="preserve"> </v>
      </c>
      <c r="D223" s="8" t="str">
        <f>IF('Course 2'!$H221='tab2'!D$3,'Course 2'!$I221," ")</f>
        <v xml:space="preserve"> </v>
      </c>
      <c r="E223" s="8" t="str">
        <f>IF('Course 2'!$H221='tab2'!E$3,'Course 2'!$I221," ")</f>
        <v xml:space="preserve"> </v>
      </c>
      <c r="F223" s="8" t="str">
        <f>IF('Course 2'!$H221='tab2'!F$3,'Course 2'!$I221," ")</f>
        <v xml:space="preserve"> </v>
      </c>
      <c r="G223" s="8" t="str">
        <f>IF('Course 2'!$H221='tab2'!G$3,'Course 2'!$I221," ")</f>
        <v xml:space="preserve"> </v>
      </c>
      <c r="H223" s="8" t="str">
        <f>IF('Course 2'!$H221='tab2'!H$3,'Course 2'!$I221," ")</f>
        <v xml:space="preserve"> </v>
      </c>
      <c r="I223" s="8" t="str">
        <f>IF('Course 2'!$H221='tab2'!I$3,'Course 2'!$I221," ")</f>
        <v xml:space="preserve"> </v>
      </c>
      <c r="J223" s="8" t="str">
        <f>IF('Course 2'!$H221='tab2'!J$3,'Course 2'!$I221," ")</f>
        <v xml:space="preserve"> </v>
      </c>
      <c r="K223" s="8" t="str">
        <f>IF('Course 2'!$H221='tab2'!K$3,'Course 2'!$I221," ")</f>
        <v xml:space="preserve"> </v>
      </c>
      <c r="L223" s="8" t="str">
        <f>IF('Course 2'!$H221='tab2'!L$3,'Course 2'!$I221," ")</f>
        <v xml:space="preserve"> </v>
      </c>
      <c r="M223" s="8" t="str">
        <f>IF('Course 2'!$H221='tab2'!M$3,'Course 2'!$I221," ")</f>
        <v xml:space="preserve"> </v>
      </c>
      <c r="N223" s="9" t="str">
        <f>IF('Course 2'!$H221='tab2'!N$3,'Course 2'!$I221," ")</f>
        <v xml:space="preserve"> </v>
      </c>
    </row>
    <row r="224" spans="2:14">
      <c r="B224">
        <v>220</v>
      </c>
      <c r="C224" s="7" t="str">
        <f>IF('Course 2'!$H222='tab2'!C$3,'Course 2'!$I222," ")</f>
        <v xml:space="preserve"> </v>
      </c>
      <c r="D224" s="8" t="str">
        <f>IF('Course 2'!$H222='tab2'!D$3,'Course 2'!$I222," ")</f>
        <v xml:space="preserve"> </v>
      </c>
      <c r="E224" s="8" t="str">
        <f>IF('Course 2'!$H222='tab2'!E$3,'Course 2'!$I222," ")</f>
        <v xml:space="preserve"> </v>
      </c>
      <c r="F224" s="8" t="str">
        <f>IF('Course 2'!$H222='tab2'!F$3,'Course 2'!$I222," ")</f>
        <v xml:space="preserve"> </v>
      </c>
      <c r="G224" s="8" t="str">
        <f>IF('Course 2'!$H222='tab2'!G$3,'Course 2'!$I222," ")</f>
        <v xml:space="preserve"> </v>
      </c>
      <c r="H224" s="8" t="str">
        <f>IF('Course 2'!$H222='tab2'!H$3,'Course 2'!$I222," ")</f>
        <v xml:space="preserve"> </v>
      </c>
      <c r="I224" s="8" t="str">
        <f>IF('Course 2'!$H222='tab2'!I$3,'Course 2'!$I222," ")</f>
        <v xml:space="preserve"> </v>
      </c>
      <c r="J224" s="8" t="str">
        <f>IF('Course 2'!$H222='tab2'!J$3,'Course 2'!$I222," ")</f>
        <v xml:space="preserve"> </v>
      </c>
      <c r="K224" s="8" t="str">
        <f>IF('Course 2'!$H222='tab2'!K$3,'Course 2'!$I222," ")</f>
        <v xml:space="preserve"> </v>
      </c>
      <c r="L224" s="8" t="str">
        <f>IF('Course 2'!$H222='tab2'!L$3,'Course 2'!$I222," ")</f>
        <v xml:space="preserve"> </v>
      </c>
      <c r="M224" s="8" t="str">
        <f>IF('Course 2'!$H222='tab2'!M$3,'Course 2'!$I222," ")</f>
        <v xml:space="preserve"> </v>
      </c>
      <c r="N224" s="9" t="str">
        <f>IF('Course 2'!$H222='tab2'!N$3,'Course 2'!$I222," ")</f>
        <v xml:space="preserve"> </v>
      </c>
    </row>
    <row r="225" spans="2:14">
      <c r="B225">
        <v>221</v>
      </c>
      <c r="C225" s="7" t="str">
        <f>IF('Course 2'!$H223='tab2'!C$3,'Course 2'!$I223," ")</f>
        <v xml:space="preserve"> </v>
      </c>
      <c r="D225" s="8" t="str">
        <f>IF('Course 2'!$H223='tab2'!D$3,'Course 2'!$I223," ")</f>
        <v xml:space="preserve"> </v>
      </c>
      <c r="E225" s="8" t="str">
        <f>IF('Course 2'!$H223='tab2'!E$3,'Course 2'!$I223," ")</f>
        <v xml:space="preserve"> </v>
      </c>
      <c r="F225" s="8" t="str">
        <f>IF('Course 2'!$H223='tab2'!F$3,'Course 2'!$I223," ")</f>
        <v xml:space="preserve"> </v>
      </c>
      <c r="G225" s="8" t="str">
        <f>IF('Course 2'!$H223='tab2'!G$3,'Course 2'!$I223," ")</f>
        <v xml:space="preserve"> </v>
      </c>
      <c r="H225" s="8" t="str">
        <f>IF('Course 2'!$H223='tab2'!H$3,'Course 2'!$I223," ")</f>
        <v xml:space="preserve"> </v>
      </c>
      <c r="I225" s="8" t="str">
        <f>IF('Course 2'!$H223='tab2'!I$3,'Course 2'!$I223," ")</f>
        <v xml:space="preserve"> </v>
      </c>
      <c r="J225" s="8" t="str">
        <f>IF('Course 2'!$H223='tab2'!J$3,'Course 2'!$I223," ")</f>
        <v xml:space="preserve"> </v>
      </c>
      <c r="K225" s="8" t="str">
        <f>IF('Course 2'!$H223='tab2'!K$3,'Course 2'!$I223," ")</f>
        <v xml:space="preserve"> </v>
      </c>
      <c r="L225" s="8" t="str">
        <f>IF('Course 2'!$H223='tab2'!L$3,'Course 2'!$I223," ")</f>
        <v xml:space="preserve"> </v>
      </c>
      <c r="M225" s="8" t="str">
        <f>IF('Course 2'!$H223='tab2'!M$3,'Course 2'!$I223," ")</f>
        <v xml:space="preserve"> </v>
      </c>
      <c r="N225" s="9" t="str">
        <f>IF('Course 2'!$H223='tab2'!N$3,'Course 2'!$I223," ")</f>
        <v xml:space="preserve"> </v>
      </c>
    </row>
    <row r="226" spans="2:14">
      <c r="B226">
        <v>222</v>
      </c>
      <c r="C226" s="7" t="str">
        <f>IF('Course 2'!$H224='tab2'!C$3,'Course 2'!$I224," ")</f>
        <v xml:space="preserve"> </v>
      </c>
      <c r="D226" s="8" t="str">
        <f>IF('Course 2'!$H224='tab2'!D$3,'Course 2'!$I224," ")</f>
        <v xml:space="preserve"> </v>
      </c>
      <c r="E226" s="8" t="str">
        <f>IF('Course 2'!$H224='tab2'!E$3,'Course 2'!$I224," ")</f>
        <v xml:space="preserve"> </v>
      </c>
      <c r="F226" s="8" t="str">
        <f>IF('Course 2'!$H224='tab2'!F$3,'Course 2'!$I224," ")</f>
        <v xml:space="preserve"> </v>
      </c>
      <c r="G226" s="8" t="str">
        <f>IF('Course 2'!$H224='tab2'!G$3,'Course 2'!$I224," ")</f>
        <v xml:space="preserve"> </v>
      </c>
      <c r="H226" s="8" t="str">
        <f>IF('Course 2'!$H224='tab2'!H$3,'Course 2'!$I224," ")</f>
        <v xml:space="preserve"> </v>
      </c>
      <c r="I226" s="8" t="str">
        <f>IF('Course 2'!$H224='tab2'!I$3,'Course 2'!$I224," ")</f>
        <v xml:space="preserve"> </v>
      </c>
      <c r="J226" s="8" t="str">
        <f>IF('Course 2'!$H224='tab2'!J$3,'Course 2'!$I224," ")</f>
        <v xml:space="preserve"> </v>
      </c>
      <c r="K226" s="8" t="str">
        <f>IF('Course 2'!$H224='tab2'!K$3,'Course 2'!$I224," ")</f>
        <v xml:space="preserve"> </v>
      </c>
      <c r="L226" s="8" t="str">
        <f>IF('Course 2'!$H224='tab2'!L$3,'Course 2'!$I224," ")</f>
        <v xml:space="preserve"> </v>
      </c>
      <c r="M226" s="8" t="str">
        <f>IF('Course 2'!$H224='tab2'!M$3,'Course 2'!$I224," ")</f>
        <v xml:space="preserve"> </v>
      </c>
      <c r="N226" s="9" t="str">
        <f>IF('Course 2'!$H224='tab2'!N$3,'Course 2'!$I224," ")</f>
        <v xml:space="preserve"> </v>
      </c>
    </row>
    <row r="227" spans="2:14">
      <c r="B227">
        <v>223</v>
      </c>
      <c r="C227" s="7" t="str">
        <f>IF('Course 2'!$H225='tab2'!C$3,'Course 2'!$I225," ")</f>
        <v xml:space="preserve"> </v>
      </c>
      <c r="D227" s="8" t="str">
        <f>IF('Course 2'!$H225='tab2'!D$3,'Course 2'!$I225," ")</f>
        <v xml:space="preserve"> </v>
      </c>
      <c r="E227" s="8" t="str">
        <f>IF('Course 2'!$H225='tab2'!E$3,'Course 2'!$I225," ")</f>
        <v xml:space="preserve"> </v>
      </c>
      <c r="F227" s="8" t="str">
        <f>IF('Course 2'!$H225='tab2'!F$3,'Course 2'!$I225," ")</f>
        <v xml:space="preserve"> </v>
      </c>
      <c r="G227" s="8" t="str">
        <f>IF('Course 2'!$H225='tab2'!G$3,'Course 2'!$I225," ")</f>
        <v xml:space="preserve"> </v>
      </c>
      <c r="H227" s="8" t="str">
        <f>IF('Course 2'!$H225='tab2'!H$3,'Course 2'!$I225," ")</f>
        <v xml:space="preserve"> </v>
      </c>
      <c r="I227" s="8" t="str">
        <f>IF('Course 2'!$H225='tab2'!I$3,'Course 2'!$I225," ")</f>
        <v xml:space="preserve"> </v>
      </c>
      <c r="J227" s="8" t="str">
        <f>IF('Course 2'!$H225='tab2'!J$3,'Course 2'!$I225," ")</f>
        <v xml:space="preserve"> </v>
      </c>
      <c r="K227" s="8" t="str">
        <f>IF('Course 2'!$H225='tab2'!K$3,'Course 2'!$I225," ")</f>
        <v xml:space="preserve"> </v>
      </c>
      <c r="L227" s="8" t="str">
        <f>IF('Course 2'!$H225='tab2'!L$3,'Course 2'!$I225," ")</f>
        <v xml:space="preserve"> </v>
      </c>
      <c r="M227" s="8" t="str">
        <f>IF('Course 2'!$H225='tab2'!M$3,'Course 2'!$I225," ")</f>
        <v xml:space="preserve"> </v>
      </c>
      <c r="N227" s="9" t="str">
        <f>IF('Course 2'!$H225='tab2'!N$3,'Course 2'!$I225," ")</f>
        <v xml:space="preserve"> </v>
      </c>
    </row>
    <row r="228" spans="2:14">
      <c r="B228">
        <v>224</v>
      </c>
      <c r="C228" s="7" t="str">
        <f>IF('Course 2'!$H226='tab2'!C$3,'Course 2'!$I226," ")</f>
        <v xml:space="preserve"> </v>
      </c>
      <c r="D228" s="8" t="str">
        <f>IF('Course 2'!$H226='tab2'!D$3,'Course 2'!$I226," ")</f>
        <v xml:space="preserve"> </v>
      </c>
      <c r="E228" s="8" t="str">
        <f>IF('Course 2'!$H226='tab2'!E$3,'Course 2'!$I226," ")</f>
        <v xml:space="preserve"> </v>
      </c>
      <c r="F228" s="8" t="str">
        <f>IF('Course 2'!$H226='tab2'!F$3,'Course 2'!$I226," ")</f>
        <v xml:space="preserve"> </v>
      </c>
      <c r="G228" s="8" t="str">
        <f>IF('Course 2'!$H226='tab2'!G$3,'Course 2'!$I226," ")</f>
        <v xml:space="preserve"> </v>
      </c>
      <c r="H228" s="8" t="str">
        <f>IF('Course 2'!$H226='tab2'!H$3,'Course 2'!$I226," ")</f>
        <v xml:space="preserve"> </v>
      </c>
      <c r="I228" s="8" t="str">
        <f>IF('Course 2'!$H226='tab2'!I$3,'Course 2'!$I226," ")</f>
        <v xml:space="preserve"> </v>
      </c>
      <c r="J228" s="8" t="str">
        <f>IF('Course 2'!$H226='tab2'!J$3,'Course 2'!$I226," ")</f>
        <v xml:space="preserve"> </v>
      </c>
      <c r="K228" s="8" t="str">
        <f>IF('Course 2'!$H226='tab2'!K$3,'Course 2'!$I226," ")</f>
        <v xml:space="preserve"> </v>
      </c>
      <c r="L228" s="8" t="str">
        <f>IF('Course 2'!$H226='tab2'!L$3,'Course 2'!$I226," ")</f>
        <v xml:space="preserve"> </v>
      </c>
      <c r="M228" s="8" t="str">
        <f>IF('Course 2'!$H226='tab2'!M$3,'Course 2'!$I226," ")</f>
        <v xml:space="preserve"> </v>
      </c>
      <c r="N228" s="9" t="str">
        <f>IF('Course 2'!$H226='tab2'!N$3,'Course 2'!$I226," ")</f>
        <v xml:space="preserve"> </v>
      </c>
    </row>
    <row r="229" spans="2:14">
      <c r="B229">
        <v>225</v>
      </c>
      <c r="C229" s="7" t="str">
        <f>IF('Course 2'!$H227='tab2'!C$3,'Course 2'!$I227," ")</f>
        <v xml:space="preserve"> </v>
      </c>
      <c r="D229" s="8" t="str">
        <f>IF('Course 2'!$H227='tab2'!D$3,'Course 2'!$I227," ")</f>
        <v xml:space="preserve"> </v>
      </c>
      <c r="E229" s="8" t="str">
        <f>IF('Course 2'!$H227='tab2'!E$3,'Course 2'!$I227," ")</f>
        <v xml:space="preserve"> </v>
      </c>
      <c r="F229" s="8" t="str">
        <f>IF('Course 2'!$H227='tab2'!F$3,'Course 2'!$I227," ")</f>
        <v xml:space="preserve"> </v>
      </c>
      <c r="G229" s="8" t="str">
        <f>IF('Course 2'!$H227='tab2'!G$3,'Course 2'!$I227," ")</f>
        <v xml:space="preserve"> </v>
      </c>
      <c r="H229" s="8" t="str">
        <f>IF('Course 2'!$H227='tab2'!H$3,'Course 2'!$I227," ")</f>
        <v xml:space="preserve"> </v>
      </c>
      <c r="I229" s="8" t="str">
        <f>IF('Course 2'!$H227='tab2'!I$3,'Course 2'!$I227," ")</f>
        <v xml:space="preserve"> </v>
      </c>
      <c r="J229" s="8" t="str">
        <f>IF('Course 2'!$H227='tab2'!J$3,'Course 2'!$I227," ")</f>
        <v xml:space="preserve"> </v>
      </c>
      <c r="K229" s="8" t="str">
        <f>IF('Course 2'!$H227='tab2'!K$3,'Course 2'!$I227," ")</f>
        <v xml:space="preserve"> </v>
      </c>
      <c r="L229" s="8" t="str">
        <f>IF('Course 2'!$H227='tab2'!L$3,'Course 2'!$I227," ")</f>
        <v xml:space="preserve"> </v>
      </c>
      <c r="M229" s="8" t="str">
        <f>IF('Course 2'!$H227='tab2'!M$3,'Course 2'!$I227," ")</f>
        <v xml:space="preserve"> </v>
      </c>
      <c r="N229" s="9" t="str">
        <f>IF('Course 2'!$H227='tab2'!N$3,'Course 2'!$I227," ")</f>
        <v xml:space="preserve"> </v>
      </c>
    </row>
    <row r="230" spans="2:14">
      <c r="B230">
        <v>226</v>
      </c>
      <c r="C230" s="7" t="str">
        <f>IF('Course 2'!$H228='tab2'!C$3,'Course 2'!$I228," ")</f>
        <v xml:space="preserve"> </v>
      </c>
      <c r="D230" s="8" t="str">
        <f>IF('Course 2'!$H228='tab2'!D$3,'Course 2'!$I228," ")</f>
        <v xml:space="preserve"> </v>
      </c>
      <c r="E230" s="8" t="str">
        <f>IF('Course 2'!$H228='tab2'!E$3,'Course 2'!$I228," ")</f>
        <v xml:space="preserve"> </v>
      </c>
      <c r="F230" s="8" t="str">
        <f>IF('Course 2'!$H228='tab2'!F$3,'Course 2'!$I228," ")</f>
        <v xml:space="preserve"> </v>
      </c>
      <c r="G230" s="8" t="str">
        <f>IF('Course 2'!$H228='tab2'!G$3,'Course 2'!$I228," ")</f>
        <v xml:space="preserve"> </v>
      </c>
      <c r="H230" s="8" t="str">
        <f>IF('Course 2'!$H228='tab2'!H$3,'Course 2'!$I228," ")</f>
        <v xml:space="preserve"> </v>
      </c>
      <c r="I230" s="8" t="str">
        <f>IF('Course 2'!$H228='tab2'!I$3,'Course 2'!$I228," ")</f>
        <v xml:space="preserve"> </v>
      </c>
      <c r="J230" s="8" t="str">
        <f>IF('Course 2'!$H228='tab2'!J$3,'Course 2'!$I228," ")</f>
        <v xml:space="preserve"> </v>
      </c>
      <c r="K230" s="8" t="str">
        <f>IF('Course 2'!$H228='tab2'!K$3,'Course 2'!$I228," ")</f>
        <v xml:space="preserve"> </v>
      </c>
      <c r="L230" s="8" t="str">
        <f>IF('Course 2'!$H228='tab2'!L$3,'Course 2'!$I228," ")</f>
        <v xml:space="preserve"> </v>
      </c>
      <c r="M230" s="8" t="str">
        <f>IF('Course 2'!$H228='tab2'!M$3,'Course 2'!$I228," ")</f>
        <v xml:space="preserve"> </v>
      </c>
      <c r="N230" s="9" t="str">
        <f>IF('Course 2'!$H228='tab2'!N$3,'Course 2'!$I228," ")</f>
        <v xml:space="preserve"> </v>
      </c>
    </row>
    <row r="231" spans="2:14">
      <c r="B231">
        <v>227</v>
      </c>
      <c r="C231" s="7" t="str">
        <f>IF('Course 2'!$H229='tab2'!C$3,'Course 2'!$I229," ")</f>
        <v xml:space="preserve"> </v>
      </c>
      <c r="D231" s="8" t="str">
        <f>IF('Course 2'!$H229='tab2'!D$3,'Course 2'!$I229," ")</f>
        <v xml:space="preserve"> </v>
      </c>
      <c r="E231" s="8" t="str">
        <f>IF('Course 2'!$H229='tab2'!E$3,'Course 2'!$I229," ")</f>
        <v xml:space="preserve"> </v>
      </c>
      <c r="F231" s="8" t="str">
        <f>IF('Course 2'!$H229='tab2'!F$3,'Course 2'!$I229," ")</f>
        <v xml:space="preserve"> </v>
      </c>
      <c r="G231" s="8" t="str">
        <f>IF('Course 2'!$H229='tab2'!G$3,'Course 2'!$I229," ")</f>
        <v xml:space="preserve"> </v>
      </c>
      <c r="H231" s="8" t="str">
        <f>IF('Course 2'!$H229='tab2'!H$3,'Course 2'!$I229," ")</f>
        <v xml:space="preserve"> </v>
      </c>
      <c r="I231" s="8" t="str">
        <f>IF('Course 2'!$H229='tab2'!I$3,'Course 2'!$I229," ")</f>
        <v xml:space="preserve"> </v>
      </c>
      <c r="J231" s="8" t="str">
        <f>IF('Course 2'!$H229='tab2'!J$3,'Course 2'!$I229," ")</f>
        <v xml:space="preserve"> </v>
      </c>
      <c r="K231" s="8" t="str">
        <f>IF('Course 2'!$H229='tab2'!K$3,'Course 2'!$I229," ")</f>
        <v xml:space="preserve"> </v>
      </c>
      <c r="L231" s="8" t="str">
        <f>IF('Course 2'!$H229='tab2'!L$3,'Course 2'!$I229," ")</f>
        <v xml:space="preserve"> </v>
      </c>
      <c r="M231" s="8" t="str">
        <f>IF('Course 2'!$H229='tab2'!M$3,'Course 2'!$I229," ")</f>
        <v xml:space="preserve"> </v>
      </c>
      <c r="N231" s="9" t="str">
        <f>IF('Course 2'!$H229='tab2'!N$3,'Course 2'!$I229," ")</f>
        <v xml:space="preserve"> </v>
      </c>
    </row>
    <row r="232" spans="2:14">
      <c r="B232">
        <v>228</v>
      </c>
      <c r="C232" s="7" t="str">
        <f>IF('Course 2'!$H230='tab2'!C$3,'Course 2'!$I230," ")</f>
        <v xml:space="preserve"> </v>
      </c>
      <c r="D232" s="8" t="str">
        <f>IF('Course 2'!$H230='tab2'!D$3,'Course 2'!$I230," ")</f>
        <v xml:space="preserve"> </v>
      </c>
      <c r="E232" s="8" t="str">
        <f>IF('Course 2'!$H230='tab2'!E$3,'Course 2'!$I230," ")</f>
        <v xml:space="preserve"> </v>
      </c>
      <c r="F232" s="8" t="str">
        <f>IF('Course 2'!$H230='tab2'!F$3,'Course 2'!$I230," ")</f>
        <v xml:space="preserve"> </v>
      </c>
      <c r="G232" s="8" t="str">
        <f>IF('Course 2'!$H230='tab2'!G$3,'Course 2'!$I230," ")</f>
        <v xml:space="preserve"> </v>
      </c>
      <c r="H232" s="8" t="str">
        <f>IF('Course 2'!$H230='tab2'!H$3,'Course 2'!$I230," ")</f>
        <v xml:space="preserve"> </v>
      </c>
      <c r="I232" s="8" t="str">
        <f>IF('Course 2'!$H230='tab2'!I$3,'Course 2'!$I230," ")</f>
        <v xml:space="preserve"> </v>
      </c>
      <c r="J232" s="8" t="str">
        <f>IF('Course 2'!$H230='tab2'!J$3,'Course 2'!$I230," ")</f>
        <v xml:space="preserve"> </v>
      </c>
      <c r="K232" s="8" t="str">
        <f>IF('Course 2'!$H230='tab2'!K$3,'Course 2'!$I230," ")</f>
        <v xml:space="preserve"> </v>
      </c>
      <c r="L232" s="8" t="str">
        <f>IF('Course 2'!$H230='tab2'!L$3,'Course 2'!$I230," ")</f>
        <v xml:space="preserve"> </v>
      </c>
      <c r="M232" s="8" t="str">
        <f>IF('Course 2'!$H230='tab2'!M$3,'Course 2'!$I230," ")</f>
        <v xml:space="preserve"> </v>
      </c>
      <c r="N232" s="9" t="str">
        <f>IF('Course 2'!$H230='tab2'!N$3,'Course 2'!$I230," ")</f>
        <v xml:space="preserve"> </v>
      </c>
    </row>
    <row r="233" spans="2:14">
      <c r="B233">
        <v>229</v>
      </c>
      <c r="C233" s="7" t="str">
        <f>IF('Course 2'!$H231='tab2'!C$3,'Course 2'!$I231," ")</f>
        <v xml:space="preserve"> </v>
      </c>
      <c r="D233" s="8" t="str">
        <f>IF('Course 2'!$H231='tab2'!D$3,'Course 2'!$I231," ")</f>
        <v xml:space="preserve"> </v>
      </c>
      <c r="E233" s="8" t="str">
        <f>IF('Course 2'!$H231='tab2'!E$3,'Course 2'!$I231," ")</f>
        <v xml:space="preserve"> </v>
      </c>
      <c r="F233" s="8" t="str">
        <f>IF('Course 2'!$H231='tab2'!F$3,'Course 2'!$I231," ")</f>
        <v xml:space="preserve"> </v>
      </c>
      <c r="G233" s="8" t="str">
        <f>IF('Course 2'!$H231='tab2'!G$3,'Course 2'!$I231," ")</f>
        <v xml:space="preserve"> </v>
      </c>
      <c r="H233" s="8" t="str">
        <f>IF('Course 2'!$H231='tab2'!H$3,'Course 2'!$I231," ")</f>
        <v xml:space="preserve"> </v>
      </c>
      <c r="I233" s="8" t="str">
        <f>IF('Course 2'!$H231='tab2'!I$3,'Course 2'!$I231," ")</f>
        <v xml:space="preserve"> </v>
      </c>
      <c r="J233" s="8" t="str">
        <f>IF('Course 2'!$H231='tab2'!J$3,'Course 2'!$I231," ")</f>
        <v xml:space="preserve"> </v>
      </c>
      <c r="K233" s="8" t="str">
        <f>IF('Course 2'!$H231='tab2'!K$3,'Course 2'!$I231," ")</f>
        <v xml:space="preserve"> </v>
      </c>
      <c r="L233" s="8" t="str">
        <f>IF('Course 2'!$H231='tab2'!L$3,'Course 2'!$I231," ")</f>
        <v xml:space="preserve"> </v>
      </c>
      <c r="M233" s="8" t="str">
        <f>IF('Course 2'!$H231='tab2'!M$3,'Course 2'!$I231," ")</f>
        <v xml:space="preserve"> </v>
      </c>
      <c r="N233" s="9" t="str">
        <f>IF('Course 2'!$H231='tab2'!N$3,'Course 2'!$I231," ")</f>
        <v xml:space="preserve"> </v>
      </c>
    </row>
    <row r="234" spans="2:14">
      <c r="B234">
        <v>230</v>
      </c>
      <c r="C234" s="7" t="str">
        <f>IF('Course 2'!$H232='tab2'!C$3,'Course 2'!$I232," ")</f>
        <v xml:space="preserve"> </v>
      </c>
      <c r="D234" s="8" t="str">
        <f>IF('Course 2'!$H232='tab2'!D$3,'Course 2'!$I232," ")</f>
        <v xml:space="preserve"> </v>
      </c>
      <c r="E234" s="8" t="str">
        <f>IF('Course 2'!$H232='tab2'!E$3,'Course 2'!$I232," ")</f>
        <v xml:space="preserve"> </v>
      </c>
      <c r="F234" s="8" t="str">
        <f>IF('Course 2'!$H232='tab2'!F$3,'Course 2'!$I232," ")</f>
        <v xml:space="preserve"> </v>
      </c>
      <c r="G234" s="8" t="str">
        <f>IF('Course 2'!$H232='tab2'!G$3,'Course 2'!$I232," ")</f>
        <v xml:space="preserve"> </v>
      </c>
      <c r="H234" s="8" t="str">
        <f>IF('Course 2'!$H232='tab2'!H$3,'Course 2'!$I232," ")</f>
        <v xml:space="preserve"> </v>
      </c>
      <c r="I234" s="8" t="str">
        <f>IF('Course 2'!$H232='tab2'!I$3,'Course 2'!$I232," ")</f>
        <v xml:space="preserve"> </v>
      </c>
      <c r="J234" s="8" t="str">
        <f>IF('Course 2'!$H232='tab2'!J$3,'Course 2'!$I232," ")</f>
        <v xml:space="preserve"> </v>
      </c>
      <c r="K234" s="8" t="str">
        <f>IF('Course 2'!$H232='tab2'!K$3,'Course 2'!$I232," ")</f>
        <v xml:space="preserve"> </v>
      </c>
      <c r="L234" s="8" t="str">
        <f>IF('Course 2'!$H232='tab2'!L$3,'Course 2'!$I232," ")</f>
        <v xml:space="preserve"> </v>
      </c>
      <c r="M234" s="8" t="str">
        <f>IF('Course 2'!$H232='tab2'!M$3,'Course 2'!$I232," ")</f>
        <v xml:space="preserve"> </v>
      </c>
      <c r="N234" s="9" t="str">
        <f>IF('Course 2'!$H232='tab2'!N$3,'Course 2'!$I232," ")</f>
        <v xml:space="preserve"> </v>
      </c>
    </row>
    <row r="235" spans="2:14">
      <c r="B235">
        <v>231</v>
      </c>
      <c r="C235" s="7" t="str">
        <f>IF('Course 2'!$H233='tab2'!C$3,'Course 2'!$I233," ")</f>
        <v xml:space="preserve"> </v>
      </c>
      <c r="D235" s="8" t="str">
        <f>IF('Course 2'!$H233='tab2'!D$3,'Course 2'!$I233," ")</f>
        <v xml:space="preserve"> </v>
      </c>
      <c r="E235" s="8" t="str">
        <f>IF('Course 2'!$H233='tab2'!E$3,'Course 2'!$I233," ")</f>
        <v xml:space="preserve"> </v>
      </c>
      <c r="F235" s="8" t="str">
        <f>IF('Course 2'!$H233='tab2'!F$3,'Course 2'!$I233," ")</f>
        <v xml:space="preserve"> </v>
      </c>
      <c r="G235" s="8" t="str">
        <f>IF('Course 2'!$H233='tab2'!G$3,'Course 2'!$I233," ")</f>
        <v xml:space="preserve"> </v>
      </c>
      <c r="H235" s="8" t="str">
        <f>IF('Course 2'!$H233='tab2'!H$3,'Course 2'!$I233," ")</f>
        <v xml:space="preserve"> </v>
      </c>
      <c r="I235" s="8" t="str">
        <f>IF('Course 2'!$H233='tab2'!I$3,'Course 2'!$I233," ")</f>
        <v xml:space="preserve"> </v>
      </c>
      <c r="J235" s="8" t="str">
        <f>IF('Course 2'!$H233='tab2'!J$3,'Course 2'!$I233," ")</f>
        <v xml:space="preserve"> </v>
      </c>
      <c r="K235" s="8" t="str">
        <f>IF('Course 2'!$H233='tab2'!K$3,'Course 2'!$I233," ")</f>
        <v xml:space="preserve"> </v>
      </c>
      <c r="L235" s="8" t="str">
        <f>IF('Course 2'!$H233='tab2'!L$3,'Course 2'!$I233," ")</f>
        <v xml:space="preserve"> </v>
      </c>
      <c r="M235" s="8" t="str">
        <f>IF('Course 2'!$H233='tab2'!M$3,'Course 2'!$I233," ")</f>
        <v xml:space="preserve"> </v>
      </c>
      <c r="N235" s="9" t="str">
        <f>IF('Course 2'!$H233='tab2'!N$3,'Course 2'!$I233," ")</f>
        <v xml:space="preserve"> </v>
      </c>
    </row>
    <row r="236" spans="2:14">
      <c r="B236">
        <v>232</v>
      </c>
      <c r="C236" s="7" t="str">
        <f>IF('Course 2'!$H234='tab2'!C$3,'Course 2'!$I234," ")</f>
        <v xml:space="preserve"> </v>
      </c>
      <c r="D236" s="8" t="str">
        <f>IF('Course 2'!$H234='tab2'!D$3,'Course 2'!$I234," ")</f>
        <v xml:space="preserve"> </v>
      </c>
      <c r="E236" s="8" t="str">
        <f>IF('Course 2'!$H234='tab2'!E$3,'Course 2'!$I234," ")</f>
        <v xml:space="preserve"> </v>
      </c>
      <c r="F236" s="8" t="str">
        <f>IF('Course 2'!$H234='tab2'!F$3,'Course 2'!$I234," ")</f>
        <v xml:space="preserve"> </v>
      </c>
      <c r="G236" s="8" t="str">
        <f>IF('Course 2'!$H234='tab2'!G$3,'Course 2'!$I234," ")</f>
        <v xml:space="preserve"> </v>
      </c>
      <c r="H236" s="8" t="str">
        <f>IF('Course 2'!$H234='tab2'!H$3,'Course 2'!$I234," ")</f>
        <v xml:space="preserve"> </v>
      </c>
      <c r="I236" s="8" t="str">
        <f>IF('Course 2'!$H234='tab2'!I$3,'Course 2'!$I234," ")</f>
        <v xml:space="preserve"> </v>
      </c>
      <c r="J236" s="8" t="str">
        <f>IF('Course 2'!$H234='tab2'!J$3,'Course 2'!$I234," ")</f>
        <v xml:space="preserve"> </v>
      </c>
      <c r="K236" s="8" t="str">
        <f>IF('Course 2'!$H234='tab2'!K$3,'Course 2'!$I234," ")</f>
        <v xml:space="preserve"> </v>
      </c>
      <c r="L236" s="8" t="str">
        <f>IF('Course 2'!$H234='tab2'!L$3,'Course 2'!$I234," ")</f>
        <v xml:space="preserve"> </v>
      </c>
      <c r="M236" s="8" t="str">
        <f>IF('Course 2'!$H234='tab2'!M$3,'Course 2'!$I234," ")</f>
        <v xml:space="preserve"> </v>
      </c>
      <c r="N236" s="9" t="str">
        <f>IF('Course 2'!$H234='tab2'!N$3,'Course 2'!$I234," ")</f>
        <v xml:space="preserve"> </v>
      </c>
    </row>
    <row r="237" spans="2:14">
      <c r="B237">
        <v>233</v>
      </c>
      <c r="C237" s="7" t="str">
        <f>IF('Course 2'!$H235='tab2'!C$3,'Course 2'!$I235," ")</f>
        <v xml:space="preserve"> </v>
      </c>
      <c r="D237" s="8" t="str">
        <f>IF('Course 2'!$H235='tab2'!D$3,'Course 2'!$I235," ")</f>
        <v xml:space="preserve"> </v>
      </c>
      <c r="E237" s="8" t="str">
        <f>IF('Course 2'!$H235='tab2'!E$3,'Course 2'!$I235," ")</f>
        <v xml:space="preserve"> </v>
      </c>
      <c r="F237" s="8" t="str">
        <f>IF('Course 2'!$H235='tab2'!F$3,'Course 2'!$I235," ")</f>
        <v xml:space="preserve"> </v>
      </c>
      <c r="G237" s="8" t="str">
        <f>IF('Course 2'!$H235='tab2'!G$3,'Course 2'!$I235," ")</f>
        <v xml:space="preserve"> </v>
      </c>
      <c r="H237" s="8" t="str">
        <f>IF('Course 2'!$H235='tab2'!H$3,'Course 2'!$I235," ")</f>
        <v xml:space="preserve"> </v>
      </c>
      <c r="I237" s="8" t="str">
        <f>IF('Course 2'!$H235='tab2'!I$3,'Course 2'!$I235," ")</f>
        <v xml:space="preserve"> </v>
      </c>
      <c r="J237" s="8" t="str">
        <f>IF('Course 2'!$H235='tab2'!J$3,'Course 2'!$I235," ")</f>
        <v xml:space="preserve"> </v>
      </c>
      <c r="K237" s="8" t="str">
        <f>IF('Course 2'!$H235='tab2'!K$3,'Course 2'!$I235," ")</f>
        <v xml:space="preserve"> </v>
      </c>
      <c r="L237" s="8" t="str">
        <f>IF('Course 2'!$H235='tab2'!L$3,'Course 2'!$I235," ")</f>
        <v xml:space="preserve"> </v>
      </c>
      <c r="M237" s="8" t="str">
        <f>IF('Course 2'!$H235='tab2'!M$3,'Course 2'!$I235," ")</f>
        <v xml:space="preserve"> </v>
      </c>
      <c r="N237" s="9" t="str">
        <f>IF('Course 2'!$H235='tab2'!N$3,'Course 2'!$I235," ")</f>
        <v xml:space="preserve"> </v>
      </c>
    </row>
    <row r="238" spans="2:14">
      <c r="B238">
        <v>234</v>
      </c>
      <c r="C238" s="7" t="str">
        <f>IF('Course 2'!$H236='tab2'!C$3,'Course 2'!$I236," ")</f>
        <v xml:space="preserve"> </v>
      </c>
      <c r="D238" s="8" t="str">
        <f>IF('Course 2'!$H236='tab2'!D$3,'Course 2'!$I236," ")</f>
        <v xml:space="preserve"> </v>
      </c>
      <c r="E238" s="8" t="str">
        <f>IF('Course 2'!$H236='tab2'!E$3,'Course 2'!$I236," ")</f>
        <v xml:space="preserve"> </v>
      </c>
      <c r="F238" s="8" t="str">
        <f>IF('Course 2'!$H236='tab2'!F$3,'Course 2'!$I236," ")</f>
        <v xml:space="preserve"> </v>
      </c>
      <c r="G238" s="8" t="str">
        <f>IF('Course 2'!$H236='tab2'!G$3,'Course 2'!$I236," ")</f>
        <v xml:space="preserve"> </v>
      </c>
      <c r="H238" s="8" t="str">
        <f>IF('Course 2'!$H236='tab2'!H$3,'Course 2'!$I236," ")</f>
        <v xml:space="preserve"> </v>
      </c>
      <c r="I238" s="8" t="str">
        <f>IF('Course 2'!$H236='tab2'!I$3,'Course 2'!$I236," ")</f>
        <v xml:space="preserve"> </v>
      </c>
      <c r="J238" s="8" t="str">
        <f>IF('Course 2'!$H236='tab2'!J$3,'Course 2'!$I236," ")</f>
        <v xml:space="preserve"> </v>
      </c>
      <c r="K238" s="8" t="str">
        <f>IF('Course 2'!$H236='tab2'!K$3,'Course 2'!$I236," ")</f>
        <v xml:space="preserve"> </v>
      </c>
      <c r="L238" s="8" t="str">
        <f>IF('Course 2'!$H236='tab2'!L$3,'Course 2'!$I236," ")</f>
        <v xml:space="preserve"> </v>
      </c>
      <c r="M238" s="8" t="str">
        <f>IF('Course 2'!$H236='tab2'!M$3,'Course 2'!$I236," ")</f>
        <v xml:space="preserve"> </v>
      </c>
      <c r="N238" s="9" t="str">
        <f>IF('Course 2'!$H236='tab2'!N$3,'Course 2'!$I236," ")</f>
        <v xml:space="preserve"> </v>
      </c>
    </row>
    <row r="239" spans="2:14">
      <c r="B239">
        <v>235</v>
      </c>
      <c r="C239" s="7" t="str">
        <f>IF('Course 2'!$H237='tab2'!C$3,'Course 2'!$I237," ")</f>
        <v xml:space="preserve"> </v>
      </c>
      <c r="D239" s="8" t="str">
        <f>IF('Course 2'!$H237='tab2'!D$3,'Course 2'!$I237," ")</f>
        <v xml:space="preserve"> </v>
      </c>
      <c r="E239" s="8" t="str">
        <f>IF('Course 2'!$H237='tab2'!E$3,'Course 2'!$I237," ")</f>
        <v xml:space="preserve"> </v>
      </c>
      <c r="F239" s="8" t="str">
        <f>IF('Course 2'!$H237='tab2'!F$3,'Course 2'!$I237," ")</f>
        <v xml:space="preserve"> </v>
      </c>
      <c r="G239" s="8" t="str">
        <f>IF('Course 2'!$H237='tab2'!G$3,'Course 2'!$I237," ")</f>
        <v xml:space="preserve"> </v>
      </c>
      <c r="H239" s="8" t="str">
        <f>IF('Course 2'!$H237='tab2'!H$3,'Course 2'!$I237," ")</f>
        <v xml:space="preserve"> </v>
      </c>
      <c r="I239" s="8" t="str">
        <f>IF('Course 2'!$H237='tab2'!I$3,'Course 2'!$I237," ")</f>
        <v xml:space="preserve"> </v>
      </c>
      <c r="J239" s="8" t="str">
        <f>IF('Course 2'!$H237='tab2'!J$3,'Course 2'!$I237," ")</f>
        <v xml:space="preserve"> </v>
      </c>
      <c r="K239" s="8" t="str">
        <f>IF('Course 2'!$H237='tab2'!K$3,'Course 2'!$I237," ")</f>
        <v xml:space="preserve"> </v>
      </c>
      <c r="L239" s="8" t="str">
        <f>IF('Course 2'!$H237='tab2'!L$3,'Course 2'!$I237," ")</f>
        <v xml:space="preserve"> </v>
      </c>
      <c r="M239" s="8" t="str">
        <f>IF('Course 2'!$H237='tab2'!M$3,'Course 2'!$I237," ")</f>
        <v xml:space="preserve"> </v>
      </c>
      <c r="N239" s="9" t="str">
        <f>IF('Course 2'!$H237='tab2'!N$3,'Course 2'!$I237," ")</f>
        <v xml:space="preserve"> </v>
      </c>
    </row>
    <row r="240" spans="2:14">
      <c r="B240">
        <v>236</v>
      </c>
      <c r="C240" s="7" t="str">
        <f>IF('Course 2'!$H238='tab2'!C$3,'Course 2'!$I238," ")</f>
        <v xml:space="preserve"> </v>
      </c>
      <c r="D240" s="8" t="str">
        <f>IF('Course 2'!$H238='tab2'!D$3,'Course 2'!$I238," ")</f>
        <v xml:space="preserve"> </v>
      </c>
      <c r="E240" s="8" t="str">
        <f>IF('Course 2'!$H238='tab2'!E$3,'Course 2'!$I238," ")</f>
        <v xml:space="preserve"> </v>
      </c>
      <c r="F240" s="8" t="str">
        <f>IF('Course 2'!$H238='tab2'!F$3,'Course 2'!$I238," ")</f>
        <v xml:space="preserve"> </v>
      </c>
      <c r="G240" s="8" t="str">
        <f>IF('Course 2'!$H238='tab2'!G$3,'Course 2'!$I238," ")</f>
        <v xml:space="preserve"> </v>
      </c>
      <c r="H240" s="8" t="str">
        <f>IF('Course 2'!$H238='tab2'!H$3,'Course 2'!$I238," ")</f>
        <v xml:space="preserve"> </v>
      </c>
      <c r="I240" s="8" t="str">
        <f>IF('Course 2'!$H238='tab2'!I$3,'Course 2'!$I238," ")</f>
        <v xml:space="preserve"> </v>
      </c>
      <c r="J240" s="8" t="str">
        <f>IF('Course 2'!$H238='tab2'!J$3,'Course 2'!$I238," ")</f>
        <v xml:space="preserve"> </v>
      </c>
      <c r="K240" s="8" t="str">
        <f>IF('Course 2'!$H238='tab2'!K$3,'Course 2'!$I238," ")</f>
        <v xml:space="preserve"> </v>
      </c>
      <c r="L240" s="8" t="str">
        <f>IF('Course 2'!$H238='tab2'!L$3,'Course 2'!$I238," ")</f>
        <v xml:space="preserve"> </v>
      </c>
      <c r="M240" s="8" t="str">
        <f>IF('Course 2'!$H238='tab2'!M$3,'Course 2'!$I238," ")</f>
        <v xml:space="preserve"> </v>
      </c>
      <c r="N240" s="9" t="str">
        <f>IF('Course 2'!$H238='tab2'!N$3,'Course 2'!$I238," ")</f>
        <v xml:space="preserve"> </v>
      </c>
    </row>
    <row r="241" spans="2:14">
      <c r="B241">
        <v>237</v>
      </c>
      <c r="C241" s="7" t="str">
        <f>IF('Course 2'!$H239='tab2'!C$3,'Course 2'!$I239," ")</f>
        <v xml:space="preserve"> </v>
      </c>
      <c r="D241" s="8" t="str">
        <f>IF('Course 2'!$H239='tab2'!D$3,'Course 2'!$I239," ")</f>
        <v xml:space="preserve"> </v>
      </c>
      <c r="E241" s="8" t="str">
        <f>IF('Course 2'!$H239='tab2'!E$3,'Course 2'!$I239," ")</f>
        <v xml:space="preserve"> </v>
      </c>
      <c r="F241" s="8" t="str">
        <f>IF('Course 2'!$H239='tab2'!F$3,'Course 2'!$I239," ")</f>
        <v xml:space="preserve"> </v>
      </c>
      <c r="G241" s="8" t="str">
        <f>IF('Course 2'!$H239='tab2'!G$3,'Course 2'!$I239," ")</f>
        <v xml:space="preserve"> </v>
      </c>
      <c r="H241" s="8" t="str">
        <f>IF('Course 2'!$H239='tab2'!H$3,'Course 2'!$I239," ")</f>
        <v xml:space="preserve"> </v>
      </c>
      <c r="I241" s="8" t="str">
        <f>IF('Course 2'!$H239='tab2'!I$3,'Course 2'!$I239," ")</f>
        <v xml:space="preserve"> </v>
      </c>
      <c r="J241" s="8" t="str">
        <f>IF('Course 2'!$H239='tab2'!J$3,'Course 2'!$I239," ")</f>
        <v xml:space="preserve"> </v>
      </c>
      <c r="K241" s="8" t="str">
        <f>IF('Course 2'!$H239='tab2'!K$3,'Course 2'!$I239," ")</f>
        <v xml:space="preserve"> </v>
      </c>
      <c r="L241" s="8" t="str">
        <f>IF('Course 2'!$H239='tab2'!L$3,'Course 2'!$I239," ")</f>
        <v xml:space="preserve"> </v>
      </c>
      <c r="M241" s="8" t="str">
        <f>IF('Course 2'!$H239='tab2'!M$3,'Course 2'!$I239," ")</f>
        <v xml:space="preserve"> </v>
      </c>
      <c r="N241" s="9" t="str">
        <f>IF('Course 2'!$H239='tab2'!N$3,'Course 2'!$I239," ")</f>
        <v xml:space="preserve"> </v>
      </c>
    </row>
    <row r="242" spans="2:14">
      <c r="B242">
        <v>238</v>
      </c>
      <c r="C242" s="7" t="str">
        <f>IF('Course 2'!$H240='tab2'!C$3,'Course 2'!$I240," ")</f>
        <v xml:space="preserve"> </v>
      </c>
      <c r="D242" s="8" t="str">
        <f>IF('Course 2'!$H240='tab2'!D$3,'Course 2'!$I240," ")</f>
        <v xml:space="preserve"> </v>
      </c>
      <c r="E242" s="8" t="str">
        <f>IF('Course 2'!$H240='tab2'!E$3,'Course 2'!$I240," ")</f>
        <v xml:space="preserve"> </v>
      </c>
      <c r="F242" s="8" t="str">
        <f>IF('Course 2'!$H240='tab2'!F$3,'Course 2'!$I240," ")</f>
        <v xml:space="preserve"> </v>
      </c>
      <c r="G242" s="8" t="str">
        <f>IF('Course 2'!$H240='tab2'!G$3,'Course 2'!$I240," ")</f>
        <v xml:space="preserve"> </v>
      </c>
      <c r="H242" s="8" t="str">
        <f>IF('Course 2'!$H240='tab2'!H$3,'Course 2'!$I240," ")</f>
        <v xml:space="preserve"> </v>
      </c>
      <c r="I242" s="8" t="str">
        <f>IF('Course 2'!$H240='tab2'!I$3,'Course 2'!$I240," ")</f>
        <v xml:space="preserve"> </v>
      </c>
      <c r="J242" s="8" t="str">
        <f>IF('Course 2'!$H240='tab2'!J$3,'Course 2'!$I240," ")</f>
        <v xml:space="preserve"> </v>
      </c>
      <c r="K242" s="8" t="str">
        <f>IF('Course 2'!$H240='tab2'!K$3,'Course 2'!$I240," ")</f>
        <v xml:space="preserve"> </v>
      </c>
      <c r="L242" s="8" t="str">
        <f>IF('Course 2'!$H240='tab2'!L$3,'Course 2'!$I240," ")</f>
        <v xml:space="preserve"> </v>
      </c>
      <c r="M242" s="8" t="str">
        <f>IF('Course 2'!$H240='tab2'!M$3,'Course 2'!$I240," ")</f>
        <v xml:space="preserve"> </v>
      </c>
      <c r="N242" s="9" t="str">
        <f>IF('Course 2'!$H240='tab2'!N$3,'Course 2'!$I240," ")</f>
        <v xml:space="preserve"> </v>
      </c>
    </row>
    <row r="243" spans="2:14">
      <c r="B243">
        <v>239</v>
      </c>
      <c r="C243" s="7" t="str">
        <f>IF('Course 2'!$H241='tab2'!C$3,'Course 2'!$I241," ")</f>
        <v xml:space="preserve"> </v>
      </c>
      <c r="D243" s="8" t="str">
        <f>IF('Course 2'!$H241='tab2'!D$3,'Course 2'!$I241," ")</f>
        <v xml:space="preserve"> </v>
      </c>
      <c r="E243" s="8" t="str">
        <f>IF('Course 2'!$H241='tab2'!E$3,'Course 2'!$I241," ")</f>
        <v xml:space="preserve"> </v>
      </c>
      <c r="F243" s="8" t="str">
        <f>IF('Course 2'!$H241='tab2'!F$3,'Course 2'!$I241," ")</f>
        <v xml:space="preserve"> </v>
      </c>
      <c r="G243" s="8" t="str">
        <f>IF('Course 2'!$H241='tab2'!G$3,'Course 2'!$I241," ")</f>
        <v xml:space="preserve"> </v>
      </c>
      <c r="H243" s="8" t="str">
        <f>IF('Course 2'!$H241='tab2'!H$3,'Course 2'!$I241," ")</f>
        <v xml:space="preserve"> </v>
      </c>
      <c r="I243" s="8" t="str">
        <f>IF('Course 2'!$H241='tab2'!I$3,'Course 2'!$I241," ")</f>
        <v xml:space="preserve"> </v>
      </c>
      <c r="J243" s="8" t="str">
        <f>IF('Course 2'!$H241='tab2'!J$3,'Course 2'!$I241," ")</f>
        <v xml:space="preserve"> </v>
      </c>
      <c r="K243" s="8" t="str">
        <f>IF('Course 2'!$H241='tab2'!K$3,'Course 2'!$I241," ")</f>
        <v xml:space="preserve"> </v>
      </c>
      <c r="L243" s="8" t="str">
        <f>IF('Course 2'!$H241='tab2'!L$3,'Course 2'!$I241," ")</f>
        <v xml:space="preserve"> </v>
      </c>
      <c r="M243" s="8" t="str">
        <f>IF('Course 2'!$H241='tab2'!M$3,'Course 2'!$I241," ")</f>
        <v xml:space="preserve"> </v>
      </c>
      <c r="N243" s="9" t="str">
        <f>IF('Course 2'!$H241='tab2'!N$3,'Course 2'!$I241," ")</f>
        <v xml:space="preserve"> </v>
      </c>
    </row>
    <row r="244" spans="2:14">
      <c r="B244">
        <v>240</v>
      </c>
      <c r="C244" s="7" t="str">
        <f>IF('Course 2'!$H242='tab2'!C$3,'Course 2'!$I242," ")</f>
        <v xml:space="preserve"> </v>
      </c>
      <c r="D244" s="8" t="str">
        <f>IF('Course 2'!$H242='tab2'!D$3,'Course 2'!$I242," ")</f>
        <v xml:space="preserve"> </v>
      </c>
      <c r="E244" s="8" t="str">
        <f>IF('Course 2'!$H242='tab2'!E$3,'Course 2'!$I242," ")</f>
        <v xml:space="preserve"> </v>
      </c>
      <c r="F244" s="8" t="str">
        <f>IF('Course 2'!$H242='tab2'!F$3,'Course 2'!$I242," ")</f>
        <v xml:space="preserve"> </v>
      </c>
      <c r="G244" s="8" t="str">
        <f>IF('Course 2'!$H242='tab2'!G$3,'Course 2'!$I242," ")</f>
        <v xml:space="preserve"> </v>
      </c>
      <c r="H244" s="8" t="str">
        <f>IF('Course 2'!$H242='tab2'!H$3,'Course 2'!$I242," ")</f>
        <v xml:space="preserve"> </v>
      </c>
      <c r="I244" s="8" t="str">
        <f>IF('Course 2'!$H242='tab2'!I$3,'Course 2'!$I242," ")</f>
        <v xml:space="preserve"> </v>
      </c>
      <c r="J244" s="8" t="str">
        <f>IF('Course 2'!$H242='tab2'!J$3,'Course 2'!$I242," ")</f>
        <v xml:space="preserve"> </v>
      </c>
      <c r="K244" s="8" t="str">
        <f>IF('Course 2'!$H242='tab2'!K$3,'Course 2'!$I242," ")</f>
        <v xml:space="preserve"> </v>
      </c>
      <c r="L244" s="8" t="str">
        <f>IF('Course 2'!$H242='tab2'!L$3,'Course 2'!$I242," ")</f>
        <v xml:space="preserve"> </v>
      </c>
      <c r="M244" s="8" t="str">
        <f>IF('Course 2'!$H242='tab2'!M$3,'Course 2'!$I242," ")</f>
        <v xml:space="preserve"> </v>
      </c>
      <c r="N244" s="9" t="str">
        <f>IF('Course 2'!$H242='tab2'!N$3,'Course 2'!$I242," ")</f>
        <v xml:space="preserve"> </v>
      </c>
    </row>
    <row r="245" spans="2:14">
      <c r="B245">
        <v>241</v>
      </c>
      <c r="C245" s="7" t="str">
        <f>IF('Course 2'!$H243='tab2'!C$3,'Course 2'!$I243," ")</f>
        <v xml:space="preserve"> </v>
      </c>
      <c r="D245" s="8" t="str">
        <f>IF('Course 2'!$H243='tab2'!D$3,'Course 2'!$I243," ")</f>
        <v xml:space="preserve"> </v>
      </c>
      <c r="E245" s="8" t="str">
        <f>IF('Course 2'!$H243='tab2'!E$3,'Course 2'!$I243," ")</f>
        <v xml:space="preserve"> </v>
      </c>
      <c r="F245" s="8" t="str">
        <f>IF('Course 2'!$H243='tab2'!F$3,'Course 2'!$I243," ")</f>
        <v xml:space="preserve"> </v>
      </c>
      <c r="G245" s="8" t="str">
        <f>IF('Course 2'!$H243='tab2'!G$3,'Course 2'!$I243," ")</f>
        <v xml:space="preserve"> </v>
      </c>
      <c r="H245" s="8" t="str">
        <f>IF('Course 2'!$H243='tab2'!H$3,'Course 2'!$I243," ")</f>
        <v xml:space="preserve"> </v>
      </c>
      <c r="I245" s="8" t="str">
        <f>IF('Course 2'!$H243='tab2'!I$3,'Course 2'!$I243," ")</f>
        <v xml:space="preserve"> </v>
      </c>
      <c r="J245" s="8" t="str">
        <f>IF('Course 2'!$H243='tab2'!J$3,'Course 2'!$I243," ")</f>
        <v xml:space="preserve"> </v>
      </c>
      <c r="K245" s="8" t="str">
        <f>IF('Course 2'!$H243='tab2'!K$3,'Course 2'!$I243," ")</f>
        <v xml:space="preserve"> </v>
      </c>
      <c r="L245" s="8" t="str">
        <f>IF('Course 2'!$H243='tab2'!L$3,'Course 2'!$I243," ")</f>
        <v xml:space="preserve"> </v>
      </c>
      <c r="M245" s="8" t="str">
        <f>IF('Course 2'!$H243='tab2'!M$3,'Course 2'!$I243," ")</f>
        <v xml:space="preserve"> </v>
      </c>
      <c r="N245" s="9" t="str">
        <f>IF('Course 2'!$H243='tab2'!N$3,'Course 2'!$I243," ")</f>
        <v xml:space="preserve"> </v>
      </c>
    </row>
    <row r="246" spans="2:14">
      <c r="B246">
        <v>242</v>
      </c>
      <c r="C246" s="7" t="str">
        <f>IF('Course 2'!$H244='tab2'!C$3,'Course 2'!$I244," ")</f>
        <v xml:space="preserve"> </v>
      </c>
      <c r="D246" s="8" t="str">
        <f>IF('Course 2'!$H244='tab2'!D$3,'Course 2'!$I244," ")</f>
        <v xml:space="preserve"> </v>
      </c>
      <c r="E246" s="8" t="str">
        <f>IF('Course 2'!$H244='tab2'!E$3,'Course 2'!$I244," ")</f>
        <v xml:space="preserve"> </v>
      </c>
      <c r="F246" s="8" t="str">
        <f>IF('Course 2'!$H244='tab2'!F$3,'Course 2'!$I244," ")</f>
        <v xml:space="preserve"> </v>
      </c>
      <c r="G246" s="8" t="str">
        <f>IF('Course 2'!$H244='tab2'!G$3,'Course 2'!$I244," ")</f>
        <v xml:space="preserve"> </v>
      </c>
      <c r="H246" s="8" t="str">
        <f>IF('Course 2'!$H244='tab2'!H$3,'Course 2'!$I244," ")</f>
        <v xml:space="preserve"> </v>
      </c>
      <c r="I246" s="8" t="str">
        <f>IF('Course 2'!$H244='tab2'!I$3,'Course 2'!$I244," ")</f>
        <v xml:space="preserve"> </v>
      </c>
      <c r="J246" s="8" t="str">
        <f>IF('Course 2'!$H244='tab2'!J$3,'Course 2'!$I244," ")</f>
        <v xml:space="preserve"> </v>
      </c>
      <c r="K246" s="8" t="str">
        <f>IF('Course 2'!$H244='tab2'!K$3,'Course 2'!$I244," ")</f>
        <v xml:space="preserve"> </v>
      </c>
      <c r="L246" s="8" t="str">
        <f>IF('Course 2'!$H244='tab2'!L$3,'Course 2'!$I244," ")</f>
        <v xml:space="preserve"> </v>
      </c>
      <c r="M246" s="8" t="str">
        <f>IF('Course 2'!$H244='tab2'!M$3,'Course 2'!$I244," ")</f>
        <v xml:space="preserve"> </v>
      </c>
      <c r="N246" s="9" t="str">
        <f>IF('Course 2'!$H244='tab2'!N$3,'Course 2'!$I244," ")</f>
        <v xml:space="preserve"> </v>
      </c>
    </row>
    <row r="247" spans="2:14">
      <c r="B247">
        <v>243</v>
      </c>
      <c r="C247" s="7" t="str">
        <f>IF('Course 2'!$H245='tab2'!C$3,'Course 2'!$I245," ")</f>
        <v xml:space="preserve"> </v>
      </c>
      <c r="D247" s="8" t="str">
        <f>IF('Course 2'!$H245='tab2'!D$3,'Course 2'!$I245," ")</f>
        <v xml:space="preserve"> </v>
      </c>
      <c r="E247" s="8" t="str">
        <f>IF('Course 2'!$H245='tab2'!E$3,'Course 2'!$I245," ")</f>
        <v xml:space="preserve"> </v>
      </c>
      <c r="F247" s="8" t="str">
        <f>IF('Course 2'!$H245='tab2'!F$3,'Course 2'!$I245," ")</f>
        <v xml:space="preserve"> </v>
      </c>
      <c r="G247" s="8" t="str">
        <f>IF('Course 2'!$H245='tab2'!G$3,'Course 2'!$I245," ")</f>
        <v xml:space="preserve"> </v>
      </c>
      <c r="H247" s="8" t="str">
        <f>IF('Course 2'!$H245='tab2'!H$3,'Course 2'!$I245," ")</f>
        <v xml:space="preserve"> </v>
      </c>
      <c r="I247" s="8" t="str">
        <f>IF('Course 2'!$H245='tab2'!I$3,'Course 2'!$I245," ")</f>
        <v xml:space="preserve"> </v>
      </c>
      <c r="J247" s="8" t="str">
        <f>IF('Course 2'!$H245='tab2'!J$3,'Course 2'!$I245," ")</f>
        <v xml:space="preserve"> </v>
      </c>
      <c r="K247" s="8" t="str">
        <f>IF('Course 2'!$H245='tab2'!K$3,'Course 2'!$I245," ")</f>
        <v xml:space="preserve"> </v>
      </c>
      <c r="L247" s="8" t="str">
        <f>IF('Course 2'!$H245='tab2'!L$3,'Course 2'!$I245," ")</f>
        <v xml:space="preserve"> </v>
      </c>
      <c r="M247" s="8" t="str">
        <f>IF('Course 2'!$H245='tab2'!M$3,'Course 2'!$I245," ")</f>
        <v xml:space="preserve"> </v>
      </c>
      <c r="N247" s="9" t="str">
        <f>IF('Course 2'!$H245='tab2'!N$3,'Course 2'!$I245," ")</f>
        <v xml:space="preserve"> </v>
      </c>
    </row>
    <row r="248" spans="2:14">
      <c r="B248">
        <v>244</v>
      </c>
      <c r="C248" s="7" t="str">
        <f>IF('Course 2'!$H246='tab2'!C$3,'Course 2'!$I246," ")</f>
        <v xml:space="preserve"> </v>
      </c>
      <c r="D248" s="8" t="str">
        <f>IF('Course 2'!$H246='tab2'!D$3,'Course 2'!$I246," ")</f>
        <v xml:space="preserve"> </v>
      </c>
      <c r="E248" s="8" t="str">
        <f>IF('Course 2'!$H246='tab2'!E$3,'Course 2'!$I246," ")</f>
        <v xml:space="preserve"> </v>
      </c>
      <c r="F248" s="8" t="str">
        <f>IF('Course 2'!$H246='tab2'!F$3,'Course 2'!$I246," ")</f>
        <v xml:space="preserve"> </v>
      </c>
      <c r="G248" s="8" t="str">
        <f>IF('Course 2'!$H246='tab2'!G$3,'Course 2'!$I246," ")</f>
        <v xml:space="preserve"> </v>
      </c>
      <c r="H248" s="8" t="str">
        <f>IF('Course 2'!$H246='tab2'!H$3,'Course 2'!$I246," ")</f>
        <v xml:space="preserve"> </v>
      </c>
      <c r="I248" s="8" t="str">
        <f>IF('Course 2'!$H246='tab2'!I$3,'Course 2'!$I246," ")</f>
        <v xml:space="preserve"> </v>
      </c>
      <c r="J248" s="8" t="str">
        <f>IF('Course 2'!$H246='tab2'!J$3,'Course 2'!$I246," ")</f>
        <v xml:space="preserve"> </v>
      </c>
      <c r="K248" s="8" t="str">
        <f>IF('Course 2'!$H246='tab2'!K$3,'Course 2'!$I246," ")</f>
        <v xml:space="preserve"> </v>
      </c>
      <c r="L248" s="8" t="str">
        <f>IF('Course 2'!$H246='tab2'!L$3,'Course 2'!$I246," ")</f>
        <v xml:space="preserve"> </v>
      </c>
      <c r="M248" s="8" t="str">
        <f>IF('Course 2'!$H246='tab2'!M$3,'Course 2'!$I246," ")</f>
        <v xml:space="preserve"> </v>
      </c>
      <c r="N248" s="9" t="str">
        <f>IF('Course 2'!$H246='tab2'!N$3,'Course 2'!$I246," ")</f>
        <v xml:space="preserve"> </v>
      </c>
    </row>
    <row r="249" spans="2:14">
      <c r="B249">
        <v>245</v>
      </c>
      <c r="C249" s="7" t="str">
        <f>IF('Course 2'!$H247='tab2'!C$3,'Course 2'!$I247," ")</f>
        <v xml:space="preserve"> </v>
      </c>
      <c r="D249" s="8" t="str">
        <f>IF('Course 2'!$H247='tab2'!D$3,'Course 2'!$I247," ")</f>
        <v xml:space="preserve"> </v>
      </c>
      <c r="E249" s="8" t="str">
        <f>IF('Course 2'!$H247='tab2'!E$3,'Course 2'!$I247," ")</f>
        <v xml:space="preserve"> </v>
      </c>
      <c r="F249" s="8" t="str">
        <f>IF('Course 2'!$H247='tab2'!F$3,'Course 2'!$I247," ")</f>
        <v xml:space="preserve"> </v>
      </c>
      <c r="G249" s="8" t="str">
        <f>IF('Course 2'!$H247='tab2'!G$3,'Course 2'!$I247," ")</f>
        <v xml:space="preserve"> </v>
      </c>
      <c r="H249" s="8" t="str">
        <f>IF('Course 2'!$H247='tab2'!H$3,'Course 2'!$I247," ")</f>
        <v xml:space="preserve"> </v>
      </c>
      <c r="I249" s="8" t="str">
        <f>IF('Course 2'!$H247='tab2'!I$3,'Course 2'!$I247," ")</f>
        <v xml:space="preserve"> </v>
      </c>
      <c r="J249" s="8" t="str">
        <f>IF('Course 2'!$H247='tab2'!J$3,'Course 2'!$I247," ")</f>
        <v xml:space="preserve"> </v>
      </c>
      <c r="K249" s="8" t="str">
        <f>IF('Course 2'!$H247='tab2'!K$3,'Course 2'!$I247," ")</f>
        <v xml:space="preserve"> </v>
      </c>
      <c r="L249" s="8" t="str">
        <f>IF('Course 2'!$H247='tab2'!L$3,'Course 2'!$I247," ")</f>
        <v xml:space="preserve"> </v>
      </c>
      <c r="M249" s="8" t="str">
        <f>IF('Course 2'!$H247='tab2'!M$3,'Course 2'!$I247," ")</f>
        <v xml:space="preserve"> </v>
      </c>
      <c r="N249" s="9" t="str">
        <f>IF('Course 2'!$H247='tab2'!N$3,'Course 2'!$I247," ")</f>
        <v xml:space="preserve"> </v>
      </c>
    </row>
    <row r="250" spans="2:14">
      <c r="B250">
        <v>246</v>
      </c>
      <c r="C250" s="7" t="str">
        <f>IF('Course 2'!$H248='tab2'!C$3,'Course 2'!$I248," ")</f>
        <v xml:space="preserve"> </v>
      </c>
      <c r="D250" s="8" t="str">
        <f>IF('Course 2'!$H248='tab2'!D$3,'Course 2'!$I248," ")</f>
        <v xml:space="preserve"> </v>
      </c>
      <c r="E250" s="8" t="str">
        <f>IF('Course 2'!$H248='tab2'!E$3,'Course 2'!$I248," ")</f>
        <v xml:space="preserve"> </v>
      </c>
      <c r="F250" s="8" t="str">
        <f>IF('Course 2'!$H248='tab2'!F$3,'Course 2'!$I248," ")</f>
        <v xml:space="preserve"> </v>
      </c>
      <c r="G250" s="8" t="str">
        <f>IF('Course 2'!$H248='tab2'!G$3,'Course 2'!$I248," ")</f>
        <v xml:space="preserve"> </v>
      </c>
      <c r="H250" s="8" t="str">
        <f>IF('Course 2'!$H248='tab2'!H$3,'Course 2'!$I248," ")</f>
        <v xml:space="preserve"> </v>
      </c>
      <c r="I250" s="8" t="str">
        <f>IF('Course 2'!$H248='tab2'!I$3,'Course 2'!$I248," ")</f>
        <v xml:space="preserve"> </v>
      </c>
      <c r="J250" s="8" t="str">
        <f>IF('Course 2'!$H248='tab2'!J$3,'Course 2'!$I248," ")</f>
        <v xml:space="preserve"> </v>
      </c>
      <c r="K250" s="8" t="str">
        <f>IF('Course 2'!$H248='tab2'!K$3,'Course 2'!$I248," ")</f>
        <v xml:space="preserve"> </v>
      </c>
      <c r="L250" s="8" t="str">
        <f>IF('Course 2'!$H248='tab2'!L$3,'Course 2'!$I248," ")</f>
        <v xml:space="preserve"> </v>
      </c>
      <c r="M250" s="8" t="str">
        <f>IF('Course 2'!$H248='tab2'!M$3,'Course 2'!$I248," ")</f>
        <v xml:space="preserve"> </v>
      </c>
      <c r="N250" s="9" t="str">
        <f>IF('Course 2'!$H248='tab2'!N$3,'Course 2'!$I248," ")</f>
        <v xml:space="preserve"> </v>
      </c>
    </row>
    <row r="251" spans="2:14">
      <c r="B251">
        <v>247</v>
      </c>
      <c r="C251" s="7" t="str">
        <f>IF('Course 2'!$H249='tab2'!C$3,'Course 2'!$I249," ")</f>
        <v xml:space="preserve"> </v>
      </c>
      <c r="D251" s="8" t="str">
        <f>IF('Course 2'!$H249='tab2'!D$3,'Course 2'!$I249," ")</f>
        <v xml:space="preserve"> </v>
      </c>
      <c r="E251" s="8" t="str">
        <f>IF('Course 2'!$H249='tab2'!E$3,'Course 2'!$I249," ")</f>
        <v xml:space="preserve"> </v>
      </c>
      <c r="F251" s="8" t="str">
        <f>IF('Course 2'!$H249='tab2'!F$3,'Course 2'!$I249," ")</f>
        <v xml:space="preserve"> </v>
      </c>
      <c r="G251" s="8" t="str">
        <f>IF('Course 2'!$H249='tab2'!G$3,'Course 2'!$I249," ")</f>
        <v xml:space="preserve"> </v>
      </c>
      <c r="H251" s="8" t="str">
        <f>IF('Course 2'!$H249='tab2'!H$3,'Course 2'!$I249," ")</f>
        <v xml:space="preserve"> </v>
      </c>
      <c r="I251" s="8" t="str">
        <f>IF('Course 2'!$H249='tab2'!I$3,'Course 2'!$I249," ")</f>
        <v xml:space="preserve"> </v>
      </c>
      <c r="J251" s="8" t="str">
        <f>IF('Course 2'!$H249='tab2'!J$3,'Course 2'!$I249," ")</f>
        <v xml:space="preserve"> </v>
      </c>
      <c r="K251" s="8" t="str">
        <f>IF('Course 2'!$H249='tab2'!K$3,'Course 2'!$I249," ")</f>
        <v xml:space="preserve"> </v>
      </c>
      <c r="L251" s="8" t="str">
        <f>IF('Course 2'!$H249='tab2'!L$3,'Course 2'!$I249," ")</f>
        <v xml:space="preserve"> </v>
      </c>
      <c r="M251" s="8" t="str">
        <f>IF('Course 2'!$H249='tab2'!M$3,'Course 2'!$I249," ")</f>
        <v xml:space="preserve"> </v>
      </c>
      <c r="N251" s="9" t="str">
        <f>IF('Course 2'!$H249='tab2'!N$3,'Course 2'!$I249," ")</f>
        <v xml:space="preserve"> </v>
      </c>
    </row>
    <row r="252" spans="2:14">
      <c r="B252">
        <v>248</v>
      </c>
      <c r="C252" s="7" t="str">
        <f>IF('Course 2'!$H250='tab2'!C$3,'Course 2'!$I250," ")</f>
        <v xml:space="preserve"> </v>
      </c>
      <c r="D252" s="8" t="str">
        <f>IF('Course 2'!$H250='tab2'!D$3,'Course 2'!$I250," ")</f>
        <v xml:space="preserve"> </v>
      </c>
      <c r="E252" s="8" t="str">
        <f>IF('Course 2'!$H250='tab2'!E$3,'Course 2'!$I250," ")</f>
        <v xml:space="preserve"> </v>
      </c>
      <c r="F252" s="8" t="str">
        <f>IF('Course 2'!$H250='tab2'!F$3,'Course 2'!$I250," ")</f>
        <v xml:space="preserve"> </v>
      </c>
      <c r="G252" s="8" t="str">
        <f>IF('Course 2'!$H250='tab2'!G$3,'Course 2'!$I250," ")</f>
        <v xml:space="preserve"> </v>
      </c>
      <c r="H252" s="8" t="str">
        <f>IF('Course 2'!$H250='tab2'!H$3,'Course 2'!$I250," ")</f>
        <v xml:space="preserve"> </v>
      </c>
      <c r="I252" s="8" t="str">
        <f>IF('Course 2'!$H250='tab2'!I$3,'Course 2'!$I250," ")</f>
        <v xml:space="preserve"> </v>
      </c>
      <c r="J252" s="8" t="str">
        <f>IF('Course 2'!$H250='tab2'!J$3,'Course 2'!$I250," ")</f>
        <v xml:space="preserve"> </v>
      </c>
      <c r="K252" s="8" t="str">
        <f>IF('Course 2'!$H250='tab2'!K$3,'Course 2'!$I250," ")</f>
        <v xml:space="preserve"> </v>
      </c>
      <c r="L252" s="8" t="str">
        <f>IF('Course 2'!$H250='tab2'!L$3,'Course 2'!$I250," ")</f>
        <v xml:space="preserve"> </v>
      </c>
      <c r="M252" s="8" t="str">
        <f>IF('Course 2'!$H250='tab2'!M$3,'Course 2'!$I250," ")</f>
        <v xml:space="preserve"> </v>
      </c>
      <c r="N252" s="9" t="str">
        <f>IF('Course 2'!$H250='tab2'!N$3,'Course 2'!$I250," ")</f>
        <v xml:space="preserve"> </v>
      </c>
    </row>
    <row r="253" spans="2:14">
      <c r="B253">
        <v>249</v>
      </c>
      <c r="C253" s="7" t="str">
        <f>IF('Course 2'!$H251='tab2'!C$3,'Course 2'!$I251," ")</f>
        <v xml:space="preserve"> </v>
      </c>
      <c r="D253" s="8" t="str">
        <f>IF('Course 2'!$H251='tab2'!D$3,'Course 2'!$I251," ")</f>
        <v xml:space="preserve"> </v>
      </c>
      <c r="E253" s="8" t="str">
        <f>IF('Course 2'!$H251='tab2'!E$3,'Course 2'!$I251," ")</f>
        <v xml:space="preserve"> </v>
      </c>
      <c r="F253" s="8" t="str">
        <f>IF('Course 2'!$H251='tab2'!F$3,'Course 2'!$I251," ")</f>
        <v xml:space="preserve"> </v>
      </c>
      <c r="G253" s="8" t="str">
        <f>IF('Course 2'!$H251='tab2'!G$3,'Course 2'!$I251," ")</f>
        <v xml:space="preserve"> </v>
      </c>
      <c r="H253" s="8" t="str">
        <f>IF('Course 2'!$H251='tab2'!H$3,'Course 2'!$I251," ")</f>
        <v xml:space="preserve"> </v>
      </c>
      <c r="I253" s="8" t="str">
        <f>IF('Course 2'!$H251='tab2'!I$3,'Course 2'!$I251," ")</f>
        <v xml:space="preserve"> </v>
      </c>
      <c r="J253" s="8" t="str">
        <f>IF('Course 2'!$H251='tab2'!J$3,'Course 2'!$I251," ")</f>
        <v xml:space="preserve"> </v>
      </c>
      <c r="K253" s="8" t="str">
        <f>IF('Course 2'!$H251='tab2'!K$3,'Course 2'!$I251," ")</f>
        <v xml:space="preserve"> </v>
      </c>
      <c r="L253" s="8" t="str">
        <f>IF('Course 2'!$H251='tab2'!L$3,'Course 2'!$I251," ")</f>
        <v xml:space="preserve"> </v>
      </c>
      <c r="M253" s="8" t="str">
        <f>IF('Course 2'!$H251='tab2'!M$3,'Course 2'!$I251," ")</f>
        <v xml:space="preserve"> </v>
      </c>
      <c r="N253" s="9" t="str">
        <f>IF('Course 2'!$H251='tab2'!N$3,'Course 2'!$I251," ")</f>
        <v xml:space="preserve"> </v>
      </c>
    </row>
    <row r="254" spans="2:14">
      <c r="B254">
        <v>250</v>
      </c>
      <c r="C254" s="7" t="str">
        <f>IF('Course 2'!$H252='tab2'!C$3,'Course 2'!$I252," ")</f>
        <v xml:space="preserve"> </v>
      </c>
      <c r="D254" s="8" t="str">
        <f>IF('Course 2'!$H252='tab2'!D$3,'Course 2'!$I252," ")</f>
        <v xml:space="preserve"> </v>
      </c>
      <c r="E254" s="8" t="str">
        <f>IF('Course 2'!$H252='tab2'!E$3,'Course 2'!$I252," ")</f>
        <v xml:space="preserve"> </v>
      </c>
      <c r="F254" s="8" t="str">
        <f>IF('Course 2'!$H252='tab2'!F$3,'Course 2'!$I252," ")</f>
        <v xml:space="preserve"> </v>
      </c>
      <c r="G254" s="8" t="str">
        <f>IF('Course 2'!$H252='tab2'!G$3,'Course 2'!$I252," ")</f>
        <v xml:space="preserve"> </v>
      </c>
      <c r="H254" s="8" t="str">
        <f>IF('Course 2'!$H252='tab2'!H$3,'Course 2'!$I252," ")</f>
        <v xml:space="preserve"> </v>
      </c>
      <c r="I254" s="8" t="str">
        <f>IF('Course 2'!$H252='tab2'!I$3,'Course 2'!$I252," ")</f>
        <v xml:space="preserve"> </v>
      </c>
      <c r="J254" s="8" t="str">
        <f>IF('Course 2'!$H252='tab2'!J$3,'Course 2'!$I252," ")</f>
        <v xml:space="preserve"> </v>
      </c>
      <c r="K254" s="8" t="str">
        <f>IF('Course 2'!$H252='tab2'!K$3,'Course 2'!$I252," ")</f>
        <v xml:space="preserve"> </v>
      </c>
      <c r="L254" s="8" t="str">
        <f>IF('Course 2'!$H252='tab2'!L$3,'Course 2'!$I252," ")</f>
        <v xml:space="preserve"> </v>
      </c>
      <c r="M254" s="8" t="str">
        <f>IF('Course 2'!$H252='tab2'!M$3,'Course 2'!$I252," ")</f>
        <v xml:space="preserve"> </v>
      </c>
      <c r="N254" s="9" t="str">
        <f>IF('Course 2'!$H252='tab2'!N$3,'Course 2'!$I252," ")</f>
        <v xml:space="preserve"> </v>
      </c>
    </row>
    <row r="255" spans="2:14">
      <c r="B255">
        <v>251</v>
      </c>
      <c r="C255" s="7" t="str">
        <f>IF('Course 2'!$H253='tab2'!C$3,'Course 2'!$I253," ")</f>
        <v xml:space="preserve"> </v>
      </c>
      <c r="D255" s="8" t="str">
        <f>IF('Course 2'!$H253='tab2'!D$3,'Course 2'!$I253," ")</f>
        <v xml:space="preserve"> </v>
      </c>
      <c r="E255" s="8" t="str">
        <f>IF('Course 2'!$H253='tab2'!E$3,'Course 2'!$I253," ")</f>
        <v xml:space="preserve"> </v>
      </c>
      <c r="F255" s="8" t="str">
        <f>IF('Course 2'!$H253='tab2'!F$3,'Course 2'!$I253," ")</f>
        <v xml:space="preserve"> </v>
      </c>
      <c r="G255" s="8" t="str">
        <f>IF('Course 2'!$H253='tab2'!G$3,'Course 2'!$I253," ")</f>
        <v xml:space="preserve"> </v>
      </c>
      <c r="H255" s="8" t="str">
        <f>IF('Course 2'!$H253='tab2'!H$3,'Course 2'!$I253," ")</f>
        <v xml:space="preserve"> </v>
      </c>
      <c r="I255" s="8" t="str">
        <f>IF('Course 2'!$H253='tab2'!I$3,'Course 2'!$I253," ")</f>
        <v xml:space="preserve"> </v>
      </c>
      <c r="J255" s="8" t="str">
        <f>IF('Course 2'!$H253='tab2'!J$3,'Course 2'!$I253," ")</f>
        <v xml:space="preserve"> </v>
      </c>
      <c r="K255" s="8" t="str">
        <f>IF('Course 2'!$H253='tab2'!K$3,'Course 2'!$I253," ")</f>
        <v xml:space="preserve"> </v>
      </c>
      <c r="L255" s="8" t="str">
        <f>IF('Course 2'!$H253='tab2'!L$3,'Course 2'!$I253," ")</f>
        <v xml:space="preserve"> </v>
      </c>
      <c r="M255" s="8" t="str">
        <f>IF('Course 2'!$H253='tab2'!M$3,'Course 2'!$I253," ")</f>
        <v xml:space="preserve"> </v>
      </c>
      <c r="N255" s="9" t="str">
        <f>IF('Course 2'!$H253='tab2'!N$3,'Course 2'!$I253," ")</f>
        <v xml:space="preserve"> </v>
      </c>
    </row>
    <row r="256" spans="2:14">
      <c r="B256">
        <v>252</v>
      </c>
      <c r="C256" s="7" t="str">
        <f>IF('Course 2'!$H254='tab2'!C$3,'Course 2'!$I254," ")</f>
        <v xml:space="preserve"> </v>
      </c>
      <c r="D256" s="8" t="str">
        <f>IF('Course 2'!$H254='tab2'!D$3,'Course 2'!$I254," ")</f>
        <v xml:space="preserve"> </v>
      </c>
      <c r="E256" s="8" t="str">
        <f>IF('Course 2'!$H254='tab2'!E$3,'Course 2'!$I254," ")</f>
        <v xml:space="preserve"> </v>
      </c>
      <c r="F256" s="8" t="str">
        <f>IF('Course 2'!$H254='tab2'!F$3,'Course 2'!$I254," ")</f>
        <v xml:space="preserve"> </v>
      </c>
      <c r="G256" s="8" t="str">
        <f>IF('Course 2'!$H254='tab2'!G$3,'Course 2'!$I254," ")</f>
        <v xml:space="preserve"> </v>
      </c>
      <c r="H256" s="8" t="str">
        <f>IF('Course 2'!$H254='tab2'!H$3,'Course 2'!$I254," ")</f>
        <v xml:space="preserve"> </v>
      </c>
      <c r="I256" s="8" t="str">
        <f>IF('Course 2'!$H254='tab2'!I$3,'Course 2'!$I254," ")</f>
        <v xml:space="preserve"> </v>
      </c>
      <c r="J256" s="8" t="str">
        <f>IF('Course 2'!$H254='tab2'!J$3,'Course 2'!$I254," ")</f>
        <v xml:space="preserve"> </v>
      </c>
      <c r="K256" s="8" t="str">
        <f>IF('Course 2'!$H254='tab2'!K$3,'Course 2'!$I254," ")</f>
        <v xml:space="preserve"> </v>
      </c>
      <c r="L256" s="8" t="str">
        <f>IF('Course 2'!$H254='tab2'!L$3,'Course 2'!$I254," ")</f>
        <v xml:space="preserve"> </v>
      </c>
      <c r="M256" s="8" t="str">
        <f>IF('Course 2'!$H254='tab2'!M$3,'Course 2'!$I254," ")</f>
        <v xml:space="preserve"> </v>
      </c>
      <c r="N256" s="9" t="str">
        <f>IF('Course 2'!$H254='tab2'!N$3,'Course 2'!$I254," ")</f>
        <v xml:space="preserve"> </v>
      </c>
    </row>
    <row r="257" spans="2:14">
      <c r="B257">
        <v>253</v>
      </c>
      <c r="C257" s="7" t="str">
        <f>IF('Course 2'!$H255='tab2'!C$3,'Course 2'!$I255," ")</f>
        <v xml:space="preserve"> </v>
      </c>
      <c r="D257" s="8" t="str">
        <f>IF('Course 2'!$H255='tab2'!D$3,'Course 2'!$I255," ")</f>
        <v xml:space="preserve"> </v>
      </c>
      <c r="E257" s="8" t="str">
        <f>IF('Course 2'!$H255='tab2'!E$3,'Course 2'!$I255," ")</f>
        <v xml:space="preserve"> </v>
      </c>
      <c r="F257" s="8" t="str">
        <f>IF('Course 2'!$H255='tab2'!F$3,'Course 2'!$I255," ")</f>
        <v xml:space="preserve"> </v>
      </c>
      <c r="G257" s="8" t="str">
        <f>IF('Course 2'!$H255='tab2'!G$3,'Course 2'!$I255," ")</f>
        <v xml:space="preserve"> </v>
      </c>
      <c r="H257" s="8" t="str">
        <f>IF('Course 2'!$H255='tab2'!H$3,'Course 2'!$I255," ")</f>
        <v xml:space="preserve"> </v>
      </c>
      <c r="I257" s="8" t="str">
        <f>IF('Course 2'!$H255='tab2'!I$3,'Course 2'!$I255," ")</f>
        <v xml:space="preserve"> </v>
      </c>
      <c r="J257" s="8" t="str">
        <f>IF('Course 2'!$H255='tab2'!J$3,'Course 2'!$I255," ")</f>
        <v xml:space="preserve"> </v>
      </c>
      <c r="K257" s="8" t="str">
        <f>IF('Course 2'!$H255='tab2'!K$3,'Course 2'!$I255," ")</f>
        <v xml:space="preserve"> </v>
      </c>
      <c r="L257" s="8" t="str">
        <f>IF('Course 2'!$H255='tab2'!L$3,'Course 2'!$I255," ")</f>
        <v xml:space="preserve"> </v>
      </c>
      <c r="M257" s="8" t="str">
        <f>IF('Course 2'!$H255='tab2'!M$3,'Course 2'!$I255," ")</f>
        <v xml:space="preserve"> </v>
      </c>
      <c r="N257" s="9" t="str">
        <f>IF('Course 2'!$H255='tab2'!N$3,'Course 2'!$I255," ")</f>
        <v xml:space="preserve"> </v>
      </c>
    </row>
    <row r="258" spans="2:14">
      <c r="B258">
        <v>254</v>
      </c>
      <c r="C258" s="7" t="str">
        <f>IF('Course 2'!$H256='tab2'!C$3,'Course 2'!$I256," ")</f>
        <v xml:space="preserve"> </v>
      </c>
      <c r="D258" s="8" t="str">
        <f>IF('Course 2'!$H256='tab2'!D$3,'Course 2'!$I256," ")</f>
        <v xml:space="preserve"> </v>
      </c>
      <c r="E258" s="8" t="str">
        <f>IF('Course 2'!$H256='tab2'!E$3,'Course 2'!$I256," ")</f>
        <v xml:space="preserve"> </v>
      </c>
      <c r="F258" s="8" t="str">
        <f>IF('Course 2'!$H256='tab2'!F$3,'Course 2'!$I256," ")</f>
        <v xml:space="preserve"> </v>
      </c>
      <c r="G258" s="8" t="str">
        <f>IF('Course 2'!$H256='tab2'!G$3,'Course 2'!$I256," ")</f>
        <v xml:space="preserve"> </v>
      </c>
      <c r="H258" s="8" t="str">
        <f>IF('Course 2'!$H256='tab2'!H$3,'Course 2'!$I256," ")</f>
        <v xml:space="preserve"> </v>
      </c>
      <c r="I258" s="8" t="str">
        <f>IF('Course 2'!$H256='tab2'!I$3,'Course 2'!$I256," ")</f>
        <v xml:space="preserve"> </v>
      </c>
      <c r="J258" s="8" t="str">
        <f>IF('Course 2'!$H256='tab2'!J$3,'Course 2'!$I256," ")</f>
        <v xml:space="preserve"> </v>
      </c>
      <c r="K258" s="8" t="str">
        <f>IF('Course 2'!$H256='tab2'!K$3,'Course 2'!$I256," ")</f>
        <v xml:space="preserve"> </v>
      </c>
      <c r="L258" s="8" t="str">
        <f>IF('Course 2'!$H256='tab2'!L$3,'Course 2'!$I256," ")</f>
        <v xml:space="preserve"> </v>
      </c>
      <c r="M258" s="8" t="str">
        <f>IF('Course 2'!$H256='tab2'!M$3,'Course 2'!$I256," ")</f>
        <v xml:space="preserve"> </v>
      </c>
      <c r="N258" s="9" t="str">
        <f>IF('Course 2'!$H256='tab2'!N$3,'Course 2'!$I256," ")</f>
        <v xml:space="preserve"> </v>
      </c>
    </row>
    <row r="259" spans="2:14">
      <c r="B259">
        <v>255</v>
      </c>
      <c r="C259" s="7" t="str">
        <f>IF('Course 2'!$H257='tab2'!C$3,'Course 2'!$I257," ")</f>
        <v xml:space="preserve"> </v>
      </c>
      <c r="D259" s="8" t="str">
        <f>IF('Course 2'!$H257='tab2'!D$3,'Course 2'!$I257," ")</f>
        <v xml:space="preserve"> </v>
      </c>
      <c r="E259" s="8" t="str">
        <f>IF('Course 2'!$H257='tab2'!E$3,'Course 2'!$I257," ")</f>
        <v xml:space="preserve"> </v>
      </c>
      <c r="F259" s="8" t="str">
        <f>IF('Course 2'!$H257='tab2'!F$3,'Course 2'!$I257," ")</f>
        <v xml:space="preserve"> </v>
      </c>
      <c r="G259" s="8" t="str">
        <f>IF('Course 2'!$H257='tab2'!G$3,'Course 2'!$I257," ")</f>
        <v xml:space="preserve"> </v>
      </c>
      <c r="H259" s="8" t="str">
        <f>IF('Course 2'!$H257='tab2'!H$3,'Course 2'!$I257," ")</f>
        <v xml:space="preserve"> </v>
      </c>
      <c r="I259" s="8" t="str">
        <f>IF('Course 2'!$H257='tab2'!I$3,'Course 2'!$I257," ")</f>
        <v xml:space="preserve"> </v>
      </c>
      <c r="J259" s="8" t="str">
        <f>IF('Course 2'!$H257='tab2'!J$3,'Course 2'!$I257," ")</f>
        <v xml:space="preserve"> </v>
      </c>
      <c r="K259" s="8" t="str">
        <f>IF('Course 2'!$H257='tab2'!K$3,'Course 2'!$I257," ")</f>
        <v xml:space="preserve"> </v>
      </c>
      <c r="L259" s="8" t="str">
        <f>IF('Course 2'!$H257='tab2'!L$3,'Course 2'!$I257," ")</f>
        <v xml:space="preserve"> </v>
      </c>
      <c r="M259" s="8" t="str">
        <f>IF('Course 2'!$H257='tab2'!M$3,'Course 2'!$I257," ")</f>
        <v xml:space="preserve"> </v>
      </c>
      <c r="N259" s="9" t="str">
        <f>IF('Course 2'!$H257='tab2'!N$3,'Course 2'!$I257," ")</f>
        <v xml:space="preserve"> </v>
      </c>
    </row>
    <row r="260" spans="2:14">
      <c r="B260">
        <v>256</v>
      </c>
      <c r="C260" s="7" t="str">
        <f>IF('Course 2'!$H258='tab2'!C$3,'Course 2'!$I258," ")</f>
        <v xml:space="preserve"> </v>
      </c>
      <c r="D260" s="8" t="str">
        <f>IF('Course 2'!$H258='tab2'!D$3,'Course 2'!$I258," ")</f>
        <v xml:space="preserve"> </v>
      </c>
      <c r="E260" s="8" t="str">
        <f>IF('Course 2'!$H258='tab2'!E$3,'Course 2'!$I258," ")</f>
        <v xml:space="preserve"> </v>
      </c>
      <c r="F260" s="8" t="str">
        <f>IF('Course 2'!$H258='tab2'!F$3,'Course 2'!$I258," ")</f>
        <v xml:space="preserve"> </v>
      </c>
      <c r="G260" s="8" t="str">
        <f>IF('Course 2'!$H258='tab2'!G$3,'Course 2'!$I258," ")</f>
        <v xml:space="preserve"> </v>
      </c>
      <c r="H260" s="8" t="str">
        <f>IF('Course 2'!$H258='tab2'!H$3,'Course 2'!$I258," ")</f>
        <v xml:space="preserve"> </v>
      </c>
      <c r="I260" s="8" t="str">
        <f>IF('Course 2'!$H258='tab2'!I$3,'Course 2'!$I258," ")</f>
        <v xml:space="preserve"> </v>
      </c>
      <c r="J260" s="8" t="str">
        <f>IF('Course 2'!$H258='tab2'!J$3,'Course 2'!$I258," ")</f>
        <v xml:space="preserve"> </v>
      </c>
      <c r="K260" s="8" t="str">
        <f>IF('Course 2'!$H258='tab2'!K$3,'Course 2'!$I258," ")</f>
        <v xml:space="preserve"> </v>
      </c>
      <c r="L260" s="8" t="str">
        <f>IF('Course 2'!$H258='tab2'!L$3,'Course 2'!$I258," ")</f>
        <v xml:space="preserve"> </v>
      </c>
      <c r="M260" s="8" t="str">
        <f>IF('Course 2'!$H258='tab2'!M$3,'Course 2'!$I258," ")</f>
        <v xml:space="preserve"> </v>
      </c>
      <c r="N260" s="9" t="str">
        <f>IF('Course 2'!$H258='tab2'!N$3,'Course 2'!$I258," ")</f>
        <v xml:space="preserve"> </v>
      </c>
    </row>
    <row r="261" spans="2:14">
      <c r="B261">
        <v>257</v>
      </c>
      <c r="C261" s="7" t="str">
        <f>IF('Course 2'!$H259='tab2'!C$3,'Course 2'!$I259," ")</f>
        <v xml:space="preserve"> </v>
      </c>
      <c r="D261" s="8" t="str">
        <f>IF('Course 2'!$H259='tab2'!D$3,'Course 2'!$I259," ")</f>
        <v xml:space="preserve"> </v>
      </c>
      <c r="E261" s="8" t="str">
        <f>IF('Course 2'!$H259='tab2'!E$3,'Course 2'!$I259," ")</f>
        <v xml:space="preserve"> </v>
      </c>
      <c r="F261" s="8" t="str">
        <f>IF('Course 2'!$H259='tab2'!F$3,'Course 2'!$I259," ")</f>
        <v xml:space="preserve"> </v>
      </c>
      <c r="G261" s="8" t="str">
        <f>IF('Course 2'!$H259='tab2'!G$3,'Course 2'!$I259," ")</f>
        <v xml:space="preserve"> </v>
      </c>
      <c r="H261" s="8" t="str">
        <f>IF('Course 2'!$H259='tab2'!H$3,'Course 2'!$I259," ")</f>
        <v xml:space="preserve"> </v>
      </c>
      <c r="I261" s="8" t="str">
        <f>IF('Course 2'!$H259='tab2'!I$3,'Course 2'!$I259," ")</f>
        <v xml:space="preserve"> </v>
      </c>
      <c r="J261" s="8" t="str">
        <f>IF('Course 2'!$H259='tab2'!J$3,'Course 2'!$I259," ")</f>
        <v xml:space="preserve"> </v>
      </c>
      <c r="K261" s="8" t="str">
        <f>IF('Course 2'!$H259='tab2'!K$3,'Course 2'!$I259," ")</f>
        <v xml:space="preserve"> </v>
      </c>
      <c r="L261" s="8" t="str">
        <f>IF('Course 2'!$H259='tab2'!L$3,'Course 2'!$I259," ")</f>
        <v xml:space="preserve"> </v>
      </c>
      <c r="M261" s="8" t="str">
        <f>IF('Course 2'!$H259='tab2'!M$3,'Course 2'!$I259," ")</f>
        <v xml:space="preserve"> </v>
      </c>
      <c r="N261" s="9" t="str">
        <f>IF('Course 2'!$H259='tab2'!N$3,'Course 2'!$I259," ")</f>
        <v xml:space="preserve"> </v>
      </c>
    </row>
    <row r="262" spans="2:14">
      <c r="B262">
        <v>258</v>
      </c>
      <c r="C262" s="7" t="str">
        <f>IF('Course 2'!$H260='tab2'!C$3,'Course 2'!$I260," ")</f>
        <v xml:space="preserve"> </v>
      </c>
      <c r="D262" s="8" t="str">
        <f>IF('Course 2'!$H260='tab2'!D$3,'Course 2'!$I260," ")</f>
        <v xml:space="preserve"> </v>
      </c>
      <c r="E262" s="8" t="str">
        <f>IF('Course 2'!$H260='tab2'!E$3,'Course 2'!$I260," ")</f>
        <v xml:space="preserve"> </v>
      </c>
      <c r="F262" s="8" t="str">
        <f>IF('Course 2'!$H260='tab2'!F$3,'Course 2'!$I260," ")</f>
        <v xml:space="preserve"> </v>
      </c>
      <c r="G262" s="8" t="str">
        <f>IF('Course 2'!$H260='tab2'!G$3,'Course 2'!$I260," ")</f>
        <v xml:space="preserve"> </v>
      </c>
      <c r="H262" s="8" t="str">
        <f>IF('Course 2'!$H260='tab2'!H$3,'Course 2'!$I260," ")</f>
        <v xml:space="preserve"> </v>
      </c>
      <c r="I262" s="8" t="str">
        <f>IF('Course 2'!$H260='tab2'!I$3,'Course 2'!$I260," ")</f>
        <v xml:space="preserve"> </v>
      </c>
      <c r="J262" s="8" t="str">
        <f>IF('Course 2'!$H260='tab2'!J$3,'Course 2'!$I260," ")</f>
        <v xml:space="preserve"> </v>
      </c>
      <c r="K262" s="8" t="str">
        <f>IF('Course 2'!$H260='tab2'!K$3,'Course 2'!$I260," ")</f>
        <v xml:space="preserve"> </v>
      </c>
      <c r="L262" s="8" t="str">
        <f>IF('Course 2'!$H260='tab2'!L$3,'Course 2'!$I260," ")</f>
        <v xml:space="preserve"> </v>
      </c>
      <c r="M262" s="8" t="str">
        <f>IF('Course 2'!$H260='tab2'!M$3,'Course 2'!$I260," ")</f>
        <v xml:space="preserve"> </v>
      </c>
      <c r="N262" s="9" t="str">
        <f>IF('Course 2'!$H260='tab2'!N$3,'Course 2'!$I260," ")</f>
        <v xml:space="preserve"> </v>
      </c>
    </row>
    <row r="263" spans="2:14">
      <c r="B263">
        <v>259</v>
      </c>
      <c r="C263" s="7" t="str">
        <f>IF('Course 2'!$H261='tab2'!C$3,'Course 2'!$I261," ")</f>
        <v xml:space="preserve"> </v>
      </c>
      <c r="D263" s="8" t="str">
        <f>IF('Course 2'!$H261='tab2'!D$3,'Course 2'!$I261," ")</f>
        <v xml:space="preserve"> </v>
      </c>
      <c r="E263" s="8" t="str">
        <f>IF('Course 2'!$H261='tab2'!E$3,'Course 2'!$I261," ")</f>
        <v xml:space="preserve"> </v>
      </c>
      <c r="F263" s="8" t="str">
        <f>IF('Course 2'!$H261='tab2'!F$3,'Course 2'!$I261," ")</f>
        <v xml:space="preserve"> </v>
      </c>
      <c r="G263" s="8" t="str">
        <f>IF('Course 2'!$H261='tab2'!G$3,'Course 2'!$I261," ")</f>
        <v xml:space="preserve"> </v>
      </c>
      <c r="H263" s="8" t="str">
        <f>IF('Course 2'!$H261='tab2'!H$3,'Course 2'!$I261," ")</f>
        <v xml:space="preserve"> </v>
      </c>
      <c r="I263" s="8" t="str">
        <f>IF('Course 2'!$H261='tab2'!I$3,'Course 2'!$I261," ")</f>
        <v xml:space="preserve"> </v>
      </c>
      <c r="J263" s="8" t="str">
        <f>IF('Course 2'!$H261='tab2'!J$3,'Course 2'!$I261," ")</f>
        <v xml:space="preserve"> </v>
      </c>
      <c r="K263" s="8" t="str">
        <f>IF('Course 2'!$H261='tab2'!K$3,'Course 2'!$I261," ")</f>
        <v xml:space="preserve"> </v>
      </c>
      <c r="L263" s="8" t="str">
        <f>IF('Course 2'!$H261='tab2'!L$3,'Course 2'!$I261," ")</f>
        <v xml:space="preserve"> </v>
      </c>
      <c r="M263" s="8" t="str">
        <f>IF('Course 2'!$H261='tab2'!M$3,'Course 2'!$I261," ")</f>
        <v xml:space="preserve"> </v>
      </c>
      <c r="N263" s="9" t="str">
        <f>IF('Course 2'!$H261='tab2'!N$3,'Course 2'!$I261," ")</f>
        <v xml:space="preserve"> </v>
      </c>
    </row>
    <row r="264" spans="2:14">
      <c r="B264">
        <v>260</v>
      </c>
      <c r="C264" s="7" t="str">
        <f>IF('Course 2'!$H262='tab2'!C$3,'Course 2'!$I262," ")</f>
        <v xml:space="preserve"> </v>
      </c>
      <c r="D264" s="8" t="str">
        <f>IF('Course 2'!$H262='tab2'!D$3,'Course 2'!$I262," ")</f>
        <v xml:space="preserve"> </v>
      </c>
      <c r="E264" s="8" t="str">
        <f>IF('Course 2'!$H262='tab2'!E$3,'Course 2'!$I262," ")</f>
        <v xml:space="preserve"> </v>
      </c>
      <c r="F264" s="8" t="str">
        <f>IF('Course 2'!$H262='tab2'!F$3,'Course 2'!$I262," ")</f>
        <v xml:space="preserve"> </v>
      </c>
      <c r="G264" s="8" t="str">
        <f>IF('Course 2'!$H262='tab2'!G$3,'Course 2'!$I262," ")</f>
        <v xml:space="preserve"> </v>
      </c>
      <c r="H264" s="8" t="str">
        <f>IF('Course 2'!$H262='tab2'!H$3,'Course 2'!$I262," ")</f>
        <v xml:space="preserve"> </v>
      </c>
      <c r="I264" s="8" t="str">
        <f>IF('Course 2'!$H262='tab2'!I$3,'Course 2'!$I262," ")</f>
        <v xml:space="preserve"> </v>
      </c>
      <c r="J264" s="8" t="str">
        <f>IF('Course 2'!$H262='tab2'!J$3,'Course 2'!$I262," ")</f>
        <v xml:space="preserve"> </v>
      </c>
      <c r="K264" s="8" t="str">
        <f>IF('Course 2'!$H262='tab2'!K$3,'Course 2'!$I262," ")</f>
        <v xml:space="preserve"> </v>
      </c>
      <c r="L264" s="8" t="str">
        <f>IF('Course 2'!$H262='tab2'!L$3,'Course 2'!$I262," ")</f>
        <v xml:space="preserve"> </v>
      </c>
      <c r="M264" s="8" t="str">
        <f>IF('Course 2'!$H262='tab2'!M$3,'Course 2'!$I262," ")</f>
        <v xml:space="preserve"> </v>
      </c>
      <c r="N264" s="9" t="str">
        <f>IF('Course 2'!$H262='tab2'!N$3,'Course 2'!$I262," ")</f>
        <v xml:space="preserve"> </v>
      </c>
    </row>
    <row r="265" spans="2:14">
      <c r="B265">
        <v>261</v>
      </c>
      <c r="C265" s="7" t="str">
        <f>IF('Course 2'!$H263='tab2'!C$3,'Course 2'!$I263," ")</f>
        <v xml:space="preserve"> </v>
      </c>
      <c r="D265" s="8" t="str">
        <f>IF('Course 2'!$H263='tab2'!D$3,'Course 2'!$I263," ")</f>
        <v xml:space="preserve"> </v>
      </c>
      <c r="E265" s="8" t="str">
        <f>IF('Course 2'!$H263='tab2'!E$3,'Course 2'!$I263," ")</f>
        <v xml:space="preserve"> </v>
      </c>
      <c r="F265" s="8" t="str">
        <f>IF('Course 2'!$H263='tab2'!F$3,'Course 2'!$I263," ")</f>
        <v xml:space="preserve"> </v>
      </c>
      <c r="G265" s="8" t="str">
        <f>IF('Course 2'!$H263='tab2'!G$3,'Course 2'!$I263," ")</f>
        <v xml:space="preserve"> </v>
      </c>
      <c r="H265" s="8" t="str">
        <f>IF('Course 2'!$H263='tab2'!H$3,'Course 2'!$I263," ")</f>
        <v xml:space="preserve"> </v>
      </c>
      <c r="I265" s="8" t="str">
        <f>IF('Course 2'!$H263='tab2'!I$3,'Course 2'!$I263," ")</f>
        <v xml:space="preserve"> </v>
      </c>
      <c r="J265" s="8" t="str">
        <f>IF('Course 2'!$H263='tab2'!J$3,'Course 2'!$I263," ")</f>
        <v xml:space="preserve"> </v>
      </c>
      <c r="K265" s="8" t="str">
        <f>IF('Course 2'!$H263='tab2'!K$3,'Course 2'!$I263," ")</f>
        <v xml:space="preserve"> </v>
      </c>
      <c r="L265" s="8" t="str">
        <f>IF('Course 2'!$H263='tab2'!L$3,'Course 2'!$I263," ")</f>
        <v xml:space="preserve"> </v>
      </c>
      <c r="M265" s="8" t="str">
        <f>IF('Course 2'!$H263='tab2'!M$3,'Course 2'!$I263," ")</f>
        <v xml:space="preserve"> </v>
      </c>
      <c r="N265" s="9" t="str">
        <f>IF('Course 2'!$H263='tab2'!N$3,'Course 2'!$I263," ")</f>
        <v xml:space="preserve"> </v>
      </c>
    </row>
    <row r="266" spans="2:14">
      <c r="B266">
        <v>262</v>
      </c>
      <c r="C266" s="7" t="str">
        <f>IF('Course 2'!$H264='tab2'!C$3,'Course 2'!$I264," ")</f>
        <v xml:space="preserve"> </v>
      </c>
      <c r="D266" s="8" t="str">
        <f>IF('Course 2'!$H264='tab2'!D$3,'Course 2'!$I264," ")</f>
        <v xml:space="preserve"> </v>
      </c>
      <c r="E266" s="8" t="str">
        <f>IF('Course 2'!$H264='tab2'!E$3,'Course 2'!$I264," ")</f>
        <v xml:space="preserve"> </v>
      </c>
      <c r="F266" s="8" t="str">
        <f>IF('Course 2'!$H264='tab2'!F$3,'Course 2'!$I264," ")</f>
        <v xml:space="preserve"> </v>
      </c>
      <c r="G266" s="8" t="str">
        <f>IF('Course 2'!$H264='tab2'!G$3,'Course 2'!$I264," ")</f>
        <v xml:space="preserve"> </v>
      </c>
      <c r="H266" s="8" t="str">
        <f>IF('Course 2'!$H264='tab2'!H$3,'Course 2'!$I264," ")</f>
        <v xml:space="preserve"> </v>
      </c>
      <c r="I266" s="8" t="str">
        <f>IF('Course 2'!$H264='tab2'!I$3,'Course 2'!$I264," ")</f>
        <v xml:space="preserve"> </v>
      </c>
      <c r="J266" s="8" t="str">
        <f>IF('Course 2'!$H264='tab2'!J$3,'Course 2'!$I264," ")</f>
        <v xml:space="preserve"> </v>
      </c>
      <c r="K266" s="8" t="str">
        <f>IF('Course 2'!$H264='tab2'!K$3,'Course 2'!$I264," ")</f>
        <v xml:space="preserve"> </v>
      </c>
      <c r="L266" s="8" t="str">
        <f>IF('Course 2'!$H264='tab2'!L$3,'Course 2'!$I264," ")</f>
        <v xml:space="preserve"> </v>
      </c>
      <c r="M266" s="8" t="str">
        <f>IF('Course 2'!$H264='tab2'!M$3,'Course 2'!$I264," ")</f>
        <v xml:space="preserve"> </v>
      </c>
      <c r="N266" s="9" t="str">
        <f>IF('Course 2'!$H264='tab2'!N$3,'Course 2'!$I264," ")</f>
        <v xml:space="preserve"> </v>
      </c>
    </row>
    <row r="267" spans="2:14">
      <c r="B267">
        <v>263</v>
      </c>
      <c r="C267" s="7" t="str">
        <f>IF('Course 2'!$H265='tab2'!C$3,'Course 2'!$I265," ")</f>
        <v xml:space="preserve"> </v>
      </c>
      <c r="D267" s="8" t="str">
        <f>IF('Course 2'!$H265='tab2'!D$3,'Course 2'!$I265," ")</f>
        <v xml:space="preserve"> </v>
      </c>
      <c r="E267" s="8" t="str">
        <f>IF('Course 2'!$H265='tab2'!E$3,'Course 2'!$I265," ")</f>
        <v xml:space="preserve"> </v>
      </c>
      <c r="F267" s="8" t="str">
        <f>IF('Course 2'!$H265='tab2'!F$3,'Course 2'!$I265," ")</f>
        <v xml:space="preserve"> </v>
      </c>
      <c r="G267" s="8" t="str">
        <f>IF('Course 2'!$H265='tab2'!G$3,'Course 2'!$I265," ")</f>
        <v xml:space="preserve"> </v>
      </c>
      <c r="H267" s="8" t="str">
        <f>IF('Course 2'!$H265='tab2'!H$3,'Course 2'!$I265," ")</f>
        <v xml:space="preserve"> </v>
      </c>
      <c r="I267" s="8" t="str">
        <f>IF('Course 2'!$H265='tab2'!I$3,'Course 2'!$I265," ")</f>
        <v xml:space="preserve"> </v>
      </c>
      <c r="J267" s="8" t="str">
        <f>IF('Course 2'!$H265='tab2'!J$3,'Course 2'!$I265," ")</f>
        <v xml:space="preserve"> </v>
      </c>
      <c r="K267" s="8" t="str">
        <f>IF('Course 2'!$H265='tab2'!K$3,'Course 2'!$I265," ")</f>
        <v xml:space="preserve"> </v>
      </c>
      <c r="L267" s="8" t="str">
        <f>IF('Course 2'!$H265='tab2'!L$3,'Course 2'!$I265," ")</f>
        <v xml:space="preserve"> </v>
      </c>
      <c r="M267" s="8" t="str">
        <f>IF('Course 2'!$H265='tab2'!M$3,'Course 2'!$I265," ")</f>
        <v xml:space="preserve"> </v>
      </c>
      <c r="N267" s="9" t="str">
        <f>IF('Course 2'!$H265='tab2'!N$3,'Course 2'!$I265," ")</f>
        <v xml:space="preserve"> </v>
      </c>
    </row>
    <row r="268" spans="2:14">
      <c r="B268">
        <v>264</v>
      </c>
      <c r="C268" s="7" t="str">
        <f>IF('Course 2'!$H266='tab2'!C$3,'Course 2'!$I266," ")</f>
        <v xml:space="preserve"> </v>
      </c>
      <c r="D268" s="8" t="str">
        <f>IF('Course 2'!$H266='tab2'!D$3,'Course 2'!$I266," ")</f>
        <v xml:space="preserve"> </v>
      </c>
      <c r="E268" s="8" t="str">
        <f>IF('Course 2'!$H266='tab2'!E$3,'Course 2'!$I266," ")</f>
        <v xml:space="preserve"> </v>
      </c>
      <c r="F268" s="8" t="str">
        <f>IF('Course 2'!$H266='tab2'!F$3,'Course 2'!$I266," ")</f>
        <v xml:space="preserve"> </v>
      </c>
      <c r="G268" s="8" t="str">
        <f>IF('Course 2'!$H266='tab2'!G$3,'Course 2'!$I266," ")</f>
        <v xml:space="preserve"> </v>
      </c>
      <c r="H268" s="8" t="str">
        <f>IF('Course 2'!$H266='tab2'!H$3,'Course 2'!$I266," ")</f>
        <v xml:space="preserve"> </v>
      </c>
      <c r="I268" s="8" t="str">
        <f>IF('Course 2'!$H266='tab2'!I$3,'Course 2'!$I266," ")</f>
        <v xml:space="preserve"> </v>
      </c>
      <c r="J268" s="8" t="str">
        <f>IF('Course 2'!$H266='tab2'!J$3,'Course 2'!$I266," ")</f>
        <v xml:space="preserve"> </v>
      </c>
      <c r="K268" s="8" t="str">
        <f>IF('Course 2'!$H266='tab2'!K$3,'Course 2'!$I266," ")</f>
        <v xml:space="preserve"> </v>
      </c>
      <c r="L268" s="8" t="str">
        <f>IF('Course 2'!$H266='tab2'!L$3,'Course 2'!$I266," ")</f>
        <v xml:space="preserve"> </v>
      </c>
      <c r="M268" s="8" t="str">
        <f>IF('Course 2'!$H266='tab2'!M$3,'Course 2'!$I266," ")</f>
        <v xml:space="preserve"> </v>
      </c>
      <c r="N268" s="9" t="str">
        <f>IF('Course 2'!$H266='tab2'!N$3,'Course 2'!$I266," ")</f>
        <v xml:space="preserve"> </v>
      </c>
    </row>
    <row r="269" spans="2:14">
      <c r="B269">
        <v>265</v>
      </c>
      <c r="C269" s="7" t="str">
        <f>IF('Course 2'!$H267='tab2'!C$3,'Course 2'!$I267," ")</f>
        <v xml:space="preserve"> </v>
      </c>
      <c r="D269" s="8" t="str">
        <f>IF('Course 2'!$H267='tab2'!D$3,'Course 2'!$I267," ")</f>
        <v xml:space="preserve"> </v>
      </c>
      <c r="E269" s="8" t="str">
        <f>IF('Course 2'!$H267='tab2'!E$3,'Course 2'!$I267," ")</f>
        <v xml:space="preserve"> </v>
      </c>
      <c r="F269" s="8" t="str">
        <f>IF('Course 2'!$H267='tab2'!F$3,'Course 2'!$I267," ")</f>
        <v xml:space="preserve"> </v>
      </c>
      <c r="G269" s="8" t="str">
        <f>IF('Course 2'!$H267='tab2'!G$3,'Course 2'!$I267," ")</f>
        <v xml:space="preserve"> </v>
      </c>
      <c r="H269" s="8" t="str">
        <f>IF('Course 2'!$H267='tab2'!H$3,'Course 2'!$I267," ")</f>
        <v xml:space="preserve"> </v>
      </c>
      <c r="I269" s="8" t="str">
        <f>IF('Course 2'!$H267='tab2'!I$3,'Course 2'!$I267," ")</f>
        <v xml:space="preserve"> </v>
      </c>
      <c r="J269" s="8" t="str">
        <f>IF('Course 2'!$H267='tab2'!J$3,'Course 2'!$I267," ")</f>
        <v xml:space="preserve"> </v>
      </c>
      <c r="K269" s="8" t="str">
        <f>IF('Course 2'!$H267='tab2'!K$3,'Course 2'!$I267," ")</f>
        <v xml:space="preserve"> </v>
      </c>
      <c r="L269" s="8" t="str">
        <f>IF('Course 2'!$H267='tab2'!L$3,'Course 2'!$I267," ")</f>
        <v xml:space="preserve"> </v>
      </c>
      <c r="M269" s="8" t="str">
        <f>IF('Course 2'!$H267='tab2'!M$3,'Course 2'!$I267," ")</f>
        <v xml:space="preserve"> </v>
      </c>
      <c r="N269" s="9" t="str">
        <f>IF('Course 2'!$H267='tab2'!N$3,'Course 2'!$I267," ")</f>
        <v xml:space="preserve"> </v>
      </c>
    </row>
    <row r="270" spans="2:14">
      <c r="B270">
        <v>266</v>
      </c>
      <c r="C270" s="7" t="str">
        <f>IF('Course 2'!$H268='tab2'!C$3,'Course 2'!$I268," ")</f>
        <v xml:space="preserve"> </v>
      </c>
      <c r="D270" s="8" t="str">
        <f>IF('Course 2'!$H268='tab2'!D$3,'Course 2'!$I268," ")</f>
        <v xml:space="preserve"> </v>
      </c>
      <c r="E270" s="8" t="str">
        <f>IF('Course 2'!$H268='tab2'!E$3,'Course 2'!$I268," ")</f>
        <v xml:space="preserve"> </v>
      </c>
      <c r="F270" s="8" t="str">
        <f>IF('Course 2'!$H268='tab2'!F$3,'Course 2'!$I268," ")</f>
        <v xml:space="preserve"> </v>
      </c>
      <c r="G270" s="8" t="str">
        <f>IF('Course 2'!$H268='tab2'!G$3,'Course 2'!$I268," ")</f>
        <v xml:space="preserve"> </v>
      </c>
      <c r="H270" s="8" t="str">
        <f>IF('Course 2'!$H268='tab2'!H$3,'Course 2'!$I268," ")</f>
        <v xml:space="preserve"> </v>
      </c>
      <c r="I270" s="8" t="str">
        <f>IF('Course 2'!$H268='tab2'!I$3,'Course 2'!$I268," ")</f>
        <v xml:space="preserve"> </v>
      </c>
      <c r="J270" s="8" t="str">
        <f>IF('Course 2'!$H268='tab2'!J$3,'Course 2'!$I268," ")</f>
        <v xml:space="preserve"> </v>
      </c>
      <c r="K270" s="8" t="str">
        <f>IF('Course 2'!$H268='tab2'!K$3,'Course 2'!$I268," ")</f>
        <v xml:space="preserve"> </v>
      </c>
      <c r="L270" s="8" t="str">
        <f>IF('Course 2'!$H268='tab2'!L$3,'Course 2'!$I268," ")</f>
        <v xml:space="preserve"> </v>
      </c>
      <c r="M270" s="8" t="str">
        <f>IF('Course 2'!$H268='tab2'!M$3,'Course 2'!$I268," ")</f>
        <v xml:space="preserve"> </v>
      </c>
      <c r="N270" s="9" t="str">
        <f>IF('Course 2'!$H268='tab2'!N$3,'Course 2'!$I268," ")</f>
        <v xml:space="preserve"> </v>
      </c>
    </row>
    <row r="271" spans="2:14">
      <c r="B271">
        <v>267</v>
      </c>
      <c r="C271" s="7" t="str">
        <f>IF('Course 2'!$H269='tab2'!C$3,'Course 2'!$I269," ")</f>
        <v xml:space="preserve"> </v>
      </c>
      <c r="D271" s="8" t="str">
        <f>IF('Course 2'!$H269='tab2'!D$3,'Course 2'!$I269," ")</f>
        <v xml:space="preserve"> </v>
      </c>
      <c r="E271" s="8" t="str">
        <f>IF('Course 2'!$H269='tab2'!E$3,'Course 2'!$I269," ")</f>
        <v xml:space="preserve"> </v>
      </c>
      <c r="F271" s="8" t="str">
        <f>IF('Course 2'!$H269='tab2'!F$3,'Course 2'!$I269," ")</f>
        <v xml:space="preserve"> </v>
      </c>
      <c r="G271" s="8" t="str">
        <f>IF('Course 2'!$H269='tab2'!G$3,'Course 2'!$I269," ")</f>
        <v xml:space="preserve"> </v>
      </c>
      <c r="H271" s="8" t="str">
        <f>IF('Course 2'!$H269='tab2'!H$3,'Course 2'!$I269," ")</f>
        <v xml:space="preserve"> </v>
      </c>
      <c r="I271" s="8" t="str">
        <f>IF('Course 2'!$H269='tab2'!I$3,'Course 2'!$I269," ")</f>
        <v xml:space="preserve"> </v>
      </c>
      <c r="J271" s="8" t="str">
        <f>IF('Course 2'!$H269='tab2'!J$3,'Course 2'!$I269," ")</f>
        <v xml:space="preserve"> </v>
      </c>
      <c r="K271" s="8" t="str">
        <f>IF('Course 2'!$H269='tab2'!K$3,'Course 2'!$I269," ")</f>
        <v xml:space="preserve"> </v>
      </c>
      <c r="L271" s="8" t="str">
        <f>IF('Course 2'!$H269='tab2'!L$3,'Course 2'!$I269," ")</f>
        <v xml:space="preserve"> </v>
      </c>
      <c r="M271" s="8" t="str">
        <f>IF('Course 2'!$H269='tab2'!M$3,'Course 2'!$I269," ")</f>
        <v xml:space="preserve"> </v>
      </c>
      <c r="N271" s="9" t="str">
        <f>IF('Course 2'!$H269='tab2'!N$3,'Course 2'!$I269," ")</f>
        <v xml:space="preserve"> </v>
      </c>
    </row>
    <row r="272" spans="2:14">
      <c r="B272">
        <v>268</v>
      </c>
      <c r="C272" s="7" t="str">
        <f>IF('Course 2'!$H270='tab2'!C$3,'Course 2'!$I270," ")</f>
        <v xml:space="preserve"> </v>
      </c>
      <c r="D272" s="8" t="str">
        <f>IF('Course 2'!$H270='tab2'!D$3,'Course 2'!$I270," ")</f>
        <v xml:space="preserve"> </v>
      </c>
      <c r="E272" s="8" t="str">
        <f>IF('Course 2'!$H270='tab2'!E$3,'Course 2'!$I270," ")</f>
        <v xml:space="preserve"> </v>
      </c>
      <c r="F272" s="8" t="str">
        <f>IF('Course 2'!$H270='tab2'!F$3,'Course 2'!$I270," ")</f>
        <v xml:space="preserve"> </v>
      </c>
      <c r="G272" s="8" t="str">
        <f>IF('Course 2'!$H270='tab2'!G$3,'Course 2'!$I270," ")</f>
        <v xml:space="preserve"> </v>
      </c>
      <c r="H272" s="8" t="str">
        <f>IF('Course 2'!$H270='tab2'!H$3,'Course 2'!$I270," ")</f>
        <v xml:space="preserve"> </v>
      </c>
      <c r="I272" s="8" t="str">
        <f>IF('Course 2'!$H270='tab2'!I$3,'Course 2'!$I270," ")</f>
        <v xml:space="preserve"> </v>
      </c>
      <c r="J272" s="8" t="str">
        <f>IF('Course 2'!$H270='tab2'!J$3,'Course 2'!$I270," ")</f>
        <v xml:space="preserve"> </v>
      </c>
      <c r="K272" s="8" t="str">
        <f>IF('Course 2'!$H270='tab2'!K$3,'Course 2'!$I270," ")</f>
        <v xml:space="preserve"> </v>
      </c>
      <c r="L272" s="8" t="str">
        <f>IF('Course 2'!$H270='tab2'!L$3,'Course 2'!$I270," ")</f>
        <v xml:space="preserve"> </v>
      </c>
      <c r="M272" s="8" t="str">
        <f>IF('Course 2'!$H270='tab2'!M$3,'Course 2'!$I270," ")</f>
        <v xml:space="preserve"> </v>
      </c>
      <c r="N272" s="9" t="str">
        <f>IF('Course 2'!$H270='tab2'!N$3,'Course 2'!$I270," ")</f>
        <v xml:space="preserve"> </v>
      </c>
    </row>
    <row r="273" spans="2:14">
      <c r="B273">
        <v>269</v>
      </c>
      <c r="C273" s="7" t="str">
        <f>IF('Course 2'!$H271='tab2'!C$3,'Course 2'!$I271," ")</f>
        <v xml:space="preserve"> </v>
      </c>
      <c r="D273" s="8" t="str">
        <f>IF('Course 2'!$H271='tab2'!D$3,'Course 2'!$I271," ")</f>
        <v xml:space="preserve"> </v>
      </c>
      <c r="E273" s="8" t="str">
        <f>IF('Course 2'!$H271='tab2'!E$3,'Course 2'!$I271," ")</f>
        <v xml:space="preserve"> </v>
      </c>
      <c r="F273" s="8" t="str">
        <f>IF('Course 2'!$H271='tab2'!F$3,'Course 2'!$I271," ")</f>
        <v xml:space="preserve"> </v>
      </c>
      <c r="G273" s="8" t="str">
        <f>IF('Course 2'!$H271='tab2'!G$3,'Course 2'!$I271," ")</f>
        <v xml:space="preserve"> </v>
      </c>
      <c r="H273" s="8" t="str">
        <f>IF('Course 2'!$H271='tab2'!H$3,'Course 2'!$I271," ")</f>
        <v xml:space="preserve"> </v>
      </c>
      <c r="I273" s="8" t="str">
        <f>IF('Course 2'!$H271='tab2'!I$3,'Course 2'!$I271," ")</f>
        <v xml:space="preserve"> </v>
      </c>
      <c r="J273" s="8" t="str">
        <f>IF('Course 2'!$H271='tab2'!J$3,'Course 2'!$I271," ")</f>
        <v xml:space="preserve"> </v>
      </c>
      <c r="K273" s="8" t="str">
        <f>IF('Course 2'!$H271='tab2'!K$3,'Course 2'!$I271," ")</f>
        <v xml:space="preserve"> </v>
      </c>
      <c r="L273" s="8" t="str">
        <f>IF('Course 2'!$H271='tab2'!L$3,'Course 2'!$I271," ")</f>
        <v xml:space="preserve"> </v>
      </c>
      <c r="M273" s="8" t="str">
        <f>IF('Course 2'!$H271='tab2'!M$3,'Course 2'!$I271," ")</f>
        <v xml:space="preserve"> </v>
      </c>
      <c r="N273" s="9" t="str">
        <f>IF('Course 2'!$H271='tab2'!N$3,'Course 2'!$I271," ")</f>
        <v xml:space="preserve"> </v>
      </c>
    </row>
    <row r="274" spans="2:14">
      <c r="B274">
        <v>270</v>
      </c>
      <c r="C274" s="7" t="str">
        <f>IF('Course 2'!$H272='tab2'!C$3,'Course 2'!$I272," ")</f>
        <v xml:space="preserve"> </v>
      </c>
      <c r="D274" s="8" t="str">
        <f>IF('Course 2'!$H272='tab2'!D$3,'Course 2'!$I272," ")</f>
        <v xml:space="preserve"> </v>
      </c>
      <c r="E274" s="8" t="str">
        <f>IF('Course 2'!$H272='tab2'!E$3,'Course 2'!$I272," ")</f>
        <v xml:space="preserve"> </v>
      </c>
      <c r="F274" s="8" t="str">
        <f>IF('Course 2'!$H272='tab2'!F$3,'Course 2'!$I272," ")</f>
        <v xml:space="preserve"> </v>
      </c>
      <c r="G274" s="8" t="str">
        <f>IF('Course 2'!$H272='tab2'!G$3,'Course 2'!$I272," ")</f>
        <v xml:space="preserve"> </v>
      </c>
      <c r="H274" s="8" t="str">
        <f>IF('Course 2'!$H272='tab2'!H$3,'Course 2'!$I272," ")</f>
        <v xml:space="preserve"> </v>
      </c>
      <c r="I274" s="8" t="str">
        <f>IF('Course 2'!$H272='tab2'!I$3,'Course 2'!$I272," ")</f>
        <v xml:space="preserve"> </v>
      </c>
      <c r="J274" s="8" t="str">
        <f>IF('Course 2'!$H272='tab2'!J$3,'Course 2'!$I272," ")</f>
        <v xml:space="preserve"> </v>
      </c>
      <c r="K274" s="8" t="str">
        <f>IF('Course 2'!$H272='tab2'!K$3,'Course 2'!$I272," ")</f>
        <v xml:space="preserve"> </v>
      </c>
      <c r="L274" s="8" t="str">
        <f>IF('Course 2'!$H272='tab2'!L$3,'Course 2'!$I272," ")</f>
        <v xml:space="preserve"> </v>
      </c>
      <c r="M274" s="8" t="str">
        <f>IF('Course 2'!$H272='tab2'!M$3,'Course 2'!$I272," ")</f>
        <v xml:space="preserve"> </v>
      </c>
      <c r="N274" s="9" t="str">
        <f>IF('Course 2'!$H272='tab2'!N$3,'Course 2'!$I272," ")</f>
        <v xml:space="preserve"> </v>
      </c>
    </row>
    <row r="275" spans="2:14">
      <c r="B275">
        <v>271</v>
      </c>
      <c r="C275" s="7" t="str">
        <f>IF('Course 2'!$H273='tab2'!C$3,'Course 2'!$I273," ")</f>
        <v xml:space="preserve"> </v>
      </c>
      <c r="D275" s="8" t="str">
        <f>IF('Course 2'!$H273='tab2'!D$3,'Course 2'!$I273," ")</f>
        <v xml:space="preserve"> </v>
      </c>
      <c r="E275" s="8" t="str">
        <f>IF('Course 2'!$H273='tab2'!E$3,'Course 2'!$I273," ")</f>
        <v xml:space="preserve"> </v>
      </c>
      <c r="F275" s="8" t="str">
        <f>IF('Course 2'!$H273='tab2'!F$3,'Course 2'!$I273," ")</f>
        <v xml:space="preserve"> </v>
      </c>
      <c r="G275" s="8" t="str">
        <f>IF('Course 2'!$H273='tab2'!G$3,'Course 2'!$I273," ")</f>
        <v xml:space="preserve"> </v>
      </c>
      <c r="H275" s="8" t="str">
        <f>IF('Course 2'!$H273='tab2'!H$3,'Course 2'!$I273," ")</f>
        <v xml:space="preserve"> </v>
      </c>
      <c r="I275" s="8" t="str">
        <f>IF('Course 2'!$H273='tab2'!I$3,'Course 2'!$I273," ")</f>
        <v xml:space="preserve"> </v>
      </c>
      <c r="J275" s="8" t="str">
        <f>IF('Course 2'!$H273='tab2'!J$3,'Course 2'!$I273," ")</f>
        <v xml:space="preserve"> </v>
      </c>
      <c r="K275" s="8" t="str">
        <f>IF('Course 2'!$H273='tab2'!K$3,'Course 2'!$I273," ")</f>
        <v xml:space="preserve"> </v>
      </c>
      <c r="L275" s="8" t="str">
        <f>IF('Course 2'!$H273='tab2'!L$3,'Course 2'!$I273," ")</f>
        <v xml:space="preserve"> </v>
      </c>
      <c r="M275" s="8" t="str">
        <f>IF('Course 2'!$H273='tab2'!M$3,'Course 2'!$I273," ")</f>
        <v xml:space="preserve"> </v>
      </c>
      <c r="N275" s="9" t="str">
        <f>IF('Course 2'!$H273='tab2'!N$3,'Course 2'!$I273," ")</f>
        <v xml:space="preserve"> </v>
      </c>
    </row>
    <row r="276" spans="2:14">
      <c r="B276">
        <v>272</v>
      </c>
      <c r="C276" s="7" t="str">
        <f>IF('Course 2'!$H274='tab2'!C$3,'Course 2'!$I274," ")</f>
        <v xml:space="preserve"> </v>
      </c>
      <c r="D276" s="8" t="str">
        <f>IF('Course 2'!$H274='tab2'!D$3,'Course 2'!$I274," ")</f>
        <v xml:space="preserve"> </v>
      </c>
      <c r="E276" s="8" t="str">
        <f>IF('Course 2'!$H274='tab2'!E$3,'Course 2'!$I274," ")</f>
        <v xml:space="preserve"> </v>
      </c>
      <c r="F276" s="8" t="str">
        <f>IF('Course 2'!$H274='tab2'!F$3,'Course 2'!$I274," ")</f>
        <v xml:space="preserve"> </v>
      </c>
      <c r="G276" s="8" t="str">
        <f>IF('Course 2'!$H274='tab2'!G$3,'Course 2'!$I274," ")</f>
        <v xml:space="preserve"> </v>
      </c>
      <c r="H276" s="8" t="str">
        <f>IF('Course 2'!$H274='tab2'!H$3,'Course 2'!$I274," ")</f>
        <v xml:space="preserve"> </v>
      </c>
      <c r="I276" s="8" t="str">
        <f>IF('Course 2'!$H274='tab2'!I$3,'Course 2'!$I274," ")</f>
        <v xml:space="preserve"> </v>
      </c>
      <c r="J276" s="8" t="str">
        <f>IF('Course 2'!$H274='tab2'!J$3,'Course 2'!$I274," ")</f>
        <v xml:space="preserve"> </v>
      </c>
      <c r="K276" s="8" t="str">
        <f>IF('Course 2'!$H274='tab2'!K$3,'Course 2'!$I274," ")</f>
        <v xml:space="preserve"> </v>
      </c>
      <c r="L276" s="8" t="str">
        <f>IF('Course 2'!$H274='tab2'!L$3,'Course 2'!$I274," ")</f>
        <v xml:space="preserve"> </v>
      </c>
      <c r="M276" s="8" t="str">
        <f>IF('Course 2'!$H274='tab2'!M$3,'Course 2'!$I274," ")</f>
        <v xml:space="preserve"> </v>
      </c>
      <c r="N276" s="9" t="str">
        <f>IF('Course 2'!$H274='tab2'!N$3,'Course 2'!$I274," ")</f>
        <v xml:space="preserve"> </v>
      </c>
    </row>
    <row r="277" spans="2:14">
      <c r="B277">
        <v>273</v>
      </c>
      <c r="C277" s="7" t="str">
        <f>IF('Course 2'!$H275='tab2'!C$3,'Course 2'!$I275," ")</f>
        <v xml:space="preserve"> </v>
      </c>
      <c r="D277" s="8" t="str">
        <f>IF('Course 2'!$H275='tab2'!D$3,'Course 2'!$I275," ")</f>
        <v xml:space="preserve"> </v>
      </c>
      <c r="E277" s="8" t="str">
        <f>IF('Course 2'!$H275='tab2'!E$3,'Course 2'!$I275," ")</f>
        <v xml:space="preserve"> </v>
      </c>
      <c r="F277" s="8" t="str">
        <f>IF('Course 2'!$H275='tab2'!F$3,'Course 2'!$I275," ")</f>
        <v xml:space="preserve"> </v>
      </c>
      <c r="G277" s="8" t="str">
        <f>IF('Course 2'!$H275='tab2'!G$3,'Course 2'!$I275," ")</f>
        <v xml:space="preserve"> </v>
      </c>
      <c r="H277" s="8" t="str">
        <f>IF('Course 2'!$H275='tab2'!H$3,'Course 2'!$I275," ")</f>
        <v xml:space="preserve"> </v>
      </c>
      <c r="I277" s="8" t="str">
        <f>IF('Course 2'!$H275='tab2'!I$3,'Course 2'!$I275," ")</f>
        <v xml:space="preserve"> </v>
      </c>
      <c r="J277" s="8" t="str">
        <f>IF('Course 2'!$H275='tab2'!J$3,'Course 2'!$I275," ")</f>
        <v xml:space="preserve"> </v>
      </c>
      <c r="K277" s="8" t="str">
        <f>IF('Course 2'!$H275='tab2'!K$3,'Course 2'!$I275," ")</f>
        <v xml:space="preserve"> </v>
      </c>
      <c r="L277" s="8" t="str">
        <f>IF('Course 2'!$H275='tab2'!L$3,'Course 2'!$I275," ")</f>
        <v xml:space="preserve"> </v>
      </c>
      <c r="M277" s="8" t="str">
        <f>IF('Course 2'!$H275='tab2'!M$3,'Course 2'!$I275," ")</f>
        <v xml:space="preserve"> </v>
      </c>
      <c r="N277" s="9" t="str">
        <f>IF('Course 2'!$H275='tab2'!N$3,'Course 2'!$I275," ")</f>
        <v xml:space="preserve"> </v>
      </c>
    </row>
    <row r="278" spans="2:14">
      <c r="B278">
        <v>274</v>
      </c>
      <c r="C278" s="7" t="str">
        <f>IF('Course 2'!$H276='tab2'!C$3,'Course 2'!$I276," ")</f>
        <v xml:space="preserve"> </v>
      </c>
      <c r="D278" s="8" t="str">
        <f>IF('Course 2'!$H276='tab2'!D$3,'Course 2'!$I276," ")</f>
        <v xml:space="preserve"> </v>
      </c>
      <c r="E278" s="8" t="str">
        <f>IF('Course 2'!$H276='tab2'!E$3,'Course 2'!$I276," ")</f>
        <v xml:space="preserve"> </v>
      </c>
      <c r="F278" s="8" t="str">
        <f>IF('Course 2'!$H276='tab2'!F$3,'Course 2'!$I276," ")</f>
        <v xml:space="preserve"> </v>
      </c>
      <c r="G278" s="8" t="str">
        <f>IF('Course 2'!$H276='tab2'!G$3,'Course 2'!$I276," ")</f>
        <v xml:space="preserve"> </v>
      </c>
      <c r="H278" s="8" t="str">
        <f>IF('Course 2'!$H276='tab2'!H$3,'Course 2'!$I276," ")</f>
        <v xml:space="preserve"> </v>
      </c>
      <c r="I278" s="8" t="str">
        <f>IF('Course 2'!$H276='tab2'!I$3,'Course 2'!$I276," ")</f>
        <v xml:space="preserve"> </v>
      </c>
      <c r="J278" s="8" t="str">
        <f>IF('Course 2'!$H276='tab2'!J$3,'Course 2'!$I276," ")</f>
        <v xml:space="preserve"> </v>
      </c>
      <c r="K278" s="8" t="str">
        <f>IF('Course 2'!$H276='tab2'!K$3,'Course 2'!$I276," ")</f>
        <v xml:space="preserve"> </v>
      </c>
      <c r="L278" s="8" t="str">
        <f>IF('Course 2'!$H276='tab2'!L$3,'Course 2'!$I276," ")</f>
        <v xml:space="preserve"> </v>
      </c>
      <c r="M278" s="8" t="str">
        <f>IF('Course 2'!$H276='tab2'!M$3,'Course 2'!$I276," ")</f>
        <v xml:space="preserve"> </v>
      </c>
      <c r="N278" s="9" t="str">
        <f>IF('Course 2'!$H276='tab2'!N$3,'Course 2'!$I276," ")</f>
        <v xml:space="preserve"> </v>
      </c>
    </row>
    <row r="279" spans="2:14">
      <c r="B279">
        <v>275</v>
      </c>
      <c r="C279" s="7" t="str">
        <f>IF('Course 2'!$H277='tab2'!C$3,'Course 2'!$I277," ")</f>
        <v xml:space="preserve"> </v>
      </c>
      <c r="D279" s="8" t="str">
        <f>IF('Course 2'!$H277='tab2'!D$3,'Course 2'!$I277," ")</f>
        <v xml:space="preserve"> </v>
      </c>
      <c r="E279" s="8" t="str">
        <f>IF('Course 2'!$H277='tab2'!E$3,'Course 2'!$I277," ")</f>
        <v xml:space="preserve"> </v>
      </c>
      <c r="F279" s="8" t="str">
        <f>IF('Course 2'!$H277='tab2'!F$3,'Course 2'!$I277," ")</f>
        <v xml:space="preserve"> </v>
      </c>
      <c r="G279" s="8" t="str">
        <f>IF('Course 2'!$H277='tab2'!G$3,'Course 2'!$I277," ")</f>
        <v xml:space="preserve"> </v>
      </c>
      <c r="H279" s="8" t="str">
        <f>IF('Course 2'!$H277='tab2'!H$3,'Course 2'!$I277," ")</f>
        <v xml:space="preserve"> </v>
      </c>
      <c r="I279" s="8" t="str">
        <f>IF('Course 2'!$H277='tab2'!I$3,'Course 2'!$I277," ")</f>
        <v xml:space="preserve"> </v>
      </c>
      <c r="J279" s="8" t="str">
        <f>IF('Course 2'!$H277='tab2'!J$3,'Course 2'!$I277," ")</f>
        <v xml:space="preserve"> </v>
      </c>
      <c r="K279" s="8" t="str">
        <f>IF('Course 2'!$H277='tab2'!K$3,'Course 2'!$I277," ")</f>
        <v xml:space="preserve"> </v>
      </c>
      <c r="L279" s="8" t="str">
        <f>IF('Course 2'!$H277='tab2'!L$3,'Course 2'!$I277," ")</f>
        <v xml:space="preserve"> </v>
      </c>
      <c r="M279" s="8" t="str">
        <f>IF('Course 2'!$H277='tab2'!M$3,'Course 2'!$I277," ")</f>
        <v xml:space="preserve"> </v>
      </c>
      <c r="N279" s="9" t="str">
        <f>IF('Course 2'!$H277='tab2'!N$3,'Course 2'!$I277," ")</f>
        <v xml:space="preserve"> </v>
      </c>
    </row>
    <row r="280" spans="2:14">
      <c r="B280">
        <v>276</v>
      </c>
      <c r="C280" s="7" t="str">
        <f>IF('Course 2'!$H278='tab2'!C$3,'Course 2'!$I278," ")</f>
        <v xml:space="preserve"> </v>
      </c>
      <c r="D280" s="8" t="str">
        <f>IF('Course 2'!$H278='tab2'!D$3,'Course 2'!$I278," ")</f>
        <v xml:space="preserve"> </v>
      </c>
      <c r="E280" s="8" t="str">
        <f>IF('Course 2'!$H278='tab2'!E$3,'Course 2'!$I278," ")</f>
        <v xml:space="preserve"> </v>
      </c>
      <c r="F280" s="8" t="str">
        <f>IF('Course 2'!$H278='tab2'!F$3,'Course 2'!$I278," ")</f>
        <v xml:space="preserve"> </v>
      </c>
      <c r="G280" s="8" t="str">
        <f>IF('Course 2'!$H278='tab2'!G$3,'Course 2'!$I278," ")</f>
        <v xml:space="preserve"> </v>
      </c>
      <c r="H280" s="8" t="str">
        <f>IF('Course 2'!$H278='tab2'!H$3,'Course 2'!$I278," ")</f>
        <v xml:space="preserve"> </v>
      </c>
      <c r="I280" s="8" t="str">
        <f>IF('Course 2'!$H278='tab2'!I$3,'Course 2'!$I278," ")</f>
        <v xml:space="preserve"> </v>
      </c>
      <c r="J280" s="8" t="str">
        <f>IF('Course 2'!$H278='tab2'!J$3,'Course 2'!$I278," ")</f>
        <v xml:space="preserve"> </v>
      </c>
      <c r="K280" s="8" t="str">
        <f>IF('Course 2'!$H278='tab2'!K$3,'Course 2'!$I278," ")</f>
        <v xml:space="preserve"> </v>
      </c>
      <c r="L280" s="8" t="str">
        <f>IF('Course 2'!$H278='tab2'!L$3,'Course 2'!$I278," ")</f>
        <v xml:space="preserve"> </v>
      </c>
      <c r="M280" s="8" t="str">
        <f>IF('Course 2'!$H278='tab2'!M$3,'Course 2'!$I278," ")</f>
        <v xml:space="preserve"> </v>
      </c>
      <c r="N280" s="9" t="str">
        <f>IF('Course 2'!$H278='tab2'!N$3,'Course 2'!$I278," ")</f>
        <v xml:space="preserve"> </v>
      </c>
    </row>
    <row r="281" spans="2:14">
      <c r="B281">
        <v>277</v>
      </c>
      <c r="C281" s="7" t="str">
        <f>IF('Course 2'!$H279='tab2'!C$3,'Course 2'!$I279," ")</f>
        <v xml:space="preserve"> </v>
      </c>
      <c r="D281" s="8" t="str">
        <f>IF('Course 2'!$H279='tab2'!D$3,'Course 2'!$I279," ")</f>
        <v xml:space="preserve"> </v>
      </c>
      <c r="E281" s="8" t="str">
        <f>IF('Course 2'!$H279='tab2'!E$3,'Course 2'!$I279," ")</f>
        <v xml:space="preserve"> </v>
      </c>
      <c r="F281" s="8" t="str">
        <f>IF('Course 2'!$H279='tab2'!F$3,'Course 2'!$I279," ")</f>
        <v xml:space="preserve"> </v>
      </c>
      <c r="G281" s="8" t="str">
        <f>IF('Course 2'!$H279='tab2'!G$3,'Course 2'!$I279," ")</f>
        <v xml:space="preserve"> </v>
      </c>
      <c r="H281" s="8" t="str">
        <f>IF('Course 2'!$H279='tab2'!H$3,'Course 2'!$I279," ")</f>
        <v xml:space="preserve"> </v>
      </c>
      <c r="I281" s="8" t="str">
        <f>IF('Course 2'!$H279='tab2'!I$3,'Course 2'!$I279," ")</f>
        <v xml:space="preserve"> </v>
      </c>
      <c r="J281" s="8" t="str">
        <f>IF('Course 2'!$H279='tab2'!J$3,'Course 2'!$I279," ")</f>
        <v xml:space="preserve"> </v>
      </c>
      <c r="K281" s="8" t="str">
        <f>IF('Course 2'!$H279='tab2'!K$3,'Course 2'!$I279," ")</f>
        <v xml:space="preserve"> </v>
      </c>
      <c r="L281" s="8" t="str">
        <f>IF('Course 2'!$H279='tab2'!L$3,'Course 2'!$I279," ")</f>
        <v xml:space="preserve"> </v>
      </c>
      <c r="M281" s="8" t="str">
        <f>IF('Course 2'!$H279='tab2'!M$3,'Course 2'!$I279," ")</f>
        <v xml:space="preserve"> </v>
      </c>
      <c r="N281" s="9" t="str">
        <f>IF('Course 2'!$H279='tab2'!N$3,'Course 2'!$I279," ")</f>
        <v xml:space="preserve"> </v>
      </c>
    </row>
    <row r="282" spans="2:14">
      <c r="B282">
        <v>278</v>
      </c>
      <c r="C282" s="7" t="str">
        <f>IF('Course 2'!$H280='tab2'!C$3,'Course 2'!$I280," ")</f>
        <v xml:space="preserve"> </v>
      </c>
      <c r="D282" s="8" t="str">
        <f>IF('Course 2'!$H280='tab2'!D$3,'Course 2'!$I280," ")</f>
        <v xml:space="preserve"> </v>
      </c>
      <c r="E282" s="8" t="str">
        <f>IF('Course 2'!$H280='tab2'!E$3,'Course 2'!$I280," ")</f>
        <v xml:space="preserve"> </v>
      </c>
      <c r="F282" s="8" t="str">
        <f>IF('Course 2'!$H280='tab2'!F$3,'Course 2'!$I280," ")</f>
        <v xml:space="preserve"> </v>
      </c>
      <c r="G282" s="8" t="str">
        <f>IF('Course 2'!$H280='tab2'!G$3,'Course 2'!$I280," ")</f>
        <v xml:space="preserve"> </v>
      </c>
      <c r="H282" s="8" t="str">
        <f>IF('Course 2'!$H280='tab2'!H$3,'Course 2'!$I280," ")</f>
        <v xml:space="preserve"> </v>
      </c>
      <c r="I282" s="8" t="str">
        <f>IF('Course 2'!$H280='tab2'!I$3,'Course 2'!$I280," ")</f>
        <v xml:space="preserve"> </v>
      </c>
      <c r="J282" s="8" t="str">
        <f>IF('Course 2'!$H280='tab2'!J$3,'Course 2'!$I280," ")</f>
        <v xml:space="preserve"> </v>
      </c>
      <c r="K282" s="8" t="str">
        <f>IF('Course 2'!$H280='tab2'!K$3,'Course 2'!$I280," ")</f>
        <v xml:space="preserve"> </v>
      </c>
      <c r="L282" s="8" t="str">
        <f>IF('Course 2'!$H280='tab2'!L$3,'Course 2'!$I280," ")</f>
        <v xml:space="preserve"> </v>
      </c>
      <c r="M282" s="8" t="str">
        <f>IF('Course 2'!$H280='tab2'!M$3,'Course 2'!$I280," ")</f>
        <v xml:space="preserve"> </v>
      </c>
      <c r="N282" s="9" t="str">
        <f>IF('Course 2'!$H280='tab2'!N$3,'Course 2'!$I280," ")</f>
        <v xml:space="preserve"> </v>
      </c>
    </row>
    <row r="283" spans="2:14">
      <c r="B283">
        <v>279</v>
      </c>
      <c r="C283" s="7" t="str">
        <f>IF('Course 2'!$H281='tab2'!C$3,'Course 2'!$I281," ")</f>
        <v xml:space="preserve"> </v>
      </c>
      <c r="D283" s="8" t="str">
        <f>IF('Course 2'!$H281='tab2'!D$3,'Course 2'!$I281," ")</f>
        <v xml:space="preserve"> </v>
      </c>
      <c r="E283" s="8" t="str">
        <f>IF('Course 2'!$H281='tab2'!E$3,'Course 2'!$I281," ")</f>
        <v xml:space="preserve"> </v>
      </c>
      <c r="F283" s="8" t="str">
        <f>IF('Course 2'!$H281='tab2'!F$3,'Course 2'!$I281," ")</f>
        <v xml:space="preserve"> </v>
      </c>
      <c r="G283" s="8" t="str">
        <f>IF('Course 2'!$H281='tab2'!G$3,'Course 2'!$I281," ")</f>
        <v xml:space="preserve"> </v>
      </c>
      <c r="H283" s="8" t="str">
        <f>IF('Course 2'!$H281='tab2'!H$3,'Course 2'!$I281," ")</f>
        <v xml:space="preserve"> </v>
      </c>
      <c r="I283" s="8" t="str">
        <f>IF('Course 2'!$H281='tab2'!I$3,'Course 2'!$I281," ")</f>
        <v xml:space="preserve"> </v>
      </c>
      <c r="J283" s="8" t="str">
        <f>IF('Course 2'!$H281='tab2'!J$3,'Course 2'!$I281," ")</f>
        <v xml:space="preserve"> </v>
      </c>
      <c r="K283" s="8" t="str">
        <f>IF('Course 2'!$H281='tab2'!K$3,'Course 2'!$I281," ")</f>
        <v xml:space="preserve"> </v>
      </c>
      <c r="L283" s="8" t="str">
        <f>IF('Course 2'!$H281='tab2'!L$3,'Course 2'!$I281," ")</f>
        <v xml:space="preserve"> </v>
      </c>
      <c r="M283" s="8" t="str">
        <f>IF('Course 2'!$H281='tab2'!M$3,'Course 2'!$I281," ")</f>
        <v xml:space="preserve"> </v>
      </c>
      <c r="N283" s="9" t="str">
        <f>IF('Course 2'!$H281='tab2'!N$3,'Course 2'!$I281," ")</f>
        <v xml:space="preserve"> </v>
      </c>
    </row>
    <row r="284" spans="2:14">
      <c r="B284">
        <v>280</v>
      </c>
      <c r="C284" s="7" t="str">
        <f>IF('Course 2'!$H282='tab2'!C$3,'Course 2'!$I282," ")</f>
        <v xml:space="preserve"> </v>
      </c>
      <c r="D284" s="8" t="str">
        <f>IF('Course 2'!$H282='tab2'!D$3,'Course 2'!$I282," ")</f>
        <v xml:space="preserve"> </v>
      </c>
      <c r="E284" s="8" t="str">
        <f>IF('Course 2'!$H282='tab2'!E$3,'Course 2'!$I282," ")</f>
        <v xml:space="preserve"> </v>
      </c>
      <c r="F284" s="8" t="str">
        <f>IF('Course 2'!$H282='tab2'!F$3,'Course 2'!$I282," ")</f>
        <v xml:space="preserve"> </v>
      </c>
      <c r="G284" s="8" t="str">
        <f>IF('Course 2'!$H282='tab2'!G$3,'Course 2'!$I282," ")</f>
        <v xml:space="preserve"> </v>
      </c>
      <c r="H284" s="8" t="str">
        <f>IF('Course 2'!$H282='tab2'!H$3,'Course 2'!$I282," ")</f>
        <v xml:space="preserve"> </v>
      </c>
      <c r="I284" s="8" t="str">
        <f>IF('Course 2'!$H282='tab2'!I$3,'Course 2'!$I282," ")</f>
        <v xml:space="preserve"> </v>
      </c>
      <c r="J284" s="8" t="str">
        <f>IF('Course 2'!$H282='tab2'!J$3,'Course 2'!$I282," ")</f>
        <v xml:space="preserve"> </v>
      </c>
      <c r="K284" s="8" t="str">
        <f>IF('Course 2'!$H282='tab2'!K$3,'Course 2'!$I282," ")</f>
        <v xml:space="preserve"> </v>
      </c>
      <c r="L284" s="8" t="str">
        <f>IF('Course 2'!$H282='tab2'!L$3,'Course 2'!$I282," ")</f>
        <v xml:space="preserve"> </v>
      </c>
      <c r="M284" s="8" t="str">
        <f>IF('Course 2'!$H282='tab2'!M$3,'Course 2'!$I282," ")</f>
        <v xml:space="preserve"> </v>
      </c>
      <c r="N284" s="9" t="str">
        <f>IF('Course 2'!$H282='tab2'!N$3,'Course 2'!$I282," ")</f>
        <v xml:space="preserve"> </v>
      </c>
    </row>
    <row r="285" spans="2:14">
      <c r="B285">
        <v>281</v>
      </c>
      <c r="C285" s="7" t="str">
        <f>IF('Course 2'!$H283='tab2'!C$3,'Course 2'!$I283," ")</f>
        <v xml:space="preserve"> </v>
      </c>
      <c r="D285" s="8" t="str">
        <f>IF('Course 2'!$H283='tab2'!D$3,'Course 2'!$I283," ")</f>
        <v xml:space="preserve"> </v>
      </c>
      <c r="E285" s="8" t="str">
        <f>IF('Course 2'!$H283='tab2'!E$3,'Course 2'!$I283," ")</f>
        <v xml:space="preserve"> </v>
      </c>
      <c r="F285" s="8" t="str">
        <f>IF('Course 2'!$H283='tab2'!F$3,'Course 2'!$I283," ")</f>
        <v xml:space="preserve"> </v>
      </c>
      <c r="G285" s="8" t="str">
        <f>IF('Course 2'!$H283='tab2'!G$3,'Course 2'!$I283," ")</f>
        <v xml:space="preserve"> </v>
      </c>
      <c r="H285" s="8" t="str">
        <f>IF('Course 2'!$H283='tab2'!H$3,'Course 2'!$I283," ")</f>
        <v xml:space="preserve"> </v>
      </c>
      <c r="I285" s="8" t="str">
        <f>IF('Course 2'!$H283='tab2'!I$3,'Course 2'!$I283," ")</f>
        <v xml:space="preserve"> </v>
      </c>
      <c r="J285" s="8" t="str">
        <f>IF('Course 2'!$H283='tab2'!J$3,'Course 2'!$I283," ")</f>
        <v xml:space="preserve"> </v>
      </c>
      <c r="K285" s="8" t="str">
        <f>IF('Course 2'!$H283='tab2'!K$3,'Course 2'!$I283," ")</f>
        <v xml:space="preserve"> </v>
      </c>
      <c r="L285" s="8" t="str">
        <f>IF('Course 2'!$H283='tab2'!L$3,'Course 2'!$I283," ")</f>
        <v xml:space="preserve"> </v>
      </c>
      <c r="M285" s="8" t="str">
        <f>IF('Course 2'!$H283='tab2'!M$3,'Course 2'!$I283," ")</f>
        <v xml:space="preserve"> </v>
      </c>
      <c r="N285" s="9" t="str">
        <f>IF('Course 2'!$H283='tab2'!N$3,'Course 2'!$I283," ")</f>
        <v xml:space="preserve"> </v>
      </c>
    </row>
    <row r="286" spans="2:14">
      <c r="B286">
        <v>282</v>
      </c>
      <c r="C286" s="7" t="str">
        <f>IF('Course 2'!$H284='tab2'!C$3,'Course 2'!$I284," ")</f>
        <v xml:space="preserve"> </v>
      </c>
      <c r="D286" s="8" t="str">
        <f>IF('Course 2'!$H284='tab2'!D$3,'Course 2'!$I284," ")</f>
        <v xml:space="preserve"> </v>
      </c>
      <c r="E286" s="8" t="str">
        <f>IF('Course 2'!$H284='tab2'!E$3,'Course 2'!$I284," ")</f>
        <v xml:space="preserve"> </v>
      </c>
      <c r="F286" s="8" t="str">
        <f>IF('Course 2'!$H284='tab2'!F$3,'Course 2'!$I284," ")</f>
        <v xml:space="preserve"> </v>
      </c>
      <c r="G286" s="8" t="str">
        <f>IF('Course 2'!$H284='tab2'!G$3,'Course 2'!$I284," ")</f>
        <v xml:space="preserve"> </v>
      </c>
      <c r="H286" s="8" t="str">
        <f>IF('Course 2'!$H284='tab2'!H$3,'Course 2'!$I284," ")</f>
        <v xml:space="preserve"> </v>
      </c>
      <c r="I286" s="8" t="str">
        <f>IF('Course 2'!$H284='tab2'!I$3,'Course 2'!$I284," ")</f>
        <v xml:space="preserve"> </v>
      </c>
      <c r="J286" s="8" t="str">
        <f>IF('Course 2'!$H284='tab2'!J$3,'Course 2'!$I284," ")</f>
        <v xml:space="preserve"> </v>
      </c>
      <c r="K286" s="8" t="str">
        <f>IF('Course 2'!$H284='tab2'!K$3,'Course 2'!$I284," ")</f>
        <v xml:space="preserve"> </v>
      </c>
      <c r="L286" s="8" t="str">
        <f>IF('Course 2'!$H284='tab2'!L$3,'Course 2'!$I284," ")</f>
        <v xml:space="preserve"> </v>
      </c>
      <c r="M286" s="8" t="str">
        <f>IF('Course 2'!$H284='tab2'!M$3,'Course 2'!$I284," ")</f>
        <v xml:space="preserve"> </v>
      </c>
      <c r="N286" s="9" t="str">
        <f>IF('Course 2'!$H284='tab2'!N$3,'Course 2'!$I284," ")</f>
        <v xml:space="preserve"> </v>
      </c>
    </row>
    <row r="287" spans="2:14">
      <c r="B287">
        <v>283</v>
      </c>
      <c r="C287" s="7" t="str">
        <f>IF('Course 2'!$H285='tab2'!C$3,'Course 2'!$I285," ")</f>
        <v xml:space="preserve"> </v>
      </c>
      <c r="D287" s="8" t="str">
        <f>IF('Course 2'!$H285='tab2'!D$3,'Course 2'!$I285," ")</f>
        <v xml:space="preserve"> </v>
      </c>
      <c r="E287" s="8" t="str">
        <f>IF('Course 2'!$H285='tab2'!E$3,'Course 2'!$I285," ")</f>
        <v xml:space="preserve"> </v>
      </c>
      <c r="F287" s="8" t="str">
        <f>IF('Course 2'!$H285='tab2'!F$3,'Course 2'!$I285," ")</f>
        <v xml:space="preserve"> </v>
      </c>
      <c r="G287" s="8" t="str">
        <f>IF('Course 2'!$H285='tab2'!G$3,'Course 2'!$I285," ")</f>
        <v xml:space="preserve"> </v>
      </c>
      <c r="H287" s="8" t="str">
        <f>IF('Course 2'!$H285='tab2'!H$3,'Course 2'!$I285," ")</f>
        <v xml:space="preserve"> </v>
      </c>
      <c r="I287" s="8" t="str">
        <f>IF('Course 2'!$H285='tab2'!I$3,'Course 2'!$I285," ")</f>
        <v xml:space="preserve"> </v>
      </c>
      <c r="J287" s="8" t="str">
        <f>IF('Course 2'!$H285='tab2'!J$3,'Course 2'!$I285," ")</f>
        <v xml:space="preserve"> </v>
      </c>
      <c r="K287" s="8" t="str">
        <f>IF('Course 2'!$H285='tab2'!K$3,'Course 2'!$I285," ")</f>
        <v xml:space="preserve"> </v>
      </c>
      <c r="L287" s="8" t="str">
        <f>IF('Course 2'!$H285='tab2'!L$3,'Course 2'!$I285," ")</f>
        <v xml:space="preserve"> </v>
      </c>
      <c r="M287" s="8" t="str">
        <f>IF('Course 2'!$H285='tab2'!M$3,'Course 2'!$I285," ")</f>
        <v xml:space="preserve"> </v>
      </c>
      <c r="N287" s="9" t="str">
        <f>IF('Course 2'!$H285='tab2'!N$3,'Course 2'!$I285," ")</f>
        <v xml:space="preserve"> </v>
      </c>
    </row>
    <row r="288" spans="2:14">
      <c r="B288">
        <v>284</v>
      </c>
      <c r="C288" s="7" t="str">
        <f>IF('Course 2'!$H286='tab2'!C$3,'Course 2'!$I286," ")</f>
        <v xml:space="preserve"> </v>
      </c>
      <c r="D288" s="8" t="str">
        <f>IF('Course 2'!$H286='tab2'!D$3,'Course 2'!$I286," ")</f>
        <v xml:space="preserve"> </v>
      </c>
      <c r="E288" s="8" t="str">
        <f>IF('Course 2'!$H286='tab2'!E$3,'Course 2'!$I286," ")</f>
        <v xml:space="preserve"> </v>
      </c>
      <c r="F288" s="8" t="str">
        <f>IF('Course 2'!$H286='tab2'!F$3,'Course 2'!$I286," ")</f>
        <v xml:space="preserve"> </v>
      </c>
      <c r="G288" s="8" t="str">
        <f>IF('Course 2'!$H286='tab2'!G$3,'Course 2'!$I286," ")</f>
        <v xml:space="preserve"> </v>
      </c>
      <c r="H288" s="8" t="str">
        <f>IF('Course 2'!$H286='tab2'!H$3,'Course 2'!$I286," ")</f>
        <v xml:space="preserve"> </v>
      </c>
      <c r="I288" s="8" t="str">
        <f>IF('Course 2'!$H286='tab2'!I$3,'Course 2'!$I286," ")</f>
        <v xml:space="preserve"> </v>
      </c>
      <c r="J288" s="8" t="str">
        <f>IF('Course 2'!$H286='tab2'!J$3,'Course 2'!$I286," ")</f>
        <v xml:space="preserve"> </v>
      </c>
      <c r="K288" s="8" t="str">
        <f>IF('Course 2'!$H286='tab2'!K$3,'Course 2'!$I286," ")</f>
        <v xml:space="preserve"> </v>
      </c>
      <c r="L288" s="8" t="str">
        <f>IF('Course 2'!$H286='tab2'!L$3,'Course 2'!$I286," ")</f>
        <v xml:space="preserve"> </v>
      </c>
      <c r="M288" s="8" t="str">
        <f>IF('Course 2'!$H286='tab2'!M$3,'Course 2'!$I286," ")</f>
        <v xml:space="preserve"> </v>
      </c>
      <c r="N288" s="9" t="str">
        <f>IF('Course 2'!$H286='tab2'!N$3,'Course 2'!$I286," ")</f>
        <v xml:space="preserve"> </v>
      </c>
    </row>
    <row r="289" spans="2:14">
      <c r="B289">
        <v>285</v>
      </c>
      <c r="C289" s="7" t="str">
        <f>IF('Course 2'!$H287='tab2'!C$3,'Course 2'!$I287," ")</f>
        <v xml:space="preserve"> </v>
      </c>
      <c r="D289" s="8" t="str">
        <f>IF('Course 2'!$H287='tab2'!D$3,'Course 2'!$I287," ")</f>
        <v xml:space="preserve"> </v>
      </c>
      <c r="E289" s="8" t="str">
        <f>IF('Course 2'!$H287='tab2'!E$3,'Course 2'!$I287," ")</f>
        <v xml:space="preserve"> </v>
      </c>
      <c r="F289" s="8" t="str">
        <f>IF('Course 2'!$H287='tab2'!F$3,'Course 2'!$I287," ")</f>
        <v xml:space="preserve"> </v>
      </c>
      <c r="G289" s="8" t="str">
        <f>IF('Course 2'!$H287='tab2'!G$3,'Course 2'!$I287," ")</f>
        <v xml:space="preserve"> </v>
      </c>
      <c r="H289" s="8" t="str">
        <f>IF('Course 2'!$H287='tab2'!H$3,'Course 2'!$I287," ")</f>
        <v xml:space="preserve"> </v>
      </c>
      <c r="I289" s="8" t="str">
        <f>IF('Course 2'!$H287='tab2'!I$3,'Course 2'!$I287," ")</f>
        <v xml:space="preserve"> </v>
      </c>
      <c r="J289" s="8" t="str">
        <f>IF('Course 2'!$H287='tab2'!J$3,'Course 2'!$I287," ")</f>
        <v xml:space="preserve"> </v>
      </c>
      <c r="K289" s="8" t="str">
        <f>IF('Course 2'!$H287='tab2'!K$3,'Course 2'!$I287," ")</f>
        <v xml:space="preserve"> </v>
      </c>
      <c r="L289" s="8" t="str">
        <f>IF('Course 2'!$H287='tab2'!L$3,'Course 2'!$I287," ")</f>
        <v xml:space="preserve"> </v>
      </c>
      <c r="M289" s="8" t="str">
        <f>IF('Course 2'!$H287='tab2'!M$3,'Course 2'!$I287," ")</f>
        <v xml:space="preserve"> </v>
      </c>
      <c r="N289" s="9" t="str">
        <f>IF('Course 2'!$H287='tab2'!N$3,'Course 2'!$I287," ")</f>
        <v xml:space="preserve"> </v>
      </c>
    </row>
    <row r="290" spans="2:14">
      <c r="B290">
        <v>286</v>
      </c>
      <c r="C290" s="7" t="str">
        <f>IF('Course 2'!$H288='tab2'!C$3,'Course 2'!$I288," ")</f>
        <v xml:space="preserve"> </v>
      </c>
      <c r="D290" s="8" t="str">
        <f>IF('Course 2'!$H288='tab2'!D$3,'Course 2'!$I288," ")</f>
        <v xml:space="preserve"> </v>
      </c>
      <c r="E290" s="8" t="str">
        <f>IF('Course 2'!$H288='tab2'!E$3,'Course 2'!$I288," ")</f>
        <v xml:space="preserve"> </v>
      </c>
      <c r="F290" s="8" t="str">
        <f>IF('Course 2'!$H288='tab2'!F$3,'Course 2'!$I288," ")</f>
        <v xml:space="preserve"> </v>
      </c>
      <c r="G290" s="8" t="str">
        <f>IF('Course 2'!$H288='tab2'!G$3,'Course 2'!$I288," ")</f>
        <v xml:space="preserve"> </v>
      </c>
      <c r="H290" s="8" t="str">
        <f>IF('Course 2'!$H288='tab2'!H$3,'Course 2'!$I288," ")</f>
        <v xml:space="preserve"> </v>
      </c>
      <c r="I290" s="8" t="str">
        <f>IF('Course 2'!$H288='tab2'!I$3,'Course 2'!$I288," ")</f>
        <v xml:space="preserve"> </v>
      </c>
      <c r="J290" s="8" t="str">
        <f>IF('Course 2'!$H288='tab2'!J$3,'Course 2'!$I288," ")</f>
        <v xml:space="preserve"> </v>
      </c>
      <c r="K290" s="8" t="str">
        <f>IF('Course 2'!$H288='tab2'!K$3,'Course 2'!$I288," ")</f>
        <v xml:space="preserve"> </v>
      </c>
      <c r="L290" s="8" t="str">
        <f>IF('Course 2'!$H288='tab2'!L$3,'Course 2'!$I288," ")</f>
        <v xml:space="preserve"> </v>
      </c>
      <c r="M290" s="8" t="str">
        <f>IF('Course 2'!$H288='tab2'!M$3,'Course 2'!$I288," ")</f>
        <v xml:space="preserve"> </v>
      </c>
      <c r="N290" s="9" t="str">
        <f>IF('Course 2'!$H288='tab2'!N$3,'Course 2'!$I288," ")</f>
        <v xml:space="preserve"> </v>
      </c>
    </row>
    <row r="291" spans="2:14">
      <c r="B291">
        <v>287</v>
      </c>
      <c r="C291" s="7" t="str">
        <f>IF('Course 2'!$H289='tab2'!C$3,'Course 2'!$I289," ")</f>
        <v xml:space="preserve"> </v>
      </c>
      <c r="D291" s="8" t="str">
        <f>IF('Course 2'!$H289='tab2'!D$3,'Course 2'!$I289," ")</f>
        <v xml:space="preserve"> </v>
      </c>
      <c r="E291" s="8" t="str">
        <f>IF('Course 2'!$H289='tab2'!E$3,'Course 2'!$I289," ")</f>
        <v xml:space="preserve"> </v>
      </c>
      <c r="F291" s="8" t="str">
        <f>IF('Course 2'!$H289='tab2'!F$3,'Course 2'!$I289," ")</f>
        <v xml:space="preserve"> </v>
      </c>
      <c r="G291" s="8" t="str">
        <f>IF('Course 2'!$H289='tab2'!G$3,'Course 2'!$I289," ")</f>
        <v xml:space="preserve"> </v>
      </c>
      <c r="H291" s="8" t="str">
        <f>IF('Course 2'!$H289='tab2'!H$3,'Course 2'!$I289," ")</f>
        <v xml:space="preserve"> </v>
      </c>
      <c r="I291" s="8" t="str">
        <f>IF('Course 2'!$H289='tab2'!I$3,'Course 2'!$I289," ")</f>
        <v xml:space="preserve"> </v>
      </c>
      <c r="J291" s="8" t="str">
        <f>IF('Course 2'!$H289='tab2'!J$3,'Course 2'!$I289," ")</f>
        <v xml:space="preserve"> </v>
      </c>
      <c r="K291" s="8" t="str">
        <f>IF('Course 2'!$H289='tab2'!K$3,'Course 2'!$I289," ")</f>
        <v xml:space="preserve"> </v>
      </c>
      <c r="L291" s="8" t="str">
        <f>IF('Course 2'!$H289='tab2'!L$3,'Course 2'!$I289," ")</f>
        <v xml:space="preserve"> </v>
      </c>
      <c r="M291" s="8" t="str">
        <f>IF('Course 2'!$H289='tab2'!M$3,'Course 2'!$I289," ")</f>
        <v xml:space="preserve"> </v>
      </c>
      <c r="N291" s="9" t="str">
        <f>IF('Course 2'!$H289='tab2'!N$3,'Course 2'!$I289," ")</f>
        <v xml:space="preserve"> </v>
      </c>
    </row>
    <row r="292" spans="2:14">
      <c r="B292">
        <v>288</v>
      </c>
      <c r="C292" s="7" t="str">
        <f>IF('Course 2'!$H290='tab2'!C$3,'Course 2'!$I290," ")</f>
        <v xml:space="preserve"> </v>
      </c>
      <c r="D292" s="8" t="str">
        <f>IF('Course 2'!$H290='tab2'!D$3,'Course 2'!$I290," ")</f>
        <v xml:space="preserve"> </v>
      </c>
      <c r="E292" s="8" t="str">
        <f>IF('Course 2'!$H290='tab2'!E$3,'Course 2'!$I290," ")</f>
        <v xml:space="preserve"> </v>
      </c>
      <c r="F292" s="8" t="str">
        <f>IF('Course 2'!$H290='tab2'!F$3,'Course 2'!$I290," ")</f>
        <v xml:space="preserve"> </v>
      </c>
      <c r="G292" s="8" t="str">
        <f>IF('Course 2'!$H290='tab2'!G$3,'Course 2'!$I290," ")</f>
        <v xml:space="preserve"> </v>
      </c>
      <c r="H292" s="8" t="str">
        <f>IF('Course 2'!$H290='tab2'!H$3,'Course 2'!$I290," ")</f>
        <v xml:space="preserve"> </v>
      </c>
      <c r="I292" s="8" t="str">
        <f>IF('Course 2'!$H290='tab2'!I$3,'Course 2'!$I290," ")</f>
        <v xml:space="preserve"> </v>
      </c>
      <c r="J292" s="8" t="str">
        <f>IF('Course 2'!$H290='tab2'!J$3,'Course 2'!$I290," ")</f>
        <v xml:space="preserve"> </v>
      </c>
      <c r="K292" s="8" t="str">
        <f>IF('Course 2'!$H290='tab2'!K$3,'Course 2'!$I290," ")</f>
        <v xml:space="preserve"> </v>
      </c>
      <c r="L292" s="8" t="str">
        <f>IF('Course 2'!$H290='tab2'!L$3,'Course 2'!$I290," ")</f>
        <v xml:space="preserve"> </v>
      </c>
      <c r="M292" s="8" t="str">
        <f>IF('Course 2'!$H290='tab2'!M$3,'Course 2'!$I290," ")</f>
        <v xml:space="preserve"> </v>
      </c>
      <c r="N292" s="9" t="str">
        <f>IF('Course 2'!$H290='tab2'!N$3,'Course 2'!$I290," ")</f>
        <v xml:space="preserve"> </v>
      </c>
    </row>
    <row r="293" spans="2:14">
      <c r="B293">
        <v>289</v>
      </c>
      <c r="C293" s="7" t="str">
        <f>IF('Course 2'!$H291='tab2'!C$3,'Course 2'!$I291," ")</f>
        <v xml:space="preserve"> </v>
      </c>
      <c r="D293" s="8" t="str">
        <f>IF('Course 2'!$H291='tab2'!D$3,'Course 2'!$I291," ")</f>
        <v xml:space="preserve"> </v>
      </c>
      <c r="E293" s="8" t="str">
        <f>IF('Course 2'!$H291='tab2'!E$3,'Course 2'!$I291," ")</f>
        <v xml:space="preserve"> </v>
      </c>
      <c r="F293" s="8" t="str">
        <f>IF('Course 2'!$H291='tab2'!F$3,'Course 2'!$I291," ")</f>
        <v xml:space="preserve"> </v>
      </c>
      <c r="G293" s="8" t="str">
        <f>IF('Course 2'!$H291='tab2'!G$3,'Course 2'!$I291," ")</f>
        <v xml:space="preserve"> </v>
      </c>
      <c r="H293" s="8" t="str">
        <f>IF('Course 2'!$H291='tab2'!H$3,'Course 2'!$I291," ")</f>
        <v xml:space="preserve"> </v>
      </c>
      <c r="I293" s="8" t="str">
        <f>IF('Course 2'!$H291='tab2'!I$3,'Course 2'!$I291," ")</f>
        <v xml:space="preserve"> </v>
      </c>
      <c r="J293" s="8" t="str">
        <f>IF('Course 2'!$H291='tab2'!J$3,'Course 2'!$I291," ")</f>
        <v xml:space="preserve"> </v>
      </c>
      <c r="K293" s="8" t="str">
        <f>IF('Course 2'!$H291='tab2'!K$3,'Course 2'!$I291," ")</f>
        <v xml:space="preserve"> </v>
      </c>
      <c r="L293" s="8" t="str">
        <f>IF('Course 2'!$H291='tab2'!L$3,'Course 2'!$I291," ")</f>
        <v xml:space="preserve"> </v>
      </c>
      <c r="M293" s="8" t="str">
        <f>IF('Course 2'!$H291='tab2'!M$3,'Course 2'!$I291," ")</f>
        <v xml:space="preserve"> </v>
      </c>
      <c r="N293" s="9" t="str">
        <f>IF('Course 2'!$H291='tab2'!N$3,'Course 2'!$I291," ")</f>
        <v xml:space="preserve"> </v>
      </c>
    </row>
    <row r="294" spans="2:14">
      <c r="B294">
        <v>290</v>
      </c>
      <c r="C294" s="7" t="str">
        <f>IF('Course 2'!$H292='tab2'!C$3,'Course 2'!$I292," ")</f>
        <v xml:space="preserve"> </v>
      </c>
      <c r="D294" s="8" t="str">
        <f>IF('Course 2'!$H292='tab2'!D$3,'Course 2'!$I292," ")</f>
        <v xml:space="preserve"> </v>
      </c>
      <c r="E294" s="8" t="str">
        <f>IF('Course 2'!$H292='tab2'!E$3,'Course 2'!$I292," ")</f>
        <v xml:space="preserve"> </v>
      </c>
      <c r="F294" s="8" t="str">
        <f>IF('Course 2'!$H292='tab2'!F$3,'Course 2'!$I292," ")</f>
        <v xml:space="preserve"> </v>
      </c>
      <c r="G294" s="8" t="str">
        <f>IF('Course 2'!$H292='tab2'!G$3,'Course 2'!$I292," ")</f>
        <v xml:space="preserve"> </v>
      </c>
      <c r="H294" s="8" t="str">
        <f>IF('Course 2'!$H292='tab2'!H$3,'Course 2'!$I292," ")</f>
        <v xml:space="preserve"> </v>
      </c>
      <c r="I294" s="8" t="str">
        <f>IF('Course 2'!$H292='tab2'!I$3,'Course 2'!$I292," ")</f>
        <v xml:space="preserve"> </v>
      </c>
      <c r="J294" s="8" t="str">
        <f>IF('Course 2'!$H292='tab2'!J$3,'Course 2'!$I292," ")</f>
        <v xml:space="preserve"> </v>
      </c>
      <c r="K294" s="8" t="str">
        <f>IF('Course 2'!$H292='tab2'!K$3,'Course 2'!$I292," ")</f>
        <v xml:space="preserve"> </v>
      </c>
      <c r="L294" s="8" t="str">
        <f>IF('Course 2'!$H292='tab2'!L$3,'Course 2'!$I292," ")</f>
        <v xml:space="preserve"> </v>
      </c>
      <c r="M294" s="8" t="str">
        <f>IF('Course 2'!$H292='tab2'!M$3,'Course 2'!$I292," ")</f>
        <v xml:space="preserve"> </v>
      </c>
      <c r="N294" s="9" t="str">
        <f>IF('Course 2'!$H292='tab2'!N$3,'Course 2'!$I292," ")</f>
        <v xml:space="preserve"> </v>
      </c>
    </row>
    <row r="295" spans="2:14">
      <c r="B295">
        <v>291</v>
      </c>
      <c r="C295" s="7" t="str">
        <f>IF('Course 2'!$H293='tab2'!C$3,'Course 2'!$I293," ")</f>
        <v xml:space="preserve"> </v>
      </c>
      <c r="D295" s="8" t="str">
        <f>IF('Course 2'!$H293='tab2'!D$3,'Course 2'!$I293," ")</f>
        <v xml:space="preserve"> </v>
      </c>
      <c r="E295" s="8" t="str">
        <f>IF('Course 2'!$H293='tab2'!E$3,'Course 2'!$I293," ")</f>
        <v xml:space="preserve"> </v>
      </c>
      <c r="F295" s="8" t="str">
        <f>IF('Course 2'!$H293='tab2'!F$3,'Course 2'!$I293," ")</f>
        <v xml:space="preserve"> </v>
      </c>
      <c r="G295" s="8" t="str">
        <f>IF('Course 2'!$H293='tab2'!G$3,'Course 2'!$I293," ")</f>
        <v xml:space="preserve"> </v>
      </c>
      <c r="H295" s="8" t="str">
        <f>IF('Course 2'!$H293='tab2'!H$3,'Course 2'!$I293," ")</f>
        <v xml:space="preserve"> </v>
      </c>
      <c r="I295" s="8" t="str">
        <f>IF('Course 2'!$H293='tab2'!I$3,'Course 2'!$I293," ")</f>
        <v xml:space="preserve"> </v>
      </c>
      <c r="J295" s="8" t="str">
        <f>IF('Course 2'!$H293='tab2'!J$3,'Course 2'!$I293," ")</f>
        <v xml:space="preserve"> </v>
      </c>
      <c r="K295" s="8" t="str">
        <f>IF('Course 2'!$H293='tab2'!K$3,'Course 2'!$I293," ")</f>
        <v xml:space="preserve"> </v>
      </c>
      <c r="L295" s="8" t="str">
        <f>IF('Course 2'!$H293='tab2'!L$3,'Course 2'!$I293," ")</f>
        <v xml:space="preserve"> </v>
      </c>
      <c r="M295" s="8" t="str">
        <f>IF('Course 2'!$H293='tab2'!M$3,'Course 2'!$I293," ")</f>
        <v xml:space="preserve"> </v>
      </c>
      <c r="N295" s="9" t="str">
        <f>IF('Course 2'!$H293='tab2'!N$3,'Course 2'!$I293," ")</f>
        <v xml:space="preserve"> </v>
      </c>
    </row>
    <row r="296" spans="2:14">
      <c r="B296">
        <v>292</v>
      </c>
      <c r="C296" s="7" t="str">
        <f>IF('Course 2'!$H294='tab2'!C$3,'Course 2'!$I294," ")</f>
        <v xml:space="preserve"> </v>
      </c>
      <c r="D296" s="8" t="str">
        <f>IF('Course 2'!$H294='tab2'!D$3,'Course 2'!$I294," ")</f>
        <v xml:space="preserve"> </v>
      </c>
      <c r="E296" s="8" t="str">
        <f>IF('Course 2'!$H294='tab2'!E$3,'Course 2'!$I294," ")</f>
        <v xml:space="preserve"> </v>
      </c>
      <c r="F296" s="8" t="str">
        <f>IF('Course 2'!$H294='tab2'!F$3,'Course 2'!$I294," ")</f>
        <v xml:space="preserve"> </v>
      </c>
      <c r="G296" s="8" t="str">
        <f>IF('Course 2'!$H294='tab2'!G$3,'Course 2'!$I294," ")</f>
        <v xml:space="preserve"> </v>
      </c>
      <c r="H296" s="8" t="str">
        <f>IF('Course 2'!$H294='tab2'!H$3,'Course 2'!$I294," ")</f>
        <v xml:space="preserve"> </v>
      </c>
      <c r="I296" s="8" t="str">
        <f>IF('Course 2'!$H294='tab2'!I$3,'Course 2'!$I294," ")</f>
        <v xml:space="preserve"> </v>
      </c>
      <c r="J296" s="8" t="str">
        <f>IF('Course 2'!$H294='tab2'!J$3,'Course 2'!$I294," ")</f>
        <v xml:space="preserve"> </v>
      </c>
      <c r="K296" s="8" t="str">
        <f>IF('Course 2'!$H294='tab2'!K$3,'Course 2'!$I294," ")</f>
        <v xml:space="preserve"> </v>
      </c>
      <c r="L296" s="8" t="str">
        <f>IF('Course 2'!$H294='tab2'!L$3,'Course 2'!$I294," ")</f>
        <v xml:space="preserve"> </v>
      </c>
      <c r="M296" s="8" t="str">
        <f>IF('Course 2'!$H294='tab2'!M$3,'Course 2'!$I294," ")</f>
        <v xml:space="preserve"> </v>
      </c>
      <c r="N296" s="9" t="str">
        <f>IF('Course 2'!$H294='tab2'!N$3,'Course 2'!$I294," ")</f>
        <v xml:space="preserve"> </v>
      </c>
    </row>
    <row r="297" spans="2:14">
      <c r="B297">
        <v>293</v>
      </c>
      <c r="C297" s="7" t="str">
        <f>IF('Course 2'!$H295='tab2'!C$3,'Course 2'!$I295," ")</f>
        <v xml:space="preserve"> </v>
      </c>
      <c r="D297" s="8" t="str">
        <f>IF('Course 2'!$H295='tab2'!D$3,'Course 2'!$I295," ")</f>
        <v xml:space="preserve"> </v>
      </c>
      <c r="E297" s="8" t="str">
        <f>IF('Course 2'!$H295='tab2'!E$3,'Course 2'!$I295," ")</f>
        <v xml:space="preserve"> </v>
      </c>
      <c r="F297" s="8" t="str">
        <f>IF('Course 2'!$H295='tab2'!F$3,'Course 2'!$I295," ")</f>
        <v xml:space="preserve"> </v>
      </c>
      <c r="G297" s="8" t="str">
        <f>IF('Course 2'!$H295='tab2'!G$3,'Course 2'!$I295," ")</f>
        <v xml:space="preserve"> </v>
      </c>
      <c r="H297" s="8" t="str">
        <f>IF('Course 2'!$H295='tab2'!H$3,'Course 2'!$I295," ")</f>
        <v xml:space="preserve"> </v>
      </c>
      <c r="I297" s="8" t="str">
        <f>IF('Course 2'!$H295='tab2'!I$3,'Course 2'!$I295," ")</f>
        <v xml:space="preserve"> </v>
      </c>
      <c r="J297" s="8" t="str">
        <f>IF('Course 2'!$H295='tab2'!J$3,'Course 2'!$I295," ")</f>
        <v xml:space="preserve"> </v>
      </c>
      <c r="K297" s="8" t="str">
        <f>IF('Course 2'!$H295='tab2'!K$3,'Course 2'!$I295," ")</f>
        <v xml:space="preserve"> </v>
      </c>
      <c r="L297" s="8" t="str">
        <f>IF('Course 2'!$H295='tab2'!L$3,'Course 2'!$I295," ")</f>
        <v xml:space="preserve"> </v>
      </c>
      <c r="M297" s="8" t="str">
        <f>IF('Course 2'!$H295='tab2'!M$3,'Course 2'!$I295," ")</f>
        <v xml:space="preserve"> </v>
      </c>
      <c r="N297" s="9" t="str">
        <f>IF('Course 2'!$H295='tab2'!N$3,'Course 2'!$I295," ")</f>
        <v xml:space="preserve"> </v>
      </c>
    </row>
    <row r="298" spans="2:14">
      <c r="B298">
        <v>294</v>
      </c>
      <c r="C298" s="7" t="str">
        <f>IF('Course 2'!$H296='tab2'!C$3,'Course 2'!$I296," ")</f>
        <v xml:space="preserve"> </v>
      </c>
      <c r="D298" s="8" t="str">
        <f>IF('Course 2'!$H296='tab2'!D$3,'Course 2'!$I296," ")</f>
        <v xml:space="preserve"> </v>
      </c>
      <c r="E298" s="8" t="str">
        <f>IF('Course 2'!$H296='tab2'!E$3,'Course 2'!$I296," ")</f>
        <v xml:space="preserve"> </v>
      </c>
      <c r="F298" s="8" t="str">
        <f>IF('Course 2'!$H296='tab2'!F$3,'Course 2'!$I296," ")</f>
        <v xml:space="preserve"> </v>
      </c>
      <c r="G298" s="8" t="str">
        <f>IF('Course 2'!$H296='tab2'!G$3,'Course 2'!$I296," ")</f>
        <v xml:space="preserve"> </v>
      </c>
      <c r="H298" s="8" t="str">
        <f>IF('Course 2'!$H296='tab2'!H$3,'Course 2'!$I296," ")</f>
        <v xml:space="preserve"> </v>
      </c>
      <c r="I298" s="8" t="str">
        <f>IF('Course 2'!$H296='tab2'!I$3,'Course 2'!$I296," ")</f>
        <v xml:space="preserve"> </v>
      </c>
      <c r="J298" s="8" t="str">
        <f>IF('Course 2'!$H296='tab2'!J$3,'Course 2'!$I296," ")</f>
        <v xml:space="preserve"> </v>
      </c>
      <c r="K298" s="8" t="str">
        <f>IF('Course 2'!$H296='tab2'!K$3,'Course 2'!$I296," ")</f>
        <v xml:space="preserve"> </v>
      </c>
      <c r="L298" s="8" t="str">
        <f>IF('Course 2'!$H296='tab2'!L$3,'Course 2'!$I296," ")</f>
        <v xml:space="preserve"> </v>
      </c>
      <c r="M298" s="8" t="str">
        <f>IF('Course 2'!$H296='tab2'!M$3,'Course 2'!$I296," ")</f>
        <v xml:space="preserve"> </v>
      </c>
      <c r="N298" s="9" t="str">
        <f>IF('Course 2'!$H296='tab2'!N$3,'Course 2'!$I296," ")</f>
        <v xml:space="preserve"> </v>
      </c>
    </row>
    <row r="299" spans="2:14">
      <c r="B299">
        <v>295</v>
      </c>
      <c r="C299" s="7" t="str">
        <f>IF('Course 2'!$H297='tab2'!C$3,'Course 2'!$I297," ")</f>
        <v xml:space="preserve"> </v>
      </c>
      <c r="D299" s="8" t="str">
        <f>IF('Course 2'!$H297='tab2'!D$3,'Course 2'!$I297," ")</f>
        <v xml:space="preserve"> </v>
      </c>
      <c r="E299" s="8" t="str">
        <f>IF('Course 2'!$H297='tab2'!E$3,'Course 2'!$I297," ")</f>
        <v xml:space="preserve"> </v>
      </c>
      <c r="F299" s="8" t="str">
        <f>IF('Course 2'!$H297='tab2'!F$3,'Course 2'!$I297," ")</f>
        <v xml:space="preserve"> </v>
      </c>
      <c r="G299" s="8" t="str">
        <f>IF('Course 2'!$H297='tab2'!G$3,'Course 2'!$I297," ")</f>
        <v xml:space="preserve"> </v>
      </c>
      <c r="H299" s="8" t="str">
        <f>IF('Course 2'!$H297='tab2'!H$3,'Course 2'!$I297," ")</f>
        <v xml:space="preserve"> </v>
      </c>
      <c r="I299" s="8" t="str">
        <f>IF('Course 2'!$H297='tab2'!I$3,'Course 2'!$I297," ")</f>
        <v xml:space="preserve"> </v>
      </c>
      <c r="J299" s="8" t="str">
        <f>IF('Course 2'!$H297='tab2'!J$3,'Course 2'!$I297," ")</f>
        <v xml:space="preserve"> </v>
      </c>
      <c r="K299" s="8" t="str">
        <f>IF('Course 2'!$H297='tab2'!K$3,'Course 2'!$I297," ")</f>
        <v xml:space="preserve"> </v>
      </c>
      <c r="L299" s="8" t="str">
        <f>IF('Course 2'!$H297='tab2'!L$3,'Course 2'!$I297," ")</f>
        <v xml:space="preserve"> </v>
      </c>
      <c r="M299" s="8" t="str">
        <f>IF('Course 2'!$H297='tab2'!M$3,'Course 2'!$I297," ")</f>
        <v xml:space="preserve"> </v>
      </c>
      <c r="N299" s="9" t="str">
        <f>IF('Course 2'!$H297='tab2'!N$3,'Course 2'!$I297," ")</f>
        <v xml:space="preserve"> </v>
      </c>
    </row>
    <row r="300" spans="2:14">
      <c r="B300">
        <v>296</v>
      </c>
      <c r="C300" s="7" t="str">
        <f>IF('Course 2'!$H298='tab2'!C$3,'Course 2'!$I298," ")</f>
        <v xml:space="preserve"> </v>
      </c>
      <c r="D300" s="8" t="str">
        <f>IF('Course 2'!$H298='tab2'!D$3,'Course 2'!$I298," ")</f>
        <v xml:space="preserve"> </v>
      </c>
      <c r="E300" s="8" t="str">
        <f>IF('Course 2'!$H298='tab2'!E$3,'Course 2'!$I298," ")</f>
        <v xml:space="preserve"> </v>
      </c>
      <c r="F300" s="8" t="str">
        <f>IF('Course 2'!$H298='tab2'!F$3,'Course 2'!$I298," ")</f>
        <v xml:space="preserve"> </v>
      </c>
      <c r="G300" s="8" t="str">
        <f>IF('Course 2'!$H298='tab2'!G$3,'Course 2'!$I298," ")</f>
        <v xml:space="preserve"> </v>
      </c>
      <c r="H300" s="8" t="str">
        <f>IF('Course 2'!$H298='tab2'!H$3,'Course 2'!$I298," ")</f>
        <v xml:space="preserve"> </v>
      </c>
      <c r="I300" s="8" t="str">
        <f>IF('Course 2'!$H298='tab2'!I$3,'Course 2'!$I298," ")</f>
        <v xml:space="preserve"> </v>
      </c>
      <c r="J300" s="8" t="str">
        <f>IF('Course 2'!$H298='tab2'!J$3,'Course 2'!$I298," ")</f>
        <v xml:space="preserve"> </v>
      </c>
      <c r="K300" s="8" t="str">
        <f>IF('Course 2'!$H298='tab2'!K$3,'Course 2'!$I298," ")</f>
        <v xml:space="preserve"> </v>
      </c>
      <c r="L300" s="8" t="str">
        <f>IF('Course 2'!$H298='tab2'!L$3,'Course 2'!$I298," ")</f>
        <v xml:space="preserve"> </v>
      </c>
      <c r="M300" s="8" t="str">
        <f>IF('Course 2'!$H298='tab2'!M$3,'Course 2'!$I298," ")</f>
        <v xml:space="preserve"> </v>
      </c>
      <c r="N300" s="9" t="str">
        <f>IF('Course 2'!$H298='tab2'!N$3,'Course 2'!$I298," ")</f>
        <v xml:space="preserve"> </v>
      </c>
    </row>
    <row r="301" spans="2:14">
      <c r="B301">
        <v>297</v>
      </c>
      <c r="C301" s="7" t="str">
        <f>IF('Course 2'!$H299='tab2'!C$3,'Course 2'!$I299," ")</f>
        <v xml:space="preserve"> </v>
      </c>
      <c r="D301" s="8" t="str">
        <f>IF('Course 2'!$H299='tab2'!D$3,'Course 2'!$I299," ")</f>
        <v xml:space="preserve"> </v>
      </c>
      <c r="E301" s="8" t="str">
        <f>IF('Course 2'!$H299='tab2'!E$3,'Course 2'!$I299," ")</f>
        <v xml:space="preserve"> </v>
      </c>
      <c r="F301" s="8" t="str">
        <f>IF('Course 2'!$H299='tab2'!F$3,'Course 2'!$I299," ")</f>
        <v xml:space="preserve"> </v>
      </c>
      <c r="G301" s="8" t="str">
        <f>IF('Course 2'!$H299='tab2'!G$3,'Course 2'!$I299," ")</f>
        <v xml:space="preserve"> </v>
      </c>
      <c r="H301" s="8" t="str">
        <f>IF('Course 2'!$H299='tab2'!H$3,'Course 2'!$I299," ")</f>
        <v xml:space="preserve"> </v>
      </c>
      <c r="I301" s="8" t="str">
        <f>IF('Course 2'!$H299='tab2'!I$3,'Course 2'!$I299," ")</f>
        <v xml:space="preserve"> </v>
      </c>
      <c r="J301" s="8" t="str">
        <f>IF('Course 2'!$H299='tab2'!J$3,'Course 2'!$I299," ")</f>
        <v xml:space="preserve"> </v>
      </c>
      <c r="K301" s="8" t="str">
        <f>IF('Course 2'!$H299='tab2'!K$3,'Course 2'!$I299," ")</f>
        <v xml:space="preserve"> </v>
      </c>
      <c r="L301" s="8" t="str">
        <f>IF('Course 2'!$H299='tab2'!L$3,'Course 2'!$I299," ")</f>
        <v xml:space="preserve"> </v>
      </c>
      <c r="M301" s="8" t="str">
        <f>IF('Course 2'!$H299='tab2'!M$3,'Course 2'!$I299," ")</f>
        <v xml:space="preserve"> </v>
      </c>
      <c r="N301" s="9" t="str">
        <f>IF('Course 2'!$H299='tab2'!N$3,'Course 2'!$I299," ")</f>
        <v xml:space="preserve"> </v>
      </c>
    </row>
    <row r="302" spans="2:14">
      <c r="B302">
        <v>298</v>
      </c>
      <c r="C302" s="7" t="str">
        <f>IF('Course 2'!$H300='tab2'!C$3,'Course 2'!$I300," ")</f>
        <v xml:space="preserve"> </v>
      </c>
      <c r="D302" s="8" t="str">
        <f>IF('Course 2'!$H300='tab2'!D$3,'Course 2'!$I300," ")</f>
        <v xml:space="preserve"> </v>
      </c>
      <c r="E302" s="8" t="str">
        <f>IF('Course 2'!$H300='tab2'!E$3,'Course 2'!$I300," ")</f>
        <v xml:space="preserve"> </v>
      </c>
      <c r="F302" s="8" t="str">
        <f>IF('Course 2'!$H300='tab2'!F$3,'Course 2'!$I300," ")</f>
        <v xml:space="preserve"> </v>
      </c>
      <c r="G302" s="8" t="str">
        <f>IF('Course 2'!$H300='tab2'!G$3,'Course 2'!$I300," ")</f>
        <v xml:space="preserve"> </v>
      </c>
      <c r="H302" s="8" t="str">
        <f>IF('Course 2'!$H300='tab2'!H$3,'Course 2'!$I300," ")</f>
        <v xml:space="preserve"> </v>
      </c>
      <c r="I302" s="8" t="str">
        <f>IF('Course 2'!$H300='tab2'!I$3,'Course 2'!$I300," ")</f>
        <v xml:space="preserve"> </v>
      </c>
      <c r="J302" s="8" t="str">
        <f>IF('Course 2'!$H300='tab2'!J$3,'Course 2'!$I300," ")</f>
        <v xml:space="preserve"> </v>
      </c>
      <c r="K302" s="8" t="str">
        <f>IF('Course 2'!$H300='tab2'!K$3,'Course 2'!$I300," ")</f>
        <v xml:space="preserve"> </v>
      </c>
      <c r="L302" s="8" t="str">
        <f>IF('Course 2'!$H300='tab2'!L$3,'Course 2'!$I300," ")</f>
        <v xml:space="preserve"> </v>
      </c>
      <c r="M302" s="8" t="str">
        <f>IF('Course 2'!$H300='tab2'!M$3,'Course 2'!$I300," ")</f>
        <v xml:space="preserve"> </v>
      </c>
      <c r="N302" s="9" t="str">
        <f>IF('Course 2'!$H300='tab2'!N$3,'Course 2'!$I300," ")</f>
        <v xml:space="preserve"> </v>
      </c>
    </row>
    <row r="303" spans="2:14">
      <c r="B303">
        <v>299</v>
      </c>
      <c r="C303" s="7" t="str">
        <f>IF('Course 2'!$H301='tab2'!C$3,'Course 2'!$I301," ")</f>
        <v xml:space="preserve"> </v>
      </c>
      <c r="D303" s="8" t="str">
        <f>IF('Course 2'!$H301='tab2'!D$3,'Course 2'!$I301," ")</f>
        <v xml:space="preserve"> </v>
      </c>
      <c r="E303" s="8" t="str">
        <f>IF('Course 2'!$H301='tab2'!E$3,'Course 2'!$I301," ")</f>
        <v xml:space="preserve"> </v>
      </c>
      <c r="F303" s="8" t="str">
        <f>IF('Course 2'!$H301='tab2'!F$3,'Course 2'!$I301," ")</f>
        <v xml:space="preserve"> </v>
      </c>
      <c r="G303" s="8" t="str">
        <f>IF('Course 2'!$H301='tab2'!G$3,'Course 2'!$I301," ")</f>
        <v xml:space="preserve"> </v>
      </c>
      <c r="H303" s="8" t="str">
        <f>IF('Course 2'!$H301='tab2'!H$3,'Course 2'!$I301," ")</f>
        <v xml:space="preserve"> </v>
      </c>
      <c r="I303" s="8" t="str">
        <f>IF('Course 2'!$H301='tab2'!I$3,'Course 2'!$I301," ")</f>
        <v xml:space="preserve"> </v>
      </c>
      <c r="J303" s="8" t="str">
        <f>IF('Course 2'!$H301='tab2'!J$3,'Course 2'!$I301," ")</f>
        <v xml:space="preserve"> </v>
      </c>
      <c r="K303" s="8" t="str">
        <f>IF('Course 2'!$H301='tab2'!K$3,'Course 2'!$I301," ")</f>
        <v xml:space="preserve"> </v>
      </c>
      <c r="L303" s="8" t="str">
        <f>IF('Course 2'!$H301='tab2'!L$3,'Course 2'!$I301," ")</f>
        <v xml:space="preserve"> </v>
      </c>
      <c r="M303" s="8" t="str">
        <f>IF('Course 2'!$H301='tab2'!M$3,'Course 2'!$I301," ")</f>
        <v xml:space="preserve"> </v>
      </c>
      <c r="N303" s="9" t="str">
        <f>IF('Course 2'!$H301='tab2'!N$3,'Course 2'!$I301," ")</f>
        <v xml:space="preserve"> </v>
      </c>
    </row>
    <row r="304" spans="2:14" ht="13.5" thickBot="1">
      <c r="B304">
        <v>300</v>
      </c>
      <c r="C304" s="10" t="str">
        <f>IF('Course 2'!$H302='tab2'!C$3,'Course 2'!$I302," ")</f>
        <v xml:space="preserve"> </v>
      </c>
      <c r="D304" s="11" t="str">
        <f>IF('Course 2'!$H302='tab2'!D$3,'Course 2'!$I302," ")</f>
        <v xml:space="preserve"> </v>
      </c>
      <c r="E304" s="11" t="str">
        <f>IF('Course 2'!$H302='tab2'!E$3,'Course 2'!$I302," ")</f>
        <v xml:space="preserve"> </v>
      </c>
      <c r="F304" s="11" t="str">
        <f>IF('Course 2'!$H302='tab2'!F$3,'Course 2'!$I302," ")</f>
        <v xml:space="preserve"> </v>
      </c>
      <c r="G304" s="11" t="str">
        <f>IF('Course 2'!$H302='tab2'!G$3,'Course 2'!$I302," ")</f>
        <v xml:space="preserve"> </v>
      </c>
      <c r="H304" s="11" t="str">
        <f>IF('Course 2'!$H302='tab2'!H$3,'Course 2'!$I302," ")</f>
        <v xml:space="preserve"> </v>
      </c>
      <c r="I304" s="11" t="str">
        <f>IF('Course 2'!$H302='tab2'!I$3,'Course 2'!$I302," ")</f>
        <v xml:space="preserve"> </v>
      </c>
      <c r="J304" s="11" t="str">
        <f>IF('Course 2'!$H302='tab2'!J$3,'Course 2'!$I302," ")</f>
        <v xml:space="preserve"> </v>
      </c>
      <c r="K304" s="11" t="str">
        <f>IF('Course 2'!$H302='tab2'!K$3,'Course 2'!$I302," ")</f>
        <v xml:space="preserve"> </v>
      </c>
      <c r="L304" s="11" t="str">
        <f>IF('Course 2'!$H302='tab2'!L$3,'Course 2'!$I302," ")</f>
        <v xml:space="preserve"> </v>
      </c>
      <c r="M304" s="11" t="str">
        <f>IF('Course 2'!$H302='tab2'!M$3,'Course 2'!$I302," ")</f>
        <v xml:space="preserve"> </v>
      </c>
      <c r="N304" s="12" t="str">
        <f>IF('Course 2'!$H302='tab2'!N$3,'Course 2'!$I302," ")</f>
        <v xml:space="preserve"> </v>
      </c>
    </row>
  </sheetData>
  <sheetProtection password="CFA8" sheet="1" objects="1" scenarios="1"/>
  <mergeCells count="1">
    <mergeCell ref="C1:N1"/>
  </mergeCells>
  <phoneticPr fontId="0" type="noConversion"/>
  <pageMargins left="0.78740157499999996" right="0.78740157499999996" top="0.984251969" bottom="0.984251969" header="0.4921259845" footer="0.4921259845"/>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sheetPr codeName="Feuil10" enableFormatConditionsCalculation="0"/>
  <dimension ref="B1:N304"/>
  <sheetViews>
    <sheetView workbookViewId="0">
      <selection activeCell="D22" sqref="D22"/>
    </sheetView>
  </sheetViews>
  <sheetFormatPr baseColWidth="10" defaultColWidth="15.85546875" defaultRowHeight="12.75"/>
  <cols>
    <col min="1" max="1" width="12.7109375" customWidth="1"/>
    <col min="2" max="2" width="19.42578125" customWidth="1"/>
    <col min="3" max="14" width="11.42578125" customWidth="1"/>
  </cols>
  <sheetData>
    <row r="1" spans="2:14" ht="18">
      <c r="C1" s="193" t="s">
        <v>20</v>
      </c>
      <c r="D1" s="194"/>
      <c r="E1" s="194"/>
      <c r="F1" s="194"/>
      <c r="G1" s="194"/>
      <c r="H1" s="194"/>
      <c r="I1" s="194"/>
      <c r="J1" s="194"/>
      <c r="K1" s="194"/>
      <c r="L1" s="194"/>
      <c r="M1" s="194"/>
      <c r="N1" s="194"/>
    </row>
    <row r="3" spans="2:14">
      <c r="C3" s="16" t="str">
        <f>'Règles et points'!C8</f>
        <v>A</v>
      </c>
      <c r="D3" s="16" t="s">
        <v>3</v>
      </c>
      <c r="E3" s="17" t="s">
        <v>12</v>
      </c>
      <c r="F3" s="16" t="s">
        <v>4</v>
      </c>
      <c r="G3" s="16" t="s">
        <v>5</v>
      </c>
      <c r="H3" s="16" t="s">
        <v>6</v>
      </c>
      <c r="I3" s="16" t="s">
        <v>7</v>
      </c>
      <c r="J3" s="16" t="s">
        <v>8</v>
      </c>
      <c r="K3" s="16" t="s">
        <v>9</v>
      </c>
      <c r="L3" s="16" t="s">
        <v>10</v>
      </c>
      <c r="M3" s="16" t="s">
        <v>11</v>
      </c>
      <c r="N3" s="16" t="s">
        <v>13</v>
      </c>
    </row>
    <row r="4" spans="2:14" ht="13.5" thickBot="1">
      <c r="B4" s="18" t="s">
        <v>21</v>
      </c>
      <c r="C4" s="15">
        <f>MIN(C5:C304)</f>
        <v>0</v>
      </c>
      <c r="D4" s="15">
        <f t="shared" ref="D4:N4" si="0">MIN(D5:D304)</f>
        <v>0</v>
      </c>
      <c r="E4" s="15">
        <f t="shared" si="0"/>
        <v>0</v>
      </c>
      <c r="F4" s="15">
        <f t="shared" si="0"/>
        <v>0</v>
      </c>
      <c r="G4" s="15">
        <f t="shared" si="0"/>
        <v>0</v>
      </c>
      <c r="H4" s="15">
        <f t="shared" si="0"/>
        <v>0</v>
      </c>
      <c r="I4" s="15">
        <f t="shared" si="0"/>
        <v>0</v>
      </c>
      <c r="J4" s="15">
        <f t="shared" si="0"/>
        <v>0</v>
      </c>
      <c r="K4" s="15">
        <f t="shared" si="0"/>
        <v>0</v>
      </c>
      <c r="L4" s="15">
        <f t="shared" si="0"/>
        <v>0</v>
      </c>
      <c r="M4" s="15">
        <f t="shared" si="0"/>
        <v>0</v>
      </c>
      <c r="N4" s="15">
        <f t="shared" si="0"/>
        <v>0</v>
      </c>
    </row>
    <row r="5" spans="2:14">
      <c r="B5">
        <v>1</v>
      </c>
      <c r="C5" s="4" t="str">
        <f>IF('Course 3'!$H3='tab3'!C$3,'Course 3'!$I3," ")</f>
        <v xml:space="preserve"> </v>
      </c>
      <c r="D5" s="5" t="str">
        <f>IF('Course 3'!$H3='tab3'!D$3,'Course 3'!$I3," ")</f>
        <v xml:space="preserve"> </v>
      </c>
      <c r="E5" s="5" t="str">
        <f>IF('Course 3'!$H3='tab3'!E$3,'Course 3'!$I3," ")</f>
        <v xml:space="preserve"> </v>
      </c>
      <c r="F5" s="5" t="str">
        <f>IF('Course 3'!$H3='tab3'!F$3,'Course 3'!$I3," ")</f>
        <v xml:space="preserve"> </v>
      </c>
      <c r="G5" s="5" t="str">
        <f>IF('Course 3'!$H3='tab3'!G$3,'Course 3'!$I3," ")</f>
        <v xml:space="preserve"> </v>
      </c>
      <c r="H5" s="5" t="str">
        <f>IF('Course 3'!$H3='tab3'!H$3,'Course 3'!$I3," ")</f>
        <v xml:space="preserve"> </v>
      </c>
      <c r="I5" s="5" t="str">
        <f>IF('Course 3'!$H3='tab3'!I$3,'Course 3'!$I3," ")</f>
        <v xml:space="preserve"> </v>
      </c>
      <c r="J5" s="5" t="str">
        <f>IF('Course 3'!$H3='tab3'!J$3,'Course 3'!$I3," ")</f>
        <v xml:space="preserve"> </v>
      </c>
      <c r="K5" s="5" t="str">
        <f>IF('Course 3'!$H3='tab3'!K$3,'Course 3'!$I3," ")</f>
        <v xml:space="preserve"> </v>
      </c>
      <c r="L5" s="5" t="str">
        <f>IF('Course 3'!$H3='tab3'!L$3,'Course 3'!$I3," ")</f>
        <v xml:space="preserve"> </v>
      </c>
      <c r="M5" s="5" t="str">
        <f>IF('Course 3'!$H3='tab3'!M$3,'Course 3'!$I3," ")</f>
        <v xml:space="preserve"> </v>
      </c>
      <c r="N5" s="6" t="str">
        <f>IF('Course 3'!$H3='tab3'!N$3,'Course 3'!$I3," ")</f>
        <v xml:space="preserve"> </v>
      </c>
    </row>
    <row r="6" spans="2:14">
      <c r="B6">
        <v>2</v>
      </c>
      <c r="C6" s="7" t="str">
        <f>IF('Course 3'!$H4='tab3'!C$3,'Course 3'!$I4," ")</f>
        <v xml:space="preserve"> </v>
      </c>
      <c r="D6" s="8" t="str">
        <f>IF('Course 3'!$H4='tab3'!D$3,'Course 3'!$I4," ")</f>
        <v xml:space="preserve"> </v>
      </c>
      <c r="E6" s="8" t="str">
        <f>IF('Course 3'!$H4='tab3'!E$3,'Course 3'!$I4," ")</f>
        <v xml:space="preserve"> </v>
      </c>
      <c r="F6" s="8" t="str">
        <f>IF('Course 3'!$H4='tab3'!F$3,'Course 3'!$I4," ")</f>
        <v xml:space="preserve"> </v>
      </c>
      <c r="G6" s="8" t="str">
        <f>IF('Course 3'!$H4='tab3'!G$3,'Course 3'!$I4," ")</f>
        <v xml:space="preserve"> </v>
      </c>
      <c r="H6" s="8" t="str">
        <f>IF('Course 3'!$H4='tab3'!H$3,'Course 3'!$I4," ")</f>
        <v xml:space="preserve"> </v>
      </c>
      <c r="I6" s="8" t="str">
        <f>IF('Course 3'!$H4='tab3'!I$3,'Course 3'!$I4," ")</f>
        <v xml:space="preserve"> </v>
      </c>
      <c r="J6" s="8" t="str">
        <f>IF('Course 3'!$H4='tab3'!J$3,'Course 3'!$I4," ")</f>
        <v xml:space="preserve"> </v>
      </c>
      <c r="K6" s="8" t="str">
        <f>IF('Course 3'!$H4='tab3'!K$3,'Course 3'!$I4," ")</f>
        <v xml:space="preserve"> </v>
      </c>
      <c r="L6" s="8" t="str">
        <f>IF('Course 3'!$H4='tab3'!L$3,'Course 3'!$I4," ")</f>
        <v xml:space="preserve"> </v>
      </c>
      <c r="M6" s="8" t="str">
        <f>IF('Course 3'!$H4='tab3'!M$3,'Course 3'!$I4," ")</f>
        <v xml:space="preserve"> </v>
      </c>
      <c r="N6" s="9" t="str">
        <f>IF('Course 3'!$H4='tab3'!N$3,'Course 3'!$I4," ")</f>
        <v xml:space="preserve"> </v>
      </c>
    </row>
    <row r="7" spans="2:14">
      <c r="B7">
        <v>3</v>
      </c>
      <c r="C7" s="7" t="str">
        <f>IF('Course 3'!$H5='tab3'!C$3,'Course 3'!$I5," ")</f>
        <v xml:space="preserve"> </v>
      </c>
      <c r="D7" s="8" t="str">
        <f>IF('Course 3'!$H5='tab3'!D$3,'Course 3'!$I5," ")</f>
        <v xml:space="preserve"> </v>
      </c>
      <c r="E7" s="8" t="str">
        <f>IF('Course 3'!$H5='tab3'!E$3,'Course 3'!$I5," ")</f>
        <v xml:space="preserve"> </v>
      </c>
      <c r="F7" s="8" t="str">
        <f>IF('Course 3'!$H5='tab3'!F$3,'Course 3'!$I5," ")</f>
        <v xml:space="preserve"> </v>
      </c>
      <c r="G7" s="8" t="str">
        <f>IF('Course 3'!$H5='tab3'!G$3,'Course 3'!$I5," ")</f>
        <v xml:space="preserve"> </v>
      </c>
      <c r="H7" s="8" t="str">
        <f>IF('Course 3'!$H5='tab3'!H$3,'Course 3'!$I5," ")</f>
        <v xml:space="preserve"> </v>
      </c>
      <c r="I7" s="8" t="str">
        <f>IF('Course 3'!$H5='tab3'!I$3,'Course 3'!$I5," ")</f>
        <v xml:space="preserve"> </v>
      </c>
      <c r="J7" s="8" t="str">
        <f>IF('Course 3'!$H5='tab3'!J$3,'Course 3'!$I5," ")</f>
        <v xml:space="preserve"> </v>
      </c>
      <c r="K7" s="8" t="str">
        <f>IF('Course 3'!$H5='tab3'!K$3,'Course 3'!$I5," ")</f>
        <v xml:space="preserve"> </v>
      </c>
      <c r="L7" s="8" t="str">
        <f>IF('Course 3'!$H5='tab3'!L$3,'Course 3'!$I5," ")</f>
        <v xml:space="preserve"> </v>
      </c>
      <c r="M7" s="8" t="str">
        <f>IF('Course 3'!$H5='tab3'!M$3,'Course 3'!$I5," ")</f>
        <v xml:space="preserve"> </v>
      </c>
      <c r="N7" s="9" t="str">
        <f>IF('Course 3'!$H5='tab3'!N$3,'Course 3'!$I5," ")</f>
        <v xml:space="preserve"> </v>
      </c>
    </row>
    <row r="8" spans="2:14">
      <c r="B8">
        <v>4</v>
      </c>
      <c r="C8" s="7" t="str">
        <f>IF('Course 3'!$H6='tab3'!C$3,'Course 3'!$I6," ")</f>
        <v xml:space="preserve"> </v>
      </c>
      <c r="D8" s="8" t="str">
        <f>IF('Course 3'!$H6='tab3'!D$3,'Course 3'!$I6," ")</f>
        <v xml:space="preserve"> </v>
      </c>
      <c r="E8" s="8" t="str">
        <f>IF('Course 3'!$H6='tab3'!E$3,'Course 3'!$I6," ")</f>
        <v xml:space="preserve"> </v>
      </c>
      <c r="F8" s="8" t="str">
        <f>IF('Course 3'!$H6='tab3'!F$3,'Course 3'!$I6," ")</f>
        <v xml:space="preserve"> </v>
      </c>
      <c r="G8" s="8" t="str">
        <f>IF('Course 3'!$H6='tab3'!G$3,'Course 3'!$I6," ")</f>
        <v xml:space="preserve"> </v>
      </c>
      <c r="H8" s="8" t="str">
        <f>IF('Course 3'!$H6='tab3'!H$3,'Course 3'!$I6," ")</f>
        <v xml:space="preserve"> </v>
      </c>
      <c r="I8" s="8" t="str">
        <f>IF('Course 3'!$H6='tab3'!I$3,'Course 3'!$I6," ")</f>
        <v xml:space="preserve"> </v>
      </c>
      <c r="J8" s="8" t="str">
        <f>IF('Course 3'!$H6='tab3'!J$3,'Course 3'!$I6," ")</f>
        <v xml:space="preserve"> </v>
      </c>
      <c r="K8" s="8" t="str">
        <f>IF('Course 3'!$H6='tab3'!K$3,'Course 3'!$I6," ")</f>
        <v xml:space="preserve"> </v>
      </c>
      <c r="L8" s="8" t="str">
        <f>IF('Course 3'!$H6='tab3'!L$3,'Course 3'!$I6," ")</f>
        <v xml:space="preserve"> </v>
      </c>
      <c r="M8" s="8" t="str">
        <f>IF('Course 3'!$H6='tab3'!M$3,'Course 3'!$I6," ")</f>
        <v xml:space="preserve"> </v>
      </c>
      <c r="N8" s="9" t="str">
        <f>IF('Course 3'!$H6='tab3'!N$3,'Course 3'!$I6," ")</f>
        <v xml:space="preserve"> </v>
      </c>
    </row>
    <row r="9" spans="2:14">
      <c r="B9">
        <v>5</v>
      </c>
      <c r="C9" s="7" t="str">
        <f>IF('Course 3'!$H7='tab3'!C$3,'Course 3'!$I7," ")</f>
        <v xml:space="preserve"> </v>
      </c>
      <c r="D9" s="8" t="str">
        <f>IF('Course 3'!$H7='tab3'!D$3,'Course 3'!$I7," ")</f>
        <v xml:space="preserve"> </v>
      </c>
      <c r="E9" s="8" t="str">
        <f>IF('Course 3'!$H7='tab3'!E$3,'Course 3'!$I7," ")</f>
        <v xml:space="preserve"> </v>
      </c>
      <c r="F9" s="8" t="str">
        <f>IF('Course 3'!$H7='tab3'!F$3,'Course 3'!$I7," ")</f>
        <v xml:space="preserve"> </v>
      </c>
      <c r="G9" s="8" t="str">
        <f>IF('Course 3'!$H7='tab3'!G$3,'Course 3'!$I7," ")</f>
        <v xml:space="preserve"> </v>
      </c>
      <c r="H9" s="8" t="str">
        <f>IF('Course 3'!$H7='tab3'!H$3,'Course 3'!$I7," ")</f>
        <v xml:space="preserve"> </v>
      </c>
      <c r="I9" s="8" t="str">
        <f>IF('Course 3'!$H7='tab3'!I$3,'Course 3'!$I7," ")</f>
        <v xml:space="preserve"> </v>
      </c>
      <c r="J9" s="8" t="str">
        <f>IF('Course 3'!$H7='tab3'!J$3,'Course 3'!$I7," ")</f>
        <v xml:space="preserve"> </v>
      </c>
      <c r="K9" s="8" t="str">
        <f>IF('Course 3'!$H7='tab3'!K$3,'Course 3'!$I7," ")</f>
        <v xml:space="preserve"> </v>
      </c>
      <c r="L9" s="8" t="str">
        <f>IF('Course 3'!$H7='tab3'!L$3,'Course 3'!$I7," ")</f>
        <v xml:space="preserve"> </v>
      </c>
      <c r="M9" s="8" t="str">
        <f>IF('Course 3'!$H7='tab3'!M$3,'Course 3'!$I7," ")</f>
        <v xml:space="preserve"> </v>
      </c>
      <c r="N9" s="9" t="str">
        <f>IF('Course 3'!$H7='tab3'!N$3,'Course 3'!$I7," ")</f>
        <v xml:space="preserve"> </v>
      </c>
    </row>
    <row r="10" spans="2:14">
      <c r="B10">
        <v>6</v>
      </c>
      <c r="C10" s="7" t="str">
        <f>IF('Course 3'!$H8='tab3'!C$3,'Course 3'!$I8," ")</f>
        <v xml:space="preserve"> </v>
      </c>
      <c r="D10" s="8" t="str">
        <f>IF('Course 3'!$H8='tab3'!D$3,'Course 3'!$I8," ")</f>
        <v xml:space="preserve"> </v>
      </c>
      <c r="E10" s="8" t="str">
        <f>IF('Course 3'!$H8='tab3'!E$3,'Course 3'!$I8," ")</f>
        <v xml:space="preserve"> </v>
      </c>
      <c r="F10" s="8" t="str">
        <f>IF('Course 3'!$H8='tab3'!F$3,'Course 3'!$I8," ")</f>
        <v xml:space="preserve"> </v>
      </c>
      <c r="G10" s="8" t="str">
        <f>IF('Course 3'!$H8='tab3'!G$3,'Course 3'!$I8," ")</f>
        <v xml:space="preserve"> </v>
      </c>
      <c r="H10" s="8" t="str">
        <f>IF('Course 3'!$H8='tab3'!H$3,'Course 3'!$I8," ")</f>
        <v xml:space="preserve"> </v>
      </c>
      <c r="I10" s="8" t="str">
        <f>IF('Course 3'!$H8='tab3'!I$3,'Course 3'!$I8," ")</f>
        <v xml:space="preserve"> </v>
      </c>
      <c r="J10" s="8" t="str">
        <f>IF('Course 3'!$H8='tab3'!J$3,'Course 3'!$I8," ")</f>
        <v xml:space="preserve"> </v>
      </c>
      <c r="K10" s="8" t="str">
        <f>IF('Course 3'!$H8='tab3'!K$3,'Course 3'!$I8," ")</f>
        <v xml:space="preserve"> </v>
      </c>
      <c r="L10" s="8" t="str">
        <f>IF('Course 3'!$H8='tab3'!L$3,'Course 3'!$I8," ")</f>
        <v xml:space="preserve"> </v>
      </c>
      <c r="M10" s="8" t="str">
        <f>IF('Course 3'!$H8='tab3'!M$3,'Course 3'!$I8," ")</f>
        <v xml:space="preserve"> </v>
      </c>
      <c r="N10" s="9" t="str">
        <f>IF('Course 3'!$H8='tab3'!N$3,'Course 3'!$I8," ")</f>
        <v xml:space="preserve"> </v>
      </c>
    </row>
    <row r="11" spans="2:14">
      <c r="B11">
        <v>7</v>
      </c>
      <c r="C11" s="7" t="str">
        <f>IF('Course 3'!$H9='tab3'!C$3,'Course 3'!$I9," ")</f>
        <v xml:space="preserve"> </v>
      </c>
      <c r="D11" s="8" t="str">
        <f>IF('Course 3'!$H9='tab3'!D$3,'Course 3'!$I9," ")</f>
        <v xml:space="preserve"> </v>
      </c>
      <c r="E11" s="8" t="str">
        <f>IF('Course 3'!$H9='tab3'!E$3,'Course 3'!$I9," ")</f>
        <v xml:space="preserve"> </v>
      </c>
      <c r="F11" s="8" t="str">
        <f>IF('Course 3'!$H9='tab3'!F$3,'Course 3'!$I9," ")</f>
        <v xml:space="preserve"> </v>
      </c>
      <c r="G11" s="8" t="str">
        <f>IF('Course 3'!$H9='tab3'!G$3,'Course 3'!$I9," ")</f>
        <v xml:space="preserve"> </v>
      </c>
      <c r="H11" s="8" t="str">
        <f>IF('Course 3'!$H9='tab3'!H$3,'Course 3'!$I9," ")</f>
        <v xml:space="preserve"> </v>
      </c>
      <c r="I11" s="8" t="str">
        <f>IF('Course 3'!$H9='tab3'!I$3,'Course 3'!$I9," ")</f>
        <v xml:space="preserve"> </v>
      </c>
      <c r="J11" s="8" t="str">
        <f>IF('Course 3'!$H9='tab3'!J$3,'Course 3'!$I9," ")</f>
        <v xml:space="preserve"> </v>
      </c>
      <c r="K11" s="8" t="str">
        <f>IF('Course 3'!$H9='tab3'!K$3,'Course 3'!$I9," ")</f>
        <v xml:space="preserve"> </v>
      </c>
      <c r="L11" s="8" t="str">
        <f>IF('Course 3'!$H9='tab3'!L$3,'Course 3'!$I9," ")</f>
        <v xml:space="preserve"> </v>
      </c>
      <c r="M11" s="8" t="str">
        <f>IF('Course 3'!$H9='tab3'!M$3,'Course 3'!$I9," ")</f>
        <v xml:space="preserve"> </v>
      </c>
      <c r="N11" s="9" t="str">
        <f>IF('Course 3'!$H9='tab3'!N$3,'Course 3'!$I9," ")</f>
        <v xml:space="preserve"> </v>
      </c>
    </row>
    <row r="12" spans="2:14">
      <c r="B12">
        <v>8</v>
      </c>
      <c r="C12" s="7" t="str">
        <f>IF('Course 3'!$H10='tab3'!C$3,'Course 3'!$I10," ")</f>
        <v xml:space="preserve"> </v>
      </c>
      <c r="D12" s="8" t="str">
        <f>IF('Course 3'!$H10='tab3'!D$3,'Course 3'!$I10," ")</f>
        <v xml:space="preserve"> </v>
      </c>
      <c r="E12" s="8" t="str">
        <f>IF('Course 3'!$H10='tab3'!E$3,'Course 3'!$I10," ")</f>
        <v xml:space="preserve"> </v>
      </c>
      <c r="F12" s="8" t="str">
        <f>IF('Course 3'!$H10='tab3'!F$3,'Course 3'!$I10," ")</f>
        <v xml:space="preserve"> </v>
      </c>
      <c r="G12" s="8" t="str">
        <f>IF('Course 3'!$H10='tab3'!G$3,'Course 3'!$I10," ")</f>
        <v xml:space="preserve"> </v>
      </c>
      <c r="H12" s="8" t="str">
        <f>IF('Course 3'!$H10='tab3'!H$3,'Course 3'!$I10," ")</f>
        <v xml:space="preserve"> </v>
      </c>
      <c r="I12" s="8" t="str">
        <f>IF('Course 3'!$H10='tab3'!I$3,'Course 3'!$I10," ")</f>
        <v xml:space="preserve"> </v>
      </c>
      <c r="J12" s="8" t="str">
        <f>IF('Course 3'!$H10='tab3'!J$3,'Course 3'!$I10," ")</f>
        <v xml:space="preserve"> </v>
      </c>
      <c r="K12" s="8" t="str">
        <f>IF('Course 3'!$H10='tab3'!K$3,'Course 3'!$I10," ")</f>
        <v xml:space="preserve"> </v>
      </c>
      <c r="L12" s="8" t="str">
        <f>IF('Course 3'!$H10='tab3'!L$3,'Course 3'!$I10," ")</f>
        <v xml:space="preserve"> </v>
      </c>
      <c r="M12" s="8" t="str">
        <f>IF('Course 3'!$H10='tab3'!M$3,'Course 3'!$I10," ")</f>
        <v xml:space="preserve"> </v>
      </c>
      <c r="N12" s="9" t="str">
        <f>IF('Course 3'!$H10='tab3'!N$3,'Course 3'!$I10," ")</f>
        <v xml:space="preserve"> </v>
      </c>
    </row>
    <row r="13" spans="2:14">
      <c r="B13">
        <v>9</v>
      </c>
      <c r="C13" s="7" t="str">
        <f>IF('Course 3'!$H11='tab3'!C$3,'Course 3'!$I11," ")</f>
        <v xml:space="preserve"> </v>
      </c>
      <c r="D13" s="8" t="str">
        <f>IF('Course 3'!$H11='tab3'!D$3,'Course 3'!$I11," ")</f>
        <v xml:space="preserve"> </v>
      </c>
      <c r="E13" s="8" t="str">
        <f>IF('Course 3'!$H11='tab3'!E$3,'Course 3'!$I11," ")</f>
        <v xml:space="preserve"> </v>
      </c>
      <c r="F13" s="8" t="str">
        <f>IF('Course 3'!$H11='tab3'!F$3,'Course 3'!$I11," ")</f>
        <v xml:space="preserve"> </v>
      </c>
      <c r="G13" s="8" t="str">
        <f>IF('Course 3'!$H11='tab3'!G$3,'Course 3'!$I11," ")</f>
        <v xml:space="preserve"> </v>
      </c>
      <c r="H13" s="8" t="str">
        <f>IF('Course 3'!$H11='tab3'!H$3,'Course 3'!$I11," ")</f>
        <v xml:space="preserve"> </v>
      </c>
      <c r="I13" s="8" t="str">
        <f>IF('Course 3'!$H11='tab3'!I$3,'Course 3'!$I11," ")</f>
        <v xml:space="preserve"> </v>
      </c>
      <c r="J13" s="8" t="str">
        <f>IF('Course 3'!$H11='tab3'!J$3,'Course 3'!$I11," ")</f>
        <v xml:space="preserve"> </v>
      </c>
      <c r="K13" s="8" t="str">
        <f>IF('Course 3'!$H11='tab3'!K$3,'Course 3'!$I11," ")</f>
        <v xml:space="preserve"> </v>
      </c>
      <c r="L13" s="8" t="str">
        <f>IF('Course 3'!$H11='tab3'!L$3,'Course 3'!$I11," ")</f>
        <v xml:space="preserve"> </v>
      </c>
      <c r="M13" s="8" t="str">
        <f>IF('Course 3'!$H11='tab3'!M$3,'Course 3'!$I11," ")</f>
        <v xml:space="preserve"> </v>
      </c>
      <c r="N13" s="9" t="str">
        <f>IF('Course 3'!$H11='tab3'!N$3,'Course 3'!$I11," ")</f>
        <v xml:space="preserve"> </v>
      </c>
    </row>
    <row r="14" spans="2:14">
      <c r="B14">
        <v>10</v>
      </c>
      <c r="C14" s="7" t="str">
        <f>IF('Course 3'!$H12='tab3'!C$3,'Course 3'!$I12," ")</f>
        <v xml:space="preserve"> </v>
      </c>
      <c r="D14" s="8" t="str">
        <f>IF('Course 3'!$H12='tab3'!D$3,'Course 3'!$I12," ")</f>
        <v xml:space="preserve"> </v>
      </c>
      <c r="E14" s="8" t="str">
        <f>IF('Course 3'!$H12='tab3'!E$3,'Course 3'!$I12," ")</f>
        <v xml:space="preserve"> </v>
      </c>
      <c r="F14" s="8" t="str">
        <f>IF('Course 3'!$H12='tab3'!F$3,'Course 3'!$I12," ")</f>
        <v xml:space="preserve"> </v>
      </c>
      <c r="G14" s="8" t="str">
        <f>IF('Course 3'!$H12='tab3'!G$3,'Course 3'!$I12," ")</f>
        <v xml:space="preserve"> </v>
      </c>
      <c r="H14" s="8" t="str">
        <f>IF('Course 3'!$H12='tab3'!H$3,'Course 3'!$I12," ")</f>
        <v xml:space="preserve"> </v>
      </c>
      <c r="I14" s="8" t="str">
        <f>IF('Course 3'!$H12='tab3'!I$3,'Course 3'!$I12," ")</f>
        <v xml:space="preserve"> </v>
      </c>
      <c r="J14" s="8" t="str">
        <f>IF('Course 3'!$H12='tab3'!J$3,'Course 3'!$I12," ")</f>
        <v xml:space="preserve"> </v>
      </c>
      <c r="K14" s="8" t="str">
        <f>IF('Course 3'!$H12='tab3'!K$3,'Course 3'!$I12," ")</f>
        <v xml:space="preserve"> </v>
      </c>
      <c r="L14" s="8" t="str">
        <f>IF('Course 3'!$H12='tab3'!L$3,'Course 3'!$I12," ")</f>
        <v xml:space="preserve"> </v>
      </c>
      <c r="M14" s="8" t="str">
        <f>IF('Course 3'!$H12='tab3'!M$3,'Course 3'!$I12," ")</f>
        <v xml:space="preserve"> </v>
      </c>
      <c r="N14" s="9" t="str">
        <f>IF('Course 3'!$H12='tab3'!N$3,'Course 3'!$I12," ")</f>
        <v xml:space="preserve"> </v>
      </c>
    </row>
    <row r="15" spans="2:14">
      <c r="B15">
        <v>11</v>
      </c>
      <c r="C15" s="7" t="str">
        <f>IF('Course 3'!$H13='tab3'!C$3,'Course 3'!$I13," ")</f>
        <v xml:space="preserve"> </v>
      </c>
      <c r="D15" s="8" t="str">
        <f>IF('Course 3'!$H13='tab3'!D$3,'Course 3'!$I13," ")</f>
        <v xml:space="preserve"> </v>
      </c>
      <c r="E15" s="8" t="str">
        <f>IF('Course 3'!$H13='tab3'!E$3,'Course 3'!$I13," ")</f>
        <v xml:space="preserve"> </v>
      </c>
      <c r="F15" s="8" t="str">
        <f>IF('Course 3'!$H13='tab3'!F$3,'Course 3'!$I13," ")</f>
        <v xml:space="preserve"> </v>
      </c>
      <c r="G15" s="8" t="str">
        <f>IF('Course 3'!$H13='tab3'!G$3,'Course 3'!$I13," ")</f>
        <v xml:space="preserve"> </v>
      </c>
      <c r="H15" s="8" t="str">
        <f>IF('Course 3'!$H13='tab3'!H$3,'Course 3'!$I13," ")</f>
        <v xml:space="preserve"> </v>
      </c>
      <c r="I15" s="8" t="str">
        <f>IF('Course 3'!$H13='tab3'!I$3,'Course 3'!$I13," ")</f>
        <v xml:space="preserve"> </v>
      </c>
      <c r="J15" s="8" t="str">
        <f>IF('Course 3'!$H13='tab3'!J$3,'Course 3'!$I13," ")</f>
        <v xml:space="preserve"> </v>
      </c>
      <c r="K15" s="8" t="str">
        <f>IF('Course 3'!$H13='tab3'!K$3,'Course 3'!$I13," ")</f>
        <v xml:space="preserve"> </v>
      </c>
      <c r="L15" s="8" t="str">
        <f>IF('Course 3'!$H13='tab3'!L$3,'Course 3'!$I13," ")</f>
        <v xml:space="preserve"> </v>
      </c>
      <c r="M15" s="8" t="str">
        <f>IF('Course 3'!$H13='tab3'!M$3,'Course 3'!$I13," ")</f>
        <v xml:space="preserve"> </v>
      </c>
      <c r="N15" s="9" t="str">
        <f>IF('Course 3'!$H13='tab3'!N$3,'Course 3'!$I13," ")</f>
        <v xml:space="preserve"> </v>
      </c>
    </row>
    <row r="16" spans="2:14">
      <c r="B16">
        <v>12</v>
      </c>
      <c r="C16" s="7" t="str">
        <f>IF('Course 3'!$H14='tab3'!C$3,'Course 3'!$I14," ")</f>
        <v xml:space="preserve"> </v>
      </c>
      <c r="D16" s="8" t="str">
        <f>IF('Course 3'!$H14='tab3'!D$3,'Course 3'!$I14," ")</f>
        <v xml:space="preserve"> </v>
      </c>
      <c r="E16" s="8" t="str">
        <f>IF('Course 3'!$H14='tab3'!E$3,'Course 3'!$I14," ")</f>
        <v xml:space="preserve"> </v>
      </c>
      <c r="F16" s="8" t="str">
        <f>IF('Course 3'!$H14='tab3'!F$3,'Course 3'!$I14," ")</f>
        <v xml:space="preserve"> </v>
      </c>
      <c r="G16" s="8" t="str">
        <f>IF('Course 3'!$H14='tab3'!G$3,'Course 3'!$I14," ")</f>
        <v xml:space="preserve"> </v>
      </c>
      <c r="H16" s="8" t="str">
        <f>IF('Course 3'!$H14='tab3'!H$3,'Course 3'!$I14," ")</f>
        <v xml:space="preserve"> </v>
      </c>
      <c r="I16" s="8" t="str">
        <f>IF('Course 3'!$H14='tab3'!I$3,'Course 3'!$I14," ")</f>
        <v xml:space="preserve"> </v>
      </c>
      <c r="J16" s="8" t="str">
        <f>IF('Course 3'!$H14='tab3'!J$3,'Course 3'!$I14," ")</f>
        <v xml:space="preserve"> </v>
      </c>
      <c r="K16" s="8" t="str">
        <f>IF('Course 3'!$H14='tab3'!K$3,'Course 3'!$I14," ")</f>
        <v xml:space="preserve"> </v>
      </c>
      <c r="L16" s="8" t="str">
        <f>IF('Course 3'!$H14='tab3'!L$3,'Course 3'!$I14," ")</f>
        <v xml:space="preserve"> </v>
      </c>
      <c r="M16" s="8" t="str">
        <f>IF('Course 3'!$H14='tab3'!M$3,'Course 3'!$I14," ")</f>
        <v xml:space="preserve"> </v>
      </c>
      <c r="N16" s="9" t="str">
        <f>IF('Course 3'!$H14='tab3'!N$3,'Course 3'!$I14," ")</f>
        <v xml:space="preserve"> </v>
      </c>
    </row>
    <row r="17" spans="2:14">
      <c r="B17">
        <v>13</v>
      </c>
      <c r="C17" s="7" t="str">
        <f>IF('Course 3'!$H15='tab3'!C$3,'Course 3'!$I15," ")</f>
        <v xml:space="preserve"> </v>
      </c>
      <c r="D17" s="8" t="str">
        <f>IF('Course 3'!$H15='tab3'!D$3,'Course 3'!$I15," ")</f>
        <v xml:space="preserve"> </v>
      </c>
      <c r="E17" s="8" t="str">
        <f>IF('Course 3'!$H15='tab3'!E$3,'Course 3'!$I15," ")</f>
        <v xml:space="preserve"> </v>
      </c>
      <c r="F17" s="8" t="str">
        <f>IF('Course 3'!$H15='tab3'!F$3,'Course 3'!$I15," ")</f>
        <v xml:space="preserve"> </v>
      </c>
      <c r="G17" s="8" t="str">
        <f>IF('Course 3'!$H15='tab3'!G$3,'Course 3'!$I15," ")</f>
        <v xml:space="preserve"> </v>
      </c>
      <c r="H17" s="8" t="str">
        <f>IF('Course 3'!$H15='tab3'!H$3,'Course 3'!$I15," ")</f>
        <v xml:space="preserve"> </v>
      </c>
      <c r="I17" s="8" t="str">
        <f>IF('Course 3'!$H15='tab3'!I$3,'Course 3'!$I15," ")</f>
        <v xml:space="preserve"> </v>
      </c>
      <c r="J17" s="8" t="str">
        <f>IF('Course 3'!$H15='tab3'!J$3,'Course 3'!$I15," ")</f>
        <v xml:space="preserve"> </v>
      </c>
      <c r="K17" s="8" t="str">
        <f>IF('Course 3'!$H15='tab3'!K$3,'Course 3'!$I15," ")</f>
        <v xml:space="preserve"> </v>
      </c>
      <c r="L17" s="8" t="str">
        <f>IF('Course 3'!$H15='tab3'!L$3,'Course 3'!$I15," ")</f>
        <v xml:space="preserve"> </v>
      </c>
      <c r="M17" s="8" t="str">
        <f>IF('Course 3'!$H15='tab3'!M$3,'Course 3'!$I15," ")</f>
        <v xml:space="preserve"> </v>
      </c>
      <c r="N17" s="9" t="str">
        <f>IF('Course 3'!$H15='tab3'!N$3,'Course 3'!$I15," ")</f>
        <v xml:space="preserve"> </v>
      </c>
    </row>
    <row r="18" spans="2:14">
      <c r="B18">
        <v>14</v>
      </c>
      <c r="C18" s="7" t="str">
        <f>IF('Course 3'!$H16='tab3'!C$3,'Course 3'!$I16," ")</f>
        <v xml:space="preserve"> </v>
      </c>
      <c r="D18" s="8" t="str">
        <f>IF('Course 3'!$H16='tab3'!D$3,'Course 3'!$I16," ")</f>
        <v xml:space="preserve"> </v>
      </c>
      <c r="E18" s="8" t="str">
        <f>IF('Course 3'!$H16='tab3'!E$3,'Course 3'!$I16," ")</f>
        <v xml:space="preserve"> </v>
      </c>
      <c r="F18" s="8" t="str">
        <f>IF('Course 3'!$H16='tab3'!F$3,'Course 3'!$I16," ")</f>
        <v xml:space="preserve"> </v>
      </c>
      <c r="G18" s="8" t="str">
        <f>IF('Course 3'!$H16='tab3'!G$3,'Course 3'!$I16," ")</f>
        <v xml:space="preserve"> </v>
      </c>
      <c r="H18" s="8" t="str">
        <f>IF('Course 3'!$H16='tab3'!H$3,'Course 3'!$I16," ")</f>
        <v xml:space="preserve"> </v>
      </c>
      <c r="I18" s="8" t="str">
        <f>IF('Course 3'!$H16='tab3'!I$3,'Course 3'!$I16," ")</f>
        <v xml:space="preserve"> </v>
      </c>
      <c r="J18" s="8" t="str">
        <f>IF('Course 3'!$H16='tab3'!J$3,'Course 3'!$I16," ")</f>
        <v xml:space="preserve"> </v>
      </c>
      <c r="K18" s="8" t="str">
        <f>IF('Course 3'!$H16='tab3'!K$3,'Course 3'!$I16," ")</f>
        <v xml:space="preserve"> </v>
      </c>
      <c r="L18" s="8" t="str">
        <f>IF('Course 3'!$H16='tab3'!L$3,'Course 3'!$I16," ")</f>
        <v xml:space="preserve"> </v>
      </c>
      <c r="M18" s="8" t="str">
        <f>IF('Course 3'!$H16='tab3'!M$3,'Course 3'!$I16," ")</f>
        <v xml:space="preserve"> </v>
      </c>
      <c r="N18" s="9" t="str">
        <f>IF('Course 3'!$H16='tab3'!N$3,'Course 3'!$I16," ")</f>
        <v xml:space="preserve"> </v>
      </c>
    </row>
    <row r="19" spans="2:14">
      <c r="B19">
        <v>15</v>
      </c>
      <c r="C19" s="7" t="str">
        <f>IF('Course 3'!$H17='tab3'!C$3,'Course 3'!$I17," ")</f>
        <v xml:space="preserve"> </v>
      </c>
      <c r="D19" s="8" t="str">
        <f>IF('Course 3'!$H17='tab3'!D$3,'Course 3'!$I17," ")</f>
        <v xml:space="preserve"> </v>
      </c>
      <c r="E19" s="8" t="str">
        <f>IF('Course 3'!$H17='tab3'!E$3,'Course 3'!$I17," ")</f>
        <v xml:space="preserve"> </v>
      </c>
      <c r="F19" s="8" t="str">
        <f>IF('Course 3'!$H17='tab3'!F$3,'Course 3'!$I17," ")</f>
        <v xml:space="preserve"> </v>
      </c>
      <c r="G19" s="8" t="str">
        <f>IF('Course 3'!$H17='tab3'!G$3,'Course 3'!$I17," ")</f>
        <v xml:space="preserve"> </v>
      </c>
      <c r="H19" s="8" t="str">
        <f>IF('Course 3'!$H17='tab3'!H$3,'Course 3'!$I17," ")</f>
        <v xml:space="preserve"> </v>
      </c>
      <c r="I19" s="8" t="str">
        <f>IF('Course 3'!$H17='tab3'!I$3,'Course 3'!$I17," ")</f>
        <v xml:space="preserve"> </v>
      </c>
      <c r="J19" s="8" t="str">
        <f>IF('Course 3'!$H17='tab3'!J$3,'Course 3'!$I17," ")</f>
        <v xml:space="preserve"> </v>
      </c>
      <c r="K19" s="8" t="str">
        <f>IF('Course 3'!$H17='tab3'!K$3,'Course 3'!$I17," ")</f>
        <v xml:space="preserve"> </v>
      </c>
      <c r="L19" s="8" t="str">
        <f>IF('Course 3'!$H17='tab3'!L$3,'Course 3'!$I17," ")</f>
        <v xml:space="preserve"> </v>
      </c>
      <c r="M19" s="8" t="str">
        <f>IF('Course 3'!$H17='tab3'!M$3,'Course 3'!$I17," ")</f>
        <v xml:space="preserve"> </v>
      </c>
      <c r="N19" s="9" t="str">
        <f>IF('Course 3'!$H17='tab3'!N$3,'Course 3'!$I17," ")</f>
        <v xml:space="preserve"> </v>
      </c>
    </row>
    <row r="20" spans="2:14">
      <c r="B20">
        <v>16</v>
      </c>
      <c r="C20" s="7" t="str">
        <f>IF('Course 3'!$H18='tab3'!C$3,'Course 3'!$I18," ")</f>
        <v xml:space="preserve"> </v>
      </c>
      <c r="D20" s="8" t="str">
        <f>IF('Course 3'!$H18='tab3'!D$3,'Course 3'!$I18," ")</f>
        <v xml:space="preserve"> </v>
      </c>
      <c r="E20" s="8" t="str">
        <f>IF('Course 3'!$H18='tab3'!E$3,'Course 3'!$I18," ")</f>
        <v xml:space="preserve"> </v>
      </c>
      <c r="F20" s="8" t="str">
        <f>IF('Course 3'!$H18='tab3'!F$3,'Course 3'!$I18," ")</f>
        <v xml:space="preserve"> </v>
      </c>
      <c r="G20" s="8" t="str">
        <f>IF('Course 3'!$H18='tab3'!G$3,'Course 3'!$I18," ")</f>
        <v xml:space="preserve"> </v>
      </c>
      <c r="H20" s="8" t="str">
        <f>IF('Course 3'!$H18='tab3'!H$3,'Course 3'!$I18," ")</f>
        <v xml:space="preserve"> </v>
      </c>
      <c r="I20" s="8" t="str">
        <f>IF('Course 3'!$H18='tab3'!I$3,'Course 3'!$I18," ")</f>
        <v xml:space="preserve"> </v>
      </c>
      <c r="J20" s="8" t="str">
        <f>IF('Course 3'!$H18='tab3'!J$3,'Course 3'!$I18," ")</f>
        <v xml:space="preserve"> </v>
      </c>
      <c r="K20" s="8" t="str">
        <f>IF('Course 3'!$H18='tab3'!K$3,'Course 3'!$I18," ")</f>
        <v xml:space="preserve"> </v>
      </c>
      <c r="L20" s="8" t="str">
        <f>IF('Course 3'!$H18='tab3'!L$3,'Course 3'!$I18," ")</f>
        <v xml:space="preserve"> </v>
      </c>
      <c r="M20" s="8" t="str">
        <f>IF('Course 3'!$H18='tab3'!M$3,'Course 3'!$I18," ")</f>
        <v xml:space="preserve"> </v>
      </c>
      <c r="N20" s="9" t="str">
        <f>IF('Course 3'!$H18='tab3'!N$3,'Course 3'!$I18," ")</f>
        <v xml:space="preserve"> </v>
      </c>
    </row>
    <row r="21" spans="2:14">
      <c r="B21">
        <v>17</v>
      </c>
      <c r="C21" s="7" t="str">
        <f>IF('Course 3'!$H19='tab3'!C$3,'Course 3'!$I19," ")</f>
        <v xml:space="preserve"> </v>
      </c>
      <c r="D21" s="8" t="str">
        <f>IF('Course 3'!$H19='tab3'!D$3,'Course 3'!$I19," ")</f>
        <v xml:space="preserve"> </v>
      </c>
      <c r="E21" s="8" t="str">
        <f>IF('Course 3'!$H19='tab3'!E$3,'Course 3'!$I19," ")</f>
        <v xml:space="preserve"> </v>
      </c>
      <c r="F21" s="8" t="str">
        <f>IF('Course 3'!$H19='tab3'!F$3,'Course 3'!$I19," ")</f>
        <v xml:space="preserve"> </v>
      </c>
      <c r="G21" s="8" t="str">
        <f>IF('Course 3'!$H19='tab3'!G$3,'Course 3'!$I19," ")</f>
        <v xml:space="preserve"> </v>
      </c>
      <c r="H21" s="8" t="str">
        <f>IF('Course 3'!$H19='tab3'!H$3,'Course 3'!$I19," ")</f>
        <v xml:space="preserve"> </v>
      </c>
      <c r="I21" s="8" t="str">
        <f>IF('Course 3'!$H19='tab3'!I$3,'Course 3'!$I19," ")</f>
        <v xml:space="preserve"> </v>
      </c>
      <c r="J21" s="8" t="str">
        <f>IF('Course 3'!$H19='tab3'!J$3,'Course 3'!$I19," ")</f>
        <v xml:space="preserve"> </v>
      </c>
      <c r="K21" s="8" t="str">
        <f>IF('Course 3'!$H19='tab3'!K$3,'Course 3'!$I19," ")</f>
        <v xml:space="preserve"> </v>
      </c>
      <c r="L21" s="8" t="str">
        <f>IF('Course 3'!$H19='tab3'!L$3,'Course 3'!$I19," ")</f>
        <v xml:space="preserve"> </v>
      </c>
      <c r="M21" s="8" t="str">
        <f>IF('Course 3'!$H19='tab3'!M$3,'Course 3'!$I19," ")</f>
        <v xml:space="preserve"> </v>
      </c>
      <c r="N21" s="9" t="str">
        <f>IF('Course 3'!$H19='tab3'!N$3,'Course 3'!$I19," ")</f>
        <v xml:space="preserve"> </v>
      </c>
    </row>
    <row r="22" spans="2:14">
      <c r="B22">
        <v>18</v>
      </c>
      <c r="C22" s="7" t="str">
        <f>IF('Course 3'!$H20='tab3'!C$3,'Course 3'!$I20," ")</f>
        <v xml:space="preserve"> </v>
      </c>
      <c r="D22" s="8" t="str">
        <f>IF('Course 3'!$H20='tab3'!D$3,'Course 3'!$I20," ")</f>
        <v xml:space="preserve"> </v>
      </c>
      <c r="E22" s="8" t="str">
        <f>IF('Course 3'!$H20='tab3'!E$3,'Course 3'!$I20," ")</f>
        <v xml:space="preserve"> </v>
      </c>
      <c r="F22" s="8" t="str">
        <f>IF('Course 3'!$H20='tab3'!F$3,'Course 3'!$I20," ")</f>
        <v xml:space="preserve"> </v>
      </c>
      <c r="G22" s="8" t="str">
        <f>IF('Course 3'!$H20='tab3'!G$3,'Course 3'!$I20," ")</f>
        <v xml:space="preserve"> </v>
      </c>
      <c r="H22" s="8" t="str">
        <f>IF('Course 3'!$H20='tab3'!H$3,'Course 3'!$I20," ")</f>
        <v xml:space="preserve"> </v>
      </c>
      <c r="I22" s="8" t="str">
        <f>IF('Course 3'!$H20='tab3'!I$3,'Course 3'!$I20," ")</f>
        <v xml:space="preserve"> </v>
      </c>
      <c r="J22" s="8" t="str">
        <f>IF('Course 3'!$H20='tab3'!J$3,'Course 3'!$I20," ")</f>
        <v xml:space="preserve"> </v>
      </c>
      <c r="K22" s="8" t="str">
        <f>IF('Course 3'!$H20='tab3'!K$3,'Course 3'!$I20," ")</f>
        <v xml:space="preserve"> </v>
      </c>
      <c r="L22" s="8" t="str">
        <f>IF('Course 3'!$H20='tab3'!L$3,'Course 3'!$I20," ")</f>
        <v xml:space="preserve"> </v>
      </c>
      <c r="M22" s="8" t="str">
        <f>IF('Course 3'!$H20='tab3'!M$3,'Course 3'!$I20," ")</f>
        <v xml:space="preserve"> </v>
      </c>
      <c r="N22" s="9" t="str">
        <f>IF('Course 3'!$H20='tab3'!N$3,'Course 3'!$I20," ")</f>
        <v xml:space="preserve"> </v>
      </c>
    </row>
    <row r="23" spans="2:14">
      <c r="B23">
        <v>19</v>
      </c>
      <c r="C23" s="7" t="str">
        <f>IF('Course 3'!$H21='tab3'!C$3,'Course 3'!$I21," ")</f>
        <v xml:space="preserve"> </v>
      </c>
      <c r="D23" s="8" t="str">
        <f>IF('Course 3'!$H21='tab3'!D$3,'Course 3'!$I21," ")</f>
        <v xml:space="preserve"> </v>
      </c>
      <c r="E23" s="8" t="str">
        <f>IF('Course 3'!$H21='tab3'!E$3,'Course 3'!$I21," ")</f>
        <v xml:space="preserve"> </v>
      </c>
      <c r="F23" s="8" t="str">
        <f>IF('Course 3'!$H21='tab3'!F$3,'Course 3'!$I21," ")</f>
        <v xml:space="preserve"> </v>
      </c>
      <c r="G23" s="8" t="str">
        <f>IF('Course 3'!$H21='tab3'!G$3,'Course 3'!$I21," ")</f>
        <v xml:space="preserve"> </v>
      </c>
      <c r="H23" s="8" t="str">
        <f>IF('Course 3'!$H21='tab3'!H$3,'Course 3'!$I21," ")</f>
        <v xml:space="preserve"> </v>
      </c>
      <c r="I23" s="8" t="str">
        <f>IF('Course 3'!$H21='tab3'!I$3,'Course 3'!$I21," ")</f>
        <v xml:space="preserve"> </v>
      </c>
      <c r="J23" s="8" t="str">
        <f>IF('Course 3'!$H21='tab3'!J$3,'Course 3'!$I21," ")</f>
        <v xml:space="preserve"> </v>
      </c>
      <c r="K23" s="8" t="str">
        <f>IF('Course 3'!$H21='tab3'!K$3,'Course 3'!$I21," ")</f>
        <v xml:space="preserve"> </v>
      </c>
      <c r="L23" s="8" t="str">
        <f>IF('Course 3'!$H21='tab3'!L$3,'Course 3'!$I21," ")</f>
        <v xml:space="preserve"> </v>
      </c>
      <c r="M23" s="8" t="str">
        <f>IF('Course 3'!$H21='tab3'!M$3,'Course 3'!$I21," ")</f>
        <v xml:space="preserve"> </v>
      </c>
      <c r="N23" s="9" t="str">
        <f>IF('Course 3'!$H21='tab3'!N$3,'Course 3'!$I21," ")</f>
        <v xml:space="preserve"> </v>
      </c>
    </row>
    <row r="24" spans="2:14">
      <c r="B24">
        <v>20</v>
      </c>
      <c r="C24" s="7" t="str">
        <f>IF('Course 3'!$H22='tab3'!C$3,'Course 3'!$I22," ")</f>
        <v xml:space="preserve"> </v>
      </c>
      <c r="D24" s="8" t="str">
        <f>IF('Course 3'!$H22='tab3'!D$3,'Course 3'!$I22," ")</f>
        <v xml:space="preserve"> </v>
      </c>
      <c r="E24" s="8" t="str">
        <f>IF('Course 3'!$H22='tab3'!E$3,'Course 3'!$I22," ")</f>
        <v xml:space="preserve"> </v>
      </c>
      <c r="F24" s="8" t="str">
        <f>IF('Course 3'!$H22='tab3'!F$3,'Course 3'!$I22," ")</f>
        <v xml:space="preserve"> </v>
      </c>
      <c r="G24" s="8" t="str">
        <f>IF('Course 3'!$H22='tab3'!G$3,'Course 3'!$I22," ")</f>
        <v xml:space="preserve"> </v>
      </c>
      <c r="H24" s="8" t="str">
        <f>IF('Course 3'!$H22='tab3'!H$3,'Course 3'!$I22," ")</f>
        <v xml:space="preserve"> </v>
      </c>
      <c r="I24" s="8" t="str">
        <f>IF('Course 3'!$H22='tab3'!I$3,'Course 3'!$I22," ")</f>
        <v xml:space="preserve"> </v>
      </c>
      <c r="J24" s="8" t="str">
        <f>IF('Course 3'!$H22='tab3'!J$3,'Course 3'!$I22," ")</f>
        <v xml:space="preserve"> </v>
      </c>
      <c r="K24" s="8" t="str">
        <f>IF('Course 3'!$H22='tab3'!K$3,'Course 3'!$I22," ")</f>
        <v xml:space="preserve"> </v>
      </c>
      <c r="L24" s="8" t="str">
        <f>IF('Course 3'!$H22='tab3'!L$3,'Course 3'!$I22," ")</f>
        <v xml:space="preserve"> </v>
      </c>
      <c r="M24" s="8" t="str">
        <f>IF('Course 3'!$H22='tab3'!M$3,'Course 3'!$I22," ")</f>
        <v xml:space="preserve"> </v>
      </c>
      <c r="N24" s="9" t="str">
        <f>IF('Course 3'!$H22='tab3'!N$3,'Course 3'!$I22," ")</f>
        <v xml:space="preserve"> </v>
      </c>
    </row>
    <row r="25" spans="2:14">
      <c r="B25">
        <v>21</v>
      </c>
      <c r="C25" s="7" t="str">
        <f>IF('Course 3'!$H23='tab3'!C$3,'Course 3'!$I23," ")</f>
        <v xml:space="preserve"> </v>
      </c>
      <c r="D25" s="8" t="str">
        <f>IF('Course 3'!$H23='tab3'!D$3,'Course 3'!$I23," ")</f>
        <v xml:space="preserve"> </v>
      </c>
      <c r="E25" s="8" t="str">
        <f>IF('Course 3'!$H23='tab3'!E$3,'Course 3'!$I23," ")</f>
        <v xml:space="preserve"> </v>
      </c>
      <c r="F25" s="8" t="str">
        <f>IF('Course 3'!$H23='tab3'!F$3,'Course 3'!$I23," ")</f>
        <v xml:space="preserve"> </v>
      </c>
      <c r="G25" s="8" t="str">
        <f>IF('Course 3'!$H23='tab3'!G$3,'Course 3'!$I23," ")</f>
        <v xml:space="preserve"> </v>
      </c>
      <c r="H25" s="8" t="str">
        <f>IF('Course 3'!$H23='tab3'!H$3,'Course 3'!$I23," ")</f>
        <v xml:space="preserve"> </v>
      </c>
      <c r="I25" s="8" t="str">
        <f>IF('Course 3'!$H23='tab3'!I$3,'Course 3'!$I23," ")</f>
        <v xml:space="preserve"> </v>
      </c>
      <c r="J25" s="8" t="str">
        <f>IF('Course 3'!$H23='tab3'!J$3,'Course 3'!$I23," ")</f>
        <v xml:space="preserve"> </v>
      </c>
      <c r="K25" s="8" t="str">
        <f>IF('Course 3'!$H23='tab3'!K$3,'Course 3'!$I23," ")</f>
        <v xml:space="preserve"> </v>
      </c>
      <c r="L25" s="8" t="str">
        <f>IF('Course 3'!$H23='tab3'!L$3,'Course 3'!$I23," ")</f>
        <v xml:space="preserve"> </v>
      </c>
      <c r="M25" s="8" t="str">
        <f>IF('Course 3'!$H23='tab3'!M$3,'Course 3'!$I23," ")</f>
        <v xml:space="preserve"> </v>
      </c>
      <c r="N25" s="9" t="str">
        <f>IF('Course 3'!$H23='tab3'!N$3,'Course 3'!$I23," ")</f>
        <v xml:space="preserve"> </v>
      </c>
    </row>
    <row r="26" spans="2:14">
      <c r="B26">
        <v>22</v>
      </c>
      <c r="C26" s="7" t="str">
        <f>IF('Course 3'!$H24='tab3'!C$3,'Course 3'!$I24," ")</f>
        <v xml:space="preserve"> </v>
      </c>
      <c r="D26" s="8" t="str">
        <f>IF('Course 3'!$H24='tab3'!D$3,'Course 3'!$I24," ")</f>
        <v xml:space="preserve"> </v>
      </c>
      <c r="E26" s="8" t="str">
        <f>IF('Course 3'!$H24='tab3'!E$3,'Course 3'!$I24," ")</f>
        <v xml:space="preserve"> </v>
      </c>
      <c r="F26" s="8" t="str">
        <f>IF('Course 3'!$H24='tab3'!F$3,'Course 3'!$I24," ")</f>
        <v xml:space="preserve"> </v>
      </c>
      <c r="G26" s="8" t="str">
        <f>IF('Course 3'!$H24='tab3'!G$3,'Course 3'!$I24," ")</f>
        <v xml:space="preserve"> </v>
      </c>
      <c r="H26" s="8" t="str">
        <f>IF('Course 3'!$H24='tab3'!H$3,'Course 3'!$I24," ")</f>
        <v xml:space="preserve"> </v>
      </c>
      <c r="I26" s="8" t="str">
        <f>IF('Course 3'!$H24='tab3'!I$3,'Course 3'!$I24," ")</f>
        <v xml:space="preserve"> </v>
      </c>
      <c r="J26" s="8" t="str">
        <f>IF('Course 3'!$H24='tab3'!J$3,'Course 3'!$I24," ")</f>
        <v xml:space="preserve"> </v>
      </c>
      <c r="K26" s="8" t="str">
        <f>IF('Course 3'!$H24='tab3'!K$3,'Course 3'!$I24," ")</f>
        <v xml:space="preserve"> </v>
      </c>
      <c r="L26" s="8" t="str">
        <f>IF('Course 3'!$H24='tab3'!L$3,'Course 3'!$I24," ")</f>
        <v xml:space="preserve"> </v>
      </c>
      <c r="M26" s="8" t="str">
        <f>IF('Course 3'!$H24='tab3'!M$3,'Course 3'!$I24," ")</f>
        <v xml:space="preserve"> </v>
      </c>
      <c r="N26" s="9" t="str">
        <f>IF('Course 3'!$H24='tab3'!N$3,'Course 3'!$I24," ")</f>
        <v xml:space="preserve"> </v>
      </c>
    </row>
    <row r="27" spans="2:14">
      <c r="B27">
        <v>23</v>
      </c>
      <c r="C27" s="7" t="str">
        <f>IF('Course 3'!$H25='tab3'!C$3,'Course 3'!$I25," ")</f>
        <v xml:space="preserve"> </v>
      </c>
      <c r="D27" s="8" t="str">
        <f>IF('Course 3'!$H25='tab3'!D$3,'Course 3'!$I25," ")</f>
        <v xml:space="preserve"> </v>
      </c>
      <c r="E27" s="8" t="str">
        <f>IF('Course 3'!$H25='tab3'!E$3,'Course 3'!$I25," ")</f>
        <v xml:space="preserve"> </v>
      </c>
      <c r="F27" s="8" t="str">
        <f>IF('Course 3'!$H25='tab3'!F$3,'Course 3'!$I25," ")</f>
        <v xml:space="preserve"> </v>
      </c>
      <c r="G27" s="8" t="str">
        <f>IF('Course 3'!$H25='tab3'!G$3,'Course 3'!$I25," ")</f>
        <v xml:space="preserve"> </v>
      </c>
      <c r="H27" s="8" t="str">
        <f>IF('Course 3'!$H25='tab3'!H$3,'Course 3'!$I25," ")</f>
        <v xml:space="preserve"> </v>
      </c>
      <c r="I27" s="8" t="str">
        <f>IF('Course 3'!$H25='tab3'!I$3,'Course 3'!$I25," ")</f>
        <v xml:space="preserve"> </v>
      </c>
      <c r="J27" s="8" t="str">
        <f>IF('Course 3'!$H25='tab3'!J$3,'Course 3'!$I25," ")</f>
        <v xml:space="preserve"> </v>
      </c>
      <c r="K27" s="8" t="str">
        <f>IF('Course 3'!$H25='tab3'!K$3,'Course 3'!$I25," ")</f>
        <v xml:space="preserve"> </v>
      </c>
      <c r="L27" s="8" t="str">
        <f>IF('Course 3'!$H25='tab3'!L$3,'Course 3'!$I25," ")</f>
        <v xml:space="preserve"> </v>
      </c>
      <c r="M27" s="8" t="str">
        <f>IF('Course 3'!$H25='tab3'!M$3,'Course 3'!$I25," ")</f>
        <v xml:space="preserve"> </v>
      </c>
      <c r="N27" s="9" t="str">
        <f>IF('Course 3'!$H25='tab3'!N$3,'Course 3'!$I25," ")</f>
        <v xml:space="preserve"> </v>
      </c>
    </row>
    <row r="28" spans="2:14">
      <c r="B28">
        <v>24</v>
      </c>
      <c r="C28" s="7" t="str">
        <f>IF('Course 3'!$H26='tab3'!C$3,'Course 3'!$I26," ")</f>
        <v xml:space="preserve"> </v>
      </c>
      <c r="D28" s="8" t="str">
        <f>IF('Course 3'!$H26='tab3'!D$3,'Course 3'!$I26," ")</f>
        <v xml:space="preserve"> </v>
      </c>
      <c r="E28" s="8" t="str">
        <f>IF('Course 3'!$H26='tab3'!E$3,'Course 3'!$I26," ")</f>
        <v xml:space="preserve"> </v>
      </c>
      <c r="F28" s="8" t="str">
        <f>IF('Course 3'!$H26='tab3'!F$3,'Course 3'!$I26," ")</f>
        <v xml:space="preserve"> </v>
      </c>
      <c r="G28" s="8" t="str">
        <f>IF('Course 3'!$H26='tab3'!G$3,'Course 3'!$I26," ")</f>
        <v xml:space="preserve"> </v>
      </c>
      <c r="H28" s="8" t="str">
        <f>IF('Course 3'!$H26='tab3'!H$3,'Course 3'!$I26," ")</f>
        <v xml:space="preserve"> </v>
      </c>
      <c r="I28" s="8" t="str">
        <f>IF('Course 3'!$H26='tab3'!I$3,'Course 3'!$I26," ")</f>
        <v xml:space="preserve"> </v>
      </c>
      <c r="J28" s="8" t="str">
        <f>IF('Course 3'!$H26='tab3'!J$3,'Course 3'!$I26," ")</f>
        <v xml:space="preserve"> </v>
      </c>
      <c r="K28" s="8" t="str">
        <f>IF('Course 3'!$H26='tab3'!K$3,'Course 3'!$I26," ")</f>
        <v xml:space="preserve"> </v>
      </c>
      <c r="L28" s="8" t="str">
        <f>IF('Course 3'!$H26='tab3'!L$3,'Course 3'!$I26," ")</f>
        <v xml:space="preserve"> </v>
      </c>
      <c r="M28" s="8" t="str">
        <f>IF('Course 3'!$H26='tab3'!M$3,'Course 3'!$I26," ")</f>
        <v xml:space="preserve"> </v>
      </c>
      <c r="N28" s="9" t="str">
        <f>IF('Course 3'!$H26='tab3'!N$3,'Course 3'!$I26," ")</f>
        <v xml:space="preserve"> </v>
      </c>
    </row>
    <row r="29" spans="2:14">
      <c r="B29">
        <v>25</v>
      </c>
      <c r="C29" s="7" t="str">
        <f>IF('Course 3'!$H27='tab3'!C$3,'Course 3'!$I27," ")</f>
        <v xml:space="preserve"> </v>
      </c>
      <c r="D29" s="8" t="str">
        <f>IF('Course 3'!$H27='tab3'!D$3,'Course 3'!$I27," ")</f>
        <v xml:space="preserve"> </v>
      </c>
      <c r="E29" s="8" t="str">
        <f>IF('Course 3'!$H27='tab3'!E$3,'Course 3'!$I27," ")</f>
        <v xml:space="preserve"> </v>
      </c>
      <c r="F29" s="8" t="str">
        <f>IF('Course 3'!$H27='tab3'!F$3,'Course 3'!$I27," ")</f>
        <v xml:space="preserve"> </v>
      </c>
      <c r="G29" s="8" t="str">
        <f>IF('Course 3'!$H27='tab3'!G$3,'Course 3'!$I27," ")</f>
        <v xml:space="preserve"> </v>
      </c>
      <c r="H29" s="8" t="str">
        <f>IF('Course 3'!$H27='tab3'!H$3,'Course 3'!$I27," ")</f>
        <v xml:space="preserve"> </v>
      </c>
      <c r="I29" s="8" t="str">
        <f>IF('Course 3'!$H27='tab3'!I$3,'Course 3'!$I27," ")</f>
        <v xml:space="preserve"> </v>
      </c>
      <c r="J29" s="8" t="str">
        <f>IF('Course 3'!$H27='tab3'!J$3,'Course 3'!$I27," ")</f>
        <v xml:space="preserve"> </v>
      </c>
      <c r="K29" s="8" t="str">
        <f>IF('Course 3'!$H27='tab3'!K$3,'Course 3'!$I27," ")</f>
        <v xml:space="preserve"> </v>
      </c>
      <c r="L29" s="8" t="str">
        <f>IF('Course 3'!$H27='tab3'!L$3,'Course 3'!$I27," ")</f>
        <v xml:space="preserve"> </v>
      </c>
      <c r="M29" s="8" t="str">
        <f>IF('Course 3'!$H27='tab3'!M$3,'Course 3'!$I27," ")</f>
        <v xml:space="preserve"> </v>
      </c>
      <c r="N29" s="9" t="str">
        <f>IF('Course 3'!$H27='tab3'!N$3,'Course 3'!$I27," ")</f>
        <v xml:space="preserve"> </v>
      </c>
    </row>
    <row r="30" spans="2:14">
      <c r="B30">
        <v>26</v>
      </c>
      <c r="C30" s="7" t="str">
        <f>IF('Course 3'!$H28='tab3'!C$3,'Course 3'!$I28," ")</f>
        <v xml:space="preserve"> </v>
      </c>
      <c r="D30" s="8" t="str">
        <f>IF('Course 3'!$H28='tab3'!D$3,'Course 3'!$I28," ")</f>
        <v xml:space="preserve"> </v>
      </c>
      <c r="E30" s="8" t="str">
        <f>IF('Course 3'!$H28='tab3'!E$3,'Course 3'!$I28," ")</f>
        <v xml:space="preserve"> </v>
      </c>
      <c r="F30" s="8" t="str">
        <f>IF('Course 3'!$H28='tab3'!F$3,'Course 3'!$I28," ")</f>
        <v xml:space="preserve"> </v>
      </c>
      <c r="G30" s="8" t="str">
        <f>IF('Course 3'!$H28='tab3'!G$3,'Course 3'!$I28," ")</f>
        <v xml:space="preserve"> </v>
      </c>
      <c r="H30" s="8" t="str">
        <f>IF('Course 3'!$H28='tab3'!H$3,'Course 3'!$I28," ")</f>
        <v xml:space="preserve"> </v>
      </c>
      <c r="I30" s="8" t="str">
        <f>IF('Course 3'!$H28='tab3'!I$3,'Course 3'!$I28," ")</f>
        <v xml:space="preserve"> </v>
      </c>
      <c r="J30" s="8" t="str">
        <f>IF('Course 3'!$H28='tab3'!J$3,'Course 3'!$I28," ")</f>
        <v xml:space="preserve"> </v>
      </c>
      <c r="K30" s="8" t="str">
        <f>IF('Course 3'!$H28='tab3'!K$3,'Course 3'!$I28," ")</f>
        <v xml:space="preserve"> </v>
      </c>
      <c r="L30" s="8" t="str">
        <f>IF('Course 3'!$H28='tab3'!L$3,'Course 3'!$I28," ")</f>
        <v xml:space="preserve"> </v>
      </c>
      <c r="M30" s="8" t="str">
        <f>IF('Course 3'!$H28='tab3'!M$3,'Course 3'!$I28," ")</f>
        <v xml:space="preserve"> </v>
      </c>
      <c r="N30" s="9" t="str">
        <f>IF('Course 3'!$H28='tab3'!N$3,'Course 3'!$I28," ")</f>
        <v xml:space="preserve"> </v>
      </c>
    </row>
    <row r="31" spans="2:14">
      <c r="B31">
        <v>27</v>
      </c>
      <c r="C31" s="7" t="str">
        <f>IF('Course 3'!$H29='tab3'!C$3,'Course 3'!$I29," ")</f>
        <v xml:space="preserve"> </v>
      </c>
      <c r="D31" s="8" t="str">
        <f>IF('Course 3'!$H29='tab3'!D$3,'Course 3'!$I29," ")</f>
        <v xml:space="preserve"> </v>
      </c>
      <c r="E31" s="8" t="str">
        <f>IF('Course 3'!$H29='tab3'!E$3,'Course 3'!$I29," ")</f>
        <v xml:space="preserve"> </v>
      </c>
      <c r="F31" s="8" t="str">
        <f>IF('Course 3'!$H29='tab3'!F$3,'Course 3'!$I29," ")</f>
        <v xml:space="preserve"> </v>
      </c>
      <c r="G31" s="8" t="str">
        <f>IF('Course 3'!$H29='tab3'!G$3,'Course 3'!$I29," ")</f>
        <v xml:space="preserve"> </v>
      </c>
      <c r="H31" s="8" t="str">
        <f>IF('Course 3'!$H29='tab3'!H$3,'Course 3'!$I29," ")</f>
        <v xml:space="preserve"> </v>
      </c>
      <c r="I31" s="8" t="str">
        <f>IF('Course 3'!$H29='tab3'!I$3,'Course 3'!$I29," ")</f>
        <v xml:space="preserve"> </v>
      </c>
      <c r="J31" s="8" t="str">
        <f>IF('Course 3'!$H29='tab3'!J$3,'Course 3'!$I29," ")</f>
        <v xml:space="preserve"> </v>
      </c>
      <c r="K31" s="8" t="str">
        <f>IF('Course 3'!$H29='tab3'!K$3,'Course 3'!$I29," ")</f>
        <v xml:space="preserve"> </v>
      </c>
      <c r="L31" s="8" t="str">
        <f>IF('Course 3'!$H29='tab3'!L$3,'Course 3'!$I29," ")</f>
        <v xml:space="preserve"> </v>
      </c>
      <c r="M31" s="8" t="str">
        <f>IF('Course 3'!$H29='tab3'!M$3,'Course 3'!$I29," ")</f>
        <v xml:space="preserve"> </v>
      </c>
      <c r="N31" s="9" t="str">
        <f>IF('Course 3'!$H29='tab3'!N$3,'Course 3'!$I29," ")</f>
        <v xml:space="preserve"> </v>
      </c>
    </row>
    <row r="32" spans="2:14">
      <c r="B32">
        <v>28</v>
      </c>
      <c r="C32" s="7" t="str">
        <f>IF('Course 3'!$H30='tab3'!C$3,'Course 3'!$I30," ")</f>
        <v xml:space="preserve"> </v>
      </c>
      <c r="D32" s="8" t="str">
        <f>IF('Course 3'!$H30='tab3'!D$3,'Course 3'!$I30," ")</f>
        <v xml:space="preserve"> </v>
      </c>
      <c r="E32" s="8" t="str">
        <f>IF('Course 3'!$H30='tab3'!E$3,'Course 3'!$I30," ")</f>
        <v xml:space="preserve"> </v>
      </c>
      <c r="F32" s="8" t="str">
        <f>IF('Course 3'!$H30='tab3'!F$3,'Course 3'!$I30," ")</f>
        <v xml:space="preserve"> </v>
      </c>
      <c r="G32" s="8" t="str">
        <f>IF('Course 3'!$H30='tab3'!G$3,'Course 3'!$I30," ")</f>
        <v xml:space="preserve"> </v>
      </c>
      <c r="H32" s="8" t="str">
        <f>IF('Course 3'!$H30='tab3'!H$3,'Course 3'!$I30," ")</f>
        <v xml:space="preserve"> </v>
      </c>
      <c r="I32" s="8" t="str">
        <f>IF('Course 3'!$H30='tab3'!I$3,'Course 3'!$I30," ")</f>
        <v xml:space="preserve"> </v>
      </c>
      <c r="J32" s="8" t="str">
        <f>IF('Course 3'!$H30='tab3'!J$3,'Course 3'!$I30," ")</f>
        <v xml:space="preserve"> </v>
      </c>
      <c r="K32" s="8" t="str">
        <f>IF('Course 3'!$H30='tab3'!K$3,'Course 3'!$I30," ")</f>
        <v xml:space="preserve"> </v>
      </c>
      <c r="L32" s="8" t="str">
        <f>IF('Course 3'!$H30='tab3'!L$3,'Course 3'!$I30," ")</f>
        <v xml:space="preserve"> </v>
      </c>
      <c r="M32" s="8" t="str">
        <f>IF('Course 3'!$H30='tab3'!M$3,'Course 3'!$I30," ")</f>
        <v xml:space="preserve"> </v>
      </c>
      <c r="N32" s="9" t="str">
        <f>IF('Course 3'!$H30='tab3'!N$3,'Course 3'!$I30," ")</f>
        <v xml:space="preserve"> </v>
      </c>
    </row>
    <row r="33" spans="2:14">
      <c r="B33">
        <v>29</v>
      </c>
      <c r="C33" s="7" t="str">
        <f>IF('Course 3'!$H31='tab3'!C$3,'Course 3'!$I31," ")</f>
        <v xml:space="preserve"> </v>
      </c>
      <c r="D33" s="8" t="str">
        <f>IF('Course 3'!$H31='tab3'!D$3,'Course 3'!$I31," ")</f>
        <v xml:space="preserve"> </v>
      </c>
      <c r="E33" s="8" t="str">
        <f>IF('Course 3'!$H31='tab3'!E$3,'Course 3'!$I31," ")</f>
        <v xml:space="preserve"> </v>
      </c>
      <c r="F33" s="8" t="str">
        <f>IF('Course 3'!$H31='tab3'!F$3,'Course 3'!$I31," ")</f>
        <v xml:space="preserve"> </v>
      </c>
      <c r="G33" s="8" t="str">
        <f>IF('Course 3'!$H31='tab3'!G$3,'Course 3'!$I31," ")</f>
        <v xml:space="preserve"> </v>
      </c>
      <c r="H33" s="8" t="str">
        <f>IF('Course 3'!$H31='tab3'!H$3,'Course 3'!$I31," ")</f>
        <v xml:space="preserve"> </v>
      </c>
      <c r="I33" s="8" t="str">
        <f>IF('Course 3'!$H31='tab3'!I$3,'Course 3'!$I31," ")</f>
        <v xml:space="preserve"> </v>
      </c>
      <c r="J33" s="8" t="str">
        <f>IF('Course 3'!$H31='tab3'!J$3,'Course 3'!$I31," ")</f>
        <v xml:space="preserve"> </v>
      </c>
      <c r="K33" s="8" t="str">
        <f>IF('Course 3'!$H31='tab3'!K$3,'Course 3'!$I31," ")</f>
        <v xml:space="preserve"> </v>
      </c>
      <c r="L33" s="8" t="str">
        <f>IF('Course 3'!$H31='tab3'!L$3,'Course 3'!$I31," ")</f>
        <v xml:space="preserve"> </v>
      </c>
      <c r="M33" s="8" t="str">
        <f>IF('Course 3'!$H31='tab3'!M$3,'Course 3'!$I31," ")</f>
        <v xml:space="preserve"> </v>
      </c>
      <c r="N33" s="9" t="str">
        <f>IF('Course 3'!$H31='tab3'!N$3,'Course 3'!$I31," ")</f>
        <v xml:space="preserve"> </v>
      </c>
    </row>
    <row r="34" spans="2:14">
      <c r="B34">
        <v>30</v>
      </c>
      <c r="C34" s="7" t="str">
        <f>IF('Course 3'!$H32='tab3'!C$3,'Course 3'!$I32," ")</f>
        <v xml:space="preserve"> </v>
      </c>
      <c r="D34" s="8" t="str">
        <f>IF('Course 3'!$H32='tab3'!D$3,'Course 3'!$I32," ")</f>
        <v xml:space="preserve"> </v>
      </c>
      <c r="E34" s="8" t="str">
        <f>IF('Course 3'!$H32='tab3'!E$3,'Course 3'!$I32," ")</f>
        <v xml:space="preserve"> </v>
      </c>
      <c r="F34" s="8" t="str">
        <f>IF('Course 3'!$H32='tab3'!F$3,'Course 3'!$I32," ")</f>
        <v xml:space="preserve"> </v>
      </c>
      <c r="G34" s="8" t="str">
        <f>IF('Course 3'!$H32='tab3'!G$3,'Course 3'!$I32," ")</f>
        <v xml:space="preserve"> </v>
      </c>
      <c r="H34" s="8" t="str">
        <f>IF('Course 3'!$H32='tab3'!H$3,'Course 3'!$I32," ")</f>
        <v xml:space="preserve"> </v>
      </c>
      <c r="I34" s="8" t="str">
        <f>IF('Course 3'!$H32='tab3'!I$3,'Course 3'!$I32," ")</f>
        <v xml:space="preserve"> </v>
      </c>
      <c r="J34" s="8" t="str">
        <f>IF('Course 3'!$H32='tab3'!J$3,'Course 3'!$I32," ")</f>
        <v xml:space="preserve"> </v>
      </c>
      <c r="K34" s="8" t="str">
        <f>IF('Course 3'!$H32='tab3'!K$3,'Course 3'!$I32," ")</f>
        <v xml:space="preserve"> </v>
      </c>
      <c r="L34" s="8" t="str">
        <f>IF('Course 3'!$H32='tab3'!L$3,'Course 3'!$I32," ")</f>
        <v xml:space="preserve"> </v>
      </c>
      <c r="M34" s="8" t="str">
        <f>IF('Course 3'!$H32='tab3'!M$3,'Course 3'!$I32," ")</f>
        <v xml:space="preserve"> </v>
      </c>
      <c r="N34" s="9" t="str">
        <f>IF('Course 3'!$H32='tab3'!N$3,'Course 3'!$I32," ")</f>
        <v xml:space="preserve"> </v>
      </c>
    </row>
    <row r="35" spans="2:14">
      <c r="B35">
        <v>31</v>
      </c>
      <c r="C35" s="7" t="str">
        <f>IF('Course 3'!$H33='tab3'!C$3,'Course 3'!$I33," ")</f>
        <v xml:space="preserve"> </v>
      </c>
      <c r="D35" s="8" t="str">
        <f>IF('Course 3'!$H33='tab3'!D$3,'Course 3'!$I33," ")</f>
        <v xml:space="preserve"> </v>
      </c>
      <c r="E35" s="8" t="str">
        <f>IF('Course 3'!$H33='tab3'!E$3,'Course 3'!$I33," ")</f>
        <v xml:space="preserve"> </v>
      </c>
      <c r="F35" s="8" t="str">
        <f>IF('Course 3'!$H33='tab3'!F$3,'Course 3'!$I33," ")</f>
        <v xml:space="preserve"> </v>
      </c>
      <c r="G35" s="8" t="str">
        <f>IF('Course 3'!$H33='tab3'!G$3,'Course 3'!$I33," ")</f>
        <v xml:space="preserve"> </v>
      </c>
      <c r="H35" s="8" t="str">
        <f>IF('Course 3'!$H33='tab3'!H$3,'Course 3'!$I33," ")</f>
        <v xml:space="preserve"> </v>
      </c>
      <c r="I35" s="8" t="str">
        <f>IF('Course 3'!$H33='tab3'!I$3,'Course 3'!$I33," ")</f>
        <v xml:space="preserve"> </v>
      </c>
      <c r="J35" s="8" t="str">
        <f>IF('Course 3'!$H33='tab3'!J$3,'Course 3'!$I33," ")</f>
        <v xml:space="preserve"> </v>
      </c>
      <c r="K35" s="8" t="str">
        <f>IF('Course 3'!$H33='tab3'!K$3,'Course 3'!$I33," ")</f>
        <v xml:space="preserve"> </v>
      </c>
      <c r="L35" s="8" t="str">
        <f>IF('Course 3'!$H33='tab3'!L$3,'Course 3'!$I33," ")</f>
        <v xml:space="preserve"> </v>
      </c>
      <c r="M35" s="8" t="str">
        <f>IF('Course 3'!$H33='tab3'!M$3,'Course 3'!$I33," ")</f>
        <v xml:space="preserve"> </v>
      </c>
      <c r="N35" s="9" t="str">
        <f>IF('Course 3'!$H33='tab3'!N$3,'Course 3'!$I33," ")</f>
        <v xml:space="preserve"> </v>
      </c>
    </row>
    <row r="36" spans="2:14">
      <c r="B36">
        <v>32</v>
      </c>
      <c r="C36" s="7" t="str">
        <f>IF('Course 3'!$H34='tab3'!C$3,'Course 3'!$I34," ")</f>
        <v xml:space="preserve"> </v>
      </c>
      <c r="D36" s="8" t="str">
        <f>IF('Course 3'!$H34='tab3'!D$3,'Course 3'!$I34," ")</f>
        <v xml:space="preserve"> </v>
      </c>
      <c r="E36" s="8" t="str">
        <f>IF('Course 3'!$H34='tab3'!E$3,'Course 3'!$I34," ")</f>
        <v xml:space="preserve"> </v>
      </c>
      <c r="F36" s="8" t="str">
        <f>IF('Course 3'!$H34='tab3'!F$3,'Course 3'!$I34," ")</f>
        <v xml:space="preserve"> </v>
      </c>
      <c r="G36" s="8" t="str">
        <f>IF('Course 3'!$H34='tab3'!G$3,'Course 3'!$I34," ")</f>
        <v xml:space="preserve"> </v>
      </c>
      <c r="H36" s="8" t="str">
        <f>IF('Course 3'!$H34='tab3'!H$3,'Course 3'!$I34," ")</f>
        <v xml:space="preserve"> </v>
      </c>
      <c r="I36" s="8" t="str">
        <f>IF('Course 3'!$H34='tab3'!I$3,'Course 3'!$I34," ")</f>
        <v xml:space="preserve"> </v>
      </c>
      <c r="J36" s="8" t="str">
        <f>IF('Course 3'!$H34='tab3'!J$3,'Course 3'!$I34," ")</f>
        <v xml:space="preserve"> </v>
      </c>
      <c r="K36" s="8" t="str">
        <f>IF('Course 3'!$H34='tab3'!K$3,'Course 3'!$I34," ")</f>
        <v xml:space="preserve"> </v>
      </c>
      <c r="L36" s="8" t="str">
        <f>IF('Course 3'!$H34='tab3'!L$3,'Course 3'!$I34," ")</f>
        <v xml:space="preserve"> </v>
      </c>
      <c r="M36" s="8" t="str">
        <f>IF('Course 3'!$H34='tab3'!M$3,'Course 3'!$I34," ")</f>
        <v xml:space="preserve"> </v>
      </c>
      <c r="N36" s="9" t="str">
        <f>IF('Course 3'!$H34='tab3'!N$3,'Course 3'!$I34," ")</f>
        <v xml:space="preserve"> </v>
      </c>
    </row>
    <row r="37" spans="2:14">
      <c r="B37">
        <v>33</v>
      </c>
      <c r="C37" s="7" t="str">
        <f>IF('Course 3'!$H35='tab3'!C$3,'Course 3'!$I35," ")</f>
        <v xml:space="preserve"> </v>
      </c>
      <c r="D37" s="8" t="str">
        <f>IF('Course 3'!$H35='tab3'!D$3,'Course 3'!$I35," ")</f>
        <v xml:space="preserve"> </v>
      </c>
      <c r="E37" s="8" t="str">
        <f>IF('Course 3'!$H35='tab3'!E$3,'Course 3'!$I35," ")</f>
        <v xml:space="preserve"> </v>
      </c>
      <c r="F37" s="8" t="str">
        <f>IF('Course 3'!$H35='tab3'!F$3,'Course 3'!$I35," ")</f>
        <v xml:space="preserve"> </v>
      </c>
      <c r="G37" s="8" t="str">
        <f>IF('Course 3'!$H35='tab3'!G$3,'Course 3'!$I35," ")</f>
        <v xml:space="preserve"> </v>
      </c>
      <c r="H37" s="8" t="str">
        <f>IF('Course 3'!$H35='tab3'!H$3,'Course 3'!$I35," ")</f>
        <v xml:space="preserve"> </v>
      </c>
      <c r="I37" s="8" t="str">
        <f>IF('Course 3'!$H35='tab3'!I$3,'Course 3'!$I35," ")</f>
        <v xml:space="preserve"> </v>
      </c>
      <c r="J37" s="8" t="str">
        <f>IF('Course 3'!$H35='tab3'!J$3,'Course 3'!$I35," ")</f>
        <v xml:space="preserve"> </v>
      </c>
      <c r="K37" s="8" t="str">
        <f>IF('Course 3'!$H35='tab3'!K$3,'Course 3'!$I35," ")</f>
        <v xml:space="preserve"> </v>
      </c>
      <c r="L37" s="8" t="str">
        <f>IF('Course 3'!$H35='tab3'!L$3,'Course 3'!$I35," ")</f>
        <v xml:space="preserve"> </v>
      </c>
      <c r="M37" s="8" t="str">
        <f>IF('Course 3'!$H35='tab3'!M$3,'Course 3'!$I35," ")</f>
        <v xml:space="preserve"> </v>
      </c>
      <c r="N37" s="9" t="str">
        <f>IF('Course 3'!$H35='tab3'!N$3,'Course 3'!$I35," ")</f>
        <v xml:space="preserve"> </v>
      </c>
    </row>
    <row r="38" spans="2:14">
      <c r="B38">
        <v>34</v>
      </c>
      <c r="C38" s="7" t="str">
        <f>IF('Course 3'!$H36='tab3'!C$3,'Course 3'!$I36," ")</f>
        <v xml:space="preserve"> </v>
      </c>
      <c r="D38" s="8" t="str">
        <f>IF('Course 3'!$H36='tab3'!D$3,'Course 3'!$I36," ")</f>
        <v xml:space="preserve"> </v>
      </c>
      <c r="E38" s="8" t="str">
        <f>IF('Course 3'!$H36='tab3'!E$3,'Course 3'!$I36," ")</f>
        <v xml:space="preserve"> </v>
      </c>
      <c r="F38" s="8" t="str">
        <f>IF('Course 3'!$H36='tab3'!F$3,'Course 3'!$I36," ")</f>
        <v xml:space="preserve"> </v>
      </c>
      <c r="G38" s="8" t="str">
        <f>IF('Course 3'!$H36='tab3'!G$3,'Course 3'!$I36," ")</f>
        <v xml:space="preserve"> </v>
      </c>
      <c r="H38" s="8" t="str">
        <f>IF('Course 3'!$H36='tab3'!H$3,'Course 3'!$I36," ")</f>
        <v xml:space="preserve"> </v>
      </c>
      <c r="I38" s="8" t="str">
        <f>IF('Course 3'!$H36='tab3'!I$3,'Course 3'!$I36," ")</f>
        <v xml:space="preserve"> </v>
      </c>
      <c r="J38" s="8" t="str">
        <f>IF('Course 3'!$H36='tab3'!J$3,'Course 3'!$I36," ")</f>
        <v xml:space="preserve"> </v>
      </c>
      <c r="K38" s="8" t="str">
        <f>IF('Course 3'!$H36='tab3'!K$3,'Course 3'!$I36," ")</f>
        <v xml:space="preserve"> </v>
      </c>
      <c r="L38" s="8" t="str">
        <f>IF('Course 3'!$H36='tab3'!L$3,'Course 3'!$I36," ")</f>
        <v xml:space="preserve"> </v>
      </c>
      <c r="M38" s="8" t="str">
        <f>IF('Course 3'!$H36='tab3'!M$3,'Course 3'!$I36," ")</f>
        <v xml:space="preserve"> </v>
      </c>
      <c r="N38" s="9" t="str">
        <f>IF('Course 3'!$H36='tab3'!N$3,'Course 3'!$I36," ")</f>
        <v xml:space="preserve"> </v>
      </c>
    </row>
    <row r="39" spans="2:14">
      <c r="B39">
        <v>35</v>
      </c>
      <c r="C39" s="7" t="str">
        <f>IF('Course 3'!$H37='tab3'!C$3,'Course 3'!$I37," ")</f>
        <v xml:space="preserve"> </v>
      </c>
      <c r="D39" s="8" t="str">
        <f>IF('Course 3'!$H37='tab3'!D$3,'Course 3'!$I37," ")</f>
        <v xml:space="preserve"> </v>
      </c>
      <c r="E39" s="8" t="str">
        <f>IF('Course 3'!$H37='tab3'!E$3,'Course 3'!$I37," ")</f>
        <v xml:space="preserve"> </v>
      </c>
      <c r="F39" s="8" t="str">
        <f>IF('Course 3'!$H37='tab3'!F$3,'Course 3'!$I37," ")</f>
        <v xml:space="preserve"> </v>
      </c>
      <c r="G39" s="8" t="str">
        <f>IF('Course 3'!$H37='tab3'!G$3,'Course 3'!$I37," ")</f>
        <v xml:space="preserve"> </v>
      </c>
      <c r="H39" s="8" t="str">
        <f>IF('Course 3'!$H37='tab3'!H$3,'Course 3'!$I37," ")</f>
        <v xml:space="preserve"> </v>
      </c>
      <c r="I39" s="8" t="str">
        <f>IF('Course 3'!$H37='tab3'!I$3,'Course 3'!$I37," ")</f>
        <v xml:space="preserve"> </v>
      </c>
      <c r="J39" s="8" t="str">
        <f>IF('Course 3'!$H37='tab3'!J$3,'Course 3'!$I37," ")</f>
        <v xml:space="preserve"> </v>
      </c>
      <c r="K39" s="8" t="str">
        <f>IF('Course 3'!$H37='tab3'!K$3,'Course 3'!$I37," ")</f>
        <v xml:space="preserve"> </v>
      </c>
      <c r="L39" s="8" t="str">
        <f>IF('Course 3'!$H37='tab3'!L$3,'Course 3'!$I37," ")</f>
        <v xml:space="preserve"> </v>
      </c>
      <c r="M39" s="8" t="str">
        <f>IF('Course 3'!$H37='tab3'!M$3,'Course 3'!$I37," ")</f>
        <v xml:space="preserve"> </v>
      </c>
      <c r="N39" s="9" t="str">
        <f>IF('Course 3'!$H37='tab3'!N$3,'Course 3'!$I37," ")</f>
        <v xml:space="preserve"> </v>
      </c>
    </row>
    <row r="40" spans="2:14">
      <c r="B40">
        <v>36</v>
      </c>
      <c r="C40" s="7" t="str">
        <f>IF('Course 3'!$H38='tab3'!C$3,'Course 3'!$I38," ")</f>
        <v xml:space="preserve"> </v>
      </c>
      <c r="D40" s="8" t="str">
        <f>IF('Course 3'!$H38='tab3'!D$3,'Course 3'!$I38," ")</f>
        <v xml:space="preserve"> </v>
      </c>
      <c r="E40" s="8" t="str">
        <f>IF('Course 3'!$H38='tab3'!E$3,'Course 3'!$I38," ")</f>
        <v xml:space="preserve"> </v>
      </c>
      <c r="F40" s="8" t="str">
        <f>IF('Course 3'!$H38='tab3'!F$3,'Course 3'!$I38," ")</f>
        <v xml:space="preserve"> </v>
      </c>
      <c r="G40" s="8" t="str">
        <f>IF('Course 3'!$H38='tab3'!G$3,'Course 3'!$I38," ")</f>
        <v xml:space="preserve"> </v>
      </c>
      <c r="H40" s="8" t="str">
        <f>IF('Course 3'!$H38='tab3'!H$3,'Course 3'!$I38," ")</f>
        <v xml:space="preserve"> </v>
      </c>
      <c r="I40" s="8" t="str">
        <f>IF('Course 3'!$H38='tab3'!I$3,'Course 3'!$I38," ")</f>
        <v xml:space="preserve"> </v>
      </c>
      <c r="J40" s="8" t="str">
        <f>IF('Course 3'!$H38='tab3'!J$3,'Course 3'!$I38," ")</f>
        <v xml:space="preserve"> </v>
      </c>
      <c r="K40" s="8" t="str">
        <f>IF('Course 3'!$H38='tab3'!K$3,'Course 3'!$I38," ")</f>
        <v xml:space="preserve"> </v>
      </c>
      <c r="L40" s="8" t="str">
        <f>IF('Course 3'!$H38='tab3'!L$3,'Course 3'!$I38," ")</f>
        <v xml:space="preserve"> </v>
      </c>
      <c r="M40" s="8" t="str">
        <f>IF('Course 3'!$H38='tab3'!M$3,'Course 3'!$I38," ")</f>
        <v xml:space="preserve"> </v>
      </c>
      <c r="N40" s="9" t="str">
        <f>IF('Course 3'!$H38='tab3'!N$3,'Course 3'!$I38," ")</f>
        <v xml:space="preserve"> </v>
      </c>
    </row>
    <row r="41" spans="2:14">
      <c r="B41">
        <v>37</v>
      </c>
      <c r="C41" s="7" t="str">
        <f>IF('Course 3'!$H39='tab3'!C$3,'Course 3'!$I39," ")</f>
        <v xml:space="preserve"> </v>
      </c>
      <c r="D41" s="8" t="str">
        <f>IF('Course 3'!$H39='tab3'!D$3,'Course 3'!$I39," ")</f>
        <v xml:space="preserve"> </v>
      </c>
      <c r="E41" s="8" t="str">
        <f>IF('Course 3'!$H39='tab3'!E$3,'Course 3'!$I39," ")</f>
        <v xml:space="preserve"> </v>
      </c>
      <c r="F41" s="8" t="str">
        <f>IF('Course 3'!$H39='tab3'!F$3,'Course 3'!$I39," ")</f>
        <v xml:space="preserve"> </v>
      </c>
      <c r="G41" s="8" t="str">
        <f>IF('Course 3'!$H39='tab3'!G$3,'Course 3'!$I39," ")</f>
        <v xml:space="preserve"> </v>
      </c>
      <c r="H41" s="8" t="str">
        <f>IF('Course 3'!$H39='tab3'!H$3,'Course 3'!$I39," ")</f>
        <v xml:space="preserve"> </v>
      </c>
      <c r="I41" s="8" t="str">
        <f>IF('Course 3'!$H39='tab3'!I$3,'Course 3'!$I39," ")</f>
        <v xml:space="preserve"> </v>
      </c>
      <c r="J41" s="8" t="str">
        <f>IF('Course 3'!$H39='tab3'!J$3,'Course 3'!$I39," ")</f>
        <v xml:space="preserve"> </v>
      </c>
      <c r="K41" s="8" t="str">
        <f>IF('Course 3'!$H39='tab3'!K$3,'Course 3'!$I39," ")</f>
        <v xml:space="preserve"> </v>
      </c>
      <c r="L41" s="8" t="str">
        <f>IF('Course 3'!$H39='tab3'!L$3,'Course 3'!$I39," ")</f>
        <v xml:space="preserve"> </v>
      </c>
      <c r="M41" s="8" t="str">
        <f>IF('Course 3'!$H39='tab3'!M$3,'Course 3'!$I39," ")</f>
        <v xml:space="preserve"> </v>
      </c>
      <c r="N41" s="9" t="str">
        <f>IF('Course 3'!$H39='tab3'!N$3,'Course 3'!$I39," ")</f>
        <v xml:space="preserve"> </v>
      </c>
    </row>
    <row r="42" spans="2:14">
      <c r="B42">
        <v>38</v>
      </c>
      <c r="C42" s="7" t="str">
        <f>IF('Course 3'!$H40='tab3'!C$3,'Course 3'!$I40," ")</f>
        <v xml:space="preserve"> </v>
      </c>
      <c r="D42" s="8" t="str">
        <f>IF('Course 3'!$H40='tab3'!D$3,'Course 3'!$I40," ")</f>
        <v xml:space="preserve"> </v>
      </c>
      <c r="E42" s="8" t="str">
        <f>IF('Course 3'!$H40='tab3'!E$3,'Course 3'!$I40," ")</f>
        <v xml:space="preserve"> </v>
      </c>
      <c r="F42" s="8" t="str">
        <f>IF('Course 3'!$H40='tab3'!F$3,'Course 3'!$I40," ")</f>
        <v xml:space="preserve"> </v>
      </c>
      <c r="G42" s="8" t="str">
        <f>IF('Course 3'!$H40='tab3'!G$3,'Course 3'!$I40," ")</f>
        <v xml:space="preserve"> </v>
      </c>
      <c r="H42" s="8" t="str">
        <f>IF('Course 3'!$H40='tab3'!H$3,'Course 3'!$I40," ")</f>
        <v xml:space="preserve"> </v>
      </c>
      <c r="I42" s="8" t="str">
        <f>IF('Course 3'!$H40='tab3'!I$3,'Course 3'!$I40," ")</f>
        <v xml:space="preserve"> </v>
      </c>
      <c r="J42" s="8" t="str">
        <f>IF('Course 3'!$H40='tab3'!J$3,'Course 3'!$I40," ")</f>
        <v xml:space="preserve"> </v>
      </c>
      <c r="K42" s="8" t="str">
        <f>IF('Course 3'!$H40='tab3'!K$3,'Course 3'!$I40," ")</f>
        <v xml:space="preserve"> </v>
      </c>
      <c r="L42" s="8" t="str">
        <f>IF('Course 3'!$H40='tab3'!L$3,'Course 3'!$I40," ")</f>
        <v xml:space="preserve"> </v>
      </c>
      <c r="M42" s="8" t="str">
        <f>IF('Course 3'!$H40='tab3'!M$3,'Course 3'!$I40," ")</f>
        <v xml:space="preserve"> </v>
      </c>
      <c r="N42" s="9" t="str">
        <f>IF('Course 3'!$H40='tab3'!N$3,'Course 3'!$I40," ")</f>
        <v xml:space="preserve"> </v>
      </c>
    </row>
    <row r="43" spans="2:14">
      <c r="B43">
        <v>39</v>
      </c>
      <c r="C43" s="7" t="str">
        <f>IF('Course 3'!$H41='tab3'!C$3,'Course 3'!$I41," ")</f>
        <v xml:space="preserve"> </v>
      </c>
      <c r="D43" s="8" t="str">
        <f>IF('Course 3'!$H41='tab3'!D$3,'Course 3'!$I41," ")</f>
        <v xml:space="preserve"> </v>
      </c>
      <c r="E43" s="8" t="str">
        <f>IF('Course 3'!$H41='tab3'!E$3,'Course 3'!$I41," ")</f>
        <v xml:space="preserve"> </v>
      </c>
      <c r="F43" s="8" t="str">
        <f>IF('Course 3'!$H41='tab3'!F$3,'Course 3'!$I41," ")</f>
        <v xml:space="preserve"> </v>
      </c>
      <c r="G43" s="8" t="str">
        <f>IF('Course 3'!$H41='tab3'!G$3,'Course 3'!$I41," ")</f>
        <v xml:space="preserve"> </v>
      </c>
      <c r="H43" s="8" t="str">
        <f>IF('Course 3'!$H41='tab3'!H$3,'Course 3'!$I41," ")</f>
        <v xml:space="preserve"> </v>
      </c>
      <c r="I43" s="8" t="str">
        <f>IF('Course 3'!$H41='tab3'!I$3,'Course 3'!$I41," ")</f>
        <v xml:space="preserve"> </v>
      </c>
      <c r="J43" s="8" t="str">
        <f>IF('Course 3'!$H41='tab3'!J$3,'Course 3'!$I41," ")</f>
        <v xml:space="preserve"> </v>
      </c>
      <c r="K43" s="8" t="str">
        <f>IF('Course 3'!$H41='tab3'!K$3,'Course 3'!$I41," ")</f>
        <v xml:space="preserve"> </v>
      </c>
      <c r="L43" s="8" t="str">
        <f>IF('Course 3'!$H41='tab3'!L$3,'Course 3'!$I41," ")</f>
        <v xml:space="preserve"> </v>
      </c>
      <c r="M43" s="8" t="str">
        <f>IF('Course 3'!$H41='tab3'!M$3,'Course 3'!$I41," ")</f>
        <v xml:space="preserve"> </v>
      </c>
      <c r="N43" s="9" t="str">
        <f>IF('Course 3'!$H41='tab3'!N$3,'Course 3'!$I41," ")</f>
        <v xml:space="preserve"> </v>
      </c>
    </row>
    <row r="44" spans="2:14">
      <c r="B44">
        <v>40</v>
      </c>
      <c r="C44" s="7" t="str">
        <f>IF('Course 3'!$H42='tab3'!C$3,'Course 3'!$I42," ")</f>
        <v xml:space="preserve"> </v>
      </c>
      <c r="D44" s="8" t="str">
        <f>IF('Course 3'!$H42='tab3'!D$3,'Course 3'!$I42," ")</f>
        <v xml:space="preserve"> </v>
      </c>
      <c r="E44" s="8" t="str">
        <f>IF('Course 3'!$H42='tab3'!E$3,'Course 3'!$I42," ")</f>
        <v xml:space="preserve"> </v>
      </c>
      <c r="F44" s="8" t="str">
        <f>IF('Course 3'!$H42='tab3'!F$3,'Course 3'!$I42," ")</f>
        <v xml:space="preserve"> </v>
      </c>
      <c r="G44" s="8" t="str">
        <f>IF('Course 3'!$H42='tab3'!G$3,'Course 3'!$I42," ")</f>
        <v xml:space="preserve"> </v>
      </c>
      <c r="H44" s="8" t="str">
        <f>IF('Course 3'!$H42='tab3'!H$3,'Course 3'!$I42," ")</f>
        <v xml:space="preserve"> </v>
      </c>
      <c r="I44" s="8" t="str">
        <f>IF('Course 3'!$H42='tab3'!I$3,'Course 3'!$I42," ")</f>
        <v xml:space="preserve"> </v>
      </c>
      <c r="J44" s="8" t="str">
        <f>IF('Course 3'!$H42='tab3'!J$3,'Course 3'!$I42," ")</f>
        <v xml:space="preserve"> </v>
      </c>
      <c r="K44" s="8" t="str">
        <f>IF('Course 3'!$H42='tab3'!K$3,'Course 3'!$I42," ")</f>
        <v xml:space="preserve"> </v>
      </c>
      <c r="L44" s="8" t="str">
        <f>IF('Course 3'!$H42='tab3'!L$3,'Course 3'!$I42," ")</f>
        <v xml:space="preserve"> </v>
      </c>
      <c r="M44" s="8" t="str">
        <f>IF('Course 3'!$H42='tab3'!M$3,'Course 3'!$I42," ")</f>
        <v xml:space="preserve"> </v>
      </c>
      <c r="N44" s="9" t="str">
        <f>IF('Course 3'!$H42='tab3'!N$3,'Course 3'!$I42," ")</f>
        <v xml:space="preserve"> </v>
      </c>
    </row>
    <row r="45" spans="2:14">
      <c r="B45">
        <v>41</v>
      </c>
      <c r="C45" s="7" t="str">
        <f>IF('Course 3'!$H43='tab3'!C$3,'Course 3'!$I43," ")</f>
        <v xml:space="preserve"> </v>
      </c>
      <c r="D45" s="8" t="str">
        <f>IF('Course 3'!$H43='tab3'!D$3,'Course 3'!$I43," ")</f>
        <v xml:space="preserve"> </v>
      </c>
      <c r="E45" s="8" t="str">
        <f>IF('Course 3'!$H43='tab3'!E$3,'Course 3'!$I43," ")</f>
        <v xml:space="preserve"> </v>
      </c>
      <c r="F45" s="8" t="str">
        <f>IF('Course 3'!$H43='tab3'!F$3,'Course 3'!$I43," ")</f>
        <v xml:space="preserve"> </v>
      </c>
      <c r="G45" s="8" t="str">
        <f>IF('Course 3'!$H43='tab3'!G$3,'Course 3'!$I43," ")</f>
        <v xml:space="preserve"> </v>
      </c>
      <c r="H45" s="8" t="str">
        <f>IF('Course 3'!$H43='tab3'!H$3,'Course 3'!$I43," ")</f>
        <v xml:space="preserve"> </v>
      </c>
      <c r="I45" s="8" t="str">
        <f>IF('Course 3'!$H43='tab3'!I$3,'Course 3'!$I43," ")</f>
        <v xml:space="preserve"> </v>
      </c>
      <c r="J45" s="8" t="str">
        <f>IF('Course 3'!$H43='tab3'!J$3,'Course 3'!$I43," ")</f>
        <v xml:space="preserve"> </v>
      </c>
      <c r="K45" s="8" t="str">
        <f>IF('Course 3'!$H43='tab3'!K$3,'Course 3'!$I43," ")</f>
        <v xml:space="preserve"> </v>
      </c>
      <c r="L45" s="8" t="str">
        <f>IF('Course 3'!$H43='tab3'!L$3,'Course 3'!$I43," ")</f>
        <v xml:space="preserve"> </v>
      </c>
      <c r="M45" s="8" t="str">
        <f>IF('Course 3'!$H43='tab3'!M$3,'Course 3'!$I43," ")</f>
        <v xml:space="preserve"> </v>
      </c>
      <c r="N45" s="9" t="str">
        <f>IF('Course 3'!$H43='tab3'!N$3,'Course 3'!$I43," ")</f>
        <v xml:space="preserve"> </v>
      </c>
    </row>
    <row r="46" spans="2:14">
      <c r="B46">
        <v>42</v>
      </c>
      <c r="C46" s="7" t="str">
        <f>IF('Course 3'!$H44='tab3'!C$3,'Course 3'!$I44," ")</f>
        <v xml:space="preserve"> </v>
      </c>
      <c r="D46" s="8" t="str">
        <f>IF('Course 3'!$H44='tab3'!D$3,'Course 3'!$I44," ")</f>
        <v xml:space="preserve"> </v>
      </c>
      <c r="E46" s="8" t="str">
        <f>IF('Course 3'!$H44='tab3'!E$3,'Course 3'!$I44," ")</f>
        <v xml:space="preserve"> </v>
      </c>
      <c r="F46" s="8" t="str">
        <f>IF('Course 3'!$H44='tab3'!F$3,'Course 3'!$I44," ")</f>
        <v xml:space="preserve"> </v>
      </c>
      <c r="G46" s="8" t="str">
        <f>IF('Course 3'!$H44='tab3'!G$3,'Course 3'!$I44," ")</f>
        <v xml:space="preserve"> </v>
      </c>
      <c r="H46" s="8" t="str">
        <f>IF('Course 3'!$H44='tab3'!H$3,'Course 3'!$I44," ")</f>
        <v xml:space="preserve"> </v>
      </c>
      <c r="I46" s="8" t="str">
        <f>IF('Course 3'!$H44='tab3'!I$3,'Course 3'!$I44," ")</f>
        <v xml:space="preserve"> </v>
      </c>
      <c r="J46" s="8" t="str">
        <f>IF('Course 3'!$H44='tab3'!J$3,'Course 3'!$I44," ")</f>
        <v xml:space="preserve"> </v>
      </c>
      <c r="K46" s="8" t="str">
        <f>IF('Course 3'!$H44='tab3'!K$3,'Course 3'!$I44," ")</f>
        <v xml:space="preserve"> </v>
      </c>
      <c r="L46" s="8" t="str">
        <f>IF('Course 3'!$H44='tab3'!L$3,'Course 3'!$I44," ")</f>
        <v xml:space="preserve"> </v>
      </c>
      <c r="M46" s="8" t="str">
        <f>IF('Course 3'!$H44='tab3'!M$3,'Course 3'!$I44," ")</f>
        <v xml:space="preserve"> </v>
      </c>
      <c r="N46" s="9" t="str">
        <f>IF('Course 3'!$H44='tab3'!N$3,'Course 3'!$I44," ")</f>
        <v xml:space="preserve"> </v>
      </c>
    </row>
    <row r="47" spans="2:14">
      <c r="B47">
        <v>43</v>
      </c>
      <c r="C47" s="7" t="str">
        <f>IF('Course 3'!$H45='tab3'!C$3,'Course 3'!$I45," ")</f>
        <v xml:space="preserve"> </v>
      </c>
      <c r="D47" s="8" t="str">
        <f>IF('Course 3'!$H45='tab3'!D$3,'Course 3'!$I45," ")</f>
        <v xml:space="preserve"> </v>
      </c>
      <c r="E47" s="8" t="str">
        <f>IF('Course 3'!$H45='tab3'!E$3,'Course 3'!$I45," ")</f>
        <v xml:space="preserve"> </v>
      </c>
      <c r="F47" s="8" t="str">
        <f>IF('Course 3'!$H45='tab3'!F$3,'Course 3'!$I45," ")</f>
        <v xml:space="preserve"> </v>
      </c>
      <c r="G47" s="8" t="str">
        <f>IF('Course 3'!$H45='tab3'!G$3,'Course 3'!$I45," ")</f>
        <v xml:space="preserve"> </v>
      </c>
      <c r="H47" s="8" t="str">
        <f>IF('Course 3'!$H45='tab3'!H$3,'Course 3'!$I45," ")</f>
        <v xml:space="preserve"> </v>
      </c>
      <c r="I47" s="8" t="str">
        <f>IF('Course 3'!$H45='tab3'!I$3,'Course 3'!$I45," ")</f>
        <v xml:space="preserve"> </v>
      </c>
      <c r="J47" s="8" t="str">
        <f>IF('Course 3'!$H45='tab3'!J$3,'Course 3'!$I45," ")</f>
        <v xml:space="preserve"> </v>
      </c>
      <c r="K47" s="8" t="str">
        <f>IF('Course 3'!$H45='tab3'!K$3,'Course 3'!$I45," ")</f>
        <v xml:space="preserve"> </v>
      </c>
      <c r="L47" s="8" t="str">
        <f>IF('Course 3'!$H45='tab3'!L$3,'Course 3'!$I45," ")</f>
        <v xml:space="preserve"> </v>
      </c>
      <c r="M47" s="8" t="str">
        <f>IF('Course 3'!$H45='tab3'!M$3,'Course 3'!$I45," ")</f>
        <v xml:space="preserve"> </v>
      </c>
      <c r="N47" s="9" t="str">
        <f>IF('Course 3'!$H45='tab3'!N$3,'Course 3'!$I45," ")</f>
        <v xml:space="preserve"> </v>
      </c>
    </row>
    <row r="48" spans="2:14">
      <c r="B48">
        <v>44</v>
      </c>
      <c r="C48" s="7" t="str">
        <f>IF('Course 3'!$H46='tab3'!C$3,'Course 3'!$I46," ")</f>
        <v xml:space="preserve"> </v>
      </c>
      <c r="D48" s="8" t="str">
        <f>IF('Course 3'!$H46='tab3'!D$3,'Course 3'!$I46," ")</f>
        <v xml:space="preserve"> </v>
      </c>
      <c r="E48" s="8" t="str">
        <f>IF('Course 3'!$H46='tab3'!E$3,'Course 3'!$I46," ")</f>
        <v xml:space="preserve"> </v>
      </c>
      <c r="F48" s="8" t="str">
        <f>IF('Course 3'!$H46='tab3'!F$3,'Course 3'!$I46," ")</f>
        <v xml:space="preserve"> </v>
      </c>
      <c r="G48" s="8" t="str">
        <f>IF('Course 3'!$H46='tab3'!G$3,'Course 3'!$I46," ")</f>
        <v xml:space="preserve"> </v>
      </c>
      <c r="H48" s="8" t="str">
        <f>IF('Course 3'!$H46='tab3'!H$3,'Course 3'!$I46," ")</f>
        <v xml:space="preserve"> </v>
      </c>
      <c r="I48" s="8" t="str">
        <f>IF('Course 3'!$H46='tab3'!I$3,'Course 3'!$I46," ")</f>
        <v xml:space="preserve"> </v>
      </c>
      <c r="J48" s="8" t="str">
        <f>IF('Course 3'!$H46='tab3'!J$3,'Course 3'!$I46," ")</f>
        <v xml:space="preserve"> </v>
      </c>
      <c r="K48" s="8" t="str">
        <f>IF('Course 3'!$H46='tab3'!K$3,'Course 3'!$I46," ")</f>
        <v xml:space="preserve"> </v>
      </c>
      <c r="L48" s="8" t="str">
        <f>IF('Course 3'!$H46='tab3'!L$3,'Course 3'!$I46," ")</f>
        <v xml:space="preserve"> </v>
      </c>
      <c r="M48" s="8" t="str">
        <f>IF('Course 3'!$H46='tab3'!M$3,'Course 3'!$I46," ")</f>
        <v xml:space="preserve"> </v>
      </c>
      <c r="N48" s="9" t="str">
        <f>IF('Course 3'!$H46='tab3'!N$3,'Course 3'!$I46," ")</f>
        <v xml:space="preserve"> </v>
      </c>
    </row>
    <row r="49" spans="2:14">
      <c r="B49">
        <v>45</v>
      </c>
      <c r="C49" s="7" t="str">
        <f>IF('Course 3'!$H47='tab3'!C$3,'Course 3'!$I47," ")</f>
        <v xml:space="preserve"> </v>
      </c>
      <c r="D49" s="8" t="str">
        <f>IF('Course 3'!$H47='tab3'!D$3,'Course 3'!$I47," ")</f>
        <v xml:space="preserve"> </v>
      </c>
      <c r="E49" s="8" t="str">
        <f>IF('Course 3'!$H47='tab3'!E$3,'Course 3'!$I47," ")</f>
        <v xml:space="preserve"> </v>
      </c>
      <c r="F49" s="8" t="str">
        <f>IF('Course 3'!$H47='tab3'!F$3,'Course 3'!$I47," ")</f>
        <v xml:space="preserve"> </v>
      </c>
      <c r="G49" s="8" t="str">
        <f>IF('Course 3'!$H47='tab3'!G$3,'Course 3'!$I47," ")</f>
        <v xml:space="preserve"> </v>
      </c>
      <c r="H49" s="8" t="str">
        <f>IF('Course 3'!$H47='tab3'!H$3,'Course 3'!$I47," ")</f>
        <v xml:space="preserve"> </v>
      </c>
      <c r="I49" s="8" t="str">
        <f>IF('Course 3'!$H47='tab3'!I$3,'Course 3'!$I47," ")</f>
        <v xml:space="preserve"> </v>
      </c>
      <c r="J49" s="8" t="str">
        <f>IF('Course 3'!$H47='tab3'!J$3,'Course 3'!$I47," ")</f>
        <v xml:space="preserve"> </v>
      </c>
      <c r="K49" s="8" t="str">
        <f>IF('Course 3'!$H47='tab3'!K$3,'Course 3'!$I47," ")</f>
        <v xml:space="preserve"> </v>
      </c>
      <c r="L49" s="8" t="str">
        <f>IF('Course 3'!$H47='tab3'!L$3,'Course 3'!$I47," ")</f>
        <v xml:space="preserve"> </v>
      </c>
      <c r="M49" s="8" t="str">
        <f>IF('Course 3'!$H47='tab3'!M$3,'Course 3'!$I47," ")</f>
        <v xml:space="preserve"> </v>
      </c>
      <c r="N49" s="9" t="str">
        <f>IF('Course 3'!$H47='tab3'!N$3,'Course 3'!$I47," ")</f>
        <v xml:space="preserve"> </v>
      </c>
    </row>
    <row r="50" spans="2:14">
      <c r="B50">
        <v>46</v>
      </c>
      <c r="C50" s="7" t="str">
        <f>IF('Course 3'!$H48='tab3'!C$3,'Course 3'!$I48," ")</f>
        <v xml:space="preserve"> </v>
      </c>
      <c r="D50" s="8" t="str">
        <f>IF('Course 3'!$H48='tab3'!D$3,'Course 3'!$I48," ")</f>
        <v xml:space="preserve"> </v>
      </c>
      <c r="E50" s="8" t="str">
        <f>IF('Course 3'!$H48='tab3'!E$3,'Course 3'!$I48," ")</f>
        <v xml:space="preserve"> </v>
      </c>
      <c r="F50" s="8" t="str">
        <f>IF('Course 3'!$H48='tab3'!F$3,'Course 3'!$I48," ")</f>
        <v xml:space="preserve"> </v>
      </c>
      <c r="G50" s="8" t="str">
        <f>IF('Course 3'!$H48='tab3'!G$3,'Course 3'!$I48," ")</f>
        <v xml:space="preserve"> </v>
      </c>
      <c r="H50" s="8" t="str">
        <f>IF('Course 3'!$H48='tab3'!H$3,'Course 3'!$I48," ")</f>
        <v xml:space="preserve"> </v>
      </c>
      <c r="I50" s="8" t="str">
        <f>IF('Course 3'!$H48='tab3'!I$3,'Course 3'!$I48," ")</f>
        <v xml:space="preserve"> </v>
      </c>
      <c r="J50" s="8" t="str">
        <f>IF('Course 3'!$H48='tab3'!J$3,'Course 3'!$I48," ")</f>
        <v xml:space="preserve"> </v>
      </c>
      <c r="K50" s="8" t="str">
        <f>IF('Course 3'!$H48='tab3'!K$3,'Course 3'!$I48," ")</f>
        <v xml:space="preserve"> </v>
      </c>
      <c r="L50" s="8" t="str">
        <f>IF('Course 3'!$H48='tab3'!L$3,'Course 3'!$I48," ")</f>
        <v xml:space="preserve"> </v>
      </c>
      <c r="M50" s="8" t="str">
        <f>IF('Course 3'!$H48='tab3'!M$3,'Course 3'!$I48," ")</f>
        <v xml:space="preserve"> </v>
      </c>
      <c r="N50" s="9" t="str">
        <f>IF('Course 3'!$H48='tab3'!N$3,'Course 3'!$I48," ")</f>
        <v xml:space="preserve"> </v>
      </c>
    </row>
    <row r="51" spans="2:14">
      <c r="B51">
        <v>47</v>
      </c>
      <c r="C51" s="7" t="str">
        <f>IF('Course 3'!$H49='tab3'!C$3,'Course 3'!$I49," ")</f>
        <v xml:space="preserve"> </v>
      </c>
      <c r="D51" s="8" t="str">
        <f>IF('Course 3'!$H49='tab3'!D$3,'Course 3'!$I49," ")</f>
        <v xml:space="preserve"> </v>
      </c>
      <c r="E51" s="8" t="str">
        <f>IF('Course 3'!$H49='tab3'!E$3,'Course 3'!$I49," ")</f>
        <v xml:space="preserve"> </v>
      </c>
      <c r="F51" s="8" t="str">
        <f>IF('Course 3'!$H49='tab3'!F$3,'Course 3'!$I49," ")</f>
        <v xml:space="preserve"> </v>
      </c>
      <c r="G51" s="8" t="str">
        <f>IF('Course 3'!$H49='tab3'!G$3,'Course 3'!$I49," ")</f>
        <v xml:space="preserve"> </v>
      </c>
      <c r="H51" s="8" t="str">
        <f>IF('Course 3'!$H49='tab3'!H$3,'Course 3'!$I49," ")</f>
        <v xml:space="preserve"> </v>
      </c>
      <c r="I51" s="8" t="str">
        <f>IF('Course 3'!$H49='tab3'!I$3,'Course 3'!$I49," ")</f>
        <v xml:space="preserve"> </v>
      </c>
      <c r="J51" s="8" t="str">
        <f>IF('Course 3'!$H49='tab3'!J$3,'Course 3'!$I49," ")</f>
        <v xml:space="preserve"> </v>
      </c>
      <c r="K51" s="8" t="str">
        <f>IF('Course 3'!$H49='tab3'!K$3,'Course 3'!$I49," ")</f>
        <v xml:space="preserve"> </v>
      </c>
      <c r="L51" s="8" t="str">
        <f>IF('Course 3'!$H49='tab3'!L$3,'Course 3'!$I49," ")</f>
        <v xml:space="preserve"> </v>
      </c>
      <c r="M51" s="8" t="str">
        <f>IF('Course 3'!$H49='tab3'!M$3,'Course 3'!$I49," ")</f>
        <v xml:space="preserve"> </v>
      </c>
      <c r="N51" s="9" t="str">
        <f>IF('Course 3'!$H49='tab3'!N$3,'Course 3'!$I49," ")</f>
        <v xml:space="preserve"> </v>
      </c>
    </row>
    <row r="52" spans="2:14">
      <c r="B52">
        <v>48</v>
      </c>
      <c r="C52" s="7" t="str">
        <f>IF('Course 3'!$H50='tab3'!C$3,'Course 3'!$I50," ")</f>
        <v xml:space="preserve"> </v>
      </c>
      <c r="D52" s="8" t="str">
        <f>IF('Course 3'!$H50='tab3'!D$3,'Course 3'!$I50," ")</f>
        <v xml:space="preserve"> </v>
      </c>
      <c r="E52" s="8" t="str">
        <f>IF('Course 3'!$H50='tab3'!E$3,'Course 3'!$I50," ")</f>
        <v xml:space="preserve"> </v>
      </c>
      <c r="F52" s="8" t="str">
        <f>IF('Course 3'!$H50='tab3'!F$3,'Course 3'!$I50," ")</f>
        <v xml:space="preserve"> </v>
      </c>
      <c r="G52" s="8" t="str">
        <f>IF('Course 3'!$H50='tab3'!G$3,'Course 3'!$I50," ")</f>
        <v xml:space="preserve"> </v>
      </c>
      <c r="H52" s="8" t="str">
        <f>IF('Course 3'!$H50='tab3'!H$3,'Course 3'!$I50," ")</f>
        <v xml:space="preserve"> </v>
      </c>
      <c r="I52" s="8" t="str">
        <f>IF('Course 3'!$H50='tab3'!I$3,'Course 3'!$I50," ")</f>
        <v xml:space="preserve"> </v>
      </c>
      <c r="J52" s="8" t="str">
        <f>IF('Course 3'!$H50='tab3'!J$3,'Course 3'!$I50," ")</f>
        <v xml:space="preserve"> </v>
      </c>
      <c r="K52" s="8" t="str">
        <f>IF('Course 3'!$H50='tab3'!K$3,'Course 3'!$I50," ")</f>
        <v xml:space="preserve"> </v>
      </c>
      <c r="L52" s="8" t="str">
        <f>IF('Course 3'!$H50='tab3'!L$3,'Course 3'!$I50," ")</f>
        <v xml:space="preserve"> </v>
      </c>
      <c r="M52" s="8" t="str">
        <f>IF('Course 3'!$H50='tab3'!M$3,'Course 3'!$I50," ")</f>
        <v xml:space="preserve"> </v>
      </c>
      <c r="N52" s="9" t="str">
        <f>IF('Course 3'!$H50='tab3'!N$3,'Course 3'!$I50," ")</f>
        <v xml:space="preserve"> </v>
      </c>
    </row>
    <row r="53" spans="2:14">
      <c r="B53">
        <v>49</v>
      </c>
      <c r="C53" s="7" t="str">
        <f>IF('Course 3'!$H51='tab3'!C$3,'Course 3'!$I51," ")</f>
        <v xml:space="preserve"> </v>
      </c>
      <c r="D53" s="8" t="str">
        <f>IF('Course 3'!$H51='tab3'!D$3,'Course 3'!$I51," ")</f>
        <v xml:space="preserve"> </v>
      </c>
      <c r="E53" s="8" t="str">
        <f>IF('Course 3'!$H51='tab3'!E$3,'Course 3'!$I51," ")</f>
        <v xml:space="preserve"> </v>
      </c>
      <c r="F53" s="8" t="str">
        <f>IF('Course 3'!$H51='tab3'!F$3,'Course 3'!$I51," ")</f>
        <v xml:space="preserve"> </v>
      </c>
      <c r="G53" s="8" t="str">
        <f>IF('Course 3'!$H51='tab3'!G$3,'Course 3'!$I51," ")</f>
        <v xml:space="preserve"> </v>
      </c>
      <c r="H53" s="8" t="str">
        <f>IF('Course 3'!$H51='tab3'!H$3,'Course 3'!$I51," ")</f>
        <v xml:space="preserve"> </v>
      </c>
      <c r="I53" s="8" t="str">
        <f>IF('Course 3'!$H51='tab3'!I$3,'Course 3'!$I51," ")</f>
        <v xml:space="preserve"> </v>
      </c>
      <c r="J53" s="8" t="str">
        <f>IF('Course 3'!$H51='tab3'!J$3,'Course 3'!$I51," ")</f>
        <v xml:space="preserve"> </v>
      </c>
      <c r="K53" s="8" t="str">
        <f>IF('Course 3'!$H51='tab3'!K$3,'Course 3'!$I51," ")</f>
        <v xml:space="preserve"> </v>
      </c>
      <c r="L53" s="8" t="str">
        <f>IF('Course 3'!$H51='tab3'!L$3,'Course 3'!$I51," ")</f>
        <v xml:space="preserve"> </v>
      </c>
      <c r="M53" s="8" t="str">
        <f>IF('Course 3'!$H51='tab3'!M$3,'Course 3'!$I51," ")</f>
        <v xml:space="preserve"> </v>
      </c>
      <c r="N53" s="9" t="str">
        <f>IF('Course 3'!$H51='tab3'!N$3,'Course 3'!$I51," ")</f>
        <v xml:space="preserve"> </v>
      </c>
    </row>
    <row r="54" spans="2:14">
      <c r="B54">
        <v>50</v>
      </c>
      <c r="C54" s="7" t="str">
        <f>IF('Course 3'!$H52='tab3'!C$3,'Course 3'!$I52," ")</f>
        <v xml:space="preserve"> </v>
      </c>
      <c r="D54" s="8" t="str">
        <f>IF('Course 3'!$H52='tab3'!D$3,'Course 3'!$I52," ")</f>
        <v xml:space="preserve"> </v>
      </c>
      <c r="E54" s="8" t="str">
        <f>IF('Course 3'!$H52='tab3'!E$3,'Course 3'!$I52," ")</f>
        <v xml:space="preserve"> </v>
      </c>
      <c r="F54" s="8" t="str">
        <f>IF('Course 3'!$H52='tab3'!F$3,'Course 3'!$I52," ")</f>
        <v xml:space="preserve"> </v>
      </c>
      <c r="G54" s="8" t="str">
        <f>IF('Course 3'!$H52='tab3'!G$3,'Course 3'!$I52," ")</f>
        <v xml:space="preserve"> </v>
      </c>
      <c r="H54" s="8" t="str">
        <f>IF('Course 3'!$H52='tab3'!H$3,'Course 3'!$I52," ")</f>
        <v xml:space="preserve"> </v>
      </c>
      <c r="I54" s="8" t="str">
        <f>IF('Course 3'!$H52='tab3'!I$3,'Course 3'!$I52," ")</f>
        <v xml:space="preserve"> </v>
      </c>
      <c r="J54" s="8" t="str">
        <f>IF('Course 3'!$H52='tab3'!J$3,'Course 3'!$I52," ")</f>
        <v xml:space="preserve"> </v>
      </c>
      <c r="K54" s="8" t="str">
        <f>IF('Course 3'!$H52='tab3'!K$3,'Course 3'!$I52," ")</f>
        <v xml:space="preserve"> </v>
      </c>
      <c r="L54" s="8" t="str">
        <f>IF('Course 3'!$H52='tab3'!L$3,'Course 3'!$I52," ")</f>
        <v xml:space="preserve"> </v>
      </c>
      <c r="M54" s="8" t="str">
        <f>IF('Course 3'!$H52='tab3'!M$3,'Course 3'!$I52," ")</f>
        <v xml:space="preserve"> </v>
      </c>
      <c r="N54" s="9" t="str">
        <f>IF('Course 3'!$H52='tab3'!N$3,'Course 3'!$I52," ")</f>
        <v xml:space="preserve"> </v>
      </c>
    </row>
    <row r="55" spans="2:14">
      <c r="B55">
        <v>51</v>
      </c>
      <c r="C55" s="7" t="str">
        <f>IF('Course 3'!$H53='tab3'!C$3,'Course 3'!$I53," ")</f>
        <v xml:space="preserve"> </v>
      </c>
      <c r="D55" s="8" t="str">
        <f>IF('Course 3'!$H53='tab3'!D$3,'Course 3'!$I53," ")</f>
        <v xml:space="preserve"> </v>
      </c>
      <c r="E55" s="8" t="str">
        <f>IF('Course 3'!$H53='tab3'!E$3,'Course 3'!$I53," ")</f>
        <v xml:space="preserve"> </v>
      </c>
      <c r="F55" s="8" t="str">
        <f>IF('Course 3'!$H53='tab3'!F$3,'Course 3'!$I53," ")</f>
        <v xml:space="preserve"> </v>
      </c>
      <c r="G55" s="8" t="str">
        <f>IF('Course 3'!$H53='tab3'!G$3,'Course 3'!$I53," ")</f>
        <v xml:space="preserve"> </v>
      </c>
      <c r="H55" s="8" t="str">
        <f>IF('Course 3'!$H53='tab3'!H$3,'Course 3'!$I53," ")</f>
        <v xml:space="preserve"> </v>
      </c>
      <c r="I55" s="8" t="str">
        <f>IF('Course 3'!$H53='tab3'!I$3,'Course 3'!$I53," ")</f>
        <v xml:space="preserve"> </v>
      </c>
      <c r="J55" s="8" t="str">
        <f>IF('Course 3'!$H53='tab3'!J$3,'Course 3'!$I53," ")</f>
        <v xml:space="preserve"> </v>
      </c>
      <c r="K55" s="8" t="str">
        <f>IF('Course 3'!$H53='tab3'!K$3,'Course 3'!$I53," ")</f>
        <v xml:space="preserve"> </v>
      </c>
      <c r="L55" s="8" t="str">
        <f>IF('Course 3'!$H53='tab3'!L$3,'Course 3'!$I53," ")</f>
        <v xml:space="preserve"> </v>
      </c>
      <c r="M55" s="8" t="str">
        <f>IF('Course 3'!$H53='tab3'!M$3,'Course 3'!$I53," ")</f>
        <v xml:space="preserve"> </v>
      </c>
      <c r="N55" s="9" t="str">
        <f>IF('Course 3'!$H53='tab3'!N$3,'Course 3'!$I53," ")</f>
        <v xml:space="preserve"> </v>
      </c>
    </row>
    <row r="56" spans="2:14">
      <c r="B56">
        <v>52</v>
      </c>
      <c r="C56" s="7" t="str">
        <f>IF('Course 3'!$H54='tab3'!C$3,'Course 3'!$I54," ")</f>
        <v xml:space="preserve"> </v>
      </c>
      <c r="D56" s="8" t="str">
        <f>IF('Course 3'!$H54='tab3'!D$3,'Course 3'!$I54," ")</f>
        <v xml:space="preserve"> </v>
      </c>
      <c r="E56" s="8" t="str">
        <f>IF('Course 3'!$H54='tab3'!E$3,'Course 3'!$I54," ")</f>
        <v xml:space="preserve"> </v>
      </c>
      <c r="F56" s="8" t="str">
        <f>IF('Course 3'!$H54='tab3'!F$3,'Course 3'!$I54," ")</f>
        <v xml:space="preserve"> </v>
      </c>
      <c r="G56" s="8" t="str">
        <f>IF('Course 3'!$H54='tab3'!G$3,'Course 3'!$I54," ")</f>
        <v xml:space="preserve"> </v>
      </c>
      <c r="H56" s="8" t="str">
        <f>IF('Course 3'!$H54='tab3'!H$3,'Course 3'!$I54," ")</f>
        <v xml:space="preserve"> </v>
      </c>
      <c r="I56" s="8" t="str">
        <f>IF('Course 3'!$H54='tab3'!I$3,'Course 3'!$I54," ")</f>
        <v xml:space="preserve"> </v>
      </c>
      <c r="J56" s="8" t="str">
        <f>IF('Course 3'!$H54='tab3'!J$3,'Course 3'!$I54," ")</f>
        <v xml:space="preserve"> </v>
      </c>
      <c r="K56" s="8" t="str">
        <f>IF('Course 3'!$H54='tab3'!K$3,'Course 3'!$I54," ")</f>
        <v xml:space="preserve"> </v>
      </c>
      <c r="L56" s="8" t="str">
        <f>IF('Course 3'!$H54='tab3'!L$3,'Course 3'!$I54," ")</f>
        <v xml:space="preserve"> </v>
      </c>
      <c r="M56" s="8" t="str">
        <f>IF('Course 3'!$H54='tab3'!M$3,'Course 3'!$I54," ")</f>
        <v xml:space="preserve"> </v>
      </c>
      <c r="N56" s="9" t="str">
        <f>IF('Course 3'!$H54='tab3'!N$3,'Course 3'!$I54," ")</f>
        <v xml:space="preserve"> </v>
      </c>
    </row>
    <row r="57" spans="2:14">
      <c r="B57">
        <v>53</v>
      </c>
      <c r="C57" s="7" t="str">
        <f>IF('Course 3'!$H55='tab3'!C$3,'Course 3'!$I55," ")</f>
        <v xml:space="preserve"> </v>
      </c>
      <c r="D57" s="8" t="str">
        <f>IF('Course 3'!$H55='tab3'!D$3,'Course 3'!$I55," ")</f>
        <v xml:space="preserve"> </v>
      </c>
      <c r="E57" s="8" t="str">
        <f>IF('Course 3'!$H55='tab3'!E$3,'Course 3'!$I55," ")</f>
        <v xml:space="preserve"> </v>
      </c>
      <c r="F57" s="8" t="str">
        <f>IF('Course 3'!$H55='tab3'!F$3,'Course 3'!$I55," ")</f>
        <v xml:space="preserve"> </v>
      </c>
      <c r="G57" s="8" t="str">
        <f>IF('Course 3'!$H55='tab3'!G$3,'Course 3'!$I55," ")</f>
        <v xml:space="preserve"> </v>
      </c>
      <c r="H57" s="8" t="str">
        <f>IF('Course 3'!$H55='tab3'!H$3,'Course 3'!$I55," ")</f>
        <v xml:space="preserve"> </v>
      </c>
      <c r="I57" s="8" t="str">
        <f>IF('Course 3'!$H55='tab3'!I$3,'Course 3'!$I55," ")</f>
        <v xml:space="preserve"> </v>
      </c>
      <c r="J57" s="8" t="str">
        <f>IF('Course 3'!$H55='tab3'!J$3,'Course 3'!$I55," ")</f>
        <v xml:space="preserve"> </v>
      </c>
      <c r="K57" s="8" t="str">
        <f>IF('Course 3'!$H55='tab3'!K$3,'Course 3'!$I55," ")</f>
        <v xml:space="preserve"> </v>
      </c>
      <c r="L57" s="8" t="str">
        <f>IF('Course 3'!$H55='tab3'!L$3,'Course 3'!$I55," ")</f>
        <v xml:space="preserve"> </v>
      </c>
      <c r="M57" s="8" t="str">
        <f>IF('Course 3'!$H55='tab3'!M$3,'Course 3'!$I55," ")</f>
        <v xml:space="preserve"> </v>
      </c>
      <c r="N57" s="9" t="str">
        <f>IF('Course 3'!$H55='tab3'!N$3,'Course 3'!$I55," ")</f>
        <v xml:space="preserve"> </v>
      </c>
    </row>
    <row r="58" spans="2:14">
      <c r="B58">
        <v>54</v>
      </c>
      <c r="C58" s="7" t="str">
        <f>IF('Course 3'!$H56='tab3'!C$3,'Course 3'!$I56," ")</f>
        <v xml:space="preserve"> </v>
      </c>
      <c r="D58" s="8" t="str">
        <f>IF('Course 3'!$H56='tab3'!D$3,'Course 3'!$I56," ")</f>
        <v xml:space="preserve"> </v>
      </c>
      <c r="E58" s="8" t="str">
        <f>IF('Course 3'!$H56='tab3'!E$3,'Course 3'!$I56," ")</f>
        <v xml:space="preserve"> </v>
      </c>
      <c r="F58" s="8" t="str">
        <f>IF('Course 3'!$H56='tab3'!F$3,'Course 3'!$I56," ")</f>
        <v xml:space="preserve"> </v>
      </c>
      <c r="G58" s="8" t="str">
        <f>IF('Course 3'!$H56='tab3'!G$3,'Course 3'!$I56," ")</f>
        <v xml:space="preserve"> </v>
      </c>
      <c r="H58" s="8" t="str">
        <f>IF('Course 3'!$H56='tab3'!H$3,'Course 3'!$I56," ")</f>
        <v xml:space="preserve"> </v>
      </c>
      <c r="I58" s="8" t="str">
        <f>IF('Course 3'!$H56='tab3'!I$3,'Course 3'!$I56," ")</f>
        <v xml:space="preserve"> </v>
      </c>
      <c r="J58" s="8" t="str">
        <f>IF('Course 3'!$H56='tab3'!J$3,'Course 3'!$I56," ")</f>
        <v xml:space="preserve"> </v>
      </c>
      <c r="K58" s="8" t="str">
        <f>IF('Course 3'!$H56='tab3'!K$3,'Course 3'!$I56," ")</f>
        <v xml:space="preserve"> </v>
      </c>
      <c r="L58" s="8" t="str">
        <f>IF('Course 3'!$H56='tab3'!L$3,'Course 3'!$I56," ")</f>
        <v xml:space="preserve"> </v>
      </c>
      <c r="M58" s="8" t="str">
        <f>IF('Course 3'!$H56='tab3'!M$3,'Course 3'!$I56," ")</f>
        <v xml:space="preserve"> </v>
      </c>
      <c r="N58" s="9" t="str">
        <f>IF('Course 3'!$H56='tab3'!N$3,'Course 3'!$I56," ")</f>
        <v xml:space="preserve"> </v>
      </c>
    </row>
    <row r="59" spans="2:14">
      <c r="B59">
        <v>55</v>
      </c>
      <c r="C59" s="7" t="str">
        <f>IF('Course 3'!$H57='tab3'!C$3,'Course 3'!$I57," ")</f>
        <v xml:space="preserve"> </v>
      </c>
      <c r="D59" s="8" t="str">
        <f>IF('Course 3'!$H57='tab3'!D$3,'Course 3'!$I57," ")</f>
        <v xml:space="preserve"> </v>
      </c>
      <c r="E59" s="8" t="str">
        <f>IF('Course 3'!$H57='tab3'!E$3,'Course 3'!$I57," ")</f>
        <v xml:space="preserve"> </v>
      </c>
      <c r="F59" s="8" t="str">
        <f>IF('Course 3'!$H57='tab3'!F$3,'Course 3'!$I57," ")</f>
        <v xml:space="preserve"> </v>
      </c>
      <c r="G59" s="8" t="str">
        <f>IF('Course 3'!$H57='tab3'!G$3,'Course 3'!$I57," ")</f>
        <v xml:space="preserve"> </v>
      </c>
      <c r="H59" s="8" t="str">
        <f>IF('Course 3'!$H57='tab3'!H$3,'Course 3'!$I57," ")</f>
        <v xml:space="preserve"> </v>
      </c>
      <c r="I59" s="8" t="str">
        <f>IF('Course 3'!$H57='tab3'!I$3,'Course 3'!$I57," ")</f>
        <v xml:space="preserve"> </v>
      </c>
      <c r="J59" s="8" t="str">
        <f>IF('Course 3'!$H57='tab3'!J$3,'Course 3'!$I57," ")</f>
        <v xml:space="preserve"> </v>
      </c>
      <c r="K59" s="8" t="str">
        <f>IF('Course 3'!$H57='tab3'!K$3,'Course 3'!$I57," ")</f>
        <v xml:space="preserve"> </v>
      </c>
      <c r="L59" s="8" t="str">
        <f>IF('Course 3'!$H57='tab3'!L$3,'Course 3'!$I57," ")</f>
        <v xml:space="preserve"> </v>
      </c>
      <c r="M59" s="8" t="str">
        <f>IF('Course 3'!$H57='tab3'!M$3,'Course 3'!$I57," ")</f>
        <v xml:space="preserve"> </v>
      </c>
      <c r="N59" s="9" t="str">
        <f>IF('Course 3'!$H57='tab3'!N$3,'Course 3'!$I57," ")</f>
        <v xml:space="preserve"> </v>
      </c>
    </row>
    <row r="60" spans="2:14">
      <c r="B60">
        <v>56</v>
      </c>
      <c r="C60" s="7" t="str">
        <f>IF('Course 3'!$H58='tab3'!C$3,'Course 3'!$I58," ")</f>
        <v xml:space="preserve"> </v>
      </c>
      <c r="D60" s="8" t="str">
        <f>IF('Course 3'!$H58='tab3'!D$3,'Course 3'!$I58," ")</f>
        <v xml:space="preserve"> </v>
      </c>
      <c r="E60" s="8" t="str">
        <f>IF('Course 3'!$H58='tab3'!E$3,'Course 3'!$I58," ")</f>
        <v xml:space="preserve"> </v>
      </c>
      <c r="F60" s="8" t="str">
        <f>IF('Course 3'!$H58='tab3'!F$3,'Course 3'!$I58," ")</f>
        <v xml:space="preserve"> </v>
      </c>
      <c r="G60" s="8" t="str">
        <f>IF('Course 3'!$H58='tab3'!G$3,'Course 3'!$I58," ")</f>
        <v xml:space="preserve"> </v>
      </c>
      <c r="H60" s="8" t="str">
        <f>IF('Course 3'!$H58='tab3'!H$3,'Course 3'!$I58," ")</f>
        <v xml:space="preserve"> </v>
      </c>
      <c r="I60" s="8" t="str">
        <f>IF('Course 3'!$H58='tab3'!I$3,'Course 3'!$I58," ")</f>
        <v xml:space="preserve"> </v>
      </c>
      <c r="J60" s="8" t="str">
        <f>IF('Course 3'!$H58='tab3'!J$3,'Course 3'!$I58," ")</f>
        <v xml:space="preserve"> </v>
      </c>
      <c r="K60" s="8" t="str">
        <f>IF('Course 3'!$H58='tab3'!K$3,'Course 3'!$I58," ")</f>
        <v xml:space="preserve"> </v>
      </c>
      <c r="L60" s="8" t="str">
        <f>IF('Course 3'!$H58='tab3'!L$3,'Course 3'!$I58," ")</f>
        <v xml:space="preserve"> </v>
      </c>
      <c r="M60" s="8" t="str">
        <f>IF('Course 3'!$H58='tab3'!M$3,'Course 3'!$I58," ")</f>
        <v xml:space="preserve"> </v>
      </c>
      <c r="N60" s="9" t="str">
        <f>IF('Course 3'!$H58='tab3'!N$3,'Course 3'!$I58," ")</f>
        <v xml:space="preserve"> </v>
      </c>
    </row>
    <row r="61" spans="2:14">
      <c r="B61">
        <v>57</v>
      </c>
      <c r="C61" s="7" t="str">
        <f>IF('Course 3'!$H59='tab3'!C$3,'Course 3'!$I59," ")</f>
        <v xml:space="preserve"> </v>
      </c>
      <c r="D61" s="8" t="str">
        <f>IF('Course 3'!$H59='tab3'!D$3,'Course 3'!$I59," ")</f>
        <v xml:space="preserve"> </v>
      </c>
      <c r="E61" s="8" t="str">
        <f>IF('Course 3'!$H59='tab3'!E$3,'Course 3'!$I59," ")</f>
        <v xml:space="preserve"> </v>
      </c>
      <c r="F61" s="8" t="str">
        <f>IF('Course 3'!$H59='tab3'!F$3,'Course 3'!$I59," ")</f>
        <v xml:space="preserve"> </v>
      </c>
      <c r="G61" s="8" t="str">
        <f>IF('Course 3'!$H59='tab3'!G$3,'Course 3'!$I59," ")</f>
        <v xml:space="preserve"> </v>
      </c>
      <c r="H61" s="8" t="str">
        <f>IF('Course 3'!$H59='tab3'!H$3,'Course 3'!$I59," ")</f>
        <v xml:space="preserve"> </v>
      </c>
      <c r="I61" s="8" t="str">
        <f>IF('Course 3'!$H59='tab3'!I$3,'Course 3'!$I59," ")</f>
        <v xml:space="preserve"> </v>
      </c>
      <c r="J61" s="8" t="str">
        <f>IF('Course 3'!$H59='tab3'!J$3,'Course 3'!$I59," ")</f>
        <v xml:space="preserve"> </v>
      </c>
      <c r="K61" s="8" t="str">
        <f>IF('Course 3'!$H59='tab3'!K$3,'Course 3'!$I59," ")</f>
        <v xml:space="preserve"> </v>
      </c>
      <c r="L61" s="8" t="str">
        <f>IF('Course 3'!$H59='tab3'!L$3,'Course 3'!$I59," ")</f>
        <v xml:space="preserve"> </v>
      </c>
      <c r="M61" s="8" t="str">
        <f>IF('Course 3'!$H59='tab3'!M$3,'Course 3'!$I59," ")</f>
        <v xml:space="preserve"> </v>
      </c>
      <c r="N61" s="9" t="str">
        <f>IF('Course 3'!$H59='tab3'!N$3,'Course 3'!$I59," ")</f>
        <v xml:space="preserve"> </v>
      </c>
    </row>
    <row r="62" spans="2:14">
      <c r="B62">
        <v>58</v>
      </c>
      <c r="C62" s="7" t="str">
        <f>IF('Course 3'!$H60='tab3'!C$3,'Course 3'!$I60," ")</f>
        <v xml:space="preserve"> </v>
      </c>
      <c r="D62" s="8" t="str">
        <f>IF('Course 3'!$H60='tab3'!D$3,'Course 3'!$I60," ")</f>
        <v xml:space="preserve"> </v>
      </c>
      <c r="E62" s="8" t="str">
        <f>IF('Course 3'!$H60='tab3'!E$3,'Course 3'!$I60," ")</f>
        <v xml:space="preserve"> </v>
      </c>
      <c r="F62" s="8" t="str">
        <f>IF('Course 3'!$H60='tab3'!F$3,'Course 3'!$I60," ")</f>
        <v xml:space="preserve"> </v>
      </c>
      <c r="G62" s="8" t="str">
        <f>IF('Course 3'!$H60='tab3'!G$3,'Course 3'!$I60," ")</f>
        <v xml:space="preserve"> </v>
      </c>
      <c r="H62" s="8" t="str">
        <f>IF('Course 3'!$H60='tab3'!H$3,'Course 3'!$I60," ")</f>
        <v xml:space="preserve"> </v>
      </c>
      <c r="I62" s="8" t="str">
        <f>IF('Course 3'!$H60='tab3'!I$3,'Course 3'!$I60," ")</f>
        <v xml:space="preserve"> </v>
      </c>
      <c r="J62" s="8" t="str">
        <f>IF('Course 3'!$H60='tab3'!J$3,'Course 3'!$I60," ")</f>
        <v xml:space="preserve"> </v>
      </c>
      <c r="K62" s="8" t="str">
        <f>IF('Course 3'!$H60='tab3'!K$3,'Course 3'!$I60," ")</f>
        <v xml:space="preserve"> </v>
      </c>
      <c r="L62" s="8" t="str">
        <f>IF('Course 3'!$H60='tab3'!L$3,'Course 3'!$I60," ")</f>
        <v xml:space="preserve"> </v>
      </c>
      <c r="M62" s="8" t="str">
        <f>IF('Course 3'!$H60='tab3'!M$3,'Course 3'!$I60," ")</f>
        <v xml:space="preserve"> </v>
      </c>
      <c r="N62" s="9" t="str">
        <f>IF('Course 3'!$H60='tab3'!N$3,'Course 3'!$I60," ")</f>
        <v xml:space="preserve"> </v>
      </c>
    </row>
    <row r="63" spans="2:14">
      <c r="B63">
        <v>59</v>
      </c>
      <c r="C63" s="7" t="str">
        <f>IF('Course 3'!$H61='tab3'!C$3,'Course 3'!$I61," ")</f>
        <v xml:space="preserve"> </v>
      </c>
      <c r="D63" s="8" t="str">
        <f>IF('Course 3'!$H61='tab3'!D$3,'Course 3'!$I61," ")</f>
        <v xml:space="preserve"> </v>
      </c>
      <c r="E63" s="8" t="str">
        <f>IF('Course 3'!$H61='tab3'!E$3,'Course 3'!$I61," ")</f>
        <v xml:space="preserve"> </v>
      </c>
      <c r="F63" s="8" t="str">
        <f>IF('Course 3'!$H61='tab3'!F$3,'Course 3'!$I61," ")</f>
        <v xml:space="preserve"> </v>
      </c>
      <c r="G63" s="8" t="str">
        <f>IF('Course 3'!$H61='tab3'!G$3,'Course 3'!$I61," ")</f>
        <v xml:space="preserve"> </v>
      </c>
      <c r="H63" s="8" t="str">
        <f>IF('Course 3'!$H61='tab3'!H$3,'Course 3'!$I61," ")</f>
        <v xml:space="preserve"> </v>
      </c>
      <c r="I63" s="8" t="str">
        <f>IF('Course 3'!$H61='tab3'!I$3,'Course 3'!$I61," ")</f>
        <v xml:space="preserve"> </v>
      </c>
      <c r="J63" s="8" t="str">
        <f>IF('Course 3'!$H61='tab3'!J$3,'Course 3'!$I61," ")</f>
        <v xml:space="preserve"> </v>
      </c>
      <c r="K63" s="8" t="str">
        <f>IF('Course 3'!$H61='tab3'!K$3,'Course 3'!$I61," ")</f>
        <v xml:space="preserve"> </v>
      </c>
      <c r="L63" s="8" t="str">
        <f>IF('Course 3'!$H61='tab3'!L$3,'Course 3'!$I61," ")</f>
        <v xml:space="preserve"> </v>
      </c>
      <c r="M63" s="8" t="str">
        <f>IF('Course 3'!$H61='tab3'!M$3,'Course 3'!$I61," ")</f>
        <v xml:space="preserve"> </v>
      </c>
      <c r="N63" s="9" t="str">
        <f>IF('Course 3'!$H61='tab3'!N$3,'Course 3'!$I61," ")</f>
        <v xml:space="preserve"> </v>
      </c>
    </row>
    <row r="64" spans="2:14">
      <c r="B64">
        <v>60</v>
      </c>
      <c r="C64" s="7" t="str">
        <f>IF('Course 3'!$H62='tab3'!C$3,'Course 3'!$I62," ")</f>
        <v xml:space="preserve"> </v>
      </c>
      <c r="D64" s="8" t="str">
        <f>IF('Course 3'!$H62='tab3'!D$3,'Course 3'!$I62," ")</f>
        <v xml:space="preserve"> </v>
      </c>
      <c r="E64" s="8" t="str">
        <f>IF('Course 3'!$H62='tab3'!E$3,'Course 3'!$I62," ")</f>
        <v xml:space="preserve"> </v>
      </c>
      <c r="F64" s="8" t="str">
        <f>IF('Course 3'!$H62='tab3'!F$3,'Course 3'!$I62," ")</f>
        <v xml:space="preserve"> </v>
      </c>
      <c r="G64" s="8" t="str">
        <f>IF('Course 3'!$H62='tab3'!G$3,'Course 3'!$I62," ")</f>
        <v xml:space="preserve"> </v>
      </c>
      <c r="H64" s="8" t="str">
        <f>IF('Course 3'!$H62='tab3'!H$3,'Course 3'!$I62," ")</f>
        <v xml:space="preserve"> </v>
      </c>
      <c r="I64" s="8" t="str">
        <f>IF('Course 3'!$H62='tab3'!I$3,'Course 3'!$I62," ")</f>
        <v xml:space="preserve"> </v>
      </c>
      <c r="J64" s="8" t="str">
        <f>IF('Course 3'!$H62='tab3'!J$3,'Course 3'!$I62," ")</f>
        <v xml:space="preserve"> </v>
      </c>
      <c r="K64" s="8" t="str">
        <f>IF('Course 3'!$H62='tab3'!K$3,'Course 3'!$I62," ")</f>
        <v xml:space="preserve"> </v>
      </c>
      <c r="L64" s="8" t="str">
        <f>IF('Course 3'!$H62='tab3'!L$3,'Course 3'!$I62," ")</f>
        <v xml:space="preserve"> </v>
      </c>
      <c r="M64" s="8" t="str">
        <f>IF('Course 3'!$H62='tab3'!M$3,'Course 3'!$I62," ")</f>
        <v xml:space="preserve"> </v>
      </c>
      <c r="N64" s="9" t="str">
        <f>IF('Course 3'!$H62='tab3'!N$3,'Course 3'!$I62," ")</f>
        <v xml:space="preserve"> </v>
      </c>
    </row>
    <row r="65" spans="2:14">
      <c r="B65">
        <v>61</v>
      </c>
      <c r="C65" s="7" t="str">
        <f>IF('Course 3'!$H63='tab3'!C$3,'Course 3'!$I63," ")</f>
        <v xml:space="preserve"> </v>
      </c>
      <c r="D65" s="8" t="str">
        <f>IF('Course 3'!$H63='tab3'!D$3,'Course 3'!$I63," ")</f>
        <v xml:space="preserve"> </v>
      </c>
      <c r="E65" s="8" t="str">
        <f>IF('Course 3'!$H63='tab3'!E$3,'Course 3'!$I63," ")</f>
        <v xml:space="preserve"> </v>
      </c>
      <c r="F65" s="8" t="str">
        <f>IF('Course 3'!$H63='tab3'!F$3,'Course 3'!$I63," ")</f>
        <v xml:space="preserve"> </v>
      </c>
      <c r="G65" s="8" t="str">
        <f>IF('Course 3'!$H63='tab3'!G$3,'Course 3'!$I63," ")</f>
        <v xml:space="preserve"> </v>
      </c>
      <c r="H65" s="8" t="str">
        <f>IF('Course 3'!$H63='tab3'!H$3,'Course 3'!$I63," ")</f>
        <v xml:space="preserve"> </v>
      </c>
      <c r="I65" s="8" t="str">
        <f>IF('Course 3'!$H63='tab3'!I$3,'Course 3'!$I63," ")</f>
        <v xml:space="preserve"> </v>
      </c>
      <c r="J65" s="8" t="str">
        <f>IF('Course 3'!$H63='tab3'!J$3,'Course 3'!$I63," ")</f>
        <v xml:space="preserve"> </v>
      </c>
      <c r="K65" s="8" t="str">
        <f>IF('Course 3'!$H63='tab3'!K$3,'Course 3'!$I63," ")</f>
        <v xml:space="preserve"> </v>
      </c>
      <c r="L65" s="8" t="str">
        <f>IF('Course 3'!$H63='tab3'!L$3,'Course 3'!$I63," ")</f>
        <v xml:space="preserve"> </v>
      </c>
      <c r="M65" s="8" t="str">
        <f>IF('Course 3'!$H63='tab3'!M$3,'Course 3'!$I63," ")</f>
        <v xml:space="preserve"> </v>
      </c>
      <c r="N65" s="9" t="str">
        <f>IF('Course 3'!$H63='tab3'!N$3,'Course 3'!$I63," ")</f>
        <v xml:space="preserve"> </v>
      </c>
    </row>
    <row r="66" spans="2:14">
      <c r="B66">
        <v>62</v>
      </c>
      <c r="C66" s="7" t="str">
        <f>IF('Course 3'!$H64='tab3'!C$3,'Course 3'!$I64," ")</f>
        <v xml:space="preserve"> </v>
      </c>
      <c r="D66" s="8" t="str">
        <f>IF('Course 3'!$H64='tab3'!D$3,'Course 3'!$I64," ")</f>
        <v xml:space="preserve"> </v>
      </c>
      <c r="E66" s="8" t="str">
        <f>IF('Course 3'!$H64='tab3'!E$3,'Course 3'!$I64," ")</f>
        <v xml:space="preserve"> </v>
      </c>
      <c r="F66" s="8" t="str">
        <f>IF('Course 3'!$H64='tab3'!F$3,'Course 3'!$I64," ")</f>
        <v xml:space="preserve"> </v>
      </c>
      <c r="G66" s="8" t="str">
        <f>IF('Course 3'!$H64='tab3'!G$3,'Course 3'!$I64," ")</f>
        <v xml:space="preserve"> </v>
      </c>
      <c r="H66" s="8" t="str">
        <f>IF('Course 3'!$H64='tab3'!H$3,'Course 3'!$I64," ")</f>
        <v xml:space="preserve"> </v>
      </c>
      <c r="I66" s="8" t="str">
        <f>IF('Course 3'!$H64='tab3'!I$3,'Course 3'!$I64," ")</f>
        <v xml:space="preserve"> </v>
      </c>
      <c r="J66" s="8" t="str">
        <f>IF('Course 3'!$H64='tab3'!J$3,'Course 3'!$I64," ")</f>
        <v xml:space="preserve"> </v>
      </c>
      <c r="K66" s="8" t="str">
        <f>IF('Course 3'!$H64='tab3'!K$3,'Course 3'!$I64," ")</f>
        <v xml:space="preserve"> </v>
      </c>
      <c r="L66" s="8" t="str">
        <f>IF('Course 3'!$H64='tab3'!L$3,'Course 3'!$I64," ")</f>
        <v xml:space="preserve"> </v>
      </c>
      <c r="M66" s="8" t="str">
        <f>IF('Course 3'!$H64='tab3'!M$3,'Course 3'!$I64," ")</f>
        <v xml:space="preserve"> </v>
      </c>
      <c r="N66" s="9" t="str">
        <f>IF('Course 3'!$H64='tab3'!N$3,'Course 3'!$I64," ")</f>
        <v xml:space="preserve"> </v>
      </c>
    </row>
    <row r="67" spans="2:14">
      <c r="B67">
        <v>63</v>
      </c>
      <c r="C67" s="7" t="str">
        <f>IF('Course 3'!$H65='tab3'!C$3,'Course 3'!$I65," ")</f>
        <v xml:space="preserve"> </v>
      </c>
      <c r="D67" s="8" t="str">
        <f>IF('Course 3'!$H65='tab3'!D$3,'Course 3'!$I65," ")</f>
        <v xml:space="preserve"> </v>
      </c>
      <c r="E67" s="8" t="str">
        <f>IF('Course 3'!$H65='tab3'!E$3,'Course 3'!$I65," ")</f>
        <v xml:space="preserve"> </v>
      </c>
      <c r="F67" s="8" t="str">
        <f>IF('Course 3'!$H65='tab3'!F$3,'Course 3'!$I65," ")</f>
        <v xml:space="preserve"> </v>
      </c>
      <c r="G67" s="8" t="str">
        <f>IF('Course 3'!$H65='tab3'!G$3,'Course 3'!$I65," ")</f>
        <v xml:space="preserve"> </v>
      </c>
      <c r="H67" s="8" t="str">
        <f>IF('Course 3'!$H65='tab3'!H$3,'Course 3'!$I65," ")</f>
        <v xml:space="preserve"> </v>
      </c>
      <c r="I67" s="8" t="str">
        <f>IF('Course 3'!$H65='tab3'!I$3,'Course 3'!$I65," ")</f>
        <v xml:space="preserve"> </v>
      </c>
      <c r="J67" s="8" t="str">
        <f>IF('Course 3'!$H65='tab3'!J$3,'Course 3'!$I65," ")</f>
        <v xml:space="preserve"> </v>
      </c>
      <c r="K67" s="8" t="str">
        <f>IF('Course 3'!$H65='tab3'!K$3,'Course 3'!$I65," ")</f>
        <v xml:space="preserve"> </v>
      </c>
      <c r="L67" s="8" t="str">
        <f>IF('Course 3'!$H65='tab3'!L$3,'Course 3'!$I65," ")</f>
        <v xml:space="preserve"> </v>
      </c>
      <c r="M67" s="8" t="str">
        <f>IF('Course 3'!$H65='tab3'!M$3,'Course 3'!$I65," ")</f>
        <v xml:space="preserve"> </v>
      </c>
      <c r="N67" s="9" t="str">
        <f>IF('Course 3'!$H65='tab3'!N$3,'Course 3'!$I65," ")</f>
        <v xml:space="preserve"> </v>
      </c>
    </row>
    <row r="68" spans="2:14">
      <c r="B68">
        <v>64</v>
      </c>
      <c r="C68" s="7" t="str">
        <f>IF('Course 3'!$H66='tab3'!C$3,'Course 3'!$I66," ")</f>
        <v xml:space="preserve"> </v>
      </c>
      <c r="D68" s="8" t="str">
        <f>IF('Course 3'!$H66='tab3'!D$3,'Course 3'!$I66," ")</f>
        <v xml:space="preserve"> </v>
      </c>
      <c r="E68" s="8" t="str">
        <f>IF('Course 3'!$H66='tab3'!E$3,'Course 3'!$I66," ")</f>
        <v xml:space="preserve"> </v>
      </c>
      <c r="F68" s="8" t="str">
        <f>IF('Course 3'!$H66='tab3'!F$3,'Course 3'!$I66," ")</f>
        <v xml:space="preserve"> </v>
      </c>
      <c r="G68" s="8" t="str">
        <f>IF('Course 3'!$H66='tab3'!G$3,'Course 3'!$I66," ")</f>
        <v xml:space="preserve"> </v>
      </c>
      <c r="H68" s="8" t="str">
        <f>IF('Course 3'!$H66='tab3'!H$3,'Course 3'!$I66," ")</f>
        <v xml:space="preserve"> </v>
      </c>
      <c r="I68" s="8" t="str">
        <f>IF('Course 3'!$H66='tab3'!I$3,'Course 3'!$I66," ")</f>
        <v xml:space="preserve"> </v>
      </c>
      <c r="J68" s="8" t="str">
        <f>IF('Course 3'!$H66='tab3'!J$3,'Course 3'!$I66," ")</f>
        <v xml:space="preserve"> </v>
      </c>
      <c r="K68" s="8" t="str">
        <f>IF('Course 3'!$H66='tab3'!K$3,'Course 3'!$I66," ")</f>
        <v xml:space="preserve"> </v>
      </c>
      <c r="L68" s="8" t="str">
        <f>IF('Course 3'!$H66='tab3'!L$3,'Course 3'!$I66," ")</f>
        <v xml:space="preserve"> </v>
      </c>
      <c r="M68" s="8" t="str">
        <f>IF('Course 3'!$H66='tab3'!M$3,'Course 3'!$I66," ")</f>
        <v xml:space="preserve"> </v>
      </c>
      <c r="N68" s="9" t="str">
        <f>IF('Course 3'!$H66='tab3'!N$3,'Course 3'!$I66," ")</f>
        <v xml:space="preserve"> </v>
      </c>
    </row>
    <row r="69" spans="2:14">
      <c r="B69">
        <v>65</v>
      </c>
      <c r="C69" s="7" t="str">
        <f>IF('Course 3'!$H67='tab3'!C$3,'Course 3'!$I67," ")</f>
        <v xml:space="preserve"> </v>
      </c>
      <c r="D69" s="8" t="str">
        <f>IF('Course 3'!$H67='tab3'!D$3,'Course 3'!$I67," ")</f>
        <v xml:space="preserve"> </v>
      </c>
      <c r="E69" s="8" t="str">
        <f>IF('Course 3'!$H67='tab3'!E$3,'Course 3'!$I67," ")</f>
        <v xml:space="preserve"> </v>
      </c>
      <c r="F69" s="8" t="str">
        <f>IF('Course 3'!$H67='tab3'!F$3,'Course 3'!$I67," ")</f>
        <v xml:space="preserve"> </v>
      </c>
      <c r="G69" s="8" t="str">
        <f>IF('Course 3'!$H67='tab3'!G$3,'Course 3'!$I67," ")</f>
        <v xml:space="preserve"> </v>
      </c>
      <c r="H69" s="8" t="str">
        <f>IF('Course 3'!$H67='tab3'!H$3,'Course 3'!$I67," ")</f>
        <v xml:space="preserve"> </v>
      </c>
      <c r="I69" s="8" t="str">
        <f>IF('Course 3'!$H67='tab3'!I$3,'Course 3'!$I67," ")</f>
        <v xml:space="preserve"> </v>
      </c>
      <c r="J69" s="8" t="str">
        <f>IF('Course 3'!$H67='tab3'!J$3,'Course 3'!$I67," ")</f>
        <v xml:space="preserve"> </v>
      </c>
      <c r="K69" s="8" t="str">
        <f>IF('Course 3'!$H67='tab3'!K$3,'Course 3'!$I67," ")</f>
        <v xml:space="preserve"> </v>
      </c>
      <c r="L69" s="8" t="str">
        <f>IF('Course 3'!$H67='tab3'!L$3,'Course 3'!$I67," ")</f>
        <v xml:space="preserve"> </v>
      </c>
      <c r="M69" s="8" t="str">
        <f>IF('Course 3'!$H67='tab3'!M$3,'Course 3'!$I67," ")</f>
        <v xml:space="preserve"> </v>
      </c>
      <c r="N69" s="9" t="str">
        <f>IF('Course 3'!$H67='tab3'!N$3,'Course 3'!$I67," ")</f>
        <v xml:space="preserve"> </v>
      </c>
    </row>
    <row r="70" spans="2:14">
      <c r="B70">
        <v>66</v>
      </c>
      <c r="C70" s="7" t="str">
        <f>IF('Course 3'!$H68='tab3'!C$3,'Course 3'!$I68," ")</f>
        <v xml:space="preserve"> </v>
      </c>
      <c r="D70" s="8" t="str">
        <f>IF('Course 3'!$H68='tab3'!D$3,'Course 3'!$I68," ")</f>
        <v xml:space="preserve"> </v>
      </c>
      <c r="E70" s="8" t="str">
        <f>IF('Course 3'!$H68='tab3'!E$3,'Course 3'!$I68," ")</f>
        <v xml:space="preserve"> </v>
      </c>
      <c r="F70" s="8" t="str">
        <f>IF('Course 3'!$H68='tab3'!F$3,'Course 3'!$I68," ")</f>
        <v xml:space="preserve"> </v>
      </c>
      <c r="G70" s="8" t="str">
        <f>IF('Course 3'!$H68='tab3'!G$3,'Course 3'!$I68," ")</f>
        <v xml:space="preserve"> </v>
      </c>
      <c r="H70" s="8" t="str">
        <f>IF('Course 3'!$H68='tab3'!H$3,'Course 3'!$I68," ")</f>
        <v xml:space="preserve"> </v>
      </c>
      <c r="I70" s="8" t="str">
        <f>IF('Course 3'!$H68='tab3'!I$3,'Course 3'!$I68," ")</f>
        <v xml:space="preserve"> </v>
      </c>
      <c r="J70" s="8" t="str">
        <f>IF('Course 3'!$H68='tab3'!J$3,'Course 3'!$I68," ")</f>
        <v xml:space="preserve"> </v>
      </c>
      <c r="K70" s="8" t="str">
        <f>IF('Course 3'!$H68='tab3'!K$3,'Course 3'!$I68," ")</f>
        <v xml:space="preserve"> </v>
      </c>
      <c r="L70" s="8" t="str">
        <f>IF('Course 3'!$H68='tab3'!L$3,'Course 3'!$I68," ")</f>
        <v xml:space="preserve"> </v>
      </c>
      <c r="M70" s="8" t="str">
        <f>IF('Course 3'!$H68='tab3'!M$3,'Course 3'!$I68," ")</f>
        <v xml:space="preserve"> </v>
      </c>
      <c r="N70" s="9" t="str">
        <f>IF('Course 3'!$H68='tab3'!N$3,'Course 3'!$I68," ")</f>
        <v xml:space="preserve"> </v>
      </c>
    </row>
    <row r="71" spans="2:14">
      <c r="B71">
        <v>67</v>
      </c>
      <c r="C71" s="7" t="str">
        <f>IF('Course 3'!$H69='tab3'!C$3,'Course 3'!$I69," ")</f>
        <v xml:space="preserve"> </v>
      </c>
      <c r="D71" s="8" t="str">
        <f>IF('Course 3'!$H69='tab3'!D$3,'Course 3'!$I69," ")</f>
        <v xml:space="preserve"> </v>
      </c>
      <c r="E71" s="8" t="str">
        <f>IF('Course 3'!$H69='tab3'!E$3,'Course 3'!$I69," ")</f>
        <v xml:space="preserve"> </v>
      </c>
      <c r="F71" s="8" t="str">
        <f>IF('Course 3'!$H69='tab3'!F$3,'Course 3'!$I69," ")</f>
        <v xml:space="preserve"> </v>
      </c>
      <c r="G71" s="8" t="str">
        <f>IF('Course 3'!$H69='tab3'!G$3,'Course 3'!$I69," ")</f>
        <v xml:space="preserve"> </v>
      </c>
      <c r="H71" s="8" t="str">
        <f>IF('Course 3'!$H69='tab3'!H$3,'Course 3'!$I69," ")</f>
        <v xml:space="preserve"> </v>
      </c>
      <c r="I71" s="8" t="str">
        <f>IF('Course 3'!$H69='tab3'!I$3,'Course 3'!$I69," ")</f>
        <v xml:space="preserve"> </v>
      </c>
      <c r="J71" s="8" t="str">
        <f>IF('Course 3'!$H69='tab3'!J$3,'Course 3'!$I69," ")</f>
        <v xml:space="preserve"> </v>
      </c>
      <c r="K71" s="8" t="str">
        <f>IF('Course 3'!$H69='tab3'!K$3,'Course 3'!$I69," ")</f>
        <v xml:space="preserve"> </v>
      </c>
      <c r="L71" s="8" t="str">
        <f>IF('Course 3'!$H69='tab3'!L$3,'Course 3'!$I69," ")</f>
        <v xml:space="preserve"> </v>
      </c>
      <c r="M71" s="8" t="str">
        <f>IF('Course 3'!$H69='tab3'!M$3,'Course 3'!$I69," ")</f>
        <v xml:space="preserve"> </v>
      </c>
      <c r="N71" s="9" t="str">
        <f>IF('Course 3'!$H69='tab3'!N$3,'Course 3'!$I69," ")</f>
        <v xml:space="preserve"> </v>
      </c>
    </row>
    <row r="72" spans="2:14">
      <c r="B72">
        <v>68</v>
      </c>
      <c r="C72" s="7" t="str">
        <f>IF('Course 3'!$H70='tab3'!C$3,'Course 3'!$I70," ")</f>
        <v xml:space="preserve"> </v>
      </c>
      <c r="D72" s="8" t="str">
        <f>IF('Course 3'!$H70='tab3'!D$3,'Course 3'!$I70," ")</f>
        <v xml:space="preserve"> </v>
      </c>
      <c r="E72" s="8" t="str">
        <f>IF('Course 3'!$H70='tab3'!E$3,'Course 3'!$I70," ")</f>
        <v xml:space="preserve"> </v>
      </c>
      <c r="F72" s="8" t="str">
        <f>IF('Course 3'!$H70='tab3'!F$3,'Course 3'!$I70," ")</f>
        <v xml:space="preserve"> </v>
      </c>
      <c r="G72" s="8" t="str">
        <f>IF('Course 3'!$H70='tab3'!G$3,'Course 3'!$I70," ")</f>
        <v xml:space="preserve"> </v>
      </c>
      <c r="H72" s="8" t="str">
        <f>IF('Course 3'!$H70='tab3'!H$3,'Course 3'!$I70," ")</f>
        <v xml:space="preserve"> </v>
      </c>
      <c r="I72" s="8" t="str">
        <f>IF('Course 3'!$H70='tab3'!I$3,'Course 3'!$I70," ")</f>
        <v xml:space="preserve"> </v>
      </c>
      <c r="J72" s="8" t="str">
        <f>IF('Course 3'!$H70='tab3'!J$3,'Course 3'!$I70," ")</f>
        <v xml:space="preserve"> </v>
      </c>
      <c r="K72" s="8" t="str">
        <f>IF('Course 3'!$H70='tab3'!K$3,'Course 3'!$I70," ")</f>
        <v xml:space="preserve"> </v>
      </c>
      <c r="L72" s="8" t="str">
        <f>IF('Course 3'!$H70='tab3'!L$3,'Course 3'!$I70," ")</f>
        <v xml:space="preserve"> </v>
      </c>
      <c r="M72" s="8" t="str">
        <f>IF('Course 3'!$H70='tab3'!M$3,'Course 3'!$I70," ")</f>
        <v xml:space="preserve"> </v>
      </c>
      <c r="N72" s="9" t="str">
        <f>IF('Course 3'!$H70='tab3'!N$3,'Course 3'!$I70," ")</f>
        <v xml:space="preserve"> </v>
      </c>
    </row>
    <row r="73" spans="2:14">
      <c r="B73">
        <v>69</v>
      </c>
      <c r="C73" s="7" t="str">
        <f>IF('Course 3'!$H71='tab3'!C$3,'Course 3'!$I71," ")</f>
        <v xml:space="preserve"> </v>
      </c>
      <c r="D73" s="8" t="str">
        <f>IF('Course 3'!$H71='tab3'!D$3,'Course 3'!$I71," ")</f>
        <v xml:space="preserve"> </v>
      </c>
      <c r="E73" s="8" t="str">
        <f>IF('Course 3'!$H71='tab3'!E$3,'Course 3'!$I71," ")</f>
        <v xml:space="preserve"> </v>
      </c>
      <c r="F73" s="8" t="str">
        <f>IF('Course 3'!$H71='tab3'!F$3,'Course 3'!$I71," ")</f>
        <v xml:space="preserve"> </v>
      </c>
      <c r="G73" s="8" t="str">
        <f>IF('Course 3'!$H71='tab3'!G$3,'Course 3'!$I71," ")</f>
        <v xml:space="preserve"> </v>
      </c>
      <c r="H73" s="8" t="str">
        <f>IF('Course 3'!$H71='tab3'!H$3,'Course 3'!$I71," ")</f>
        <v xml:space="preserve"> </v>
      </c>
      <c r="I73" s="8" t="str">
        <f>IF('Course 3'!$H71='tab3'!I$3,'Course 3'!$I71," ")</f>
        <v xml:space="preserve"> </v>
      </c>
      <c r="J73" s="8" t="str">
        <f>IF('Course 3'!$H71='tab3'!J$3,'Course 3'!$I71," ")</f>
        <v xml:space="preserve"> </v>
      </c>
      <c r="K73" s="8" t="str">
        <f>IF('Course 3'!$H71='tab3'!K$3,'Course 3'!$I71," ")</f>
        <v xml:space="preserve"> </v>
      </c>
      <c r="L73" s="8" t="str">
        <f>IF('Course 3'!$H71='tab3'!L$3,'Course 3'!$I71," ")</f>
        <v xml:space="preserve"> </v>
      </c>
      <c r="M73" s="8" t="str">
        <f>IF('Course 3'!$H71='tab3'!M$3,'Course 3'!$I71," ")</f>
        <v xml:space="preserve"> </v>
      </c>
      <c r="N73" s="9" t="str">
        <f>IF('Course 3'!$H71='tab3'!N$3,'Course 3'!$I71," ")</f>
        <v xml:space="preserve"> </v>
      </c>
    </row>
    <row r="74" spans="2:14">
      <c r="B74">
        <v>70</v>
      </c>
      <c r="C74" s="7" t="str">
        <f>IF('Course 3'!$H72='tab3'!C$3,'Course 3'!$I72," ")</f>
        <v xml:space="preserve"> </v>
      </c>
      <c r="D74" s="8" t="str">
        <f>IF('Course 3'!$H72='tab3'!D$3,'Course 3'!$I72," ")</f>
        <v xml:space="preserve"> </v>
      </c>
      <c r="E74" s="8" t="str">
        <f>IF('Course 3'!$H72='tab3'!E$3,'Course 3'!$I72," ")</f>
        <v xml:space="preserve"> </v>
      </c>
      <c r="F74" s="8" t="str">
        <f>IF('Course 3'!$H72='tab3'!F$3,'Course 3'!$I72," ")</f>
        <v xml:space="preserve"> </v>
      </c>
      <c r="G74" s="8" t="str">
        <f>IF('Course 3'!$H72='tab3'!G$3,'Course 3'!$I72," ")</f>
        <v xml:space="preserve"> </v>
      </c>
      <c r="H74" s="8" t="str">
        <f>IF('Course 3'!$H72='tab3'!H$3,'Course 3'!$I72," ")</f>
        <v xml:space="preserve"> </v>
      </c>
      <c r="I74" s="8" t="str">
        <f>IF('Course 3'!$H72='tab3'!I$3,'Course 3'!$I72," ")</f>
        <v xml:space="preserve"> </v>
      </c>
      <c r="J74" s="8" t="str">
        <f>IF('Course 3'!$H72='tab3'!J$3,'Course 3'!$I72," ")</f>
        <v xml:space="preserve"> </v>
      </c>
      <c r="K74" s="8" t="str">
        <f>IF('Course 3'!$H72='tab3'!K$3,'Course 3'!$I72," ")</f>
        <v xml:space="preserve"> </v>
      </c>
      <c r="L74" s="8" t="str">
        <f>IF('Course 3'!$H72='tab3'!L$3,'Course 3'!$I72," ")</f>
        <v xml:space="preserve"> </v>
      </c>
      <c r="M74" s="8" t="str">
        <f>IF('Course 3'!$H72='tab3'!M$3,'Course 3'!$I72," ")</f>
        <v xml:space="preserve"> </v>
      </c>
      <c r="N74" s="9" t="str">
        <f>IF('Course 3'!$H72='tab3'!N$3,'Course 3'!$I72," ")</f>
        <v xml:space="preserve"> </v>
      </c>
    </row>
    <row r="75" spans="2:14">
      <c r="B75">
        <v>71</v>
      </c>
      <c r="C75" s="7" t="str">
        <f>IF('Course 3'!$H73='tab3'!C$3,'Course 3'!$I73," ")</f>
        <v xml:space="preserve"> </v>
      </c>
      <c r="D75" s="8" t="str">
        <f>IF('Course 3'!$H73='tab3'!D$3,'Course 3'!$I73," ")</f>
        <v xml:space="preserve"> </v>
      </c>
      <c r="E75" s="8" t="str">
        <f>IF('Course 3'!$H73='tab3'!E$3,'Course 3'!$I73," ")</f>
        <v xml:space="preserve"> </v>
      </c>
      <c r="F75" s="8" t="str">
        <f>IF('Course 3'!$H73='tab3'!F$3,'Course 3'!$I73," ")</f>
        <v xml:space="preserve"> </v>
      </c>
      <c r="G75" s="8" t="str">
        <f>IF('Course 3'!$H73='tab3'!G$3,'Course 3'!$I73," ")</f>
        <v xml:space="preserve"> </v>
      </c>
      <c r="H75" s="8" t="str">
        <f>IF('Course 3'!$H73='tab3'!H$3,'Course 3'!$I73," ")</f>
        <v xml:space="preserve"> </v>
      </c>
      <c r="I75" s="8" t="str">
        <f>IF('Course 3'!$H73='tab3'!I$3,'Course 3'!$I73," ")</f>
        <v xml:space="preserve"> </v>
      </c>
      <c r="J75" s="8" t="str">
        <f>IF('Course 3'!$H73='tab3'!J$3,'Course 3'!$I73," ")</f>
        <v xml:space="preserve"> </v>
      </c>
      <c r="K75" s="8" t="str">
        <f>IF('Course 3'!$H73='tab3'!K$3,'Course 3'!$I73," ")</f>
        <v xml:space="preserve"> </v>
      </c>
      <c r="L75" s="8" t="str">
        <f>IF('Course 3'!$H73='tab3'!L$3,'Course 3'!$I73," ")</f>
        <v xml:space="preserve"> </v>
      </c>
      <c r="M75" s="8" t="str">
        <f>IF('Course 3'!$H73='tab3'!M$3,'Course 3'!$I73," ")</f>
        <v xml:space="preserve"> </v>
      </c>
      <c r="N75" s="9" t="str">
        <f>IF('Course 3'!$H73='tab3'!N$3,'Course 3'!$I73," ")</f>
        <v xml:space="preserve"> </v>
      </c>
    </row>
    <row r="76" spans="2:14">
      <c r="B76">
        <v>72</v>
      </c>
      <c r="C76" s="7" t="str">
        <f>IF('Course 3'!$H74='tab3'!C$3,'Course 3'!$I74," ")</f>
        <v xml:space="preserve"> </v>
      </c>
      <c r="D76" s="8" t="str">
        <f>IF('Course 3'!$H74='tab3'!D$3,'Course 3'!$I74," ")</f>
        <v xml:space="preserve"> </v>
      </c>
      <c r="E76" s="8" t="str">
        <f>IF('Course 3'!$H74='tab3'!E$3,'Course 3'!$I74," ")</f>
        <v xml:space="preserve"> </v>
      </c>
      <c r="F76" s="8" t="str">
        <f>IF('Course 3'!$H74='tab3'!F$3,'Course 3'!$I74," ")</f>
        <v xml:space="preserve"> </v>
      </c>
      <c r="G76" s="8" t="str">
        <f>IF('Course 3'!$H74='tab3'!G$3,'Course 3'!$I74," ")</f>
        <v xml:space="preserve"> </v>
      </c>
      <c r="H76" s="8" t="str">
        <f>IF('Course 3'!$H74='tab3'!H$3,'Course 3'!$I74," ")</f>
        <v xml:space="preserve"> </v>
      </c>
      <c r="I76" s="8" t="str">
        <f>IF('Course 3'!$H74='tab3'!I$3,'Course 3'!$I74," ")</f>
        <v xml:space="preserve"> </v>
      </c>
      <c r="J76" s="8" t="str">
        <f>IF('Course 3'!$H74='tab3'!J$3,'Course 3'!$I74," ")</f>
        <v xml:space="preserve"> </v>
      </c>
      <c r="K76" s="8" t="str">
        <f>IF('Course 3'!$H74='tab3'!K$3,'Course 3'!$I74," ")</f>
        <v xml:space="preserve"> </v>
      </c>
      <c r="L76" s="8" t="str">
        <f>IF('Course 3'!$H74='tab3'!L$3,'Course 3'!$I74," ")</f>
        <v xml:space="preserve"> </v>
      </c>
      <c r="M76" s="8" t="str">
        <f>IF('Course 3'!$H74='tab3'!M$3,'Course 3'!$I74," ")</f>
        <v xml:space="preserve"> </v>
      </c>
      <c r="N76" s="9" t="str">
        <f>IF('Course 3'!$H74='tab3'!N$3,'Course 3'!$I74," ")</f>
        <v xml:space="preserve"> </v>
      </c>
    </row>
    <row r="77" spans="2:14">
      <c r="B77">
        <v>73</v>
      </c>
      <c r="C77" s="7" t="str">
        <f>IF('Course 3'!$H75='tab3'!C$3,'Course 3'!$I75," ")</f>
        <v xml:space="preserve"> </v>
      </c>
      <c r="D77" s="8" t="str">
        <f>IF('Course 3'!$H75='tab3'!D$3,'Course 3'!$I75," ")</f>
        <v xml:space="preserve"> </v>
      </c>
      <c r="E77" s="8" t="str">
        <f>IF('Course 3'!$H75='tab3'!E$3,'Course 3'!$I75," ")</f>
        <v xml:space="preserve"> </v>
      </c>
      <c r="F77" s="8" t="str">
        <f>IF('Course 3'!$H75='tab3'!F$3,'Course 3'!$I75," ")</f>
        <v xml:space="preserve"> </v>
      </c>
      <c r="G77" s="8" t="str">
        <f>IF('Course 3'!$H75='tab3'!G$3,'Course 3'!$I75," ")</f>
        <v xml:space="preserve"> </v>
      </c>
      <c r="H77" s="8" t="str">
        <f>IF('Course 3'!$H75='tab3'!H$3,'Course 3'!$I75," ")</f>
        <v xml:space="preserve"> </v>
      </c>
      <c r="I77" s="8" t="str">
        <f>IF('Course 3'!$H75='tab3'!I$3,'Course 3'!$I75," ")</f>
        <v xml:space="preserve"> </v>
      </c>
      <c r="J77" s="8" t="str">
        <f>IF('Course 3'!$H75='tab3'!J$3,'Course 3'!$I75," ")</f>
        <v xml:space="preserve"> </v>
      </c>
      <c r="K77" s="8" t="str">
        <f>IF('Course 3'!$H75='tab3'!K$3,'Course 3'!$I75," ")</f>
        <v xml:space="preserve"> </v>
      </c>
      <c r="L77" s="8" t="str">
        <f>IF('Course 3'!$H75='tab3'!L$3,'Course 3'!$I75," ")</f>
        <v xml:space="preserve"> </v>
      </c>
      <c r="M77" s="8" t="str">
        <f>IF('Course 3'!$H75='tab3'!M$3,'Course 3'!$I75," ")</f>
        <v xml:space="preserve"> </v>
      </c>
      <c r="N77" s="9" t="str">
        <f>IF('Course 3'!$H75='tab3'!N$3,'Course 3'!$I75," ")</f>
        <v xml:space="preserve"> </v>
      </c>
    </row>
    <row r="78" spans="2:14">
      <c r="B78">
        <v>74</v>
      </c>
      <c r="C78" s="7" t="str">
        <f>IF('Course 3'!$H76='tab3'!C$3,'Course 3'!$I76," ")</f>
        <v xml:space="preserve"> </v>
      </c>
      <c r="D78" s="8" t="str">
        <f>IF('Course 3'!$H76='tab3'!D$3,'Course 3'!$I76," ")</f>
        <v xml:space="preserve"> </v>
      </c>
      <c r="E78" s="8" t="str">
        <f>IF('Course 3'!$H76='tab3'!E$3,'Course 3'!$I76," ")</f>
        <v xml:space="preserve"> </v>
      </c>
      <c r="F78" s="8" t="str">
        <f>IF('Course 3'!$H76='tab3'!F$3,'Course 3'!$I76," ")</f>
        <v xml:space="preserve"> </v>
      </c>
      <c r="G78" s="8" t="str">
        <f>IF('Course 3'!$H76='tab3'!G$3,'Course 3'!$I76," ")</f>
        <v xml:space="preserve"> </v>
      </c>
      <c r="H78" s="8" t="str">
        <f>IF('Course 3'!$H76='tab3'!H$3,'Course 3'!$I76," ")</f>
        <v xml:space="preserve"> </v>
      </c>
      <c r="I78" s="8" t="str">
        <f>IF('Course 3'!$H76='tab3'!I$3,'Course 3'!$I76," ")</f>
        <v xml:space="preserve"> </v>
      </c>
      <c r="J78" s="8" t="str">
        <f>IF('Course 3'!$H76='tab3'!J$3,'Course 3'!$I76," ")</f>
        <v xml:space="preserve"> </v>
      </c>
      <c r="K78" s="8" t="str">
        <f>IF('Course 3'!$H76='tab3'!K$3,'Course 3'!$I76," ")</f>
        <v xml:space="preserve"> </v>
      </c>
      <c r="L78" s="8" t="str">
        <f>IF('Course 3'!$H76='tab3'!L$3,'Course 3'!$I76," ")</f>
        <v xml:space="preserve"> </v>
      </c>
      <c r="M78" s="8" t="str">
        <f>IF('Course 3'!$H76='tab3'!M$3,'Course 3'!$I76," ")</f>
        <v xml:space="preserve"> </v>
      </c>
      <c r="N78" s="9" t="str">
        <f>IF('Course 3'!$H76='tab3'!N$3,'Course 3'!$I76," ")</f>
        <v xml:space="preserve"> </v>
      </c>
    </row>
    <row r="79" spans="2:14">
      <c r="B79">
        <v>75</v>
      </c>
      <c r="C79" s="7" t="str">
        <f>IF('Course 3'!$H77='tab3'!C$3,'Course 3'!$I77," ")</f>
        <v xml:space="preserve"> </v>
      </c>
      <c r="D79" s="8" t="str">
        <f>IF('Course 3'!$H77='tab3'!D$3,'Course 3'!$I77," ")</f>
        <v xml:space="preserve"> </v>
      </c>
      <c r="E79" s="8" t="str">
        <f>IF('Course 3'!$H77='tab3'!E$3,'Course 3'!$I77," ")</f>
        <v xml:space="preserve"> </v>
      </c>
      <c r="F79" s="8" t="str">
        <f>IF('Course 3'!$H77='tab3'!F$3,'Course 3'!$I77," ")</f>
        <v xml:space="preserve"> </v>
      </c>
      <c r="G79" s="8" t="str">
        <f>IF('Course 3'!$H77='tab3'!G$3,'Course 3'!$I77," ")</f>
        <v xml:space="preserve"> </v>
      </c>
      <c r="H79" s="8" t="str">
        <f>IF('Course 3'!$H77='tab3'!H$3,'Course 3'!$I77," ")</f>
        <v xml:space="preserve"> </v>
      </c>
      <c r="I79" s="8" t="str">
        <f>IF('Course 3'!$H77='tab3'!I$3,'Course 3'!$I77," ")</f>
        <v xml:space="preserve"> </v>
      </c>
      <c r="J79" s="8" t="str">
        <f>IF('Course 3'!$H77='tab3'!J$3,'Course 3'!$I77," ")</f>
        <v xml:space="preserve"> </v>
      </c>
      <c r="K79" s="8" t="str">
        <f>IF('Course 3'!$H77='tab3'!K$3,'Course 3'!$I77," ")</f>
        <v xml:space="preserve"> </v>
      </c>
      <c r="L79" s="8" t="str">
        <f>IF('Course 3'!$H77='tab3'!L$3,'Course 3'!$I77," ")</f>
        <v xml:space="preserve"> </v>
      </c>
      <c r="M79" s="8" t="str">
        <f>IF('Course 3'!$H77='tab3'!M$3,'Course 3'!$I77," ")</f>
        <v xml:space="preserve"> </v>
      </c>
      <c r="N79" s="9" t="str">
        <f>IF('Course 3'!$H77='tab3'!N$3,'Course 3'!$I77," ")</f>
        <v xml:space="preserve"> </v>
      </c>
    </row>
    <row r="80" spans="2:14">
      <c r="B80">
        <v>76</v>
      </c>
      <c r="C80" s="7" t="str">
        <f>IF('Course 3'!$H78='tab3'!C$3,'Course 3'!$I78," ")</f>
        <v xml:space="preserve"> </v>
      </c>
      <c r="D80" s="8" t="str">
        <f>IF('Course 3'!$H78='tab3'!D$3,'Course 3'!$I78," ")</f>
        <v xml:space="preserve"> </v>
      </c>
      <c r="E80" s="8" t="str">
        <f>IF('Course 3'!$H78='tab3'!E$3,'Course 3'!$I78," ")</f>
        <v xml:space="preserve"> </v>
      </c>
      <c r="F80" s="8" t="str">
        <f>IF('Course 3'!$H78='tab3'!F$3,'Course 3'!$I78," ")</f>
        <v xml:space="preserve"> </v>
      </c>
      <c r="G80" s="8" t="str">
        <f>IF('Course 3'!$H78='tab3'!G$3,'Course 3'!$I78," ")</f>
        <v xml:space="preserve"> </v>
      </c>
      <c r="H80" s="8" t="str">
        <f>IF('Course 3'!$H78='tab3'!H$3,'Course 3'!$I78," ")</f>
        <v xml:space="preserve"> </v>
      </c>
      <c r="I80" s="8" t="str">
        <f>IF('Course 3'!$H78='tab3'!I$3,'Course 3'!$I78," ")</f>
        <v xml:space="preserve"> </v>
      </c>
      <c r="J80" s="8" t="str">
        <f>IF('Course 3'!$H78='tab3'!J$3,'Course 3'!$I78," ")</f>
        <v xml:space="preserve"> </v>
      </c>
      <c r="K80" s="8" t="str">
        <f>IF('Course 3'!$H78='tab3'!K$3,'Course 3'!$I78," ")</f>
        <v xml:space="preserve"> </v>
      </c>
      <c r="L80" s="8" t="str">
        <f>IF('Course 3'!$H78='tab3'!L$3,'Course 3'!$I78," ")</f>
        <v xml:space="preserve"> </v>
      </c>
      <c r="M80" s="8" t="str">
        <f>IF('Course 3'!$H78='tab3'!M$3,'Course 3'!$I78," ")</f>
        <v xml:space="preserve"> </v>
      </c>
      <c r="N80" s="9" t="str">
        <f>IF('Course 3'!$H78='tab3'!N$3,'Course 3'!$I78," ")</f>
        <v xml:space="preserve"> </v>
      </c>
    </row>
    <row r="81" spans="2:14">
      <c r="B81">
        <v>77</v>
      </c>
      <c r="C81" s="7" t="str">
        <f>IF('Course 3'!$H79='tab3'!C$3,'Course 3'!$I79," ")</f>
        <v xml:space="preserve"> </v>
      </c>
      <c r="D81" s="8" t="str">
        <f>IF('Course 3'!$H79='tab3'!D$3,'Course 3'!$I79," ")</f>
        <v xml:space="preserve"> </v>
      </c>
      <c r="E81" s="8" t="str">
        <f>IF('Course 3'!$H79='tab3'!E$3,'Course 3'!$I79," ")</f>
        <v xml:space="preserve"> </v>
      </c>
      <c r="F81" s="8" t="str">
        <f>IF('Course 3'!$H79='tab3'!F$3,'Course 3'!$I79," ")</f>
        <v xml:space="preserve"> </v>
      </c>
      <c r="G81" s="8" t="str">
        <f>IF('Course 3'!$H79='tab3'!G$3,'Course 3'!$I79," ")</f>
        <v xml:space="preserve"> </v>
      </c>
      <c r="H81" s="8" t="str">
        <f>IF('Course 3'!$H79='tab3'!H$3,'Course 3'!$I79," ")</f>
        <v xml:space="preserve"> </v>
      </c>
      <c r="I81" s="8" t="str">
        <f>IF('Course 3'!$H79='tab3'!I$3,'Course 3'!$I79," ")</f>
        <v xml:space="preserve"> </v>
      </c>
      <c r="J81" s="8" t="str">
        <f>IF('Course 3'!$H79='tab3'!J$3,'Course 3'!$I79," ")</f>
        <v xml:space="preserve"> </v>
      </c>
      <c r="K81" s="8" t="str">
        <f>IF('Course 3'!$H79='tab3'!K$3,'Course 3'!$I79," ")</f>
        <v xml:space="preserve"> </v>
      </c>
      <c r="L81" s="8" t="str">
        <f>IF('Course 3'!$H79='tab3'!L$3,'Course 3'!$I79," ")</f>
        <v xml:space="preserve"> </v>
      </c>
      <c r="M81" s="8" t="str">
        <f>IF('Course 3'!$H79='tab3'!M$3,'Course 3'!$I79," ")</f>
        <v xml:space="preserve"> </v>
      </c>
      <c r="N81" s="9" t="str">
        <f>IF('Course 3'!$H79='tab3'!N$3,'Course 3'!$I79," ")</f>
        <v xml:space="preserve"> </v>
      </c>
    </row>
    <row r="82" spans="2:14">
      <c r="B82">
        <v>78</v>
      </c>
      <c r="C82" s="7" t="str">
        <f>IF('Course 3'!$H80='tab3'!C$3,'Course 3'!$I80," ")</f>
        <v xml:space="preserve"> </v>
      </c>
      <c r="D82" s="8" t="str">
        <f>IF('Course 3'!$H80='tab3'!D$3,'Course 3'!$I80," ")</f>
        <v xml:space="preserve"> </v>
      </c>
      <c r="E82" s="8" t="str">
        <f>IF('Course 3'!$H80='tab3'!E$3,'Course 3'!$I80," ")</f>
        <v xml:space="preserve"> </v>
      </c>
      <c r="F82" s="8" t="str">
        <f>IF('Course 3'!$H80='tab3'!F$3,'Course 3'!$I80," ")</f>
        <v xml:space="preserve"> </v>
      </c>
      <c r="G82" s="8" t="str">
        <f>IF('Course 3'!$H80='tab3'!G$3,'Course 3'!$I80," ")</f>
        <v xml:space="preserve"> </v>
      </c>
      <c r="H82" s="8" t="str">
        <f>IF('Course 3'!$H80='tab3'!H$3,'Course 3'!$I80," ")</f>
        <v xml:space="preserve"> </v>
      </c>
      <c r="I82" s="8" t="str">
        <f>IF('Course 3'!$H80='tab3'!I$3,'Course 3'!$I80," ")</f>
        <v xml:space="preserve"> </v>
      </c>
      <c r="J82" s="8" t="str">
        <f>IF('Course 3'!$H80='tab3'!J$3,'Course 3'!$I80," ")</f>
        <v xml:space="preserve"> </v>
      </c>
      <c r="K82" s="8" t="str">
        <f>IF('Course 3'!$H80='tab3'!K$3,'Course 3'!$I80," ")</f>
        <v xml:space="preserve"> </v>
      </c>
      <c r="L82" s="8" t="str">
        <f>IF('Course 3'!$H80='tab3'!L$3,'Course 3'!$I80," ")</f>
        <v xml:space="preserve"> </v>
      </c>
      <c r="M82" s="8" t="str">
        <f>IF('Course 3'!$H80='tab3'!M$3,'Course 3'!$I80," ")</f>
        <v xml:space="preserve"> </v>
      </c>
      <c r="N82" s="9" t="str">
        <f>IF('Course 3'!$H80='tab3'!N$3,'Course 3'!$I80," ")</f>
        <v xml:space="preserve"> </v>
      </c>
    </row>
    <row r="83" spans="2:14">
      <c r="B83">
        <v>79</v>
      </c>
      <c r="C83" s="7" t="str">
        <f>IF('Course 3'!$H81='tab3'!C$3,'Course 3'!$I81," ")</f>
        <v xml:space="preserve"> </v>
      </c>
      <c r="D83" s="8" t="str">
        <f>IF('Course 3'!$H81='tab3'!D$3,'Course 3'!$I81," ")</f>
        <v xml:space="preserve"> </v>
      </c>
      <c r="E83" s="8" t="str">
        <f>IF('Course 3'!$H81='tab3'!E$3,'Course 3'!$I81," ")</f>
        <v xml:space="preserve"> </v>
      </c>
      <c r="F83" s="8" t="str">
        <f>IF('Course 3'!$H81='tab3'!F$3,'Course 3'!$I81," ")</f>
        <v xml:space="preserve"> </v>
      </c>
      <c r="G83" s="8" t="str">
        <f>IF('Course 3'!$H81='tab3'!G$3,'Course 3'!$I81," ")</f>
        <v xml:space="preserve"> </v>
      </c>
      <c r="H83" s="8" t="str">
        <f>IF('Course 3'!$H81='tab3'!H$3,'Course 3'!$I81," ")</f>
        <v xml:space="preserve"> </v>
      </c>
      <c r="I83" s="8" t="str">
        <f>IF('Course 3'!$H81='tab3'!I$3,'Course 3'!$I81," ")</f>
        <v xml:space="preserve"> </v>
      </c>
      <c r="J83" s="8" t="str">
        <f>IF('Course 3'!$H81='tab3'!J$3,'Course 3'!$I81," ")</f>
        <v xml:space="preserve"> </v>
      </c>
      <c r="K83" s="8" t="str">
        <f>IF('Course 3'!$H81='tab3'!K$3,'Course 3'!$I81," ")</f>
        <v xml:space="preserve"> </v>
      </c>
      <c r="L83" s="8" t="str">
        <f>IF('Course 3'!$H81='tab3'!L$3,'Course 3'!$I81," ")</f>
        <v xml:space="preserve"> </v>
      </c>
      <c r="M83" s="8" t="str">
        <f>IF('Course 3'!$H81='tab3'!M$3,'Course 3'!$I81," ")</f>
        <v xml:space="preserve"> </v>
      </c>
      <c r="N83" s="9" t="str">
        <f>IF('Course 3'!$H81='tab3'!N$3,'Course 3'!$I81," ")</f>
        <v xml:space="preserve"> </v>
      </c>
    </row>
    <row r="84" spans="2:14">
      <c r="B84">
        <v>80</v>
      </c>
      <c r="C84" s="7" t="str">
        <f>IF('Course 3'!$H82='tab3'!C$3,'Course 3'!$I82," ")</f>
        <v xml:space="preserve"> </v>
      </c>
      <c r="D84" s="8" t="str">
        <f>IF('Course 3'!$H82='tab3'!D$3,'Course 3'!$I82," ")</f>
        <v xml:space="preserve"> </v>
      </c>
      <c r="E84" s="8" t="str">
        <f>IF('Course 3'!$H82='tab3'!E$3,'Course 3'!$I82," ")</f>
        <v xml:space="preserve"> </v>
      </c>
      <c r="F84" s="8" t="str">
        <f>IF('Course 3'!$H82='tab3'!F$3,'Course 3'!$I82," ")</f>
        <v xml:space="preserve"> </v>
      </c>
      <c r="G84" s="8" t="str">
        <f>IF('Course 3'!$H82='tab3'!G$3,'Course 3'!$I82," ")</f>
        <v xml:space="preserve"> </v>
      </c>
      <c r="H84" s="8" t="str">
        <f>IF('Course 3'!$H82='tab3'!H$3,'Course 3'!$I82," ")</f>
        <v xml:space="preserve"> </v>
      </c>
      <c r="I84" s="8" t="str">
        <f>IF('Course 3'!$H82='tab3'!I$3,'Course 3'!$I82," ")</f>
        <v xml:space="preserve"> </v>
      </c>
      <c r="J84" s="8" t="str">
        <f>IF('Course 3'!$H82='tab3'!J$3,'Course 3'!$I82," ")</f>
        <v xml:space="preserve"> </v>
      </c>
      <c r="K84" s="8" t="str">
        <f>IF('Course 3'!$H82='tab3'!K$3,'Course 3'!$I82," ")</f>
        <v xml:space="preserve"> </v>
      </c>
      <c r="L84" s="8" t="str">
        <f>IF('Course 3'!$H82='tab3'!L$3,'Course 3'!$I82," ")</f>
        <v xml:space="preserve"> </v>
      </c>
      <c r="M84" s="8" t="str">
        <f>IF('Course 3'!$H82='tab3'!M$3,'Course 3'!$I82," ")</f>
        <v xml:space="preserve"> </v>
      </c>
      <c r="N84" s="9" t="str">
        <f>IF('Course 3'!$H82='tab3'!N$3,'Course 3'!$I82," ")</f>
        <v xml:space="preserve"> </v>
      </c>
    </row>
    <row r="85" spans="2:14">
      <c r="B85">
        <v>81</v>
      </c>
      <c r="C85" s="7" t="str">
        <f>IF('Course 3'!$H83='tab3'!C$3,'Course 3'!$I83," ")</f>
        <v xml:space="preserve"> </v>
      </c>
      <c r="D85" s="8" t="str">
        <f>IF('Course 3'!$H83='tab3'!D$3,'Course 3'!$I83," ")</f>
        <v xml:space="preserve"> </v>
      </c>
      <c r="E85" s="8" t="str">
        <f>IF('Course 3'!$H83='tab3'!E$3,'Course 3'!$I83," ")</f>
        <v xml:space="preserve"> </v>
      </c>
      <c r="F85" s="8" t="str">
        <f>IF('Course 3'!$H83='tab3'!F$3,'Course 3'!$I83," ")</f>
        <v xml:space="preserve"> </v>
      </c>
      <c r="G85" s="8" t="str">
        <f>IF('Course 3'!$H83='tab3'!G$3,'Course 3'!$I83," ")</f>
        <v xml:space="preserve"> </v>
      </c>
      <c r="H85" s="8" t="str">
        <f>IF('Course 3'!$H83='tab3'!H$3,'Course 3'!$I83," ")</f>
        <v xml:space="preserve"> </v>
      </c>
      <c r="I85" s="8" t="str">
        <f>IF('Course 3'!$H83='tab3'!I$3,'Course 3'!$I83," ")</f>
        <v xml:space="preserve"> </v>
      </c>
      <c r="J85" s="8" t="str">
        <f>IF('Course 3'!$H83='tab3'!J$3,'Course 3'!$I83," ")</f>
        <v xml:space="preserve"> </v>
      </c>
      <c r="K85" s="8" t="str">
        <f>IF('Course 3'!$H83='tab3'!K$3,'Course 3'!$I83," ")</f>
        <v xml:space="preserve"> </v>
      </c>
      <c r="L85" s="8" t="str">
        <f>IF('Course 3'!$H83='tab3'!L$3,'Course 3'!$I83," ")</f>
        <v xml:space="preserve"> </v>
      </c>
      <c r="M85" s="8" t="str">
        <f>IF('Course 3'!$H83='tab3'!M$3,'Course 3'!$I83," ")</f>
        <v xml:space="preserve"> </v>
      </c>
      <c r="N85" s="9" t="str">
        <f>IF('Course 3'!$H83='tab3'!N$3,'Course 3'!$I83," ")</f>
        <v xml:space="preserve"> </v>
      </c>
    </row>
    <row r="86" spans="2:14">
      <c r="B86">
        <v>82</v>
      </c>
      <c r="C86" s="7" t="str">
        <f>IF('Course 3'!$H84='tab3'!C$3,'Course 3'!$I84," ")</f>
        <v xml:space="preserve"> </v>
      </c>
      <c r="D86" s="8" t="str">
        <f>IF('Course 3'!$H84='tab3'!D$3,'Course 3'!$I84," ")</f>
        <v xml:space="preserve"> </v>
      </c>
      <c r="E86" s="8" t="str">
        <f>IF('Course 3'!$H84='tab3'!E$3,'Course 3'!$I84," ")</f>
        <v xml:space="preserve"> </v>
      </c>
      <c r="F86" s="8" t="str">
        <f>IF('Course 3'!$H84='tab3'!F$3,'Course 3'!$I84," ")</f>
        <v xml:space="preserve"> </v>
      </c>
      <c r="G86" s="8" t="str">
        <f>IF('Course 3'!$H84='tab3'!G$3,'Course 3'!$I84," ")</f>
        <v xml:space="preserve"> </v>
      </c>
      <c r="H86" s="8" t="str">
        <f>IF('Course 3'!$H84='tab3'!H$3,'Course 3'!$I84," ")</f>
        <v xml:space="preserve"> </v>
      </c>
      <c r="I86" s="8" t="str">
        <f>IF('Course 3'!$H84='tab3'!I$3,'Course 3'!$I84," ")</f>
        <v xml:space="preserve"> </v>
      </c>
      <c r="J86" s="8" t="str">
        <f>IF('Course 3'!$H84='tab3'!J$3,'Course 3'!$I84," ")</f>
        <v xml:space="preserve"> </v>
      </c>
      <c r="K86" s="8" t="str">
        <f>IF('Course 3'!$H84='tab3'!K$3,'Course 3'!$I84," ")</f>
        <v xml:space="preserve"> </v>
      </c>
      <c r="L86" s="8" t="str">
        <f>IF('Course 3'!$H84='tab3'!L$3,'Course 3'!$I84," ")</f>
        <v xml:space="preserve"> </v>
      </c>
      <c r="M86" s="8" t="str">
        <f>IF('Course 3'!$H84='tab3'!M$3,'Course 3'!$I84," ")</f>
        <v xml:space="preserve"> </v>
      </c>
      <c r="N86" s="9" t="str">
        <f>IF('Course 3'!$H84='tab3'!N$3,'Course 3'!$I84," ")</f>
        <v xml:space="preserve"> </v>
      </c>
    </row>
    <row r="87" spans="2:14">
      <c r="B87">
        <v>83</v>
      </c>
      <c r="C87" s="7" t="str">
        <f>IF('Course 3'!$H85='tab3'!C$3,'Course 3'!$I85," ")</f>
        <v xml:space="preserve"> </v>
      </c>
      <c r="D87" s="8" t="str">
        <f>IF('Course 3'!$H85='tab3'!D$3,'Course 3'!$I85," ")</f>
        <v xml:space="preserve"> </v>
      </c>
      <c r="E87" s="8" t="str">
        <f>IF('Course 3'!$H85='tab3'!E$3,'Course 3'!$I85," ")</f>
        <v xml:space="preserve"> </v>
      </c>
      <c r="F87" s="8" t="str">
        <f>IF('Course 3'!$H85='tab3'!F$3,'Course 3'!$I85," ")</f>
        <v xml:space="preserve"> </v>
      </c>
      <c r="G87" s="8" t="str">
        <f>IF('Course 3'!$H85='tab3'!G$3,'Course 3'!$I85," ")</f>
        <v xml:space="preserve"> </v>
      </c>
      <c r="H87" s="8" t="str">
        <f>IF('Course 3'!$H85='tab3'!H$3,'Course 3'!$I85," ")</f>
        <v xml:space="preserve"> </v>
      </c>
      <c r="I87" s="8" t="str">
        <f>IF('Course 3'!$H85='tab3'!I$3,'Course 3'!$I85," ")</f>
        <v xml:space="preserve"> </v>
      </c>
      <c r="J87" s="8" t="str">
        <f>IF('Course 3'!$H85='tab3'!J$3,'Course 3'!$I85," ")</f>
        <v xml:space="preserve"> </v>
      </c>
      <c r="K87" s="8" t="str">
        <f>IF('Course 3'!$H85='tab3'!K$3,'Course 3'!$I85," ")</f>
        <v xml:space="preserve"> </v>
      </c>
      <c r="L87" s="8" t="str">
        <f>IF('Course 3'!$H85='tab3'!L$3,'Course 3'!$I85," ")</f>
        <v xml:space="preserve"> </v>
      </c>
      <c r="M87" s="8" t="str">
        <f>IF('Course 3'!$H85='tab3'!M$3,'Course 3'!$I85," ")</f>
        <v xml:space="preserve"> </v>
      </c>
      <c r="N87" s="9" t="str">
        <f>IF('Course 3'!$H85='tab3'!N$3,'Course 3'!$I85," ")</f>
        <v xml:space="preserve"> </v>
      </c>
    </row>
    <row r="88" spans="2:14">
      <c r="B88">
        <v>84</v>
      </c>
      <c r="C88" s="7" t="str">
        <f>IF('Course 3'!$H86='tab3'!C$3,'Course 3'!$I86," ")</f>
        <v xml:space="preserve"> </v>
      </c>
      <c r="D88" s="8" t="str">
        <f>IF('Course 3'!$H86='tab3'!D$3,'Course 3'!$I86," ")</f>
        <v xml:space="preserve"> </v>
      </c>
      <c r="E88" s="8" t="str">
        <f>IF('Course 3'!$H86='tab3'!E$3,'Course 3'!$I86," ")</f>
        <v xml:space="preserve"> </v>
      </c>
      <c r="F88" s="8" t="str">
        <f>IF('Course 3'!$H86='tab3'!F$3,'Course 3'!$I86," ")</f>
        <v xml:space="preserve"> </v>
      </c>
      <c r="G88" s="8" t="str">
        <f>IF('Course 3'!$H86='tab3'!G$3,'Course 3'!$I86," ")</f>
        <v xml:space="preserve"> </v>
      </c>
      <c r="H88" s="8" t="str">
        <f>IF('Course 3'!$H86='tab3'!H$3,'Course 3'!$I86," ")</f>
        <v xml:space="preserve"> </v>
      </c>
      <c r="I88" s="8" t="str">
        <f>IF('Course 3'!$H86='tab3'!I$3,'Course 3'!$I86," ")</f>
        <v xml:space="preserve"> </v>
      </c>
      <c r="J88" s="8" t="str">
        <f>IF('Course 3'!$H86='tab3'!J$3,'Course 3'!$I86," ")</f>
        <v xml:space="preserve"> </v>
      </c>
      <c r="K88" s="8" t="str">
        <f>IF('Course 3'!$H86='tab3'!K$3,'Course 3'!$I86," ")</f>
        <v xml:space="preserve"> </v>
      </c>
      <c r="L88" s="8" t="str">
        <f>IF('Course 3'!$H86='tab3'!L$3,'Course 3'!$I86," ")</f>
        <v xml:space="preserve"> </v>
      </c>
      <c r="M88" s="8" t="str">
        <f>IF('Course 3'!$H86='tab3'!M$3,'Course 3'!$I86," ")</f>
        <v xml:space="preserve"> </v>
      </c>
      <c r="N88" s="9" t="str">
        <f>IF('Course 3'!$H86='tab3'!N$3,'Course 3'!$I86," ")</f>
        <v xml:space="preserve"> </v>
      </c>
    </row>
    <row r="89" spans="2:14">
      <c r="B89">
        <v>85</v>
      </c>
      <c r="C89" s="7" t="str">
        <f>IF('Course 3'!$H87='tab3'!C$3,'Course 3'!$I87," ")</f>
        <v xml:space="preserve"> </v>
      </c>
      <c r="D89" s="8" t="str">
        <f>IF('Course 3'!$H87='tab3'!D$3,'Course 3'!$I87," ")</f>
        <v xml:space="preserve"> </v>
      </c>
      <c r="E89" s="8" t="str">
        <f>IF('Course 3'!$H87='tab3'!E$3,'Course 3'!$I87," ")</f>
        <v xml:space="preserve"> </v>
      </c>
      <c r="F89" s="8" t="str">
        <f>IF('Course 3'!$H87='tab3'!F$3,'Course 3'!$I87," ")</f>
        <v xml:space="preserve"> </v>
      </c>
      <c r="G89" s="8" t="str">
        <f>IF('Course 3'!$H87='tab3'!G$3,'Course 3'!$I87," ")</f>
        <v xml:space="preserve"> </v>
      </c>
      <c r="H89" s="8" t="str">
        <f>IF('Course 3'!$H87='tab3'!H$3,'Course 3'!$I87," ")</f>
        <v xml:space="preserve"> </v>
      </c>
      <c r="I89" s="8" t="str">
        <f>IF('Course 3'!$H87='tab3'!I$3,'Course 3'!$I87," ")</f>
        <v xml:space="preserve"> </v>
      </c>
      <c r="J89" s="8" t="str">
        <f>IF('Course 3'!$H87='tab3'!J$3,'Course 3'!$I87," ")</f>
        <v xml:space="preserve"> </v>
      </c>
      <c r="K89" s="8" t="str">
        <f>IF('Course 3'!$H87='tab3'!K$3,'Course 3'!$I87," ")</f>
        <v xml:space="preserve"> </v>
      </c>
      <c r="L89" s="8" t="str">
        <f>IF('Course 3'!$H87='tab3'!L$3,'Course 3'!$I87," ")</f>
        <v xml:space="preserve"> </v>
      </c>
      <c r="M89" s="8" t="str">
        <f>IF('Course 3'!$H87='tab3'!M$3,'Course 3'!$I87," ")</f>
        <v xml:space="preserve"> </v>
      </c>
      <c r="N89" s="9" t="str">
        <f>IF('Course 3'!$H87='tab3'!N$3,'Course 3'!$I87," ")</f>
        <v xml:space="preserve"> </v>
      </c>
    </row>
    <row r="90" spans="2:14">
      <c r="B90">
        <v>86</v>
      </c>
      <c r="C90" s="7" t="str">
        <f>IF('Course 3'!$H88='tab3'!C$3,'Course 3'!$I88," ")</f>
        <v xml:space="preserve"> </v>
      </c>
      <c r="D90" s="8" t="str">
        <f>IF('Course 3'!$H88='tab3'!D$3,'Course 3'!$I88," ")</f>
        <v xml:space="preserve"> </v>
      </c>
      <c r="E90" s="8" t="str">
        <f>IF('Course 3'!$H88='tab3'!E$3,'Course 3'!$I88," ")</f>
        <v xml:space="preserve"> </v>
      </c>
      <c r="F90" s="8" t="str">
        <f>IF('Course 3'!$H88='tab3'!F$3,'Course 3'!$I88," ")</f>
        <v xml:space="preserve"> </v>
      </c>
      <c r="G90" s="8" t="str">
        <f>IF('Course 3'!$H88='tab3'!G$3,'Course 3'!$I88," ")</f>
        <v xml:space="preserve"> </v>
      </c>
      <c r="H90" s="8" t="str">
        <f>IF('Course 3'!$H88='tab3'!H$3,'Course 3'!$I88," ")</f>
        <v xml:space="preserve"> </v>
      </c>
      <c r="I90" s="8" t="str">
        <f>IF('Course 3'!$H88='tab3'!I$3,'Course 3'!$I88," ")</f>
        <v xml:space="preserve"> </v>
      </c>
      <c r="J90" s="8" t="str">
        <f>IF('Course 3'!$H88='tab3'!J$3,'Course 3'!$I88," ")</f>
        <v xml:space="preserve"> </v>
      </c>
      <c r="K90" s="8" t="str">
        <f>IF('Course 3'!$H88='tab3'!K$3,'Course 3'!$I88," ")</f>
        <v xml:space="preserve"> </v>
      </c>
      <c r="L90" s="8" t="str">
        <f>IF('Course 3'!$H88='tab3'!L$3,'Course 3'!$I88," ")</f>
        <v xml:space="preserve"> </v>
      </c>
      <c r="M90" s="8" t="str">
        <f>IF('Course 3'!$H88='tab3'!M$3,'Course 3'!$I88," ")</f>
        <v xml:space="preserve"> </v>
      </c>
      <c r="N90" s="9" t="str">
        <f>IF('Course 3'!$H88='tab3'!N$3,'Course 3'!$I88," ")</f>
        <v xml:space="preserve"> </v>
      </c>
    </row>
    <row r="91" spans="2:14">
      <c r="B91">
        <v>87</v>
      </c>
      <c r="C91" s="7" t="str">
        <f>IF('Course 3'!$H89='tab3'!C$3,'Course 3'!$I89," ")</f>
        <v xml:space="preserve"> </v>
      </c>
      <c r="D91" s="8" t="str">
        <f>IF('Course 3'!$H89='tab3'!D$3,'Course 3'!$I89," ")</f>
        <v xml:space="preserve"> </v>
      </c>
      <c r="E91" s="8" t="str">
        <f>IF('Course 3'!$H89='tab3'!E$3,'Course 3'!$I89," ")</f>
        <v xml:space="preserve"> </v>
      </c>
      <c r="F91" s="8" t="str">
        <f>IF('Course 3'!$H89='tab3'!F$3,'Course 3'!$I89," ")</f>
        <v xml:space="preserve"> </v>
      </c>
      <c r="G91" s="8" t="str">
        <f>IF('Course 3'!$H89='tab3'!G$3,'Course 3'!$I89," ")</f>
        <v xml:space="preserve"> </v>
      </c>
      <c r="H91" s="8" t="str">
        <f>IF('Course 3'!$H89='tab3'!H$3,'Course 3'!$I89," ")</f>
        <v xml:space="preserve"> </v>
      </c>
      <c r="I91" s="8" t="str">
        <f>IF('Course 3'!$H89='tab3'!I$3,'Course 3'!$I89," ")</f>
        <v xml:space="preserve"> </v>
      </c>
      <c r="J91" s="8" t="str">
        <f>IF('Course 3'!$H89='tab3'!J$3,'Course 3'!$I89," ")</f>
        <v xml:space="preserve"> </v>
      </c>
      <c r="K91" s="8" t="str">
        <f>IF('Course 3'!$H89='tab3'!K$3,'Course 3'!$I89," ")</f>
        <v xml:space="preserve"> </v>
      </c>
      <c r="L91" s="8" t="str">
        <f>IF('Course 3'!$H89='tab3'!L$3,'Course 3'!$I89," ")</f>
        <v xml:space="preserve"> </v>
      </c>
      <c r="M91" s="8" t="str">
        <f>IF('Course 3'!$H89='tab3'!M$3,'Course 3'!$I89," ")</f>
        <v xml:space="preserve"> </v>
      </c>
      <c r="N91" s="9" t="str">
        <f>IF('Course 3'!$H89='tab3'!N$3,'Course 3'!$I89," ")</f>
        <v xml:space="preserve"> </v>
      </c>
    </row>
    <row r="92" spans="2:14">
      <c r="B92">
        <v>88</v>
      </c>
      <c r="C92" s="7" t="str">
        <f>IF('Course 3'!$H90='tab3'!C$3,'Course 3'!$I90," ")</f>
        <v xml:space="preserve"> </v>
      </c>
      <c r="D92" s="8" t="str">
        <f>IF('Course 3'!$H90='tab3'!D$3,'Course 3'!$I90," ")</f>
        <v xml:space="preserve"> </v>
      </c>
      <c r="E92" s="8" t="str">
        <f>IF('Course 3'!$H90='tab3'!E$3,'Course 3'!$I90," ")</f>
        <v xml:space="preserve"> </v>
      </c>
      <c r="F92" s="8" t="str">
        <f>IF('Course 3'!$H90='tab3'!F$3,'Course 3'!$I90," ")</f>
        <v xml:space="preserve"> </v>
      </c>
      <c r="G92" s="8" t="str">
        <f>IF('Course 3'!$H90='tab3'!G$3,'Course 3'!$I90," ")</f>
        <v xml:space="preserve"> </v>
      </c>
      <c r="H92" s="8" t="str">
        <f>IF('Course 3'!$H90='tab3'!H$3,'Course 3'!$I90," ")</f>
        <v xml:space="preserve"> </v>
      </c>
      <c r="I92" s="8" t="str">
        <f>IF('Course 3'!$H90='tab3'!I$3,'Course 3'!$I90," ")</f>
        <v xml:space="preserve"> </v>
      </c>
      <c r="J92" s="8" t="str">
        <f>IF('Course 3'!$H90='tab3'!J$3,'Course 3'!$I90," ")</f>
        <v xml:space="preserve"> </v>
      </c>
      <c r="K92" s="8" t="str">
        <f>IF('Course 3'!$H90='tab3'!K$3,'Course 3'!$I90," ")</f>
        <v xml:space="preserve"> </v>
      </c>
      <c r="L92" s="8" t="str">
        <f>IF('Course 3'!$H90='tab3'!L$3,'Course 3'!$I90," ")</f>
        <v xml:space="preserve"> </v>
      </c>
      <c r="M92" s="8" t="str">
        <f>IF('Course 3'!$H90='tab3'!M$3,'Course 3'!$I90," ")</f>
        <v xml:space="preserve"> </v>
      </c>
      <c r="N92" s="9" t="str">
        <f>IF('Course 3'!$H90='tab3'!N$3,'Course 3'!$I90," ")</f>
        <v xml:space="preserve"> </v>
      </c>
    </row>
    <row r="93" spans="2:14">
      <c r="B93">
        <v>89</v>
      </c>
      <c r="C93" s="7" t="str">
        <f>IF('Course 3'!$H91='tab3'!C$3,'Course 3'!$I91," ")</f>
        <v xml:space="preserve"> </v>
      </c>
      <c r="D93" s="8" t="str">
        <f>IF('Course 3'!$H91='tab3'!D$3,'Course 3'!$I91," ")</f>
        <v xml:space="preserve"> </v>
      </c>
      <c r="E93" s="8" t="str">
        <f>IF('Course 3'!$H91='tab3'!E$3,'Course 3'!$I91," ")</f>
        <v xml:space="preserve"> </v>
      </c>
      <c r="F93" s="8" t="str">
        <f>IF('Course 3'!$H91='tab3'!F$3,'Course 3'!$I91," ")</f>
        <v xml:space="preserve"> </v>
      </c>
      <c r="G93" s="8" t="str">
        <f>IF('Course 3'!$H91='tab3'!G$3,'Course 3'!$I91," ")</f>
        <v xml:space="preserve"> </v>
      </c>
      <c r="H93" s="8" t="str">
        <f>IF('Course 3'!$H91='tab3'!H$3,'Course 3'!$I91," ")</f>
        <v xml:space="preserve"> </v>
      </c>
      <c r="I93" s="8" t="str">
        <f>IF('Course 3'!$H91='tab3'!I$3,'Course 3'!$I91," ")</f>
        <v xml:space="preserve"> </v>
      </c>
      <c r="J93" s="8" t="str">
        <f>IF('Course 3'!$H91='tab3'!J$3,'Course 3'!$I91," ")</f>
        <v xml:space="preserve"> </v>
      </c>
      <c r="K93" s="8" t="str">
        <f>IF('Course 3'!$H91='tab3'!K$3,'Course 3'!$I91," ")</f>
        <v xml:space="preserve"> </v>
      </c>
      <c r="L93" s="8" t="str">
        <f>IF('Course 3'!$H91='tab3'!L$3,'Course 3'!$I91," ")</f>
        <v xml:space="preserve"> </v>
      </c>
      <c r="M93" s="8" t="str">
        <f>IF('Course 3'!$H91='tab3'!M$3,'Course 3'!$I91," ")</f>
        <v xml:space="preserve"> </v>
      </c>
      <c r="N93" s="9" t="str">
        <f>IF('Course 3'!$H91='tab3'!N$3,'Course 3'!$I91," ")</f>
        <v xml:space="preserve"> </v>
      </c>
    </row>
    <row r="94" spans="2:14">
      <c r="B94">
        <v>90</v>
      </c>
      <c r="C94" s="7" t="str">
        <f>IF('Course 3'!$H92='tab3'!C$3,'Course 3'!$I92," ")</f>
        <v xml:space="preserve"> </v>
      </c>
      <c r="D94" s="8" t="str">
        <f>IF('Course 3'!$H92='tab3'!D$3,'Course 3'!$I92," ")</f>
        <v xml:space="preserve"> </v>
      </c>
      <c r="E94" s="8" t="str">
        <f>IF('Course 3'!$H92='tab3'!E$3,'Course 3'!$I92," ")</f>
        <v xml:space="preserve"> </v>
      </c>
      <c r="F94" s="8" t="str">
        <f>IF('Course 3'!$H92='tab3'!F$3,'Course 3'!$I92," ")</f>
        <v xml:space="preserve"> </v>
      </c>
      <c r="G94" s="8" t="str">
        <f>IF('Course 3'!$H92='tab3'!G$3,'Course 3'!$I92," ")</f>
        <v xml:space="preserve"> </v>
      </c>
      <c r="H94" s="8" t="str">
        <f>IF('Course 3'!$H92='tab3'!H$3,'Course 3'!$I92," ")</f>
        <v xml:space="preserve"> </v>
      </c>
      <c r="I94" s="8" t="str">
        <f>IF('Course 3'!$H92='tab3'!I$3,'Course 3'!$I92," ")</f>
        <v xml:space="preserve"> </v>
      </c>
      <c r="J94" s="8" t="str">
        <f>IF('Course 3'!$H92='tab3'!J$3,'Course 3'!$I92," ")</f>
        <v xml:space="preserve"> </v>
      </c>
      <c r="K94" s="8" t="str">
        <f>IF('Course 3'!$H92='tab3'!K$3,'Course 3'!$I92," ")</f>
        <v xml:space="preserve"> </v>
      </c>
      <c r="L94" s="8" t="str">
        <f>IF('Course 3'!$H92='tab3'!L$3,'Course 3'!$I92," ")</f>
        <v xml:space="preserve"> </v>
      </c>
      <c r="M94" s="8" t="str">
        <f>IF('Course 3'!$H92='tab3'!M$3,'Course 3'!$I92," ")</f>
        <v xml:space="preserve"> </v>
      </c>
      <c r="N94" s="9" t="str">
        <f>IF('Course 3'!$H92='tab3'!N$3,'Course 3'!$I92," ")</f>
        <v xml:space="preserve"> </v>
      </c>
    </row>
    <row r="95" spans="2:14">
      <c r="B95">
        <v>91</v>
      </c>
      <c r="C95" s="7" t="str">
        <f>IF('Course 3'!$H93='tab3'!C$3,'Course 3'!$I93," ")</f>
        <v xml:space="preserve"> </v>
      </c>
      <c r="D95" s="8" t="str">
        <f>IF('Course 3'!$H93='tab3'!D$3,'Course 3'!$I93," ")</f>
        <v xml:space="preserve"> </v>
      </c>
      <c r="E95" s="8" t="str">
        <f>IF('Course 3'!$H93='tab3'!E$3,'Course 3'!$I93," ")</f>
        <v xml:space="preserve"> </v>
      </c>
      <c r="F95" s="8" t="str">
        <f>IF('Course 3'!$H93='tab3'!F$3,'Course 3'!$I93," ")</f>
        <v xml:space="preserve"> </v>
      </c>
      <c r="G95" s="8" t="str">
        <f>IF('Course 3'!$H93='tab3'!G$3,'Course 3'!$I93," ")</f>
        <v xml:space="preserve"> </v>
      </c>
      <c r="H95" s="8" t="str">
        <f>IF('Course 3'!$H93='tab3'!H$3,'Course 3'!$I93," ")</f>
        <v xml:space="preserve"> </v>
      </c>
      <c r="I95" s="8" t="str">
        <f>IF('Course 3'!$H93='tab3'!I$3,'Course 3'!$I93," ")</f>
        <v xml:space="preserve"> </v>
      </c>
      <c r="J95" s="8" t="str">
        <f>IF('Course 3'!$H93='tab3'!J$3,'Course 3'!$I93," ")</f>
        <v xml:space="preserve"> </v>
      </c>
      <c r="K95" s="8" t="str">
        <f>IF('Course 3'!$H93='tab3'!K$3,'Course 3'!$I93," ")</f>
        <v xml:space="preserve"> </v>
      </c>
      <c r="L95" s="8" t="str">
        <f>IF('Course 3'!$H93='tab3'!L$3,'Course 3'!$I93," ")</f>
        <v xml:space="preserve"> </v>
      </c>
      <c r="M95" s="8" t="str">
        <f>IF('Course 3'!$H93='tab3'!M$3,'Course 3'!$I93," ")</f>
        <v xml:space="preserve"> </v>
      </c>
      <c r="N95" s="9" t="str">
        <f>IF('Course 3'!$H93='tab3'!N$3,'Course 3'!$I93," ")</f>
        <v xml:space="preserve"> </v>
      </c>
    </row>
    <row r="96" spans="2:14">
      <c r="B96">
        <v>92</v>
      </c>
      <c r="C96" s="7" t="str">
        <f>IF('Course 3'!$H94='tab3'!C$3,'Course 3'!$I94," ")</f>
        <v xml:space="preserve"> </v>
      </c>
      <c r="D96" s="8" t="str">
        <f>IF('Course 3'!$H94='tab3'!D$3,'Course 3'!$I94," ")</f>
        <v xml:space="preserve"> </v>
      </c>
      <c r="E96" s="8" t="str">
        <f>IF('Course 3'!$H94='tab3'!E$3,'Course 3'!$I94," ")</f>
        <v xml:space="preserve"> </v>
      </c>
      <c r="F96" s="8" t="str">
        <f>IF('Course 3'!$H94='tab3'!F$3,'Course 3'!$I94," ")</f>
        <v xml:space="preserve"> </v>
      </c>
      <c r="G96" s="8" t="str">
        <f>IF('Course 3'!$H94='tab3'!G$3,'Course 3'!$I94," ")</f>
        <v xml:space="preserve"> </v>
      </c>
      <c r="H96" s="8" t="str">
        <f>IF('Course 3'!$H94='tab3'!H$3,'Course 3'!$I94," ")</f>
        <v xml:space="preserve"> </v>
      </c>
      <c r="I96" s="8" t="str">
        <f>IF('Course 3'!$H94='tab3'!I$3,'Course 3'!$I94," ")</f>
        <v xml:space="preserve"> </v>
      </c>
      <c r="J96" s="8" t="str">
        <f>IF('Course 3'!$H94='tab3'!J$3,'Course 3'!$I94," ")</f>
        <v xml:space="preserve"> </v>
      </c>
      <c r="K96" s="8" t="str">
        <f>IF('Course 3'!$H94='tab3'!K$3,'Course 3'!$I94," ")</f>
        <v xml:space="preserve"> </v>
      </c>
      <c r="L96" s="8" t="str">
        <f>IF('Course 3'!$H94='tab3'!L$3,'Course 3'!$I94," ")</f>
        <v xml:space="preserve"> </v>
      </c>
      <c r="M96" s="8" t="str">
        <f>IF('Course 3'!$H94='tab3'!M$3,'Course 3'!$I94," ")</f>
        <v xml:space="preserve"> </v>
      </c>
      <c r="N96" s="9" t="str">
        <f>IF('Course 3'!$H94='tab3'!N$3,'Course 3'!$I94," ")</f>
        <v xml:space="preserve"> </v>
      </c>
    </row>
    <row r="97" spans="2:14">
      <c r="B97">
        <v>93</v>
      </c>
      <c r="C97" s="7" t="str">
        <f>IF('Course 3'!$H95='tab3'!C$3,'Course 3'!$I95," ")</f>
        <v xml:space="preserve"> </v>
      </c>
      <c r="D97" s="8" t="str">
        <f>IF('Course 3'!$H95='tab3'!D$3,'Course 3'!$I95," ")</f>
        <v xml:space="preserve"> </v>
      </c>
      <c r="E97" s="8" t="str">
        <f>IF('Course 3'!$H95='tab3'!E$3,'Course 3'!$I95," ")</f>
        <v xml:space="preserve"> </v>
      </c>
      <c r="F97" s="8" t="str">
        <f>IF('Course 3'!$H95='tab3'!F$3,'Course 3'!$I95," ")</f>
        <v xml:space="preserve"> </v>
      </c>
      <c r="G97" s="8" t="str">
        <f>IF('Course 3'!$H95='tab3'!G$3,'Course 3'!$I95," ")</f>
        <v xml:space="preserve"> </v>
      </c>
      <c r="H97" s="8" t="str">
        <f>IF('Course 3'!$H95='tab3'!H$3,'Course 3'!$I95," ")</f>
        <v xml:space="preserve"> </v>
      </c>
      <c r="I97" s="8" t="str">
        <f>IF('Course 3'!$H95='tab3'!I$3,'Course 3'!$I95," ")</f>
        <v xml:space="preserve"> </v>
      </c>
      <c r="J97" s="8" t="str">
        <f>IF('Course 3'!$H95='tab3'!J$3,'Course 3'!$I95," ")</f>
        <v xml:space="preserve"> </v>
      </c>
      <c r="K97" s="8" t="str">
        <f>IF('Course 3'!$H95='tab3'!K$3,'Course 3'!$I95," ")</f>
        <v xml:space="preserve"> </v>
      </c>
      <c r="L97" s="8" t="str">
        <f>IF('Course 3'!$H95='tab3'!L$3,'Course 3'!$I95," ")</f>
        <v xml:space="preserve"> </v>
      </c>
      <c r="M97" s="8" t="str">
        <f>IF('Course 3'!$H95='tab3'!M$3,'Course 3'!$I95," ")</f>
        <v xml:space="preserve"> </v>
      </c>
      <c r="N97" s="9" t="str">
        <f>IF('Course 3'!$H95='tab3'!N$3,'Course 3'!$I95," ")</f>
        <v xml:space="preserve"> </v>
      </c>
    </row>
    <row r="98" spans="2:14">
      <c r="B98">
        <v>94</v>
      </c>
      <c r="C98" s="7" t="str">
        <f>IF('Course 3'!$H96='tab3'!C$3,'Course 3'!$I96," ")</f>
        <v xml:space="preserve"> </v>
      </c>
      <c r="D98" s="8" t="str">
        <f>IF('Course 3'!$H96='tab3'!D$3,'Course 3'!$I96," ")</f>
        <v xml:space="preserve"> </v>
      </c>
      <c r="E98" s="8" t="str">
        <f>IF('Course 3'!$H96='tab3'!E$3,'Course 3'!$I96," ")</f>
        <v xml:space="preserve"> </v>
      </c>
      <c r="F98" s="8" t="str">
        <f>IF('Course 3'!$H96='tab3'!F$3,'Course 3'!$I96," ")</f>
        <v xml:space="preserve"> </v>
      </c>
      <c r="G98" s="8" t="str">
        <f>IF('Course 3'!$H96='tab3'!G$3,'Course 3'!$I96," ")</f>
        <v xml:space="preserve"> </v>
      </c>
      <c r="H98" s="8" t="str">
        <f>IF('Course 3'!$H96='tab3'!H$3,'Course 3'!$I96," ")</f>
        <v xml:space="preserve"> </v>
      </c>
      <c r="I98" s="8" t="str">
        <f>IF('Course 3'!$H96='tab3'!I$3,'Course 3'!$I96," ")</f>
        <v xml:space="preserve"> </v>
      </c>
      <c r="J98" s="8" t="str">
        <f>IF('Course 3'!$H96='tab3'!J$3,'Course 3'!$I96," ")</f>
        <v xml:space="preserve"> </v>
      </c>
      <c r="K98" s="8" t="str">
        <f>IF('Course 3'!$H96='tab3'!K$3,'Course 3'!$I96," ")</f>
        <v xml:space="preserve"> </v>
      </c>
      <c r="L98" s="8" t="str">
        <f>IF('Course 3'!$H96='tab3'!L$3,'Course 3'!$I96," ")</f>
        <v xml:space="preserve"> </v>
      </c>
      <c r="M98" s="8" t="str">
        <f>IF('Course 3'!$H96='tab3'!M$3,'Course 3'!$I96," ")</f>
        <v xml:space="preserve"> </v>
      </c>
      <c r="N98" s="9" t="str">
        <f>IF('Course 3'!$H96='tab3'!N$3,'Course 3'!$I96," ")</f>
        <v xml:space="preserve"> </v>
      </c>
    </row>
    <row r="99" spans="2:14">
      <c r="B99">
        <v>95</v>
      </c>
      <c r="C99" s="7" t="str">
        <f>IF('Course 3'!$H97='tab3'!C$3,'Course 3'!$I97," ")</f>
        <v xml:space="preserve"> </v>
      </c>
      <c r="D99" s="8" t="str">
        <f>IF('Course 3'!$H97='tab3'!D$3,'Course 3'!$I97," ")</f>
        <v xml:space="preserve"> </v>
      </c>
      <c r="E99" s="8" t="str">
        <f>IF('Course 3'!$H97='tab3'!E$3,'Course 3'!$I97," ")</f>
        <v xml:space="preserve"> </v>
      </c>
      <c r="F99" s="8" t="str">
        <f>IF('Course 3'!$H97='tab3'!F$3,'Course 3'!$I97," ")</f>
        <v xml:space="preserve"> </v>
      </c>
      <c r="G99" s="8" t="str">
        <f>IF('Course 3'!$H97='tab3'!G$3,'Course 3'!$I97," ")</f>
        <v xml:space="preserve"> </v>
      </c>
      <c r="H99" s="8" t="str">
        <f>IF('Course 3'!$H97='tab3'!H$3,'Course 3'!$I97," ")</f>
        <v xml:space="preserve"> </v>
      </c>
      <c r="I99" s="8" t="str">
        <f>IF('Course 3'!$H97='tab3'!I$3,'Course 3'!$I97," ")</f>
        <v xml:space="preserve"> </v>
      </c>
      <c r="J99" s="8" t="str">
        <f>IF('Course 3'!$H97='tab3'!J$3,'Course 3'!$I97," ")</f>
        <v xml:space="preserve"> </v>
      </c>
      <c r="K99" s="8" t="str">
        <f>IF('Course 3'!$H97='tab3'!K$3,'Course 3'!$I97," ")</f>
        <v xml:space="preserve"> </v>
      </c>
      <c r="L99" s="8" t="str">
        <f>IF('Course 3'!$H97='tab3'!L$3,'Course 3'!$I97," ")</f>
        <v xml:space="preserve"> </v>
      </c>
      <c r="M99" s="8" t="str">
        <f>IF('Course 3'!$H97='tab3'!M$3,'Course 3'!$I97," ")</f>
        <v xml:space="preserve"> </v>
      </c>
      <c r="N99" s="9" t="str">
        <f>IF('Course 3'!$H97='tab3'!N$3,'Course 3'!$I97," ")</f>
        <v xml:space="preserve"> </v>
      </c>
    </row>
    <row r="100" spans="2:14">
      <c r="B100">
        <v>96</v>
      </c>
      <c r="C100" s="7" t="str">
        <f>IF('Course 3'!$H98='tab3'!C$3,'Course 3'!$I98," ")</f>
        <v xml:space="preserve"> </v>
      </c>
      <c r="D100" s="8" t="str">
        <f>IF('Course 3'!$H98='tab3'!D$3,'Course 3'!$I98," ")</f>
        <v xml:space="preserve"> </v>
      </c>
      <c r="E100" s="8" t="str">
        <f>IF('Course 3'!$H98='tab3'!E$3,'Course 3'!$I98," ")</f>
        <v xml:space="preserve"> </v>
      </c>
      <c r="F100" s="8" t="str">
        <f>IF('Course 3'!$H98='tab3'!F$3,'Course 3'!$I98," ")</f>
        <v xml:space="preserve"> </v>
      </c>
      <c r="G100" s="8" t="str">
        <f>IF('Course 3'!$H98='tab3'!G$3,'Course 3'!$I98," ")</f>
        <v xml:space="preserve"> </v>
      </c>
      <c r="H100" s="8" t="str">
        <f>IF('Course 3'!$H98='tab3'!H$3,'Course 3'!$I98," ")</f>
        <v xml:space="preserve"> </v>
      </c>
      <c r="I100" s="8" t="str">
        <f>IF('Course 3'!$H98='tab3'!I$3,'Course 3'!$I98," ")</f>
        <v xml:space="preserve"> </v>
      </c>
      <c r="J100" s="8" t="str">
        <f>IF('Course 3'!$H98='tab3'!J$3,'Course 3'!$I98," ")</f>
        <v xml:space="preserve"> </v>
      </c>
      <c r="K100" s="8" t="str">
        <f>IF('Course 3'!$H98='tab3'!K$3,'Course 3'!$I98," ")</f>
        <v xml:space="preserve"> </v>
      </c>
      <c r="L100" s="8" t="str">
        <f>IF('Course 3'!$H98='tab3'!L$3,'Course 3'!$I98," ")</f>
        <v xml:space="preserve"> </v>
      </c>
      <c r="M100" s="8" t="str">
        <f>IF('Course 3'!$H98='tab3'!M$3,'Course 3'!$I98," ")</f>
        <v xml:space="preserve"> </v>
      </c>
      <c r="N100" s="9" t="str">
        <f>IF('Course 3'!$H98='tab3'!N$3,'Course 3'!$I98," ")</f>
        <v xml:space="preserve"> </v>
      </c>
    </row>
    <row r="101" spans="2:14">
      <c r="B101">
        <v>97</v>
      </c>
      <c r="C101" s="7" t="str">
        <f>IF('Course 3'!$H99='tab3'!C$3,'Course 3'!$I99," ")</f>
        <v xml:space="preserve"> </v>
      </c>
      <c r="D101" s="8" t="str">
        <f>IF('Course 3'!$H99='tab3'!D$3,'Course 3'!$I99," ")</f>
        <v xml:space="preserve"> </v>
      </c>
      <c r="E101" s="8" t="str">
        <f>IF('Course 3'!$H99='tab3'!E$3,'Course 3'!$I99," ")</f>
        <v xml:space="preserve"> </v>
      </c>
      <c r="F101" s="8" t="str">
        <f>IF('Course 3'!$H99='tab3'!F$3,'Course 3'!$I99," ")</f>
        <v xml:space="preserve"> </v>
      </c>
      <c r="G101" s="8" t="str">
        <f>IF('Course 3'!$H99='tab3'!G$3,'Course 3'!$I99," ")</f>
        <v xml:space="preserve"> </v>
      </c>
      <c r="H101" s="8" t="str">
        <f>IF('Course 3'!$H99='tab3'!H$3,'Course 3'!$I99," ")</f>
        <v xml:space="preserve"> </v>
      </c>
      <c r="I101" s="8" t="str">
        <f>IF('Course 3'!$H99='tab3'!I$3,'Course 3'!$I99," ")</f>
        <v xml:space="preserve"> </v>
      </c>
      <c r="J101" s="8" t="str">
        <f>IF('Course 3'!$H99='tab3'!J$3,'Course 3'!$I99," ")</f>
        <v xml:space="preserve"> </v>
      </c>
      <c r="K101" s="8" t="str">
        <f>IF('Course 3'!$H99='tab3'!K$3,'Course 3'!$I99," ")</f>
        <v xml:space="preserve"> </v>
      </c>
      <c r="L101" s="8" t="str">
        <f>IF('Course 3'!$H99='tab3'!L$3,'Course 3'!$I99," ")</f>
        <v xml:space="preserve"> </v>
      </c>
      <c r="M101" s="8" t="str">
        <f>IF('Course 3'!$H99='tab3'!M$3,'Course 3'!$I99," ")</f>
        <v xml:space="preserve"> </v>
      </c>
      <c r="N101" s="9" t="str">
        <f>IF('Course 3'!$H99='tab3'!N$3,'Course 3'!$I99," ")</f>
        <v xml:space="preserve"> </v>
      </c>
    </row>
    <row r="102" spans="2:14">
      <c r="B102">
        <v>98</v>
      </c>
      <c r="C102" s="7" t="str">
        <f>IF('Course 3'!$H100='tab3'!C$3,'Course 3'!$I100," ")</f>
        <v xml:space="preserve"> </v>
      </c>
      <c r="D102" s="8" t="str">
        <f>IF('Course 3'!$H100='tab3'!D$3,'Course 3'!$I100," ")</f>
        <v xml:space="preserve"> </v>
      </c>
      <c r="E102" s="8" t="str">
        <f>IF('Course 3'!$H100='tab3'!E$3,'Course 3'!$I100," ")</f>
        <v xml:space="preserve"> </v>
      </c>
      <c r="F102" s="8" t="str">
        <f>IF('Course 3'!$H100='tab3'!F$3,'Course 3'!$I100," ")</f>
        <v xml:space="preserve"> </v>
      </c>
      <c r="G102" s="8" t="str">
        <f>IF('Course 3'!$H100='tab3'!G$3,'Course 3'!$I100," ")</f>
        <v xml:space="preserve"> </v>
      </c>
      <c r="H102" s="8" t="str">
        <f>IF('Course 3'!$H100='tab3'!H$3,'Course 3'!$I100," ")</f>
        <v xml:space="preserve"> </v>
      </c>
      <c r="I102" s="8" t="str">
        <f>IF('Course 3'!$H100='tab3'!I$3,'Course 3'!$I100," ")</f>
        <v xml:space="preserve"> </v>
      </c>
      <c r="J102" s="8" t="str">
        <f>IF('Course 3'!$H100='tab3'!J$3,'Course 3'!$I100," ")</f>
        <v xml:space="preserve"> </v>
      </c>
      <c r="K102" s="8" t="str">
        <f>IF('Course 3'!$H100='tab3'!K$3,'Course 3'!$I100," ")</f>
        <v xml:space="preserve"> </v>
      </c>
      <c r="L102" s="8" t="str">
        <f>IF('Course 3'!$H100='tab3'!L$3,'Course 3'!$I100," ")</f>
        <v xml:space="preserve"> </v>
      </c>
      <c r="M102" s="8" t="str">
        <f>IF('Course 3'!$H100='tab3'!M$3,'Course 3'!$I100," ")</f>
        <v xml:space="preserve"> </v>
      </c>
      <c r="N102" s="9" t="str">
        <f>IF('Course 3'!$H100='tab3'!N$3,'Course 3'!$I100," ")</f>
        <v xml:space="preserve"> </v>
      </c>
    </row>
    <row r="103" spans="2:14">
      <c r="B103">
        <v>99</v>
      </c>
      <c r="C103" s="7" t="str">
        <f>IF('Course 3'!$H101='tab3'!C$3,'Course 3'!$I101," ")</f>
        <v xml:space="preserve"> </v>
      </c>
      <c r="D103" s="8" t="str">
        <f>IF('Course 3'!$H101='tab3'!D$3,'Course 3'!$I101," ")</f>
        <v xml:space="preserve"> </v>
      </c>
      <c r="E103" s="8" t="str">
        <f>IF('Course 3'!$H101='tab3'!E$3,'Course 3'!$I101," ")</f>
        <v xml:space="preserve"> </v>
      </c>
      <c r="F103" s="8" t="str">
        <f>IF('Course 3'!$H101='tab3'!F$3,'Course 3'!$I101," ")</f>
        <v xml:space="preserve"> </v>
      </c>
      <c r="G103" s="8" t="str">
        <f>IF('Course 3'!$H101='tab3'!G$3,'Course 3'!$I101," ")</f>
        <v xml:space="preserve"> </v>
      </c>
      <c r="H103" s="8" t="str">
        <f>IF('Course 3'!$H101='tab3'!H$3,'Course 3'!$I101," ")</f>
        <v xml:space="preserve"> </v>
      </c>
      <c r="I103" s="8" t="str">
        <f>IF('Course 3'!$H101='tab3'!I$3,'Course 3'!$I101," ")</f>
        <v xml:space="preserve"> </v>
      </c>
      <c r="J103" s="8" t="str">
        <f>IF('Course 3'!$H101='tab3'!J$3,'Course 3'!$I101," ")</f>
        <v xml:space="preserve"> </v>
      </c>
      <c r="K103" s="8" t="str">
        <f>IF('Course 3'!$H101='tab3'!K$3,'Course 3'!$I101," ")</f>
        <v xml:space="preserve"> </v>
      </c>
      <c r="L103" s="8" t="str">
        <f>IF('Course 3'!$H101='tab3'!L$3,'Course 3'!$I101," ")</f>
        <v xml:space="preserve"> </v>
      </c>
      <c r="M103" s="8" t="str">
        <f>IF('Course 3'!$H101='tab3'!M$3,'Course 3'!$I101," ")</f>
        <v xml:space="preserve"> </v>
      </c>
      <c r="N103" s="9" t="str">
        <f>IF('Course 3'!$H101='tab3'!N$3,'Course 3'!$I101," ")</f>
        <v xml:space="preserve"> </v>
      </c>
    </row>
    <row r="104" spans="2:14">
      <c r="B104">
        <v>100</v>
      </c>
      <c r="C104" s="7" t="str">
        <f>IF('Course 3'!$H102='tab3'!C$3,'Course 3'!$I102," ")</f>
        <v xml:space="preserve"> </v>
      </c>
      <c r="D104" s="8" t="str">
        <f>IF('Course 3'!$H102='tab3'!D$3,'Course 3'!$I102," ")</f>
        <v xml:space="preserve"> </v>
      </c>
      <c r="E104" s="8" t="str">
        <f>IF('Course 3'!$H102='tab3'!E$3,'Course 3'!$I102," ")</f>
        <v xml:space="preserve"> </v>
      </c>
      <c r="F104" s="8" t="str">
        <f>IF('Course 3'!$H102='tab3'!F$3,'Course 3'!$I102," ")</f>
        <v xml:space="preserve"> </v>
      </c>
      <c r="G104" s="8" t="str">
        <f>IF('Course 3'!$H102='tab3'!G$3,'Course 3'!$I102," ")</f>
        <v xml:space="preserve"> </v>
      </c>
      <c r="H104" s="8" t="str">
        <f>IF('Course 3'!$H102='tab3'!H$3,'Course 3'!$I102," ")</f>
        <v xml:space="preserve"> </v>
      </c>
      <c r="I104" s="8" t="str">
        <f>IF('Course 3'!$H102='tab3'!I$3,'Course 3'!$I102," ")</f>
        <v xml:space="preserve"> </v>
      </c>
      <c r="J104" s="8" t="str">
        <f>IF('Course 3'!$H102='tab3'!J$3,'Course 3'!$I102," ")</f>
        <v xml:space="preserve"> </v>
      </c>
      <c r="K104" s="8" t="str">
        <f>IF('Course 3'!$H102='tab3'!K$3,'Course 3'!$I102," ")</f>
        <v xml:space="preserve"> </v>
      </c>
      <c r="L104" s="8" t="str">
        <f>IF('Course 3'!$H102='tab3'!L$3,'Course 3'!$I102," ")</f>
        <v xml:space="preserve"> </v>
      </c>
      <c r="M104" s="8" t="str">
        <f>IF('Course 3'!$H102='tab3'!M$3,'Course 3'!$I102," ")</f>
        <v xml:space="preserve"> </v>
      </c>
      <c r="N104" s="9" t="str">
        <f>IF('Course 3'!$H102='tab3'!N$3,'Course 3'!$I102," ")</f>
        <v xml:space="preserve"> </v>
      </c>
    </row>
    <row r="105" spans="2:14">
      <c r="B105">
        <v>101</v>
      </c>
      <c r="C105" s="7" t="str">
        <f>IF('Course 3'!$H103='tab3'!C$3,'Course 3'!$I103," ")</f>
        <v xml:space="preserve"> </v>
      </c>
      <c r="D105" s="8" t="str">
        <f>IF('Course 3'!$H103='tab3'!D$3,'Course 3'!$I103," ")</f>
        <v xml:space="preserve"> </v>
      </c>
      <c r="E105" s="8" t="str">
        <f>IF('Course 3'!$H103='tab3'!E$3,'Course 3'!$I103," ")</f>
        <v xml:space="preserve"> </v>
      </c>
      <c r="F105" s="8" t="str">
        <f>IF('Course 3'!$H103='tab3'!F$3,'Course 3'!$I103," ")</f>
        <v xml:space="preserve"> </v>
      </c>
      <c r="G105" s="8" t="str">
        <f>IF('Course 3'!$H103='tab3'!G$3,'Course 3'!$I103," ")</f>
        <v xml:space="preserve"> </v>
      </c>
      <c r="H105" s="8" t="str">
        <f>IF('Course 3'!$H103='tab3'!H$3,'Course 3'!$I103," ")</f>
        <v xml:space="preserve"> </v>
      </c>
      <c r="I105" s="8" t="str">
        <f>IF('Course 3'!$H103='tab3'!I$3,'Course 3'!$I103," ")</f>
        <v xml:space="preserve"> </v>
      </c>
      <c r="J105" s="8" t="str">
        <f>IF('Course 3'!$H103='tab3'!J$3,'Course 3'!$I103," ")</f>
        <v xml:space="preserve"> </v>
      </c>
      <c r="K105" s="8" t="str">
        <f>IF('Course 3'!$H103='tab3'!K$3,'Course 3'!$I103," ")</f>
        <v xml:space="preserve"> </v>
      </c>
      <c r="L105" s="8" t="str">
        <f>IF('Course 3'!$H103='tab3'!L$3,'Course 3'!$I103," ")</f>
        <v xml:space="preserve"> </v>
      </c>
      <c r="M105" s="8" t="str">
        <f>IF('Course 3'!$H103='tab3'!M$3,'Course 3'!$I103," ")</f>
        <v xml:space="preserve"> </v>
      </c>
      <c r="N105" s="9" t="str">
        <f>IF('Course 3'!$H103='tab3'!N$3,'Course 3'!$I103," ")</f>
        <v xml:space="preserve"> </v>
      </c>
    </row>
    <row r="106" spans="2:14">
      <c r="B106">
        <v>102</v>
      </c>
      <c r="C106" s="7" t="str">
        <f>IF('Course 3'!$H104='tab3'!C$3,'Course 3'!$I104," ")</f>
        <v xml:space="preserve"> </v>
      </c>
      <c r="D106" s="8" t="str">
        <f>IF('Course 3'!$H104='tab3'!D$3,'Course 3'!$I104," ")</f>
        <v xml:space="preserve"> </v>
      </c>
      <c r="E106" s="8" t="str">
        <f>IF('Course 3'!$H104='tab3'!E$3,'Course 3'!$I104," ")</f>
        <v xml:space="preserve"> </v>
      </c>
      <c r="F106" s="8" t="str">
        <f>IF('Course 3'!$H104='tab3'!F$3,'Course 3'!$I104," ")</f>
        <v xml:space="preserve"> </v>
      </c>
      <c r="G106" s="8" t="str">
        <f>IF('Course 3'!$H104='tab3'!G$3,'Course 3'!$I104," ")</f>
        <v xml:space="preserve"> </v>
      </c>
      <c r="H106" s="8" t="str">
        <f>IF('Course 3'!$H104='tab3'!H$3,'Course 3'!$I104," ")</f>
        <v xml:space="preserve"> </v>
      </c>
      <c r="I106" s="8" t="str">
        <f>IF('Course 3'!$H104='tab3'!I$3,'Course 3'!$I104," ")</f>
        <v xml:space="preserve"> </v>
      </c>
      <c r="J106" s="8" t="str">
        <f>IF('Course 3'!$H104='tab3'!J$3,'Course 3'!$I104," ")</f>
        <v xml:space="preserve"> </v>
      </c>
      <c r="K106" s="8" t="str">
        <f>IF('Course 3'!$H104='tab3'!K$3,'Course 3'!$I104," ")</f>
        <v xml:space="preserve"> </v>
      </c>
      <c r="L106" s="8" t="str">
        <f>IF('Course 3'!$H104='tab3'!L$3,'Course 3'!$I104," ")</f>
        <v xml:space="preserve"> </v>
      </c>
      <c r="M106" s="8" t="str">
        <f>IF('Course 3'!$H104='tab3'!M$3,'Course 3'!$I104," ")</f>
        <v xml:space="preserve"> </v>
      </c>
      <c r="N106" s="9" t="str">
        <f>IF('Course 3'!$H104='tab3'!N$3,'Course 3'!$I104," ")</f>
        <v xml:space="preserve"> </v>
      </c>
    </row>
    <row r="107" spans="2:14">
      <c r="B107">
        <v>103</v>
      </c>
      <c r="C107" s="7" t="str">
        <f>IF('Course 3'!$H105='tab3'!C$3,'Course 3'!$I105," ")</f>
        <v xml:space="preserve"> </v>
      </c>
      <c r="D107" s="8" t="str">
        <f>IF('Course 3'!$H105='tab3'!D$3,'Course 3'!$I105," ")</f>
        <v xml:space="preserve"> </v>
      </c>
      <c r="E107" s="8" t="str">
        <f>IF('Course 3'!$H105='tab3'!E$3,'Course 3'!$I105," ")</f>
        <v xml:space="preserve"> </v>
      </c>
      <c r="F107" s="8" t="str">
        <f>IF('Course 3'!$H105='tab3'!F$3,'Course 3'!$I105," ")</f>
        <v xml:space="preserve"> </v>
      </c>
      <c r="G107" s="8" t="str">
        <f>IF('Course 3'!$H105='tab3'!G$3,'Course 3'!$I105," ")</f>
        <v xml:space="preserve"> </v>
      </c>
      <c r="H107" s="8" t="str">
        <f>IF('Course 3'!$H105='tab3'!H$3,'Course 3'!$I105," ")</f>
        <v xml:space="preserve"> </v>
      </c>
      <c r="I107" s="8" t="str">
        <f>IF('Course 3'!$H105='tab3'!I$3,'Course 3'!$I105," ")</f>
        <v xml:space="preserve"> </v>
      </c>
      <c r="J107" s="8" t="str">
        <f>IF('Course 3'!$H105='tab3'!J$3,'Course 3'!$I105," ")</f>
        <v xml:space="preserve"> </v>
      </c>
      <c r="K107" s="8" t="str">
        <f>IF('Course 3'!$H105='tab3'!K$3,'Course 3'!$I105," ")</f>
        <v xml:space="preserve"> </v>
      </c>
      <c r="L107" s="8" t="str">
        <f>IF('Course 3'!$H105='tab3'!L$3,'Course 3'!$I105," ")</f>
        <v xml:space="preserve"> </v>
      </c>
      <c r="M107" s="8" t="str">
        <f>IF('Course 3'!$H105='tab3'!M$3,'Course 3'!$I105," ")</f>
        <v xml:space="preserve"> </v>
      </c>
      <c r="N107" s="9" t="str">
        <f>IF('Course 3'!$H105='tab3'!N$3,'Course 3'!$I105," ")</f>
        <v xml:space="preserve"> </v>
      </c>
    </row>
    <row r="108" spans="2:14">
      <c r="B108">
        <v>104</v>
      </c>
      <c r="C108" s="7" t="str">
        <f>IF('Course 3'!$H106='tab3'!C$3,'Course 3'!$I106," ")</f>
        <v xml:space="preserve"> </v>
      </c>
      <c r="D108" s="8" t="str">
        <f>IF('Course 3'!$H106='tab3'!D$3,'Course 3'!$I106," ")</f>
        <v xml:space="preserve"> </v>
      </c>
      <c r="E108" s="8" t="str">
        <f>IF('Course 3'!$H106='tab3'!E$3,'Course 3'!$I106," ")</f>
        <v xml:space="preserve"> </v>
      </c>
      <c r="F108" s="8" t="str">
        <f>IF('Course 3'!$H106='tab3'!F$3,'Course 3'!$I106," ")</f>
        <v xml:space="preserve"> </v>
      </c>
      <c r="G108" s="8" t="str">
        <f>IF('Course 3'!$H106='tab3'!G$3,'Course 3'!$I106," ")</f>
        <v xml:space="preserve"> </v>
      </c>
      <c r="H108" s="8" t="str">
        <f>IF('Course 3'!$H106='tab3'!H$3,'Course 3'!$I106," ")</f>
        <v xml:space="preserve"> </v>
      </c>
      <c r="I108" s="8" t="str">
        <f>IF('Course 3'!$H106='tab3'!I$3,'Course 3'!$I106," ")</f>
        <v xml:space="preserve"> </v>
      </c>
      <c r="J108" s="8" t="str">
        <f>IF('Course 3'!$H106='tab3'!J$3,'Course 3'!$I106," ")</f>
        <v xml:space="preserve"> </v>
      </c>
      <c r="K108" s="8" t="str">
        <f>IF('Course 3'!$H106='tab3'!K$3,'Course 3'!$I106," ")</f>
        <v xml:space="preserve"> </v>
      </c>
      <c r="L108" s="8" t="str">
        <f>IF('Course 3'!$H106='tab3'!L$3,'Course 3'!$I106," ")</f>
        <v xml:space="preserve"> </v>
      </c>
      <c r="M108" s="8" t="str">
        <f>IF('Course 3'!$H106='tab3'!M$3,'Course 3'!$I106," ")</f>
        <v xml:space="preserve"> </v>
      </c>
      <c r="N108" s="9" t="str">
        <f>IF('Course 3'!$H106='tab3'!N$3,'Course 3'!$I106," ")</f>
        <v xml:space="preserve"> </v>
      </c>
    </row>
    <row r="109" spans="2:14">
      <c r="B109">
        <v>105</v>
      </c>
      <c r="C109" s="7" t="str">
        <f>IF('Course 3'!$H107='tab3'!C$3,'Course 3'!$I107," ")</f>
        <v xml:space="preserve"> </v>
      </c>
      <c r="D109" s="8" t="str">
        <f>IF('Course 3'!$H107='tab3'!D$3,'Course 3'!$I107," ")</f>
        <v xml:space="preserve"> </v>
      </c>
      <c r="E109" s="8" t="str">
        <f>IF('Course 3'!$H107='tab3'!E$3,'Course 3'!$I107," ")</f>
        <v xml:space="preserve"> </v>
      </c>
      <c r="F109" s="8" t="str">
        <f>IF('Course 3'!$H107='tab3'!F$3,'Course 3'!$I107," ")</f>
        <v xml:space="preserve"> </v>
      </c>
      <c r="G109" s="8" t="str">
        <f>IF('Course 3'!$H107='tab3'!G$3,'Course 3'!$I107," ")</f>
        <v xml:space="preserve"> </v>
      </c>
      <c r="H109" s="8" t="str">
        <f>IF('Course 3'!$H107='tab3'!H$3,'Course 3'!$I107," ")</f>
        <v xml:space="preserve"> </v>
      </c>
      <c r="I109" s="8" t="str">
        <f>IF('Course 3'!$H107='tab3'!I$3,'Course 3'!$I107," ")</f>
        <v xml:space="preserve"> </v>
      </c>
      <c r="J109" s="8" t="str">
        <f>IF('Course 3'!$H107='tab3'!J$3,'Course 3'!$I107," ")</f>
        <v xml:space="preserve"> </v>
      </c>
      <c r="K109" s="8" t="str">
        <f>IF('Course 3'!$H107='tab3'!K$3,'Course 3'!$I107," ")</f>
        <v xml:space="preserve"> </v>
      </c>
      <c r="L109" s="8" t="str">
        <f>IF('Course 3'!$H107='tab3'!L$3,'Course 3'!$I107," ")</f>
        <v xml:space="preserve"> </v>
      </c>
      <c r="M109" s="8" t="str">
        <f>IF('Course 3'!$H107='tab3'!M$3,'Course 3'!$I107," ")</f>
        <v xml:space="preserve"> </v>
      </c>
      <c r="N109" s="9" t="str">
        <f>IF('Course 3'!$H107='tab3'!N$3,'Course 3'!$I107," ")</f>
        <v xml:space="preserve"> </v>
      </c>
    </row>
    <row r="110" spans="2:14">
      <c r="B110">
        <v>106</v>
      </c>
      <c r="C110" s="7" t="str">
        <f>IF('Course 3'!$H108='tab3'!C$3,'Course 3'!$I108," ")</f>
        <v xml:space="preserve"> </v>
      </c>
      <c r="D110" s="8" t="str">
        <f>IF('Course 3'!$H108='tab3'!D$3,'Course 3'!$I108," ")</f>
        <v xml:space="preserve"> </v>
      </c>
      <c r="E110" s="8" t="str">
        <f>IF('Course 3'!$H108='tab3'!E$3,'Course 3'!$I108," ")</f>
        <v xml:space="preserve"> </v>
      </c>
      <c r="F110" s="8" t="str">
        <f>IF('Course 3'!$H108='tab3'!F$3,'Course 3'!$I108," ")</f>
        <v xml:space="preserve"> </v>
      </c>
      <c r="G110" s="8" t="str">
        <f>IF('Course 3'!$H108='tab3'!G$3,'Course 3'!$I108," ")</f>
        <v xml:space="preserve"> </v>
      </c>
      <c r="H110" s="8" t="str">
        <f>IF('Course 3'!$H108='tab3'!H$3,'Course 3'!$I108," ")</f>
        <v xml:space="preserve"> </v>
      </c>
      <c r="I110" s="8" t="str">
        <f>IF('Course 3'!$H108='tab3'!I$3,'Course 3'!$I108," ")</f>
        <v xml:space="preserve"> </v>
      </c>
      <c r="J110" s="8" t="str">
        <f>IF('Course 3'!$H108='tab3'!J$3,'Course 3'!$I108," ")</f>
        <v xml:space="preserve"> </v>
      </c>
      <c r="K110" s="8" t="str">
        <f>IF('Course 3'!$H108='tab3'!K$3,'Course 3'!$I108," ")</f>
        <v xml:space="preserve"> </v>
      </c>
      <c r="L110" s="8" t="str">
        <f>IF('Course 3'!$H108='tab3'!L$3,'Course 3'!$I108," ")</f>
        <v xml:space="preserve"> </v>
      </c>
      <c r="M110" s="8" t="str">
        <f>IF('Course 3'!$H108='tab3'!M$3,'Course 3'!$I108," ")</f>
        <v xml:space="preserve"> </v>
      </c>
      <c r="N110" s="9" t="str">
        <f>IF('Course 3'!$H108='tab3'!N$3,'Course 3'!$I108," ")</f>
        <v xml:space="preserve"> </v>
      </c>
    </row>
    <row r="111" spans="2:14">
      <c r="B111">
        <v>107</v>
      </c>
      <c r="C111" s="7" t="str">
        <f>IF('Course 3'!$H109='tab3'!C$3,'Course 3'!$I109," ")</f>
        <v xml:space="preserve"> </v>
      </c>
      <c r="D111" s="8" t="str">
        <f>IF('Course 3'!$H109='tab3'!D$3,'Course 3'!$I109," ")</f>
        <v xml:space="preserve"> </v>
      </c>
      <c r="E111" s="8" t="str">
        <f>IF('Course 3'!$H109='tab3'!E$3,'Course 3'!$I109," ")</f>
        <v xml:space="preserve"> </v>
      </c>
      <c r="F111" s="8" t="str">
        <f>IF('Course 3'!$H109='tab3'!F$3,'Course 3'!$I109," ")</f>
        <v xml:space="preserve"> </v>
      </c>
      <c r="G111" s="8" t="str">
        <f>IF('Course 3'!$H109='tab3'!G$3,'Course 3'!$I109," ")</f>
        <v xml:space="preserve"> </v>
      </c>
      <c r="H111" s="8" t="str">
        <f>IF('Course 3'!$H109='tab3'!H$3,'Course 3'!$I109," ")</f>
        <v xml:space="preserve"> </v>
      </c>
      <c r="I111" s="8" t="str">
        <f>IF('Course 3'!$H109='tab3'!I$3,'Course 3'!$I109," ")</f>
        <v xml:space="preserve"> </v>
      </c>
      <c r="J111" s="8" t="str">
        <f>IF('Course 3'!$H109='tab3'!J$3,'Course 3'!$I109," ")</f>
        <v xml:space="preserve"> </v>
      </c>
      <c r="K111" s="8" t="str">
        <f>IF('Course 3'!$H109='tab3'!K$3,'Course 3'!$I109," ")</f>
        <v xml:space="preserve"> </v>
      </c>
      <c r="L111" s="8" t="str">
        <f>IF('Course 3'!$H109='tab3'!L$3,'Course 3'!$I109," ")</f>
        <v xml:space="preserve"> </v>
      </c>
      <c r="M111" s="8" t="str">
        <f>IF('Course 3'!$H109='tab3'!M$3,'Course 3'!$I109," ")</f>
        <v xml:space="preserve"> </v>
      </c>
      <c r="N111" s="9" t="str">
        <f>IF('Course 3'!$H109='tab3'!N$3,'Course 3'!$I109," ")</f>
        <v xml:space="preserve"> </v>
      </c>
    </row>
    <row r="112" spans="2:14">
      <c r="B112">
        <v>108</v>
      </c>
      <c r="C112" s="7" t="str">
        <f>IF('Course 3'!$H110='tab3'!C$3,'Course 3'!$I110," ")</f>
        <v xml:space="preserve"> </v>
      </c>
      <c r="D112" s="8" t="str">
        <f>IF('Course 3'!$H110='tab3'!D$3,'Course 3'!$I110," ")</f>
        <v xml:space="preserve"> </v>
      </c>
      <c r="E112" s="8" t="str">
        <f>IF('Course 3'!$H110='tab3'!E$3,'Course 3'!$I110," ")</f>
        <v xml:space="preserve"> </v>
      </c>
      <c r="F112" s="8" t="str">
        <f>IF('Course 3'!$H110='tab3'!F$3,'Course 3'!$I110," ")</f>
        <v xml:space="preserve"> </v>
      </c>
      <c r="G112" s="8" t="str">
        <f>IF('Course 3'!$H110='tab3'!G$3,'Course 3'!$I110," ")</f>
        <v xml:space="preserve"> </v>
      </c>
      <c r="H112" s="8" t="str">
        <f>IF('Course 3'!$H110='tab3'!H$3,'Course 3'!$I110," ")</f>
        <v xml:space="preserve"> </v>
      </c>
      <c r="I112" s="8" t="str">
        <f>IF('Course 3'!$H110='tab3'!I$3,'Course 3'!$I110," ")</f>
        <v xml:space="preserve"> </v>
      </c>
      <c r="J112" s="8" t="str">
        <f>IF('Course 3'!$H110='tab3'!J$3,'Course 3'!$I110," ")</f>
        <v xml:space="preserve"> </v>
      </c>
      <c r="K112" s="8" t="str">
        <f>IF('Course 3'!$H110='tab3'!K$3,'Course 3'!$I110," ")</f>
        <v xml:space="preserve"> </v>
      </c>
      <c r="L112" s="8" t="str">
        <f>IF('Course 3'!$H110='tab3'!L$3,'Course 3'!$I110," ")</f>
        <v xml:space="preserve"> </v>
      </c>
      <c r="M112" s="8" t="str">
        <f>IF('Course 3'!$H110='tab3'!M$3,'Course 3'!$I110," ")</f>
        <v xml:space="preserve"> </v>
      </c>
      <c r="N112" s="9" t="str">
        <f>IF('Course 3'!$H110='tab3'!N$3,'Course 3'!$I110," ")</f>
        <v xml:space="preserve"> </v>
      </c>
    </row>
    <row r="113" spans="2:14">
      <c r="B113">
        <v>109</v>
      </c>
      <c r="C113" s="7" t="str">
        <f>IF('Course 3'!$H111='tab3'!C$3,'Course 3'!$I111," ")</f>
        <v xml:space="preserve"> </v>
      </c>
      <c r="D113" s="8" t="str">
        <f>IF('Course 3'!$H111='tab3'!D$3,'Course 3'!$I111," ")</f>
        <v xml:space="preserve"> </v>
      </c>
      <c r="E113" s="8" t="str">
        <f>IF('Course 3'!$H111='tab3'!E$3,'Course 3'!$I111," ")</f>
        <v xml:space="preserve"> </v>
      </c>
      <c r="F113" s="8" t="str">
        <f>IF('Course 3'!$H111='tab3'!F$3,'Course 3'!$I111," ")</f>
        <v xml:space="preserve"> </v>
      </c>
      <c r="G113" s="8" t="str">
        <f>IF('Course 3'!$H111='tab3'!G$3,'Course 3'!$I111," ")</f>
        <v xml:space="preserve"> </v>
      </c>
      <c r="H113" s="8" t="str">
        <f>IF('Course 3'!$H111='tab3'!H$3,'Course 3'!$I111," ")</f>
        <v xml:space="preserve"> </v>
      </c>
      <c r="I113" s="8" t="str">
        <f>IF('Course 3'!$H111='tab3'!I$3,'Course 3'!$I111," ")</f>
        <v xml:space="preserve"> </v>
      </c>
      <c r="J113" s="8" t="str">
        <f>IF('Course 3'!$H111='tab3'!J$3,'Course 3'!$I111," ")</f>
        <v xml:space="preserve"> </v>
      </c>
      <c r="K113" s="8" t="str">
        <f>IF('Course 3'!$H111='tab3'!K$3,'Course 3'!$I111," ")</f>
        <v xml:space="preserve"> </v>
      </c>
      <c r="L113" s="8" t="str">
        <f>IF('Course 3'!$H111='tab3'!L$3,'Course 3'!$I111," ")</f>
        <v xml:space="preserve"> </v>
      </c>
      <c r="M113" s="8" t="str">
        <f>IF('Course 3'!$H111='tab3'!M$3,'Course 3'!$I111," ")</f>
        <v xml:space="preserve"> </v>
      </c>
      <c r="N113" s="9" t="str">
        <f>IF('Course 3'!$H111='tab3'!N$3,'Course 3'!$I111," ")</f>
        <v xml:space="preserve"> </v>
      </c>
    </row>
    <row r="114" spans="2:14">
      <c r="B114">
        <v>110</v>
      </c>
      <c r="C114" s="7" t="str">
        <f>IF('Course 3'!$H112='tab3'!C$3,'Course 3'!$I112," ")</f>
        <v xml:space="preserve"> </v>
      </c>
      <c r="D114" s="8" t="str">
        <f>IF('Course 3'!$H112='tab3'!D$3,'Course 3'!$I112," ")</f>
        <v xml:space="preserve"> </v>
      </c>
      <c r="E114" s="8" t="str">
        <f>IF('Course 3'!$H112='tab3'!E$3,'Course 3'!$I112," ")</f>
        <v xml:space="preserve"> </v>
      </c>
      <c r="F114" s="8" t="str">
        <f>IF('Course 3'!$H112='tab3'!F$3,'Course 3'!$I112," ")</f>
        <v xml:space="preserve"> </v>
      </c>
      <c r="G114" s="8" t="str">
        <f>IF('Course 3'!$H112='tab3'!G$3,'Course 3'!$I112," ")</f>
        <v xml:space="preserve"> </v>
      </c>
      <c r="H114" s="8" t="str">
        <f>IF('Course 3'!$H112='tab3'!H$3,'Course 3'!$I112," ")</f>
        <v xml:space="preserve"> </v>
      </c>
      <c r="I114" s="8" t="str">
        <f>IF('Course 3'!$H112='tab3'!I$3,'Course 3'!$I112," ")</f>
        <v xml:space="preserve"> </v>
      </c>
      <c r="J114" s="8" t="str">
        <f>IF('Course 3'!$H112='tab3'!J$3,'Course 3'!$I112," ")</f>
        <v xml:space="preserve"> </v>
      </c>
      <c r="K114" s="8" t="str">
        <f>IF('Course 3'!$H112='tab3'!K$3,'Course 3'!$I112," ")</f>
        <v xml:space="preserve"> </v>
      </c>
      <c r="L114" s="8" t="str">
        <f>IF('Course 3'!$H112='tab3'!L$3,'Course 3'!$I112," ")</f>
        <v xml:space="preserve"> </v>
      </c>
      <c r="M114" s="8" t="str">
        <f>IF('Course 3'!$H112='tab3'!M$3,'Course 3'!$I112," ")</f>
        <v xml:space="preserve"> </v>
      </c>
      <c r="N114" s="9" t="str">
        <f>IF('Course 3'!$H112='tab3'!N$3,'Course 3'!$I112," ")</f>
        <v xml:space="preserve"> </v>
      </c>
    </row>
    <row r="115" spans="2:14">
      <c r="B115">
        <v>111</v>
      </c>
      <c r="C115" s="7" t="str">
        <f>IF('Course 3'!$H113='tab3'!C$3,'Course 3'!$I113," ")</f>
        <v xml:space="preserve"> </v>
      </c>
      <c r="D115" s="8" t="str">
        <f>IF('Course 3'!$H113='tab3'!D$3,'Course 3'!$I113," ")</f>
        <v xml:space="preserve"> </v>
      </c>
      <c r="E115" s="8" t="str">
        <f>IF('Course 3'!$H113='tab3'!E$3,'Course 3'!$I113," ")</f>
        <v xml:space="preserve"> </v>
      </c>
      <c r="F115" s="8" t="str">
        <f>IF('Course 3'!$H113='tab3'!F$3,'Course 3'!$I113," ")</f>
        <v xml:space="preserve"> </v>
      </c>
      <c r="G115" s="8" t="str">
        <f>IF('Course 3'!$H113='tab3'!G$3,'Course 3'!$I113," ")</f>
        <v xml:space="preserve"> </v>
      </c>
      <c r="H115" s="8" t="str">
        <f>IF('Course 3'!$H113='tab3'!H$3,'Course 3'!$I113," ")</f>
        <v xml:space="preserve"> </v>
      </c>
      <c r="I115" s="8" t="str">
        <f>IF('Course 3'!$H113='tab3'!I$3,'Course 3'!$I113," ")</f>
        <v xml:space="preserve"> </v>
      </c>
      <c r="J115" s="8" t="str">
        <f>IF('Course 3'!$H113='tab3'!J$3,'Course 3'!$I113," ")</f>
        <v xml:space="preserve"> </v>
      </c>
      <c r="K115" s="8" t="str">
        <f>IF('Course 3'!$H113='tab3'!K$3,'Course 3'!$I113," ")</f>
        <v xml:space="preserve"> </v>
      </c>
      <c r="L115" s="8" t="str">
        <f>IF('Course 3'!$H113='tab3'!L$3,'Course 3'!$I113," ")</f>
        <v xml:space="preserve"> </v>
      </c>
      <c r="M115" s="8" t="str">
        <f>IF('Course 3'!$H113='tab3'!M$3,'Course 3'!$I113," ")</f>
        <v xml:space="preserve"> </v>
      </c>
      <c r="N115" s="9" t="str">
        <f>IF('Course 3'!$H113='tab3'!N$3,'Course 3'!$I113," ")</f>
        <v xml:space="preserve"> </v>
      </c>
    </row>
    <row r="116" spans="2:14">
      <c r="B116">
        <v>112</v>
      </c>
      <c r="C116" s="7" t="str">
        <f>IF('Course 3'!$H114='tab3'!C$3,'Course 3'!$I114," ")</f>
        <v xml:space="preserve"> </v>
      </c>
      <c r="D116" s="8" t="str">
        <f>IF('Course 3'!$H114='tab3'!D$3,'Course 3'!$I114," ")</f>
        <v xml:space="preserve"> </v>
      </c>
      <c r="E116" s="8" t="str">
        <f>IF('Course 3'!$H114='tab3'!E$3,'Course 3'!$I114," ")</f>
        <v xml:space="preserve"> </v>
      </c>
      <c r="F116" s="8" t="str">
        <f>IF('Course 3'!$H114='tab3'!F$3,'Course 3'!$I114," ")</f>
        <v xml:space="preserve"> </v>
      </c>
      <c r="G116" s="8" t="str">
        <f>IF('Course 3'!$H114='tab3'!G$3,'Course 3'!$I114," ")</f>
        <v xml:space="preserve"> </v>
      </c>
      <c r="H116" s="8" t="str">
        <f>IF('Course 3'!$H114='tab3'!H$3,'Course 3'!$I114," ")</f>
        <v xml:space="preserve"> </v>
      </c>
      <c r="I116" s="8" t="str">
        <f>IF('Course 3'!$H114='tab3'!I$3,'Course 3'!$I114," ")</f>
        <v xml:space="preserve"> </v>
      </c>
      <c r="J116" s="8" t="str">
        <f>IF('Course 3'!$H114='tab3'!J$3,'Course 3'!$I114," ")</f>
        <v xml:space="preserve"> </v>
      </c>
      <c r="K116" s="8" t="str">
        <f>IF('Course 3'!$H114='tab3'!K$3,'Course 3'!$I114," ")</f>
        <v xml:space="preserve"> </v>
      </c>
      <c r="L116" s="8" t="str">
        <f>IF('Course 3'!$H114='tab3'!L$3,'Course 3'!$I114," ")</f>
        <v xml:space="preserve"> </v>
      </c>
      <c r="M116" s="8" t="str">
        <f>IF('Course 3'!$H114='tab3'!M$3,'Course 3'!$I114," ")</f>
        <v xml:space="preserve"> </v>
      </c>
      <c r="N116" s="9" t="str">
        <f>IF('Course 3'!$H114='tab3'!N$3,'Course 3'!$I114," ")</f>
        <v xml:space="preserve"> </v>
      </c>
    </row>
    <row r="117" spans="2:14">
      <c r="B117">
        <v>113</v>
      </c>
      <c r="C117" s="7" t="str">
        <f>IF('Course 3'!$H115='tab3'!C$3,'Course 3'!$I115," ")</f>
        <v xml:space="preserve"> </v>
      </c>
      <c r="D117" s="8" t="str">
        <f>IF('Course 3'!$H115='tab3'!D$3,'Course 3'!$I115," ")</f>
        <v xml:space="preserve"> </v>
      </c>
      <c r="E117" s="8" t="str">
        <f>IF('Course 3'!$H115='tab3'!E$3,'Course 3'!$I115," ")</f>
        <v xml:space="preserve"> </v>
      </c>
      <c r="F117" s="8" t="str">
        <f>IF('Course 3'!$H115='tab3'!F$3,'Course 3'!$I115," ")</f>
        <v xml:space="preserve"> </v>
      </c>
      <c r="G117" s="8" t="str">
        <f>IF('Course 3'!$H115='tab3'!G$3,'Course 3'!$I115," ")</f>
        <v xml:space="preserve"> </v>
      </c>
      <c r="H117" s="8" t="str">
        <f>IF('Course 3'!$H115='tab3'!H$3,'Course 3'!$I115," ")</f>
        <v xml:space="preserve"> </v>
      </c>
      <c r="I117" s="8" t="str">
        <f>IF('Course 3'!$H115='tab3'!I$3,'Course 3'!$I115," ")</f>
        <v xml:space="preserve"> </v>
      </c>
      <c r="J117" s="8" t="str">
        <f>IF('Course 3'!$H115='tab3'!J$3,'Course 3'!$I115," ")</f>
        <v xml:space="preserve"> </v>
      </c>
      <c r="K117" s="8" t="str">
        <f>IF('Course 3'!$H115='tab3'!K$3,'Course 3'!$I115," ")</f>
        <v xml:space="preserve"> </v>
      </c>
      <c r="L117" s="8" t="str">
        <f>IF('Course 3'!$H115='tab3'!L$3,'Course 3'!$I115," ")</f>
        <v xml:space="preserve"> </v>
      </c>
      <c r="M117" s="8" t="str">
        <f>IF('Course 3'!$H115='tab3'!M$3,'Course 3'!$I115," ")</f>
        <v xml:space="preserve"> </v>
      </c>
      <c r="N117" s="9" t="str">
        <f>IF('Course 3'!$H115='tab3'!N$3,'Course 3'!$I115," ")</f>
        <v xml:space="preserve"> </v>
      </c>
    </row>
    <row r="118" spans="2:14">
      <c r="B118">
        <v>114</v>
      </c>
      <c r="C118" s="7" t="str">
        <f>IF('Course 3'!$H116='tab3'!C$3,'Course 3'!$I116," ")</f>
        <v xml:space="preserve"> </v>
      </c>
      <c r="D118" s="8" t="str">
        <f>IF('Course 3'!$H116='tab3'!D$3,'Course 3'!$I116," ")</f>
        <v xml:space="preserve"> </v>
      </c>
      <c r="E118" s="8" t="str">
        <f>IF('Course 3'!$H116='tab3'!E$3,'Course 3'!$I116," ")</f>
        <v xml:space="preserve"> </v>
      </c>
      <c r="F118" s="8" t="str">
        <f>IF('Course 3'!$H116='tab3'!F$3,'Course 3'!$I116," ")</f>
        <v xml:space="preserve"> </v>
      </c>
      <c r="G118" s="8" t="str">
        <f>IF('Course 3'!$H116='tab3'!G$3,'Course 3'!$I116," ")</f>
        <v xml:space="preserve"> </v>
      </c>
      <c r="H118" s="8" t="str">
        <f>IF('Course 3'!$H116='tab3'!H$3,'Course 3'!$I116," ")</f>
        <v xml:space="preserve"> </v>
      </c>
      <c r="I118" s="8" t="str">
        <f>IF('Course 3'!$H116='tab3'!I$3,'Course 3'!$I116," ")</f>
        <v xml:space="preserve"> </v>
      </c>
      <c r="J118" s="8" t="str">
        <f>IF('Course 3'!$H116='tab3'!J$3,'Course 3'!$I116," ")</f>
        <v xml:space="preserve"> </v>
      </c>
      <c r="K118" s="8" t="str">
        <f>IF('Course 3'!$H116='tab3'!K$3,'Course 3'!$I116," ")</f>
        <v xml:space="preserve"> </v>
      </c>
      <c r="L118" s="8" t="str">
        <f>IF('Course 3'!$H116='tab3'!L$3,'Course 3'!$I116," ")</f>
        <v xml:space="preserve"> </v>
      </c>
      <c r="M118" s="8" t="str">
        <f>IF('Course 3'!$H116='tab3'!M$3,'Course 3'!$I116," ")</f>
        <v xml:space="preserve"> </v>
      </c>
      <c r="N118" s="9" t="str">
        <f>IF('Course 3'!$H116='tab3'!N$3,'Course 3'!$I116," ")</f>
        <v xml:space="preserve"> </v>
      </c>
    </row>
    <row r="119" spans="2:14">
      <c r="B119">
        <v>115</v>
      </c>
      <c r="C119" s="7" t="str">
        <f>IF('Course 3'!$H117='tab3'!C$3,'Course 3'!$I117," ")</f>
        <v xml:space="preserve"> </v>
      </c>
      <c r="D119" s="8" t="str">
        <f>IF('Course 3'!$H117='tab3'!D$3,'Course 3'!$I117," ")</f>
        <v xml:space="preserve"> </v>
      </c>
      <c r="E119" s="8" t="str">
        <f>IF('Course 3'!$H117='tab3'!E$3,'Course 3'!$I117," ")</f>
        <v xml:space="preserve"> </v>
      </c>
      <c r="F119" s="8" t="str">
        <f>IF('Course 3'!$H117='tab3'!F$3,'Course 3'!$I117," ")</f>
        <v xml:space="preserve"> </v>
      </c>
      <c r="G119" s="8" t="str">
        <f>IF('Course 3'!$H117='tab3'!G$3,'Course 3'!$I117," ")</f>
        <v xml:space="preserve"> </v>
      </c>
      <c r="H119" s="8" t="str">
        <f>IF('Course 3'!$H117='tab3'!H$3,'Course 3'!$I117," ")</f>
        <v xml:space="preserve"> </v>
      </c>
      <c r="I119" s="8" t="str">
        <f>IF('Course 3'!$H117='tab3'!I$3,'Course 3'!$I117," ")</f>
        <v xml:space="preserve"> </v>
      </c>
      <c r="J119" s="8" t="str">
        <f>IF('Course 3'!$H117='tab3'!J$3,'Course 3'!$I117," ")</f>
        <v xml:space="preserve"> </v>
      </c>
      <c r="K119" s="8" t="str">
        <f>IF('Course 3'!$H117='tab3'!K$3,'Course 3'!$I117," ")</f>
        <v xml:space="preserve"> </v>
      </c>
      <c r="L119" s="8" t="str">
        <f>IF('Course 3'!$H117='tab3'!L$3,'Course 3'!$I117," ")</f>
        <v xml:space="preserve"> </v>
      </c>
      <c r="M119" s="8" t="str">
        <f>IF('Course 3'!$H117='tab3'!M$3,'Course 3'!$I117," ")</f>
        <v xml:space="preserve"> </v>
      </c>
      <c r="N119" s="9" t="str">
        <f>IF('Course 3'!$H117='tab3'!N$3,'Course 3'!$I117," ")</f>
        <v xml:space="preserve"> </v>
      </c>
    </row>
    <row r="120" spans="2:14">
      <c r="B120">
        <v>116</v>
      </c>
      <c r="C120" s="7" t="str">
        <f>IF('Course 3'!$H118='tab3'!C$3,'Course 3'!$I118," ")</f>
        <v xml:space="preserve"> </v>
      </c>
      <c r="D120" s="8" t="str">
        <f>IF('Course 3'!$H118='tab3'!D$3,'Course 3'!$I118," ")</f>
        <v xml:space="preserve"> </v>
      </c>
      <c r="E120" s="8" t="str">
        <f>IF('Course 3'!$H118='tab3'!E$3,'Course 3'!$I118," ")</f>
        <v xml:space="preserve"> </v>
      </c>
      <c r="F120" s="8" t="str">
        <f>IF('Course 3'!$H118='tab3'!F$3,'Course 3'!$I118," ")</f>
        <v xml:space="preserve"> </v>
      </c>
      <c r="G120" s="8" t="str">
        <f>IF('Course 3'!$H118='tab3'!G$3,'Course 3'!$I118," ")</f>
        <v xml:space="preserve"> </v>
      </c>
      <c r="H120" s="8" t="str">
        <f>IF('Course 3'!$H118='tab3'!H$3,'Course 3'!$I118," ")</f>
        <v xml:space="preserve"> </v>
      </c>
      <c r="I120" s="8" t="str">
        <f>IF('Course 3'!$H118='tab3'!I$3,'Course 3'!$I118," ")</f>
        <v xml:space="preserve"> </v>
      </c>
      <c r="J120" s="8" t="str">
        <f>IF('Course 3'!$H118='tab3'!J$3,'Course 3'!$I118," ")</f>
        <v xml:space="preserve"> </v>
      </c>
      <c r="K120" s="8" t="str">
        <f>IF('Course 3'!$H118='tab3'!K$3,'Course 3'!$I118," ")</f>
        <v xml:space="preserve"> </v>
      </c>
      <c r="L120" s="8" t="str">
        <f>IF('Course 3'!$H118='tab3'!L$3,'Course 3'!$I118," ")</f>
        <v xml:space="preserve"> </v>
      </c>
      <c r="M120" s="8" t="str">
        <f>IF('Course 3'!$H118='tab3'!M$3,'Course 3'!$I118," ")</f>
        <v xml:space="preserve"> </v>
      </c>
      <c r="N120" s="9" t="str">
        <f>IF('Course 3'!$H118='tab3'!N$3,'Course 3'!$I118," ")</f>
        <v xml:space="preserve"> </v>
      </c>
    </row>
    <row r="121" spans="2:14">
      <c r="B121">
        <v>117</v>
      </c>
      <c r="C121" s="7" t="str">
        <f>IF('Course 3'!$H119='tab3'!C$3,'Course 3'!$I119," ")</f>
        <v xml:space="preserve"> </v>
      </c>
      <c r="D121" s="8" t="str">
        <f>IF('Course 3'!$H119='tab3'!D$3,'Course 3'!$I119," ")</f>
        <v xml:space="preserve"> </v>
      </c>
      <c r="E121" s="8" t="str">
        <f>IF('Course 3'!$H119='tab3'!E$3,'Course 3'!$I119," ")</f>
        <v xml:space="preserve"> </v>
      </c>
      <c r="F121" s="8" t="str">
        <f>IF('Course 3'!$H119='tab3'!F$3,'Course 3'!$I119," ")</f>
        <v xml:space="preserve"> </v>
      </c>
      <c r="G121" s="8" t="str">
        <f>IF('Course 3'!$H119='tab3'!G$3,'Course 3'!$I119," ")</f>
        <v xml:space="preserve"> </v>
      </c>
      <c r="H121" s="8" t="str">
        <f>IF('Course 3'!$H119='tab3'!H$3,'Course 3'!$I119," ")</f>
        <v xml:space="preserve"> </v>
      </c>
      <c r="I121" s="8" t="str">
        <f>IF('Course 3'!$H119='tab3'!I$3,'Course 3'!$I119," ")</f>
        <v xml:space="preserve"> </v>
      </c>
      <c r="J121" s="8" t="str">
        <f>IF('Course 3'!$H119='tab3'!J$3,'Course 3'!$I119," ")</f>
        <v xml:space="preserve"> </v>
      </c>
      <c r="K121" s="8" t="str">
        <f>IF('Course 3'!$H119='tab3'!K$3,'Course 3'!$I119," ")</f>
        <v xml:space="preserve"> </v>
      </c>
      <c r="L121" s="8" t="str">
        <f>IF('Course 3'!$H119='tab3'!L$3,'Course 3'!$I119," ")</f>
        <v xml:space="preserve"> </v>
      </c>
      <c r="M121" s="8" t="str">
        <f>IF('Course 3'!$H119='tab3'!M$3,'Course 3'!$I119," ")</f>
        <v xml:space="preserve"> </v>
      </c>
      <c r="N121" s="9" t="str">
        <f>IF('Course 3'!$H119='tab3'!N$3,'Course 3'!$I119," ")</f>
        <v xml:space="preserve"> </v>
      </c>
    </row>
    <row r="122" spans="2:14">
      <c r="B122">
        <v>118</v>
      </c>
      <c r="C122" s="7" t="str">
        <f>IF('Course 3'!$H120='tab3'!C$3,'Course 3'!$I120," ")</f>
        <v xml:space="preserve"> </v>
      </c>
      <c r="D122" s="8" t="str">
        <f>IF('Course 3'!$H120='tab3'!D$3,'Course 3'!$I120," ")</f>
        <v xml:space="preserve"> </v>
      </c>
      <c r="E122" s="8" t="str">
        <f>IF('Course 3'!$H120='tab3'!E$3,'Course 3'!$I120," ")</f>
        <v xml:space="preserve"> </v>
      </c>
      <c r="F122" s="8" t="str">
        <f>IF('Course 3'!$H120='tab3'!F$3,'Course 3'!$I120," ")</f>
        <v xml:space="preserve"> </v>
      </c>
      <c r="G122" s="8" t="str">
        <f>IF('Course 3'!$H120='tab3'!G$3,'Course 3'!$I120," ")</f>
        <v xml:space="preserve"> </v>
      </c>
      <c r="H122" s="8" t="str">
        <f>IF('Course 3'!$H120='tab3'!H$3,'Course 3'!$I120," ")</f>
        <v xml:space="preserve"> </v>
      </c>
      <c r="I122" s="8" t="str">
        <f>IF('Course 3'!$H120='tab3'!I$3,'Course 3'!$I120," ")</f>
        <v xml:space="preserve"> </v>
      </c>
      <c r="J122" s="8" t="str">
        <f>IF('Course 3'!$H120='tab3'!J$3,'Course 3'!$I120," ")</f>
        <v xml:space="preserve"> </v>
      </c>
      <c r="K122" s="8" t="str">
        <f>IF('Course 3'!$H120='tab3'!K$3,'Course 3'!$I120," ")</f>
        <v xml:space="preserve"> </v>
      </c>
      <c r="L122" s="8" t="str">
        <f>IF('Course 3'!$H120='tab3'!L$3,'Course 3'!$I120," ")</f>
        <v xml:space="preserve"> </v>
      </c>
      <c r="M122" s="8" t="str">
        <f>IF('Course 3'!$H120='tab3'!M$3,'Course 3'!$I120," ")</f>
        <v xml:space="preserve"> </v>
      </c>
      <c r="N122" s="9" t="str">
        <f>IF('Course 3'!$H120='tab3'!N$3,'Course 3'!$I120," ")</f>
        <v xml:space="preserve"> </v>
      </c>
    </row>
    <row r="123" spans="2:14">
      <c r="B123">
        <v>119</v>
      </c>
      <c r="C123" s="7" t="str">
        <f>IF('Course 3'!$H121='tab3'!C$3,'Course 3'!$I121," ")</f>
        <v xml:space="preserve"> </v>
      </c>
      <c r="D123" s="8" t="str">
        <f>IF('Course 3'!$H121='tab3'!D$3,'Course 3'!$I121," ")</f>
        <v xml:space="preserve"> </v>
      </c>
      <c r="E123" s="8" t="str">
        <f>IF('Course 3'!$H121='tab3'!E$3,'Course 3'!$I121," ")</f>
        <v xml:space="preserve"> </v>
      </c>
      <c r="F123" s="8" t="str">
        <f>IF('Course 3'!$H121='tab3'!F$3,'Course 3'!$I121," ")</f>
        <v xml:space="preserve"> </v>
      </c>
      <c r="G123" s="8" t="str">
        <f>IF('Course 3'!$H121='tab3'!G$3,'Course 3'!$I121," ")</f>
        <v xml:space="preserve"> </v>
      </c>
      <c r="H123" s="8" t="str">
        <f>IF('Course 3'!$H121='tab3'!H$3,'Course 3'!$I121," ")</f>
        <v xml:space="preserve"> </v>
      </c>
      <c r="I123" s="8" t="str">
        <f>IF('Course 3'!$H121='tab3'!I$3,'Course 3'!$I121," ")</f>
        <v xml:space="preserve"> </v>
      </c>
      <c r="J123" s="8" t="str">
        <f>IF('Course 3'!$H121='tab3'!J$3,'Course 3'!$I121," ")</f>
        <v xml:space="preserve"> </v>
      </c>
      <c r="K123" s="8" t="str">
        <f>IF('Course 3'!$H121='tab3'!K$3,'Course 3'!$I121," ")</f>
        <v xml:space="preserve"> </v>
      </c>
      <c r="L123" s="8" t="str">
        <f>IF('Course 3'!$H121='tab3'!L$3,'Course 3'!$I121," ")</f>
        <v xml:space="preserve"> </v>
      </c>
      <c r="M123" s="8" t="str">
        <f>IF('Course 3'!$H121='tab3'!M$3,'Course 3'!$I121," ")</f>
        <v xml:space="preserve"> </v>
      </c>
      <c r="N123" s="9" t="str">
        <f>IF('Course 3'!$H121='tab3'!N$3,'Course 3'!$I121," ")</f>
        <v xml:space="preserve"> </v>
      </c>
    </row>
    <row r="124" spans="2:14">
      <c r="B124">
        <v>120</v>
      </c>
      <c r="C124" s="7" t="str">
        <f>IF('Course 3'!$H122='tab3'!C$3,'Course 3'!$I122," ")</f>
        <v xml:space="preserve"> </v>
      </c>
      <c r="D124" s="8" t="str">
        <f>IF('Course 3'!$H122='tab3'!D$3,'Course 3'!$I122," ")</f>
        <v xml:space="preserve"> </v>
      </c>
      <c r="E124" s="8" t="str">
        <f>IF('Course 3'!$H122='tab3'!E$3,'Course 3'!$I122," ")</f>
        <v xml:space="preserve"> </v>
      </c>
      <c r="F124" s="8" t="str">
        <f>IF('Course 3'!$H122='tab3'!F$3,'Course 3'!$I122," ")</f>
        <v xml:space="preserve"> </v>
      </c>
      <c r="G124" s="8" t="str">
        <f>IF('Course 3'!$H122='tab3'!G$3,'Course 3'!$I122," ")</f>
        <v xml:space="preserve"> </v>
      </c>
      <c r="H124" s="8" t="str">
        <f>IF('Course 3'!$H122='tab3'!H$3,'Course 3'!$I122," ")</f>
        <v xml:space="preserve"> </v>
      </c>
      <c r="I124" s="8" t="str">
        <f>IF('Course 3'!$H122='tab3'!I$3,'Course 3'!$I122," ")</f>
        <v xml:space="preserve"> </v>
      </c>
      <c r="J124" s="8" t="str">
        <f>IF('Course 3'!$H122='tab3'!J$3,'Course 3'!$I122," ")</f>
        <v xml:space="preserve"> </v>
      </c>
      <c r="K124" s="8" t="str">
        <f>IF('Course 3'!$H122='tab3'!K$3,'Course 3'!$I122," ")</f>
        <v xml:space="preserve"> </v>
      </c>
      <c r="L124" s="8" t="str">
        <f>IF('Course 3'!$H122='tab3'!L$3,'Course 3'!$I122," ")</f>
        <v xml:space="preserve"> </v>
      </c>
      <c r="M124" s="8" t="str">
        <f>IF('Course 3'!$H122='tab3'!M$3,'Course 3'!$I122," ")</f>
        <v xml:space="preserve"> </v>
      </c>
      <c r="N124" s="9" t="str">
        <f>IF('Course 3'!$H122='tab3'!N$3,'Course 3'!$I122," ")</f>
        <v xml:space="preserve"> </v>
      </c>
    </row>
    <row r="125" spans="2:14">
      <c r="B125">
        <v>121</v>
      </c>
      <c r="C125" s="7" t="str">
        <f>IF('Course 3'!$H123='tab3'!C$3,'Course 3'!$I123," ")</f>
        <v xml:space="preserve"> </v>
      </c>
      <c r="D125" s="8" t="str">
        <f>IF('Course 3'!$H123='tab3'!D$3,'Course 3'!$I123," ")</f>
        <v xml:space="preserve"> </v>
      </c>
      <c r="E125" s="8" t="str">
        <f>IF('Course 3'!$H123='tab3'!E$3,'Course 3'!$I123," ")</f>
        <v xml:space="preserve"> </v>
      </c>
      <c r="F125" s="8" t="str">
        <f>IF('Course 3'!$H123='tab3'!F$3,'Course 3'!$I123," ")</f>
        <v xml:space="preserve"> </v>
      </c>
      <c r="G125" s="8" t="str">
        <f>IF('Course 3'!$H123='tab3'!G$3,'Course 3'!$I123," ")</f>
        <v xml:space="preserve"> </v>
      </c>
      <c r="H125" s="8" t="str">
        <f>IF('Course 3'!$H123='tab3'!H$3,'Course 3'!$I123," ")</f>
        <v xml:space="preserve"> </v>
      </c>
      <c r="I125" s="8" t="str">
        <f>IF('Course 3'!$H123='tab3'!I$3,'Course 3'!$I123," ")</f>
        <v xml:space="preserve"> </v>
      </c>
      <c r="J125" s="8" t="str">
        <f>IF('Course 3'!$H123='tab3'!J$3,'Course 3'!$I123," ")</f>
        <v xml:space="preserve"> </v>
      </c>
      <c r="K125" s="8" t="str">
        <f>IF('Course 3'!$H123='tab3'!K$3,'Course 3'!$I123," ")</f>
        <v xml:space="preserve"> </v>
      </c>
      <c r="L125" s="8" t="str">
        <f>IF('Course 3'!$H123='tab3'!L$3,'Course 3'!$I123," ")</f>
        <v xml:space="preserve"> </v>
      </c>
      <c r="M125" s="8" t="str">
        <f>IF('Course 3'!$H123='tab3'!M$3,'Course 3'!$I123," ")</f>
        <v xml:space="preserve"> </v>
      </c>
      <c r="N125" s="9" t="str">
        <f>IF('Course 3'!$H123='tab3'!N$3,'Course 3'!$I123," ")</f>
        <v xml:space="preserve"> </v>
      </c>
    </row>
    <row r="126" spans="2:14">
      <c r="B126">
        <v>122</v>
      </c>
      <c r="C126" s="7" t="str">
        <f>IF('Course 3'!$H124='tab3'!C$3,'Course 3'!$I124," ")</f>
        <v xml:space="preserve"> </v>
      </c>
      <c r="D126" s="8" t="str">
        <f>IF('Course 3'!$H124='tab3'!D$3,'Course 3'!$I124," ")</f>
        <v xml:space="preserve"> </v>
      </c>
      <c r="E126" s="8" t="str">
        <f>IF('Course 3'!$H124='tab3'!E$3,'Course 3'!$I124," ")</f>
        <v xml:space="preserve"> </v>
      </c>
      <c r="F126" s="8" t="str">
        <f>IF('Course 3'!$H124='tab3'!F$3,'Course 3'!$I124," ")</f>
        <v xml:space="preserve"> </v>
      </c>
      <c r="G126" s="8" t="str">
        <f>IF('Course 3'!$H124='tab3'!G$3,'Course 3'!$I124," ")</f>
        <v xml:space="preserve"> </v>
      </c>
      <c r="H126" s="8" t="str">
        <f>IF('Course 3'!$H124='tab3'!H$3,'Course 3'!$I124," ")</f>
        <v xml:space="preserve"> </v>
      </c>
      <c r="I126" s="8" t="str">
        <f>IF('Course 3'!$H124='tab3'!I$3,'Course 3'!$I124," ")</f>
        <v xml:space="preserve"> </v>
      </c>
      <c r="J126" s="8" t="str">
        <f>IF('Course 3'!$H124='tab3'!J$3,'Course 3'!$I124," ")</f>
        <v xml:space="preserve"> </v>
      </c>
      <c r="K126" s="8" t="str">
        <f>IF('Course 3'!$H124='tab3'!K$3,'Course 3'!$I124," ")</f>
        <v xml:space="preserve"> </v>
      </c>
      <c r="L126" s="8" t="str">
        <f>IF('Course 3'!$H124='tab3'!L$3,'Course 3'!$I124," ")</f>
        <v xml:space="preserve"> </v>
      </c>
      <c r="M126" s="8" t="str">
        <f>IF('Course 3'!$H124='tab3'!M$3,'Course 3'!$I124," ")</f>
        <v xml:space="preserve"> </v>
      </c>
      <c r="N126" s="9" t="str">
        <f>IF('Course 3'!$H124='tab3'!N$3,'Course 3'!$I124," ")</f>
        <v xml:space="preserve"> </v>
      </c>
    </row>
    <row r="127" spans="2:14">
      <c r="B127">
        <v>123</v>
      </c>
      <c r="C127" s="7" t="str">
        <f>IF('Course 3'!$H125='tab3'!C$3,'Course 3'!$I125," ")</f>
        <v xml:space="preserve"> </v>
      </c>
      <c r="D127" s="8" t="str">
        <f>IF('Course 3'!$H125='tab3'!D$3,'Course 3'!$I125," ")</f>
        <v xml:space="preserve"> </v>
      </c>
      <c r="E127" s="8" t="str">
        <f>IF('Course 3'!$H125='tab3'!E$3,'Course 3'!$I125," ")</f>
        <v xml:space="preserve"> </v>
      </c>
      <c r="F127" s="8" t="str">
        <f>IF('Course 3'!$H125='tab3'!F$3,'Course 3'!$I125," ")</f>
        <v xml:space="preserve"> </v>
      </c>
      <c r="G127" s="8" t="str">
        <f>IF('Course 3'!$H125='tab3'!G$3,'Course 3'!$I125," ")</f>
        <v xml:space="preserve"> </v>
      </c>
      <c r="H127" s="8" t="str">
        <f>IF('Course 3'!$H125='tab3'!H$3,'Course 3'!$I125," ")</f>
        <v xml:space="preserve"> </v>
      </c>
      <c r="I127" s="8" t="str">
        <f>IF('Course 3'!$H125='tab3'!I$3,'Course 3'!$I125," ")</f>
        <v xml:space="preserve"> </v>
      </c>
      <c r="J127" s="8" t="str">
        <f>IF('Course 3'!$H125='tab3'!J$3,'Course 3'!$I125," ")</f>
        <v xml:space="preserve"> </v>
      </c>
      <c r="K127" s="8" t="str">
        <f>IF('Course 3'!$H125='tab3'!K$3,'Course 3'!$I125," ")</f>
        <v xml:space="preserve"> </v>
      </c>
      <c r="L127" s="8" t="str">
        <f>IF('Course 3'!$H125='tab3'!L$3,'Course 3'!$I125," ")</f>
        <v xml:space="preserve"> </v>
      </c>
      <c r="M127" s="8" t="str">
        <f>IF('Course 3'!$H125='tab3'!M$3,'Course 3'!$I125," ")</f>
        <v xml:space="preserve"> </v>
      </c>
      <c r="N127" s="9" t="str">
        <f>IF('Course 3'!$H125='tab3'!N$3,'Course 3'!$I125," ")</f>
        <v xml:space="preserve"> </v>
      </c>
    </row>
    <row r="128" spans="2:14">
      <c r="B128">
        <v>124</v>
      </c>
      <c r="C128" s="7" t="str">
        <f>IF('Course 3'!$H126='tab3'!C$3,'Course 3'!$I126," ")</f>
        <v xml:space="preserve"> </v>
      </c>
      <c r="D128" s="8" t="str">
        <f>IF('Course 3'!$H126='tab3'!D$3,'Course 3'!$I126," ")</f>
        <v xml:space="preserve"> </v>
      </c>
      <c r="E128" s="8" t="str">
        <f>IF('Course 3'!$H126='tab3'!E$3,'Course 3'!$I126," ")</f>
        <v xml:space="preserve"> </v>
      </c>
      <c r="F128" s="8" t="str">
        <f>IF('Course 3'!$H126='tab3'!F$3,'Course 3'!$I126," ")</f>
        <v xml:space="preserve"> </v>
      </c>
      <c r="G128" s="8" t="str">
        <f>IF('Course 3'!$H126='tab3'!G$3,'Course 3'!$I126," ")</f>
        <v xml:space="preserve"> </v>
      </c>
      <c r="H128" s="8" t="str">
        <f>IF('Course 3'!$H126='tab3'!H$3,'Course 3'!$I126," ")</f>
        <v xml:space="preserve"> </v>
      </c>
      <c r="I128" s="8" t="str">
        <f>IF('Course 3'!$H126='tab3'!I$3,'Course 3'!$I126," ")</f>
        <v xml:space="preserve"> </v>
      </c>
      <c r="J128" s="8" t="str">
        <f>IF('Course 3'!$H126='tab3'!J$3,'Course 3'!$I126," ")</f>
        <v xml:space="preserve"> </v>
      </c>
      <c r="K128" s="8" t="str">
        <f>IF('Course 3'!$H126='tab3'!K$3,'Course 3'!$I126," ")</f>
        <v xml:space="preserve"> </v>
      </c>
      <c r="L128" s="8" t="str">
        <f>IF('Course 3'!$H126='tab3'!L$3,'Course 3'!$I126," ")</f>
        <v xml:space="preserve"> </v>
      </c>
      <c r="M128" s="8" t="str">
        <f>IF('Course 3'!$H126='tab3'!M$3,'Course 3'!$I126," ")</f>
        <v xml:space="preserve"> </v>
      </c>
      <c r="N128" s="9" t="str">
        <f>IF('Course 3'!$H126='tab3'!N$3,'Course 3'!$I126," ")</f>
        <v xml:space="preserve"> </v>
      </c>
    </row>
    <row r="129" spans="2:14">
      <c r="B129">
        <v>125</v>
      </c>
      <c r="C129" s="7" t="str">
        <f>IF('Course 3'!$H127='tab3'!C$3,'Course 3'!$I127," ")</f>
        <v xml:space="preserve"> </v>
      </c>
      <c r="D129" s="8" t="str">
        <f>IF('Course 3'!$H127='tab3'!D$3,'Course 3'!$I127," ")</f>
        <v xml:space="preserve"> </v>
      </c>
      <c r="E129" s="8" t="str">
        <f>IF('Course 3'!$H127='tab3'!E$3,'Course 3'!$I127," ")</f>
        <v xml:space="preserve"> </v>
      </c>
      <c r="F129" s="8" t="str">
        <f>IF('Course 3'!$H127='tab3'!F$3,'Course 3'!$I127," ")</f>
        <v xml:space="preserve"> </v>
      </c>
      <c r="G129" s="8" t="str">
        <f>IF('Course 3'!$H127='tab3'!G$3,'Course 3'!$I127," ")</f>
        <v xml:space="preserve"> </v>
      </c>
      <c r="H129" s="8" t="str">
        <f>IF('Course 3'!$H127='tab3'!H$3,'Course 3'!$I127," ")</f>
        <v xml:space="preserve"> </v>
      </c>
      <c r="I129" s="8" t="str">
        <f>IF('Course 3'!$H127='tab3'!I$3,'Course 3'!$I127," ")</f>
        <v xml:space="preserve"> </v>
      </c>
      <c r="J129" s="8" t="str">
        <f>IF('Course 3'!$H127='tab3'!J$3,'Course 3'!$I127," ")</f>
        <v xml:space="preserve"> </v>
      </c>
      <c r="K129" s="8" t="str">
        <f>IF('Course 3'!$H127='tab3'!K$3,'Course 3'!$I127," ")</f>
        <v xml:space="preserve"> </v>
      </c>
      <c r="L129" s="8" t="str">
        <f>IF('Course 3'!$H127='tab3'!L$3,'Course 3'!$I127," ")</f>
        <v xml:space="preserve"> </v>
      </c>
      <c r="M129" s="8" t="str">
        <f>IF('Course 3'!$H127='tab3'!M$3,'Course 3'!$I127," ")</f>
        <v xml:space="preserve"> </v>
      </c>
      <c r="N129" s="9" t="str">
        <f>IF('Course 3'!$H127='tab3'!N$3,'Course 3'!$I127," ")</f>
        <v xml:space="preserve"> </v>
      </c>
    </row>
    <row r="130" spans="2:14">
      <c r="B130">
        <v>126</v>
      </c>
      <c r="C130" s="7" t="str">
        <f>IF('Course 3'!$H128='tab3'!C$3,'Course 3'!$I128," ")</f>
        <v xml:space="preserve"> </v>
      </c>
      <c r="D130" s="8" t="str">
        <f>IF('Course 3'!$H128='tab3'!D$3,'Course 3'!$I128," ")</f>
        <v xml:space="preserve"> </v>
      </c>
      <c r="E130" s="8" t="str">
        <f>IF('Course 3'!$H128='tab3'!E$3,'Course 3'!$I128," ")</f>
        <v xml:space="preserve"> </v>
      </c>
      <c r="F130" s="8" t="str">
        <f>IF('Course 3'!$H128='tab3'!F$3,'Course 3'!$I128," ")</f>
        <v xml:space="preserve"> </v>
      </c>
      <c r="G130" s="8" t="str">
        <f>IF('Course 3'!$H128='tab3'!G$3,'Course 3'!$I128," ")</f>
        <v xml:space="preserve"> </v>
      </c>
      <c r="H130" s="8" t="str">
        <f>IF('Course 3'!$H128='tab3'!H$3,'Course 3'!$I128," ")</f>
        <v xml:space="preserve"> </v>
      </c>
      <c r="I130" s="8" t="str">
        <f>IF('Course 3'!$H128='tab3'!I$3,'Course 3'!$I128," ")</f>
        <v xml:space="preserve"> </v>
      </c>
      <c r="J130" s="8" t="str">
        <f>IF('Course 3'!$H128='tab3'!J$3,'Course 3'!$I128," ")</f>
        <v xml:space="preserve"> </v>
      </c>
      <c r="K130" s="8" t="str">
        <f>IF('Course 3'!$H128='tab3'!K$3,'Course 3'!$I128," ")</f>
        <v xml:space="preserve"> </v>
      </c>
      <c r="L130" s="8" t="str">
        <f>IF('Course 3'!$H128='tab3'!L$3,'Course 3'!$I128," ")</f>
        <v xml:space="preserve"> </v>
      </c>
      <c r="M130" s="8" t="str">
        <f>IF('Course 3'!$H128='tab3'!M$3,'Course 3'!$I128," ")</f>
        <v xml:space="preserve"> </v>
      </c>
      <c r="N130" s="9" t="str">
        <f>IF('Course 3'!$H128='tab3'!N$3,'Course 3'!$I128," ")</f>
        <v xml:space="preserve"> </v>
      </c>
    </row>
    <row r="131" spans="2:14">
      <c r="B131">
        <v>127</v>
      </c>
      <c r="C131" s="7" t="str">
        <f>IF('Course 3'!$H129='tab3'!C$3,'Course 3'!$I129," ")</f>
        <v xml:space="preserve"> </v>
      </c>
      <c r="D131" s="8" t="str">
        <f>IF('Course 3'!$H129='tab3'!D$3,'Course 3'!$I129," ")</f>
        <v xml:space="preserve"> </v>
      </c>
      <c r="E131" s="8" t="str">
        <f>IF('Course 3'!$H129='tab3'!E$3,'Course 3'!$I129," ")</f>
        <v xml:space="preserve"> </v>
      </c>
      <c r="F131" s="8" t="str">
        <f>IF('Course 3'!$H129='tab3'!F$3,'Course 3'!$I129," ")</f>
        <v xml:space="preserve"> </v>
      </c>
      <c r="G131" s="8" t="str">
        <f>IF('Course 3'!$H129='tab3'!G$3,'Course 3'!$I129," ")</f>
        <v xml:space="preserve"> </v>
      </c>
      <c r="H131" s="8" t="str">
        <f>IF('Course 3'!$H129='tab3'!H$3,'Course 3'!$I129," ")</f>
        <v xml:space="preserve"> </v>
      </c>
      <c r="I131" s="8" t="str">
        <f>IF('Course 3'!$H129='tab3'!I$3,'Course 3'!$I129," ")</f>
        <v xml:space="preserve"> </v>
      </c>
      <c r="J131" s="8" t="str">
        <f>IF('Course 3'!$H129='tab3'!J$3,'Course 3'!$I129," ")</f>
        <v xml:space="preserve"> </v>
      </c>
      <c r="K131" s="8" t="str">
        <f>IF('Course 3'!$H129='tab3'!K$3,'Course 3'!$I129," ")</f>
        <v xml:space="preserve"> </v>
      </c>
      <c r="L131" s="8" t="str">
        <f>IF('Course 3'!$H129='tab3'!L$3,'Course 3'!$I129," ")</f>
        <v xml:space="preserve"> </v>
      </c>
      <c r="M131" s="8" t="str">
        <f>IF('Course 3'!$H129='tab3'!M$3,'Course 3'!$I129," ")</f>
        <v xml:space="preserve"> </v>
      </c>
      <c r="N131" s="9" t="str">
        <f>IF('Course 3'!$H129='tab3'!N$3,'Course 3'!$I129," ")</f>
        <v xml:space="preserve"> </v>
      </c>
    </row>
    <row r="132" spans="2:14">
      <c r="B132">
        <v>128</v>
      </c>
      <c r="C132" s="7" t="str">
        <f>IF('Course 3'!$H130='tab3'!C$3,'Course 3'!$I130," ")</f>
        <v xml:space="preserve"> </v>
      </c>
      <c r="D132" s="8" t="str">
        <f>IF('Course 3'!$H130='tab3'!D$3,'Course 3'!$I130," ")</f>
        <v xml:space="preserve"> </v>
      </c>
      <c r="E132" s="8" t="str">
        <f>IF('Course 3'!$H130='tab3'!E$3,'Course 3'!$I130," ")</f>
        <v xml:space="preserve"> </v>
      </c>
      <c r="F132" s="8" t="str">
        <f>IF('Course 3'!$H130='tab3'!F$3,'Course 3'!$I130," ")</f>
        <v xml:space="preserve"> </v>
      </c>
      <c r="G132" s="8" t="str">
        <f>IF('Course 3'!$H130='tab3'!G$3,'Course 3'!$I130," ")</f>
        <v xml:space="preserve"> </v>
      </c>
      <c r="H132" s="8" t="str">
        <f>IF('Course 3'!$H130='tab3'!H$3,'Course 3'!$I130," ")</f>
        <v xml:space="preserve"> </v>
      </c>
      <c r="I132" s="8" t="str">
        <f>IF('Course 3'!$H130='tab3'!I$3,'Course 3'!$I130," ")</f>
        <v xml:space="preserve"> </v>
      </c>
      <c r="J132" s="8" t="str">
        <f>IF('Course 3'!$H130='tab3'!J$3,'Course 3'!$I130," ")</f>
        <v xml:space="preserve"> </v>
      </c>
      <c r="K132" s="8" t="str">
        <f>IF('Course 3'!$H130='tab3'!K$3,'Course 3'!$I130," ")</f>
        <v xml:space="preserve"> </v>
      </c>
      <c r="L132" s="8" t="str">
        <f>IF('Course 3'!$H130='tab3'!L$3,'Course 3'!$I130," ")</f>
        <v xml:space="preserve"> </v>
      </c>
      <c r="M132" s="8" t="str">
        <f>IF('Course 3'!$H130='tab3'!M$3,'Course 3'!$I130," ")</f>
        <v xml:space="preserve"> </v>
      </c>
      <c r="N132" s="9" t="str">
        <f>IF('Course 3'!$H130='tab3'!N$3,'Course 3'!$I130," ")</f>
        <v xml:space="preserve"> </v>
      </c>
    </row>
    <row r="133" spans="2:14">
      <c r="B133">
        <v>129</v>
      </c>
      <c r="C133" s="7" t="str">
        <f>IF('Course 3'!$H131='tab3'!C$3,'Course 3'!$I131," ")</f>
        <v xml:space="preserve"> </v>
      </c>
      <c r="D133" s="8" t="str">
        <f>IF('Course 3'!$H131='tab3'!D$3,'Course 3'!$I131," ")</f>
        <v xml:space="preserve"> </v>
      </c>
      <c r="E133" s="8" t="str">
        <f>IF('Course 3'!$H131='tab3'!E$3,'Course 3'!$I131," ")</f>
        <v xml:space="preserve"> </v>
      </c>
      <c r="F133" s="8" t="str">
        <f>IF('Course 3'!$H131='tab3'!F$3,'Course 3'!$I131," ")</f>
        <v xml:space="preserve"> </v>
      </c>
      <c r="G133" s="8" t="str">
        <f>IF('Course 3'!$H131='tab3'!G$3,'Course 3'!$I131," ")</f>
        <v xml:space="preserve"> </v>
      </c>
      <c r="H133" s="8" t="str">
        <f>IF('Course 3'!$H131='tab3'!H$3,'Course 3'!$I131," ")</f>
        <v xml:space="preserve"> </v>
      </c>
      <c r="I133" s="8" t="str">
        <f>IF('Course 3'!$H131='tab3'!I$3,'Course 3'!$I131," ")</f>
        <v xml:space="preserve"> </v>
      </c>
      <c r="J133" s="8" t="str">
        <f>IF('Course 3'!$H131='tab3'!J$3,'Course 3'!$I131," ")</f>
        <v xml:space="preserve"> </v>
      </c>
      <c r="K133" s="8" t="str">
        <f>IF('Course 3'!$H131='tab3'!K$3,'Course 3'!$I131," ")</f>
        <v xml:space="preserve"> </v>
      </c>
      <c r="L133" s="8" t="str">
        <f>IF('Course 3'!$H131='tab3'!L$3,'Course 3'!$I131," ")</f>
        <v xml:space="preserve"> </v>
      </c>
      <c r="M133" s="8" t="str">
        <f>IF('Course 3'!$H131='tab3'!M$3,'Course 3'!$I131," ")</f>
        <v xml:space="preserve"> </v>
      </c>
      <c r="N133" s="9" t="str">
        <f>IF('Course 3'!$H131='tab3'!N$3,'Course 3'!$I131," ")</f>
        <v xml:space="preserve"> </v>
      </c>
    </row>
    <row r="134" spans="2:14">
      <c r="B134">
        <v>130</v>
      </c>
      <c r="C134" s="7" t="str">
        <f>IF('Course 3'!$H132='tab3'!C$3,'Course 3'!$I132," ")</f>
        <v xml:space="preserve"> </v>
      </c>
      <c r="D134" s="8" t="str">
        <f>IF('Course 3'!$H132='tab3'!D$3,'Course 3'!$I132," ")</f>
        <v xml:space="preserve"> </v>
      </c>
      <c r="E134" s="8" t="str">
        <f>IF('Course 3'!$H132='tab3'!E$3,'Course 3'!$I132," ")</f>
        <v xml:space="preserve"> </v>
      </c>
      <c r="F134" s="8" t="str">
        <f>IF('Course 3'!$H132='tab3'!F$3,'Course 3'!$I132," ")</f>
        <v xml:space="preserve"> </v>
      </c>
      <c r="G134" s="8" t="str">
        <f>IF('Course 3'!$H132='tab3'!G$3,'Course 3'!$I132," ")</f>
        <v xml:space="preserve"> </v>
      </c>
      <c r="H134" s="8" t="str">
        <f>IF('Course 3'!$H132='tab3'!H$3,'Course 3'!$I132," ")</f>
        <v xml:space="preserve"> </v>
      </c>
      <c r="I134" s="8" t="str">
        <f>IF('Course 3'!$H132='tab3'!I$3,'Course 3'!$I132," ")</f>
        <v xml:space="preserve"> </v>
      </c>
      <c r="J134" s="8" t="str">
        <f>IF('Course 3'!$H132='tab3'!J$3,'Course 3'!$I132," ")</f>
        <v xml:space="preserve"> </v>
      </c>
      <c r="K134" s="8" t="str">
        <f>IF('Course 3'!$H132='tab3'!K$3,'Course 3'!$I132," ")</f>
        <v xml:space="preserve"> </v>
      </c>
      <c r="L134" s="8" t="str">
        <f>IF('Course 3'!$H132='tab3'!L$3,'Course 3'!$I132," ")</f>
        <v xml:space="preserve"> </v>
      </c>
      <c r="M134" s="8" t="str">
        <f>IF('Course 3'!$H132='tab3'!M$3,'Course 3'!$I132," ")</f>
        <v xml:space="preserve"> </v>
      </c>
      <c r="N134" s="9" t="str">
        <f>IF('Course 3'!$H132='tab3'!N$3,'Course 3'!$I132," ")</f>
        <v xml:space="preserve"> </v>
      </c>
    </row>
    <row r="135" spans="2:14">
      <c r="B135">
        <v>131</v>
      </c>
      <c r="C135" s="7" t="str">
        <f>IF('Course 3'!$H133='tab3'!C$3,'Course 3'!$I133," ")</f>
        <v xml:space="preserve"> </v>
      </c>
      <c r="D135" s="8" t="str">
        <f>IF('Course 3'!$H133='tab3'!D$3,'Course 3'!$I133," ")</f>
        <v xml:space="preserve"> </v>
      </c>
      <c r="E135" s="8" t="str">
        <f>IF('Course 3'!$H133='tab3'!E$3,'Course 3'!$I133," ")</f>
        <v xml:space="preserve"> </v>
      </c>
      <c r="F135" s="8" t="str">
        <f>IF('Course 3'!$H133='tab3'!F$3,'Course 3'!$I133," ")</f>
        <v xml:space="preserve"> </v>
      </c>
      <c r="G135" s="8" t="str">
        <f>IF('Course 3'!$H133='tab3'!G$3,'Course 3'!$I133," ")</f>
        <v xml:space="preserve"> </v>
      </c>
      <c r="H135" s="8" t="str">
        <f>IF('Course 3'!$H133='tab3'!H$3,'Course 3'!$I133," ")</f>
        <v xml:space="preserve"> </v>
      </c>
      <c r="I135" s="8" t="str">
        <f>IF('Course 3'!$H133='tab3'!I$3,'Course 3'!$I133," ")</f>
        <v xml:space="preserve"> </v>
      </c>
      <c r="J135" s="8" t="str">
        <f>IF('Course 3'!$H133='tab3'!J$3,'Course 3'!$I133," ")</f>
        <v xml:space="preserve"> </v>
      </c>
      <c r="K135" s="8" t="str">
        <f>IF('Course 3'!$H133='tab3'!K$3,'Course 3'!$I133," ")</f>
        <v xml:space="preserve"> </v>
      </c>
      <c r="L135" s="8" t="str">
        <f>IF('Course 3'!$H133='tab3'!L$3,'Course 3'!$I133," ")</f>
        <v xml:space="preserve"> </v>
      </c>
      <c r="M135" s="8" t="str">
        <f>IF('Course 3'!$H133='tab3'!M$3,'Course 3'!$I133," ")</f>
        <v xml:space="preserve"> </v>
      </c>
      <c r="N135" s="9" t="str">
        <f>IF('Course 3'!$H133='tab3'!N$3,'Course 3'!$I133," ")</f>
        <v xml:space="preserve"> </v>
      </c>
    </row>
    <row r="136" spans="2:14">
      <c r="B136">
        <v>132</v>
      </c>
      <c r="C136" s="7" t="str">
        <f>IF('Course 3'!$H134='tab3'!C$3,'Course 3'!$I134," ")</f>
        <v xml:space="preserve"> </v>
      </c>
      <c r="D136" s="8" t="str">
        <f>IF('Course 3'!$H134='tab3'!D$3,'Course 3'!$I134," ")</f>
        <v xml:space="preserve"> </v>
      </c>
      <c r="E136" s="8" t="str">
        <f>IF('Course 3'!$H134='tab3'!E$3,'Course 3'!$I134," ")</f>
        <v xml:space="preserve"> </v>
      </c>
      <c r="F136" s="8" t="str">
        <f>IF('Course 3'!$H134='tab3'!F$3,'Course 3'!$I134," ")</f>
        <v xml:space="preserve"> </v>
      </c>
      <c r="G136" s="8" t="str">
        <f>IF('Course 3'!$H134='tab3'!G$3,'Course 3'!$I134," ")</f>
        <v xml:space="preserve"> </v>
      </c>
      <c r="H136" s="8" t="str">
        <f>IF('Course 3'!$H134='tab3'!H$3,'Course 3'!$I134," ")</f>
        <v xml:space="preserve"> </v>
      </c>
      <c r="I136" s="8" t="str">
        <f>IF('Course 3'!$H134='tab3'!I$3,'Course 3'!$I134," ")</f>
        <v xml:space="preserve"> </v>
      </c>
      <c r="J136" s="8" t="str">
        <f>IF('Course 3'!$H134='tab3'!J$3,'Course 3'!$I134," ")</f>
        <v xml:space="preserve"> </v>
      </c>
      <c r="K136" s="8" t="str">
        <f>IF('Course 3'!$H134='tab3'!K$3,'Course 3'!$I134," ")</f>
        <v xml:space="preserve"> </v>
      </c>
      <c r="L136" s="8" t="str">
        <f>IF('Course 3'!$H134='tab3'!L$3,'Course 3'!$I134," ")</f>
        <v xml:space="preserve"> </v>
      </c>
      <c r="M136" s="8" t="str">
        <f>IF('Course 3'!$H134='tab3'!M$3,'Course 3'!$I134," ")</f>
        <v xml:space="preserve"> </v>
      </c>
      <c r="N136" s="9" t="str">
        <f>IF('Course 3'!$H134='tab3'!N$3,'Course 3'!$I134," ")</f>
        <v xml:space="preserve"> </v>
      </c>
    </row>
    <row r="137" spans="2:14">
      <c r="B137">
        <v>133</v>
      </c>
      <c r="C137" s="7" t="str">
        <f>IF('Course 3'!$H135='tab3'!C$3,'Course 3'!$I135," ")</f>
        <v xml:space="preserve"> </v>
      </c>
      <c r="D137" s="8" t="str">
        <f>IF('Course 3'!$H135='tab3'!D$3,'Course 3'!$I135," ")</f>
        <v xml:space="preserve"> </v>
      </c>
      <c r="E137" s="8" t="str">
        <f>IF('Course 3'!$H135='tab3'!E$3,'Course 3'!$I135," ")</f>
        <v xml:space="preserve"> </v>
      </c>
      <c r="F137" s="8" t="str">
        <f>IF('Course 3'!$H135='tab3'!F$3,'Course 3'!$I135," ")</f>
        <v xml:space="preserve"> </v>
      </c>
      <c r="G137" s="8" t="str">
        <f>IF('Course 3'!$H135='tab3'!G$3,'Course 3'!$I135," ")</f>
        <v xml:space="preserve"> </v>
      </c>
      <c r="H137" s="8" t="str">
        <f>IF('Course 3'!$H135='tab3'!H$3,'Course 3'!$I135," ")</f>
        <v xml:space="preserve"> </v>
      </c>
      <c r="I137" s="8" t="str">
        <f>IF('Course 3'!$H135='tab3'!I$3,'Course 3'!$I135," ")</f>
        <v xml:space="preserve"> </v>
      </c>
      <c r="J137" s="8" t="str">
        <f>IF('Course 3'!$H135='tab3'!J$3,'Course 3'!$I135," ")</f>
        <v xml:space="preserve"> </v>
      </c>
      <c r="K137" s="8" t="str">
        <f>IF('Course 3'!$H135='tab3'!K$3,'Course 3'!$I135," ")</f>
        <v xml:space="preserve"> </v>
      </c>
      <c r="L137" s="8" t="str">
        <f>IF('Course 3'!$H135='tab3'!L$3,'Course 3'!$I135," ")</f>
        <v xml:space="preserve"> </v>
      </c>
      <c r="M137" s="8" t="str">
        <f>IF('Course 3'!$H135='tab3'!M$3,'Course 3'!$I135," ")</f>
        <v xml:space="preserve"> </v>
      </c>
      <c r="N137" s="9" t="str">
        <f>IF('Course 3'!$H135='tab3'!N$3,'Course 3'!$I135," ")</f>
        <v xml:space="preserve"> </v>
      </c>
    </row>
    <row r="138" spans="2:14">
      <c r="B138">
        <v>134</v>
      </c>
      <c r="C138" s="7" t="str">
        <f>IF('Course 3'!$H136='tab3'!C$3,'Course 3'!$I136," ")</f>
        <v xml:space="preserve"> </v>
      </c>
      <c r="D138" s="8" t="str">
        <f>IF('Course 3'!$H136='tab3'!D$3,'Course 3'!$I136," ")</f>
        <v xml:space="preserve"> </v>
      </c>
      <c r="E138" s="8" t="str">
        <f>IF('Course 3'!$H136='tab3'!E$3,'Course 3'!$I136," ")</f>
        <v xml:space="preserve"> </v>
      </c>
      <c r="F138" s="8" t="str">
        <f>IF('Course 3'!$H136='tab3'!F$3,'Course 3'!$I136," ")</f>
        <v xml:space="preserve"> </v>
      </c>
      <c r="G138" s="8" t="str">
        <f>IF('Course 3'!$H136='tab3'!G$3,'Course 3'!$I136," ")</f>
        <v xml:space="preserve"> </v>
      </c>
      <c r="H138" s="8" t="str">
        <f>IF('Course 3'!$H136='tab3'!H$3,'Course 3'!$I136," ")</f>
        <v xml:space="preserve"> </v>
      </c>
      <c r="I138" s="8" t="str">
        <f>IF('Course 3'!$H136='tab3'!I$3,'Course 3'!$I136," ")</f>
        <v xml:space="preserve"> </v>
      </c>
      <c r="J138" s="8" t="str">
        <f>IF('Course 3'!$H136='tab3'!J$3,'Course 3'!$I136," ")</f>
        <v xml:space="preserve"> </v>
      </c>
      <c r="K138" s="8" t="str">
        <f>IF('Course 3'!$H136='tab3'!K$3,'Course 3'!$I136," ")</f>
        <v xml:space="preserve"> </v>
      </c>
      <c r="L138" s="8" t="str">
        <f>IF('Course 3'!$H136='tab3'!L$3,'Course 3'!$I136," ")</f>
        <v xml:space="preserve"> </v>
      </c>
      <c r="M138" s="8" t="str">
        <f>IF('Course 3'!$H136='tab3'!M$3,'Course 3'!$I136," ")</f>
        <v xml:space="preserve"> </v>
      </c>
      <c r="N138" s="9" t="str">
        <f>IF('Course 3'!$H136='tab3'!N$3,'Course 3'!$I136," ")</f>
        <v xml:space="preserve"> </v>
      </c>
    </row>
    <row r="139" spans="2:14">
      <c r="B139">
        <v>135</v>
      </c>
      <c r="C139" s="7" t="str">
        <f>IF('Course 3'!$H137='tab3'!C$3,'Course 3'!$I137," ")</f>
        <v xml:space="preserve"> </v>
      </c>
      <c r="D139" s="8" t="str">
        <f>IF('Course 3'!$H137='tab3'!D$3,'Course 3'!$I137," ")</f>
        <v xml:space="preserve"> </v>
      </c>
      <c r="E139" s="8" t="str">
        <f>IF('Course 3'!$H137='tab3'!E$3,'Course 3'!$I137," ")</f>
        <v xml:space="preserve"> </v>
      </c>
      <c r="F139" s="8" t="str">
        <f>IF('Course 3'!$H137='tab3'!F$3,'Course 3'!$I137," ")</f>
        <v xml:space="preserve"> </v>
      </c>
      <c r="G139" s="8" t="str">
        <f>IF('Course 3'!$H137='tab3'!G$3,'Course 3'!$I137," ")</f>
        <v xml:space="preserve"> </v>
      </c>
      <c r="H139" s="8" t="str">
        <f>IF('Course 3'!$H137='tab3'!H$3,'Course 3'!$I137," ")</f>
        <v xml:space="preserve"> </v>
      </c>
      <c r="I139" s="8" t="str">
        <f>IF('Course 3'!$H137='tab3'!I$3,'Course 3'!$I137," ")</f>
        <v xml:space="preserve"> </v>
      </c>
      <c r="J139" s="8" t="str">
        <f>IF('Course 3'!$H137='tab3'!J$3,'Course 3'!$I137," ")</f>
        <v xml:space="preserve"> </v>
      </c>
      <c r="K139" s="8" t="str">
        <f>IF('Course 3'!$H137='tab3'!K$3,'Course 3'!$I137," ")</f>
        <v xml:space="preserve"> </v>
      </c>
      <c r="L139" s="8" t="str">
        <f>IF('Course 3'!$H137='tab3'!L$3,'Course 3'!$I137," ")</f>
        <v xml:space="preserve"> </v>
      </c>
      <c r="M139" s="8" t="str">
        <f>IF('Course 3'!$H137='tab3'!M$3,'Course 3'!$I137," ")</f>
        <v xml:space="preserve"> </v>
      </c>
      <c r="N139" s="9" t="str">
        <f>IF('Course 3'!$H137='tab3'!N$3,'Course 3'!$I137," ")</f>
        <v xml:space="preserve"> </v>
      </c>
    </row>
    <row r="140" spans="2:14">
      <c r="B140">
        <v>136</v>
      </c>
      <c r="C140" s="7" t="str">
        <f>IF('Course 3'!$H138='tab3'!C$3,'Course 3'!$I138," ")</f>
        <v xml:space="preserve"> </v>
      </c>
      <c r="D140" s="8" t="str">
        <f>IF('Course 3'!$H138='tab3'!D$3,'Course 3'!$I138," ")</f>
        <v xml:space="preserve"> </v>
      </c>
      <c r="E140" s="8" t="str">
        <f>IF('Course 3'!$H138='tab3'!E$3,'Course 3'!$I138," ")</f>
        <v xml:space="preserve"> </v>
      </c>
      <c r="F140" s="8" t="str">
        <f>IF('Course 3'!$H138='tab3'!F$3,'Course 3'!$I138," ")</f>
        <v xml:space="preserve"> </v>
      </c>
      <c r="G140" s="8" t="str">
        <f>IF('Course 3'!$H138='tab3'!G$3,'Course 3'!$I138," ")</f>
        <v xml:space="preserve"> </v>
      </c>
      <c r="H140" s="8" t="str">
        <f>IF('Course 3'!$H138='tab3'!H$3,'Course 3'!$I138," ")</f>
        <v xml:space="preserve"> </v>
      </c>
      <c r="I140" s="8" t="str">
        <f>IF('Course 3'!$H138='tab3'!I$3,'Course 3'!$I138," ")</f>
        <v xml:space="preserve"> </v>
      </c>
      <c r="J140" s="8" t="str">
        <f>IF('Course 3'!$H138='tab3'!J$3,'Course 3'!$I138," ")</f>
        <v xml:space="preserve"> </v>
      </c>
      <c r="K140" s="8" t="str">
        <f>IF('Course 3'!$H138='tab3'!K$3,'Course 3'!$I138," ")</f>
        <v xml:space="preserve"> </v>
      </c>
      <c r="L140" s="8" t="str">
        <f>IF('Course 3'!$H138='tab3'!L$3,'Course 3'!$I138," ")</f>
        <v xml:space="preserve"> </v>
      </c>
      <c r="M140" s="8" t="str">
        <f>IF('Course 3'!$H138='tab3'!M$3,'Course 3'!$I138," ")</f>
        <v xml:space="preserve"> </v>
      </c>
      <c r="N140" s="9" t="str">
        <f>IF('Course 3'!$H138='tab3'!N$3,'Course 3'!$I138," ")</f>
        <v xml:space="preserve"> </v>
      </c>
    </row>
    <row r="141" spans="2:14">
      <c r="B141">
        <v>137</v>
      </c>
      <c r="C141" s="7" t="str">
        <f>IF('Course 3'!$H139='tab3'!C$3,'Course 3'!$I139," ")</f>
        <v xml:space="preserve"> </v>
      </c>
      <c r="D141" s="8" t="str">
        <f>IF('Course 3'!$H139='tab3'!D$3,'Course 3'!$I139," ")</f>
        <v xml:space="preserve"> </v>
      </c>
      <c r="E141" s="8" t="str">
        <f>IF('Course 3'!$H139='tab3'!E$3,'Course 3'!$I139," ")</f>
        <v xml:space="preserve"> </v>
      </c>
      <c r="F141" s="8" t="str">
        <f>IF('Course 3'!$H139='tab3'!F$3,'Course 3'!$I139," ")</f>
        <v xml:space="preserve"> </v>
      </c>
      <c r="G141" s="8" t="str">
        <f>IF('Course 3'!$H139='tab3'!G$3,'Course 3'!$I139," ")</f>
        <v xml:space="preserve"> </v>
      </c>
      <c r="H141" s="8" t="str">
        <f>IF('Course 3'!$H139='tab3'!H$3,'Course 3'!$I139," ")</f>
        <v xml:space="preserve"> </v>
      </c>
      <c r="I141" s="8" t="str">
        <f>IF('Course 3'!$H139='tab3'!I$3,'Course 3'!$I139," ")</f>
        <v xml:space="preserve"> </v>
      </c>
      <c r="J141" s="8" t="str">
        <f>IF('Course 3'!$H139='tab3'!J$3,'Course 3'!$I139," ")</f>
        <v xml:space="preserve"> </v>
      </c>
      <c r="K141" s="8" t="str">
        <f>IF('Course 3'!$H139='tab3'!K$3,'Course 3'!$I139," ")</f>
        <v xml:space="preserve"> </v>
      </c>
      <c r="L141" s="8" t="str">
        <f>IF('Course 3'!$H139='tab3'!L$3,'Course 3'!$I139," ")</f>
        <v xml:space="preserve"> </v>
      </c>
      <c r="M141" s="8" t="str">
        <f>IF('Course 3'!$H139='tab3'!M$3,'Course 3'!$I139," ")</f>
        <v xml:space="preserve"> </v>
      </c>
      <c r="N141" s="9" t="str">
        <f>IF('Course 3'!$H139='tab3'!N$3,'Course 3'!$I139," ")</f>
        <v xml:space="preserve"> </v>
      </c>
    </row>
    <row r="142" spans="2:14">
      <c r="B142">
        <v>138</v>
      </c>
      <c r="C142" s="7" t="str">
        <f>IF('Course 3'!$H140='tab3'!C$3,'Course 3'!$I140," ")</f>
        <v xml:space="preserve"> </v>
      </c>
      <c r="D142" s="8" t="str">
        <f>IF('Course 3'!$H140='tab3'!D$3,'Course 3'!$I140," ")</f>
        <v xml:space="preserve"> </v>
      </c>
      <c r="E142" s="8" t="str">
        <f>IF('Course 3'!$H140='tab3'!E$3,'Course 3'!$I140," ")</f>
        <v xml:space="preserve"> </v>
      </c>
      <c r="F142" s="8" t="str">
        <f>IF('Course 3'!$H140='tab3'!F$3,'Course 3'!$I140," ")</f>
        <v xml:space="preserve"> </v>
      </c>
      <c r="G142" s="8" t="str">
        <f>IF('Course 3'!$H140='tab3'!G$3,'Course 3'!$I140," ")</f>
        <v xml:space="preserve"> </v>
      </c>
      <c r="H142" s="8" t="str">
        <f>IF('Course 3'!$H140='tab3'!H$3,'Course 3'!$I140," ")</f>
        <v xml:space="preserve"> </v>
      </c>
      <c r="I142" s="8" t="str">
        <f>IF('Course 3'!$H140='tab3'!I$3,'Course 3'!$I140," ")</f>
        <v xml:space="preserve"> </v>
      </c>
      <c r="J142" s="8" t="str">
        <f>IF('Course 3'!$H140='tab3'!J$3,'Course 3'!$I140," ")</f>
        <v xml:space="preserve"> </v>
      </c>
      <c r="K142" s="8" t="str">
        <f>IF('Course 3'!$H140='tab3'!K$3,'Course 3'!$I140," ")</f>
        <v xml:space="preserve"> </v>
      </c>
      <c r="L142" s="8" t="str">
        <f>IF('Course 3'!$H140='tab3'!L$3,'Course 3'!$I140," ")</f>
        <v xml:space="preserve"> </v>
      </c>
      <c r="M142" s="8" t="str">
        <f>IF('Course 3'!$H140='tab3'!M$3,'Course 3'!$I140," ")</f>
        <v xml:space="preserve"> </v>
      </c>
      <c r="N142" s="9" t="str">
        <f>IF('Course 3'!$H140='tab3'!N$3,'Course 3'!$I140," ")</f>
        <v xml:space="preserve"> </v>
      </c>
    </row>
    <row r="143" spans="2:14">
      <c r="B143">
        <v>139</v>
      </c>
      <c r="C143" s="7" t="str">
        <f>IF('Course 3'!$H141='tab3'!C$3,'Course 3'!$I141," ")</f>
        <v xml:space="preserve"> </v>
      </c>
      <c r="D143" s="8" t="str">
        <f>IF('Course 3'!$H141='tab3'!D$3,'Course 3'!$I141," ")</f>
        <v xml:space="preserve"> </v>
      </c>
      <c r="E143" s="8" t="str">
        <f>IF('Course 3'!$H141='tab3'!E$3,'Course 3'!$I141," ")</f>
        <v xml:space="preserve"> </v>
      </c>
      <c r="F143" s="8" t="str">
        <f>IF('Course 3'!$H141='tab3'!F$3,'Course 3'!$I141," ")</f>
        <v xml:space="preserve"> </v>
      </c>
      <c r="G143" s="8" t="str">
        <f>IF('Course 3'!$H141='tab3'!G$3,'Course 3'!$I141," ")</f>
        <v xml:space="preserve"> </v>
      </c>
      <c r="H143" s="8" t="str">
        <f>IF('Course 3'!$H141='tab3'!H$3,'Course 3'!$I141," ")</f>
        <v xml:space="preserve"> </v>
      </c>
      <c r="I143" s="8" t="str">
        <f>IF('Course 3'!$H141='tab3'!I$3,'Course 3'!$I141," ")</f>
        <v xml:space="preserve"> </v>
      </c>
      <c r="J143" s="8" t="str">
        <f>IF('Course 3'!$H141='tab3'!J$3,'Course 3'!$I141," ")</f>
        <v xml:space="preserve"> </v>
      </c>
      <c r="K143" s="8" t="str">
        <f>IF('Course 3'!$H141='tab3'!K$3,'Course 3'!$I141," ")</f>
        <v xml:space="preserve"> </v>
      </c>
      <c r="L143" s="8" t="str">
        <f>IF('Course 3'!$H141='tab3'!L$3,'Course 3'!$I141," ")</f>
        <v xml:space="preserve"> </v>
      </c>
      <c r="M143" s="8" t="str">
        <f>IF('Course 3'!$H141='tab3'!M$3,'Course 3'!$I141," ")</f>
        <v xml:space="preserve"> </v>
      </c>
      <c r="N143" s="9" t="str">
        <f>IF('Course 3'!$H141='tab3'!N$3,'Course 3'!$I141," ")</f>
        <v xml:space="preserve"> </v>
      </c>
    </row>
    <row r="144" spans="2:14">
      <c r="B144">
        <v>140</v>
      </c>
      <c r="C144" s="7" t="str">
        <f>IF('Course 3'!$H142='tab3'!C$3,'Course 3'!$I142," ")</f>
        <v xml:space="preserve"> </v>
      </c>
      <c r="D144" s="8" t="str">
        <f>IF('Course 3'!$H142='tab3'!D$3,'Course 3'!$I142," ")</f>
        <v xml:space="preserve"> </v>
      </c>
      <c r="E144" s="8" t="str">
        <f>IF('Course 3'!$H142='tab3'!E$3,'Course 3'!$I142," ")</f>
        <v xml:space="preserve"> </v>
      </c>
      <c r="F144" s="8" t="str">
        <f>IF('Course 3'!$H142='tab3'!F$3,'Course 3'!$I142," ")</f>
        <v xml:space="preserve"> </v>
      </c>
      <c r="G144" s="8" t="str">
        <f>IF('Course 3'!$H142='tab3'!G$3,'Course 3'!$I142," ")</f>
        <v xml:space="preserve"> </v>
      </c>
      <c r="H144" s="8" t="str">
        <f>IF('Course 3'!$H142='tab3'!H$3,'Course 3'!$I142," ")</f>
        <v xml:space="preserve"> </v>
      </c>
      <c r="I144" s="8" t="str">
        <f>IF('Course 3'!$H142='tab3'!I$3,'Course 3'!$I142," ")</f>
        <v xml:space="preserve"> </v>
      </c>
      <c r="J144" s="8" t="str">
        <f>IF('Course 3'!$H142='tab3'!J$3,'Course 3'!$I142," ")</f>
        <v xml:space="preserve"> </v>
      </c>
      <c r="K144" s="8" t="str">
        <f>IF('Course 3'!$H142='tab3'!K$3,'Course 3'!$I142," ")</f>
        <v xml:space="preserve"> </v>
      </c>
      <c r="L144" s="8" t="str">
        <f>IF('Course 3'!$H142='tab3'!L$3,'Course 3'!$I142," ")</f>
        <v xml:space="preserve"> </v>
      </c>
      <c r="M144" s="8" t="str">
        <f>IF('Course 3'!$H142='tab3'!M$3,'Course 3'!$I142," ")</f>
        <v xml:space="preserve"> </v>
      </c>
      <c r="N144" s="9" t="str">
        <f>IF('Course 3'!$H142='tab3'!N$3,'Course 3'!$I142," ")</f>
        <v xml:space="preserve"> </v>
      </c>
    </row>
    <row r="145" spans="2:14">
      <c r="B145">
        <v>141</v>
      </c>
      <c r="C145" s="7" t="str">
        <f>IF('Course 3'!$H143='tab3'!C$3,'Course 3'!$I143," ")</f>
        <v xml:space="preserve"> </v>
      </c>
      <c r="D145" s="8" t="str">
        <f>IF('Course 3'!$H143='tab3'!D$3,'Course 3'!$I143," ")</f>
        <v xml:space="preserve"> </v>
      </c>
      <c r="E145" s="8" t="str">
        <f>IF('Course 3'!$H143='tab3'!E$3,'Course 3'!$I143," ")</f>
        <v xml:space="preserve"> </v>
      </c>
      <c r="F145" s="8" t="str">
        <f>IF('Course 3'!$H143='tab3'!F$3,'Course 3'!$I143," ")</f>
        <v xml:space="preserve"> </v>
      </c>
      <c r="G145" s="8" t="str">
        <f>IF('Course 3'!$H143='tab3'!G$3,'Course 3'!$I143," ")</f>
        <v xml:space="preserve"> </v>
      </c>
      <c r="H145" s="8" t="str">
        <f>IF('Course 3'!$H143='tab3'!H$3,'Course 3'!$I143," ")</f>
        <v xml:space="preserve"> </v>
      </c>
      <c r="I145" s="8" t="str">
        <f>IF('Course 3'!$H143='tab3'!I$3,'Course 3'!$I143," ")</f>
        <v xml:space="preserve"> </v>
      </c>
      <c r="J145" s="8" t="str">
        <f>IF('Course 3'!$H143='tab3'!J$3,'Course 3'!$I143," ")</f>
        <v xml:space="preserve"> </v>
      </c>
      <c r="K145" s="8" t="str">
        <f>IF('Course 3'!$H143='tab3'!K$3,'Course 3'!$I143," ")</f>
        <v xml:space="preserve"> </v>
      </c>
      <c r="L145" s="8" t="str">
        <f>IF('Course 3'!$H143='tab3'!L$3,'Course 3'!$I143," ")</f>
        <v xml:space="preserve"> </v>
      </c>
      <c r="M145" s="8" t="str">
        <f>IF('Course 3'!$H143='tab3'!M$3,'Course 3'!$I143," ")</f>
        <v xml:space="preserve"> </v>
      </c>
      <c r="N145" s="9" t="str">
        <f>IF('Course 3'!$H143='tab3'!N$3,'Course 3'!$I143," ")</f>
        <v xml:space="preserve"> </v>
      </c>
    </row>
    <row r="146" spans="2:14">
      <c r="B146">
        <v>142</v>
      </c>
      <c r="C146" s="7" t="str">
        <f>IF('Course 3'!$H144='tab3'!C$3,'Course 3'!$I144," ")</f>
        <v xml:space="preserve"> </v>
      </c>
      <c r="D146" s="8" t="str">
        <f>IF('Course 3'!$H144='tab3'!D$3,'Course 3'!$I144," ")</f>
        <v xml:space="preserve"> </v>
      </c>
      <c r="E146" s="8" t="str">
        <f>IF('Course 3'!$H144='tab3'!E$3,'Course 3'!$I144," ")</f>
        <v xml:space="preserve"> </v>
      </c>
      <c r="F146" s="8" t="str">
        <f>IF('Course 3'!$H144='tab3'!F$3,'Course 3'!$I144," ")</f>
        <v xml:space="preserve"> </v>
      </c>
      <c r="G146" s="8" t="str">
        <f>IF('Course 3'!$H144='tab3'!G$3,'Course 3'!$I144," ")</f>
        <v xml:space="preserve"> </v>
      </c>
      <c r="H146" s="8" t="str">
        <f>IF('Course 3'!$H144='tab3'!H$3,'Course 3'!$I144," ")</f>
        <v xml:space="preserve"> </v>
      </c>
      <c r="I146" s="8" t="str">
        <f>IF('Course 3'!$H144='tab3'!I$3,'Course 3'!$I144," ")</f>
        <v xml:space="preserve"> </v>
      </c>
      <c r="J146" s="8" t="str">
        <f>IF('Course 3'!$H144='tab3'!J$3,'Course 3'!$I144," ")</f>
        <v xml:space="preserve"> </v>
      </c>
      <c r="K146" s="8" t="str">
        <f>IF('Course 3'!$H144='tab3'!K$3,'Course 3'!$I144," ")</f>
        <v xml:space="preserve"> </v>
      </c>
      <c r="L146" s="8" t="str">
        <f>IF('Course 3'!$H144='tab3'!L$3,'Course 3'!$I144," ")</f>
        <v xml:space="preserve"> </v>
      </c>
      <c r="M146" s="8" t="str">
        <f>IF('Course 3'!$H144='tab3'!M$3,'Course 3'!$I144," ")</f>
        <v xml:space="preserve"> </v>
      </c>
      <c r="N146" s="9" t="str">
        <f>IF('Course 3'!$H144='tab3'!N$3,'Course 3'!$I144," ")</f>
        <v xml:space="preserve"> </v>
      </c>
    </row>
    <row r="147" spans="2:14">
      <c r="B147">
        <v>143</v>
      </c>
      <c r="C147" s="7" t="str">
        <f>IF('Course 3'!$H145='tab3'!C$3,'Course 3'!$I145," ")</f>
        <v xml:space="preserve"> </v>
      </c>
      <c r="D147" s="8" t="str">
        <f>IF('Course 3'!$H145='tab3'!D$3,'Course 3'!$I145," ")</f>
        <v xml:space="preserve"> </v>
      </c>
      <c r="E147" s="8" t="str">
        <f>IF('Course 3'!$H145='tab3'!E$3,'Course 3'!$I145," ")</f>
        <v xml:space="preserve"> </v>
      </c>
      <c r="F147" s="8" t="str">
        <f>IF('Course 3'!$H145='tab3'!F$3,'Course 3'!$I145," ")</f>
        <v xml:space="preserve"> </v>
      </c>
      <c r="G147" s="8" t="str">
        <f>IF('Course 3'!$H145='tab3'!G$3,'Course 3'!$I145," ")</f>
        <v xml:space="preserve"> </v>
      </c>
      <c r="H147" s="8" t="str">
        <f>IF('Course 3'!$H145='tab3'!H$3,'Course 3'!$I145," ")</f>
        <v xml:space="preserve"> </v>
      </c>
      <c r="I147" s="8" t="str">
        <f>IF('Course 3'!$H145='tab3'!I$3,'Course 3'!$I145," ")</f>
        <v xml:space="preserve"> </v>
      </c>
      <c r="J147" s="8" t="str">
        <f>IF('Course 3'!$H145='tab3'!J$3,'Course 3'!$I145," ")</f>
        <v xml:space="preserve"> </v>
      </c>
      <c r="K147" s="8" t="str">
        <f>IF('Course 3'!$H145='tab3'!K$3,'Course 3'!$I145," ")</f>
        <v xml:space="preserve"> </v>
      </c>
      <c r="L147" s="8" t="str">
        <f>IF('Course 3'!$H145='tab3'!L$3,'Course 3'!$I145," ")</f>
        <v xml:space="preserve"> </v>
      </c>
      <c r="M147" s="8" t="str">
        <f>IF('Course 3'!$H145='tab3'!M$3,'Course 3'!$I145," ")</f>
        <v xml:space="preserve"> </v>
      </c>
      <c r="N147" s="9" t="str">
        <f>IF('Course 3'!$H145='tab3'!N$3,'Course 3'!$I145," ")</f>
        <v xml:space="preserve"> </v>
      </c>
    </row>
    <row r="148" spans="2:14">
      <c r="B148">
        <v>144</v>
      </c>
      <c r="C148" s="7" t="str">
        <f>IF('Course 3'!$H146='tab3'!C$3,'Course 3'!$I146," ")</f>
        <v xml:space="preserve"> </v>
      </c>
      <c r="D148" s="8" t="str">
        <f>IF('Course 3'!$H146='tab3'!D$3,'Course 3'!$I146," ")</f>
        <v xml:space="preserve"> </v>
      </c>
      <c r="E148" s="8" t="str">
        <f>IF('Course 3'!$H146='tab3'!E$3,'Course 3'!$I146," ")</f>
        <v xml:space="preserve"> </v>
      </c>
      <c r="F148" s="8" t="str">
        <f>IF('Course 3'!$H146='tab3'!F$3,'Course 3'!$I146," ")</f>
        <v xml:space="preserve"> </v>
      </c>
      <c r="G148" s="8" t="str">
        <f>IF('Course 3'!$H146='tab3'!G$3,'Course 3'!$I146," ")</f>
        <v xml:space="preserve"> </v>
      </c>
      <c r="H148" s="8" t="str">
        <f>IF('Course 3'!$H146='tab3'!H$3,'Course 3'!$I146," ")</f>
        <v xml:space="preserve"> </v>
      </c>
      <c r="I148" s="8" t="str">
        <f>IF('Course 3'!$H146='tab3'!I$3,'Course 3'!$I146," ")</f>
        <v xml:space="preserve"> </v>
      </c>
      <c r="J148" s="8" t="str">
        <f>IF('Course 3'!$H146='tab3'!J$3,'Course 3'!$I146," ")</f>
        <v xml:space="preserve"> </v>
      </c>
      <c r="K148" s="8" t="str">
        <f>IF('Course 3'!$H146='tab3'!K$3,'Course 3'!$I146," ")</f>
        <v xml:space="preserve"> </v>
      </c>
      <c r="L148" s="8" t="str">
        <f>IF('Course 3'!$H146='tab3'!L$3,'Course 3'!$I146," ")</f>
        <v xml:space="preserve"> </v>
      </c>
      <c r="M148" s="8" t="str">
        <f>IF('Course 3'!$H146='tab3'!M$3,'Course 3'!$I146," ")</f>
        <v xml:space="preserve"> </v>
      </c>
      <c r="N148" s="9" t="str">
        <f>IF('Course 3'!$H146='tab3'!N$3,'Course 3'!$I146," ")</f>
        <v xml:space="preserve"> </v>
      </c>
    </row>
    <row r="149" spans="2:14">
      <c r="B149">
        <v>145</v>
      </c>
      <c r="C149" s="7" t="str">
        <f>IF('Course 3'!$H147='tab3'!C$3,'Course 3'!$I147," ")</f>
        <v xml:space="preserve"> </v>
      </c>
      <c r="D149" s="8" t="str">
        <f>IF('Course 3'!$H147='tab3'!D$3,'Course 3'!$I147," ")</f>
        <v xml:space="preserve"> </v>
      </c>
      <c r="E149" s="8" t="str">
        <f>IF('Course 3'!$H147='tab3'!E$3,'Course 3'!$I147," ")</f>
        <v xml:space="preserve"> </v>
      </c>
      <c r="F149" s="8" t="str">
        <f>IF('Course 3'!$H147='tab3'!F$3,'Course 3'!$I147," ")</f>
        <v xml:space="preserve"> </v>
      </c>
      <c r="G149" s="8" t="str">
        <f>IF('Course 3'!$H147='tab3'!G$3,'Course 3'!$I147," ")</f>
        <v xml:space="preserve"> </v>
      </c>
      <c r="H149" s="8" t="str">
        <f>IF('Course 3'!$H147='tab3'!H$3,'Course 3'!$I147," ")</f>
        <v xml:space="preserve"> </v>
      </c>
      <c r="I149" s="8" t="str">
        <f>IF('Course 3'!$H147='tab3'!I$3,'Course 3'!$I147," ")</f>
        <v xml:space="preserve"> </v>
      </c>
      <c r="J149" s="8" t="str">
        <f>IF('Course 3'!$H147='tab3'!J$3,'Course 3'!$I147," ")</f>
        <v xml:space="preserve"> </v>
      </c>
      <c r="K149" s="8" t="str">
        <f>IF('Course 3'!$H147='tab3'!K$3,'Course 3'!$I147," ")</f>
        <v xml:space="preserve"> </v>
      </c>
      <c r="L149" s="8" t="str">
        <f>IF('Course 3'!$H147='tab3'!L$3,'Course 3'!$I147," ")</f>
        <v xml:space="preserve"> </v>
      </c>
      <c r="M149" s="8" t="str">
        <f>IF('Course 3'!$H147='tab3'!M$3,'Course 3'!$I147," ")</f>
        <v xml:space="preserve"> </v>
      </c>
      <c r="N149" s="9" t="str">
        <f>IF('Course 3'!$H147='tab3'!N$3,'Course 3'!$I147," ")</f>
        <v xml:space="preserve"> </v>
      </c>
    </row>
    <row r="150" spans="2:14">
      <c r="B150">
        <v>146</v>
      </c>
      <c r="C150" s="7" t="str">
        <f>IF('Course 3'!$H148='tab3'!C$3,'Course 3'!$I148," ")</f>
        <v xml:space="preserve"> </v>
      </c>
      <c r="D150" s="8" t="str">
        <f>IF('Course 3'!$H148='tab3'!D$3,'Course 3'!$I148," ")</f>
        <v xml:space="preserve"> </v>
      </c>
      <c r="E150" s="8" t="str">
        <f>IF('Course 3'!$H148='tab3'!E$3,'Course 3'!$I148," ")</f>
        <v xml:space="preserve"> </v>
      </c>
      <c r="F150" s="8" t="str">
        <f>IF('Course 3'!$H148='tab3'!F$3,'Course 3'!$I148," ")</f>
        <v xml:space="preserve"> </v>
      </c>
      <c r="G150" s="8" t="str">
        <f>IF('Course 3'!$H148='tab3'!G$3,'Course 3'!$I148," ")</f>
        <v xml:space="preserve"> </v>
      </c>
      <c r="H150" s="8" t="str">
        <f>IF('Course 3'!$H148='tab3'!H$3,'Course 3'!$I148," ")</f>
        <v xml:space="preserve"> </v>
      </c>
      <c r="I150" s="8" t="str">
        <f>IF('Course 3'!$H148='tab3'!I$3,'Course 3'!$I148," ")</f>
        <v xml:space="preserve"> </v>
      </c>
      <c r="J150" s="8" t="str">
        <f>IF('Course 3'!$H148='tab3'!J$3,'Course 3'!$I148," ")</f>
        <v xml:space="preserve"> </v>
      </c>
      <c r="K150" s="8" t="str">
        <f>IF('Course 3'!$H148='tab3'!K$3,'Course 3'!$I148," ")</f>
        <v xml:space="preserve"> </v>
      </c>
      <c r="L150" s="8" t="str">
        <f>IF('Course 3'!$H148='tab3'!L$3,'Course 3'!$I148," ")</f>
        <v xml:space="preserve"> </v>
      </c>
      <c r="M150" s="8" t="str">
        <f>IF('Course 3'!$H148='tab3'!M$3,'Course 3'!$I148," ")</f>
        <v xml:space="preserve"> </v>
      </c>
      <c r="N150" s="9" t="str">
        <f>IF('Course 3'!$H148='tab3'!N$3,'Course 3'!$I148," ")</f>
        <v xml:space="preserve"> </v>
      </c>
    </row>
    <row r="151" spans="2:14">
      <c r="B151">
        <v>147</v>
      </c>
      <c r="C151" s="7" t="str">
        <f>IF('Course 3'!$H149='tab3'!C$3,'Course 3'!$I149," ")</f>
        <v xml:space="preserve"> </v>
      </c>
      <c r="D151" s="8" t="str">
        <f>IF('Course 3'!$H149='tab3'!D$3,'Course 3'!$I149," ")</f>
        <v xml:space="preserve"> </v>
      </c>
      <c r="E151" s="8" t="str">
        <f>IF('Course 3'!$H149='tab3'!E$3,'Course 3'!$I149," ")</f>
        <v xml:space="preserve"> </v>
      </c>
      <c r="F151" s="8" t="str">
        <f>IF('Course 3'!$H149='tab3'!F$3,'Course 3'!$I149," ")</f>
        <v xml:space="preserve"> </v>
      </c>
      <c r="G151" s="8" t="str">
        <f>IF('Course 3'!$H149='tab3'!G$3,'Course 3'!$I149," ")</f>
        <v xml:space="preserve"> </v>
      </c>
      <c r="H151" s="8" t="str">
        <f>IF('Course 3'!$H149='tab3'!H$3,'Course 3'!$I149," ")</f>
        <v xml:space="preserve"> </v>
      </c>
      <c r="I151" s="8" t="str">
        <f>IF('Course 3'!$H149='tab3'!I$3,'Course 3'!$I149," ")</f>
        <v xml:space="preserve"> </v>
      </c>
      <c r="J151" s="8" t="str">
        <f>IF('Course 3'!$H149='tab3'!J$3,'Course 3'!$I149," ")</f>
        <v xml:space="preserve"> </v>
      </c>
      <c r="K151" s="8" t="str">
        <f>IF('Course 3'!$H149='tab3'!K$3,'Course 3'!$I149," ")</f>
        <v xml:space="preserve"> </v>
      </c>
      <c r="L151" s="8" t="str">
        <f>IF('Course 3'!$H149='tab3'!L$3,'Course 3'!$I149," ")</f>
        <v xml:space="preserve"> </v>
      </c>
      <c r="M151" s="8" t="str">
        <f>IF('Course 3'!$H149='tab3'!M$3,'Course 3'!$I149," ")</f>
        <v xml:space="preserve"> </v>
      </c>
      <c r="N151" s="9" t="str">
        <f>IF('Course 3'!$H149='tab3'!N$3,'Course 3'!$I149," ")</f>
        <v xml:space="preserve"> </v>
      </c>
    </row>
    <row r="152" spans="2:14">
      <c r="B152">
        <v>148</v>
      </c>
      <c r="C152" s="7" t="str">
        <f>IF('Course 3'!$H150='tab3'!C$3,'Course 3'!$I150," ")</f>
        <v xml:space="preserve"> </v>
      </c>
      <c r="D152" s="8" t="str">
        <f>IF('Course 3'!$H150='tab3'!D$3,'Course 3'!$I150," ")</f>
        <v xml:space="preserve"> </v>
      </c>
      <c r="E152" s="8" t="str">
        <f>IF('Course 3'!$H150='tab3'!E$3,'Course 3'!$I150," ")</f>
        <v xml:space="preserve"> </v>
      </c>
      <c r="F152" s="8" t="str">
        <f>IF('Course 3'!$H150='tab3'!F$3,'Course 3'!$I150," ")</f>
        <v xml:space="preserve"> </v>
      </c>
      <c r="G152" s="8" t="str">
        <f>IF('Course 3'!$H150='tab3'!G$3,'Course 3'!$I150," ")</f>
        <v xml:space="preserve"> </v>
      </c>
      <c r="H152" s="8" t="str">
        <f>IF('Course 3'!$H150='tab3'!H$3,'Course 3'!$I150," ")</f>
        <v xml:space="preserve"> </v>
      </c>
      <c r="I152" s="8" t="str">
        <f>IF('Course 3'!$H150='tab3'!I$3,'Course 3'!$I150," ")</f>
        <v xml:space="preserve"> </v>
      </c>
      <c r="J152" s="8" t="str">
        <f>IF('Course 3'!$H150='tab3'!J$3,'Course 3'!$I150," ")</f>
        <v xml:space="preserve"> </v>
      </c>
      <c r="K152" s="8" t="str">
        <f>IF('Course 3'!$H150='tab3'!K$3,'Course 3'!$I150," ")</f>
        <v xml:space="preserve"> </v>
      </c>
      <c r="L152" s="8" t="str">
        <f>IF('Course 3'!$H150='tab3'!L$3,'Course 3'!$I150," ")</f>
        <v xml:space="preserve"> </v>
      </c>
      <c r="M152" s="8" t="str">
        <f>IF('Course 3'!$H150='tab3'!M$3,'Course 3'!$I150," ")</f>
        <v xml:space="preserve"> </v>
      </c>
      <c r="N152" s="9" t="str">
        <f>IF('Course 3'!$H150='tab3'!N$3,'Course 3'!$I150," ")</f>
        <v xml:space="preserve"> </v>
      </c>
    </row>
    <row r="153" spans="2:14">
      <c r="B153">
        <v>149</v>
      </c>
      <c r="C153" s="7" t="str">
        <f>IF('Course 3'!$H151='tab3'!C$3,'Course 3'!$I151," ")</f>
        <v xml:space="preserve"> </v>
      </c>
      <c r="D153" s="8" t="str">
        <f>IF('Course 3'!$H151='tab3'!D$3,'Course 3'!$I151," ")</f>
        <v xml:space="preserve"> </v>
      </c>
      <c r="E153" s="8" t="str">
        <f>IF('Course 3'!$H151='tab3'!E$3,'Course 3'!$I151," ")</f>
        <v xml:space="preserve"> </v>
      </c>
      <c r="F153" s="8" t="str">
        <f>IF('Course 3'!$H151='tab3'!F$3,'Course 3'!$I151," ")</f>
        <v xml:space="preserve"> </v>
      </c>
      <c r="G153" s="8" t="str">
        <f>IF('Course 3'!$H151='tab3'!G$3,'Course 3'!$I151," ")</f>
        <v xml:space="preserve"> </v>
      </c>
      <c r="H153" s="8" t="str">
        <f>IF('Course 3'!$H151='tab3'!H$3,'Course 3'!$I151," ")</f>
        <v xml:space="preserve"> </v>
      </c>
      <c r="I153" s="8" t="str">
        <f>IF('Course 3'!$H151='tab3'!I$3,'Course 3'!$I151," ")</f>
        <v xml:space="preserve"> </v>
      </c>
      <c r="J153" s="8" t="str">
        <f>IF('Course 3'!$H151='tab3'!J$3,'Course 3'!$I151," ")</f>
        <v xml:space="preserve"> </v>
      </c>
      <c r="K153" s="8" t="str">
        <f>IF('Course 3'!$H151='tab3'!K$3,'Course 3'!$I151," ")</f>
        <v xml:space="preserve"> </v>
      </c>
      <c r="L153" s="8" t="str">
        <f>IF('Course 3'!$H151='tab3'!L$3,'Course 3'!$I151," ")</f>
        <v xml:space="preserve"> </v>
      </c>
      <c r="M153" s="8" t="str">
        <f>IF('Course 3'!$H151='tab3'!M$3,'Course 3'!$I151," ")</f>
        <v xml:space="preserve"> </v>
      </c>
      <c r="N153" s="9" t="str">
        <f>IF('Course 3'!$H151='tab3'!N$3,'Course 3'!$I151," ")</f>
        <v xml:space="preserve"> </v>
      </c>
    </row>
    <row r="154" spans="2:14">
      <c r="B154">
        <v>150</v>
      </c>
      <c r="C154" s="7" t="str">
        <f>IF('Course 3'!$H152='tab3'!C$3,'Course 3'!$I152," ")</f>
        <v xml:space="preserve"> </v>
      </c>
      <c r="D154" s="8" t="str">
        <f>IF('Course 3'!$H152='tab3'!D$3,'Course 3'!$I152," ")</f>
        <v xml:space="preserve"> </v>
      </c>
      <c r="E154" s="8" t="str">
        <f>IF('Course 3'!$H152='tab3'!E$3,'Course 3'!$I152," ")</f>
        <v xml:space="preserve"> </v>
      </c>
      <c r="F154" s="8" t="str">
        <f>IF('Course 3'!$H152='tab3'!F$3,'Course 3'!$I152," ")</f>
        <v xml:space="preserve"> </v>
      </c>
      <c r="G154" s="8" t="str">
        <f>IF('Course 3'!$H152='tab3'!G$3,'Course 3'!$I152," ")</f>
        <v xml:space="preserve"> </v>
      </c>
      <c r="H154" s="8" t="str">
        <f>IF('Course 3'!$H152='tab3'!H$3,'Course 3'!$I152," ")</f>
        <v xml:space="preserve"> </v>
      </c>
      <c r="I154" s="8" t="str">
        <f>IF('Course 3'!$H152='tab3'!I$3,'Course 3'!$I152," ")</f>
        <v xml:space="preserve"> </v>
      </c>
      <c r="J154" s="8" t="str">
        <f>IF('Course 3'!$H152='tab3'!J$3,'Course 3'!$I152," ")</f>
        <v xml:space="preserve"> </v>
      </c>
      <c r="K154" s="8" t="str">
        <f>IF('Course 3'!$H152='tab3'!K$3,'Course 3'!$I152," ")</f>
        <v xml:space="preserve"> </v>
      </c>
      <c r="L154" s="8" t="str">
        <f>IF('Course 3'!$H152='tab3'!L$3,'Course 3'!$I152," ")</f>
        <v xml:space="preserve"> </v>
      </c>
      <c r="M154" s="8" t="str">
        <f>IF('Course 3'!$H152='tab3'!M$3,'Course 3'!$I152," ")</f>
        <v xml:space="preserve"> </v>
      </c>
      <c r="N154" s="9" t="str">
        <f>IF('Course 3'!$H152='tab3'!N$3,'Course 3'!$I152," ")</f>
        <v xml:space="preserve"> </v>
      </c>
    </row>
    <row r="155" spans="2:14">
      <c r="B155">
        <v>151</v>
      </c>
      <c r="C155" s="7" t="str">
        <f>IF('Course 3'!$H153='tab3'!C$3,'Course 3'!$I153," ")</f>
        <v xml:space="preserve"> </v>
      </c>
      <c r="D155" s="8" t="str">
        <f>IF('Course 3'!$H153='tab3'!D$3,'Course 3'!$I153," ")</f>
        <v xml:space="preserve"> </v>
      </c>
      <c r="E155" s="8" t="str">
        <f>IF('Course 3'!$H153='tab3'!E$3,'Course 3'!$I153," ")</f>
        <v xml:space="preserve"> </v>
      </c>
      <c r="F155" s="8" t="str">
        <f>IF('Course 3'!$H153='tab3'!F$3,'Course 3'!$I153," ")</f>
        <v xml:space="preserve"> </v>
      </c>
      <c r="G155" s="8" t="str">
        <f>IF('Course 3'!$H153='tab3'!G$3,'Course 3'!$I153," ")</f>
        <v xml:space="preserve"> </v>
      </c>
      <c r="H155" s="8" t="str">
        <f>IF('Course 3'!$H153='tab3'!H$3,'Course 3'!$I153," ")</f>
        <v xml:space="preserve"> </v>
      </c>
      <c r="I155" s="8" t="str">
        <f>IF('Course 3'!$H153='tab3'!I$3,'Course 3'!$I153," ")</f>
        <v xml:space="preserve"> </v>
      </c>
      <c r="J155" s="8" t="str">
        <f>IF('Course 3'!$H153='tab3'!J$3,'Course 3'!$I153," ")</f>
        <v xml:space="preserve"> </v>
      </c>
      <c r="K155" s="8" t="str">
        <f>IF('Course 3'!$H153='tab3'!K$3,'Course 3'!$I153," ")</f>
        <v xml:space="preserve"> </v>
      </c>
      <c r="L155" s="8" t="str">
        <f>IF('Course 3'!$H153='tab3'!L$3,'Course 3'!$I153," ")</f>
        <v xml:space="preserve"> </v>
      </c>
      <c r="M155" s="8" t="str">
        <f>IF('Course 3'!$H153='tab3'!M$3,'Course 3'!$I153," ")</f>
        <v xml:space="preserve"> </v>
      </c>
      <c r="N155" s="9" t="str">
        <f>IF('Course 3'!$H153='tab3'!N$3,'Course 3'!$I153," ")</f>
        <v xml:space="preserve"> </v>
      </c>
    </row>
    <row r="156" spans="2:14">
      <c r="B156">
        <v>152</v>
      </c>
      <c r="C156" s="7" t="str">
        <f>IF('Course 3'!$H154='tab3'!C$3,'Course 3'!$I154," ")</f>
        <v xml:space="preserve"> </v>
      </c>
      <c r="D156" s="8" t="str">
        <f>IF('Course 3'!$H154='tab3'!D$3,'Course 3'!$I154," ")</f>
        <v xml:space="preserve"> </v>
      </c>
      <c r="E156" s="8" t="str">
        <f>IF('Course 3'!$H154='tab3'!E$3,'Course 3'!$I154," ")</f>
        <v xml:space="preserve"> </v>
      </c>
      <c r="F156" s="8" t="str">
        <f>IF('Course 3'!$H154='tab3'!F$3,'Course 3'!$I154," ")</f>
        <v xml:space="preserve"> </v>
      </c>
      <c r="G156" s="8" t="str">
        <f>IF('Course 3'!$H154='tab3'!G$3,'Course 3'!$I154," ")</f>
        <v xml:space="preserve"> </v>
      </c>
      <c r="H156" s="8" t="str">
        <f>IF('Course 3'!$H154='tab3'!H$3,'Course 3'!$I154," ")</f>
        <v xml:space="preserve"> </v>
      </c>
      <c r="I156" s="8" t="str">
        <f>IF('Course 3'!$H154='tab3'!I$3,'Course 3'!$I154," ")</f>
        <v xml:space="preserve"> </v>
      </c>
      <c r="J156" s="8" t="str">
        <f>IF('Course 3'!$H154='tab3'!J$3,'Course 3'!$I154," ")</f>
        <v xml:space="preserve"> </v>
      </c>
      <c r="K156" s="8" t="str">
        <f>IF('Course 3'!$H154='tab3'!K$3,'Course 3'!$I154," ")</f>
        <v xml:space="preserve"> </v>
      </c>
      <c r="L156" s="8" t="str">
        <f>IF('Course 3'!$H154='tab3'!L$3,'Course 3'!$I154," ")</f>
        <v xml:space="preserve"> </v>
      </c>
      <c r="M156" s="8" t="str">
        <f>IF('Course 3'!$H154='tab3'!M$3,'Course 3'!$I154," ")</f>
        <v xml:space="preserve"> </v>
      </c>
      <c r="N156" s="9" t="str">
        <f>IF('Course 3'!$H154='tab3'!N$3,'Course 3'!$I154," ")</f>
        <v xml:space="preserve"> </v>
      </c>
    </row>
    <row r="157" spans="2:14">
      <c r="B157">
        <v>153</v>
      </c>
      <c r="C157" s="7" t="str">
        <f>IF('Course 3'!$H155='tab3'!C$3,'Course 3'!$I155," ")</f>
        <v xml:space="preserve"> </v>
      </c>
      <c r="D157" s="8" t="str">
        <f>IF('Course 3'!$H155='tab3'!D$3,'Course 3'!$I155," ")</f>
        <v xml:space="preserve"> </v>
      </c>
      <c r="E157" s="8" t="str">
        <f>IF('Course 3'!$H155='tab3'!E$3,'Course 3'!$I155," ")</f>
        <v xml:space="preserve"> </v>
      </c>
      <c r="F157" s="8" t="str">
        <f>IF('Course 3'!$H155='tab3'!F$3,'Course 3'!$I155," ")</f>
        <v xml:space="preserve"> </v>
      </c>
      <c r="G157" s="8" t="str">
        <f>IF('Course 3'!$H155='tab3'!G$3,'Course 3'!$I155," ")</f>
        <v xml:space="preserve"> </v>
      </c>
      <c r="H157" s="8" t="str">
        <f>IF('Course 3'!$H155='tab3'!H$3,'Course 3'!$I155," ")</f>
        <v xml:space="preserve"> </v>
      </c>
      <c r="I157" s="8" t="str">
        <f>IF('Course 3'!$H155='tab3'!I$3,'Course 3'!$I155," ")</f>
        <v xml:space="preserve"> </v>
      </c>
      <c r="J157" s="8" t="str">
        <f>IF('Course 3'!$H155='tab3'!J$3,'Course 3'!$I155," ")</f>
        <v xml:space="preserve"> </v>
      </c>
      <c r="K157" s="8" t="str">
        <f>IF('Course 3'!$H155='tab3'!K$3,'Course 3'!$I155," ")</f>
        <v xml:space="preserve"> </v>
      </c>
      <c r="L157" s="8" t="str">
        <f>IF('Course 3'!$H155='tab3'!L$3,'Course 3'!$I155," ")</f>
        <v xml:space="preserve"> </v>
      </c>
      <c r="M157" s="8" t="str">
        <f>IF('Course 3'!$H155='tab3'!M$3,'Course 3'!$I155," ")</f>
        <v xml:space="preserve"> </v>
      </c>
      <c r="N157" s="9" t="str">
        <f>IF('Course 3'!$H155='tab3'!N$3,'Course 3'!$I155," ")</f>
        <v xml:space="preserve"> </v>
      </c>
    </row>
    <row r="158" spans="2:14">
      <c r="B158">
        <v>154</v>
      </c>
      <c r="C158" s="7" t="str">
        <f>IF('Course 3'!$H156='tab3'!C$3,'Course 3'!$I156," ")</f>
        <v xml:space="preserve"> </v>
      </c>
      <c r="D158" s="8" t="str">
        <f>IF('Course 3'!$H156='tab3'!D$3,'Course 3'!$I156," ")</f>
        <v xml:space="preserve"> </v>
      </c>
      <c r="E158" s="8" t="str">
        <f>IF('Course 3'!$H156='tab3'!E$3,'Course 3'!$I156," ")</f>
        <v xml:space="preserve"> </v>
      </c>
      <c r="F158" s="8" t="str">
        <f>IF('Course 3'!$H156='tab3'!F$3,'Course 3'!$I156," ")</f>
        <v xml:space="preserve"> </v>
      </c>
      <c r="G158" s="8" t="str">
        <f>IF('Course 3'!$H156='tab3'!G$3,'Course 3'!$I156," ")</f>
        <v xml:space="preserve"> </v>
      </c>
      <c r="H158" s="8" t="str">
        <f>IF('Course 3'!$H156='tab3'!H$3,'Course 3'!$I156," ")</f>
        <v xml:space="preserve"> </v>
      </c>
      <c r="I158" s="8" t="str">
        <f>IF('Course 3'!$H156='tab3'!I$3,'Course 3'!$I156," ")</f>
        <v xml:space="preserve"> </v>
      </c>
      <c r="J158" s="8" t="str">
        <f>IF('Course 3'!$H156='tab3'!J$3,'Course 3'!$I156," ")</f>
        <v xml:space="preserve"> </v>
      </c>
      <c r="K158" s="8" t="str">
        <f>IF('Course 3'!$H156='tab3'!K$3,'Course 3'!$I156," ")</f>
        <v xml:space="preserve"> </v>
      </c>
      <c r="L158" s="8" t="str">
        <f>IF('Course 3'!$H156='tab3'!L$3,'Course 3'!$I156," ")</f>
        <v xml:space="preserve"> </v>
      </c>
      <c r="M158" s="8" t="str">
        <f>IF('Course 3'!$H156='tab3'!M$3,'Course 3'!$I156," ")</f>
        <v xml:space="preserve"> </v>
      </c>
      <c r="N158" s="9" t="str">
        <f>IF('Course 3'!$H156='tab3'!N$3,'Course 3'!$I156," ")</f>
        <v xml:space="preserve"> </v>
      </c>
    </row>
    <row r="159" spans="2:14">
      <c r="B159">
        <v>155</v>
      </c>
      <c r="C159" s="7" t="str">
        <f>IF('Course 3'!$H157='tab3'!C$3,'Course 3'!$I157," ")</f>
        <v xml:space="preserve"> </v>
      </c>
      <c r="D159" s="8" t="str">
        <f>IF('Course 3'!$H157='tab3'!D$3,'Course 3'!$I157," ")</f>
        <v xml:space="preserve"> </v>
      </c>
      <c r="E159" s="8" t="str">
        <f>IF('Course 3'!$H157='tab3'!E$3,'Course 3'!$I157," ")</f>
        <v xml:space="preserve"> </v>
      </c>
      <c r="F159" s="8" t="str">
        <f>IF('Course 3'!$H157='tab3'!F$3,'Course 3'!$I157," ")</f>
        <v xml:space="preserve"> </v>
      </c>
      <c r="G159" s="8" t="str">
        <f>IF('Course 3'!$H157='tab3'!G$3,'Course 3'!$I157," ")</f>
        <v xml:space="preserve"> </v>
      </c>
      <c r="H159" s="8" t="str">
        <f>IF('Course 3'!$H157='tab3'!H$3,'Course 3'!$I157," ")</f>
        <v xml:space="preserve"> </v>
      </c>
      <c r="I159" s="8" t="str">
        <f>IF('Course 3'!$H157='tab3'!I$3,'Course 3'!$I157," ")</f>
        <v xml:space="preserve"> </v>
      </c>
      <c r="J159" s="8" t="str">
        <f>IF('Course 3'!$H157='tab3'!J$3,'Course 3'!$I157," ")</f>
        <v xml:space="preserve"> </v>
      </c>
      <c r="K159" s="8" t="str">
        <f>IF('Course 3'!$H157='tab3'!K$3,'Course 3'!$I157," ")</f>
        <v xml:space="preserve"> </v>
      </c>
      <c r="L159" s="8" t="str">
        <f>IF('Course 3'!$H157='tab3'!L$3,'Course 3'!$I157," ")</f>
        <v xml:space="preserve"> </v>
      </c>
      <c r="M159" s="8" t="str">
        <f>IF('Course 3'!$H157='tab3'!M$3,'Course 3'!$I157," ")</f>
        <v xml:space="preserve"> </v>
      </c>
      <c r="N159" s="9" t="str">
        <f>IF('Course 3'!$H157='tab3'!N$3,'Course 3'!$I157," ")</f>
        <v xml:space="preserve"> </v>
      </c>
    </row>
    <row r="160" spans="2:14">
      <c r="B160">
        <v>156</v>
      </c>
      <c r="C160" s="7" t="str">
        <f>IF('Course 3'!$H158='tab3'!C$3,'Course 3'!$I158," ")</f>
        <v xml:space="preserve"> </v>
      </c>
      <c r="D160" s="8" t="str">
        <f>IF('Course 3'!$H158='tab3'!D$3,'Course 3'!$I158," ")</f>
        <v xml:space="preserve"> </v>
      </c>
      <c r="E160" s="8" t="str">
        <f>IF('Course 3'!$H158='tab3'!E$3,'Course 3'!$I158," ")</f>
        <v xml:space="preserve"> </v>
      </c>
      <c r="F160" s="8" t="str">
        <f>IF('Course 3'!$H158='tab3'!F$3,'Course 3'!$I158," ")</f>
        <v xml:space="preserve"> </v>
      </c>
      <c r="G160" s="8" t="str">
        <f>IF('Course 3'!$H158='tab3'!G$3,'Course 3'!$I158," ")</f>
        <v xml:space="preserve"> </v>
      </c>
      <c r="H160" s="8" t="str">
        <f>IF('Course 3'!$H158='tab3'!H$3,'Course 3'!$I158," ")</f>
        <v xml:space="preserve"> </v>
      </c>
      <c r="I160" s="8" t="str">
        <f>IF('Course 3'!$H158='tab3'!I$3,'Course 3'!$I158," ")</f>
        <v xml:space="preserve"> </v>
      </c>
      <c r="J160" s="8" t="str">
        <f>IF('Course 3'!$H158='tab3'!J$3,'Course 3'!$I158," ")</f>
        <v xml:space="preserve"> </v>
      </c>
      <c r="K160" s="8" t="str">
        <f>IF('Course 3'!$H158='tab3'!K$3,'Course 3'!$I158," ")</f>
        <v xml:space="preserve"> </v>
      </c>
      <c r="L160" s="8" t="str">
        <f>IF('Course 3'!$H158='tab3'!L$3,'Course 3'!$I158," ")</f>
        <v xml:space="preserve"> </v>
      </c>
      <c r="M160" s="8" t="str">
        <f>IF('Course 3'!$H158='tab3'!M$3,'Course 3'!$I158," ")</f>
        <v xml:space="preserve"> </v>
      </c>
      <c r="N160" s="9" t="str">
        <f>IF('Course 3'!$H158='tab3'!N$3,'Course 3'!$I158," ")</f>
        <v xml:space="preserve"> </v>
      </c>
    </row>
    <row r="161" spans="2:14">
      <c r="B161">
        <v>157</v>
      </c>
      <c r="C161" s="7" t="str">
        <f>IF('Course 3'!$H159='tab3'!C$3,'Course 3'!$I159," ")</f>
        <v xml:space="preserve"> </v>
      </c>
      <c r="D161" s="8" t="str">
        <f>IF('Course 3'!$H159='tab3'!D$3,'Course 3'!$I159," ")</f>
        <v xml:space="preserve"> </v>
      </c>
      <c r="E161" s="8" t="str">
        <f>IF('Course 3'!$H159='tab3'!E$3,'Course 3'!$I159," ")</f>
        <v xml:space="preserve"> </v>
      </c>
      <c r="F161" s="8" t="str">
        <f>IF('Course 3'!$H159='tab3'!F$3,'Course 3'!$I159," ")</f>
        <v xml:space="preserve"> </v>
      </c>
      <c r="G161" s="8" t="str">
        <f>IF('Course 3'!$H159='tab3'!G$3,'Course 3'!$I159," ")</f>
        <v xml:space="preserve"> </v>
      </c>
      <c r="H161" s="8" t="str">
        <f>IF('Course 3'!$H159='tab3'!H$3,'Course 3'!$I159," ")</f>
        <v xml:space="preserve"> </v>
      </c>
      <c r="I161" s="8" t="str">
        <f>IF('Course 3'!$H159='tab3'!I$3,'Course 3'!$I159," ")</f>
        <v xml:space="preserve"> </v>
      </c>
      <c r="J161" s="8" t="str">
        <f>IF('Course 3'!$H159='tab3'!J$3,'Course 3'!$I159," ")</f>
        <v xml:space="preserve"> </v>
      </c>
      <c r="K161" s="8" t="str">
        <f>IF('Course 3'!$H159='tab3'!K$3,'Course 3'!$I159," ")</f>
        <v xml:space="preserve"> </v>
      </c>
      <c r="L161" s="8" t="str">
        <f>IF('Course 3'!$H159='tab3'!L$3,'Course 3'!$I159," ")</f>
        <v xml:space="preserve"> </v>
      </c>
      <c r="M161" s="8" t="str">
        <f>IF('Course 3'!$H159='tab3'!M$3,'Course 3'!$I159," ")</f>
        <v xml:space="preserve"> </v>
      </c>
      <c r="N161" s="9" t="str">
        <f>IF('Course 3'!$H159='tab3'!N$3,'Course 3'!$I159," ")</f>
        <v xml:space="preserve"> </v>
      </c>
    </row>
    <row r="162" spans="2:14">
      <c r="B162">
        <v>158</v>
      </c>
      <c r="C162" s="7" t="str">
        <f>IF('Course 3'!$H160='tab3'!C$3,'Course 3'!$I160," ")</f>
        <v xml:space="preserve"> </v>
      </c>
      <c r="D162" s="8" t="str">
        <f>IF('Course 3'!$H160='tab3'!D$3,'Course 3'!$I160," ")</f>
        <v xml:space="preserve"> </v>
      </c>
      <c r="E162" s="8" t="str">
        <f>IF('Course 3'!$H160='tab3'!E$3,'Course 3'!$I160," ")</f>
        <v xml:space="preserve"> </v>
      </c>
      <c r="F162" s="8" t="str">
        <f>IF('Course 3'!$H160='tab3'!F$3,'Course 3'!$I160," ")</f>
        <v xml:space="preserve"> </v>
      </c>
      <c r="G162" s="8" t="str">
        <f>IF('Course 3'!$H160='tab3'!G$3,'Course 3'!$I160," ")</f>
        <v xml:space="preserve"> </v>
      </c>
      <c r="H162" s="8" t="str">
        <f>IF('Course 3'!$H160='tab3'!H$3,'Course 3'!$I160," ")</f>
        <v xml:space="preserve"> </v>
      </c>
      <c r="I162" s="8" t="str">
        <f>IF('Course 3'!$H160='tab3'!I$3,'Course 3'!$I160," ")</f>
        <v xml:space="preserve"> </v>
      </c>
      <c r="J162" s="8" t="str">
        <f>IF('Course 3'!$H160='tab3'!J$3,'Course 3'!$I160," ")</f>
        <v xml:space="preserve"> </v>
      </c>
      <c r="K162" s="8" t="str">
        <f>IF('Course 3'!$H160='tab3'!K$3,'Course 3'!$I160," ")</f>
        <v xml:space="preserve"> </v>
      </c>
      <c r="L162" s="8" t="str">
        <f>IF('Course 3'!$H160='tab3'!L$3,'Course 3'!$I160," ")</f>
        <v xml:space="preserve"> </v>
      </c>
      <c r="M162" s="8" t="str">
        <f>IF('Course 3'!$H160='tab3'!M$3,'Course 3'!$I160," ")</f>
        <v xml:space="preserve"> </v>
      </c>
      <c r="N162" s="9" t="str">
        <f>IF('Course 3'!$H160='tab3'!N$3,'Course 3'!$I160," ")</f>
        <v xml:space="preserve"> </v>
      </c>
    </row>
    <row r="163" spans="2:14">
      <c r="B163">
        <v>159</v>
      </c>
      <c r="C163" s="7" t="str">
        <f>IF('Course 3'!$H161='tab3'!C$3,'Course 3'!$I161," ")</f>
        <v xml:space="preserve"> </v>
      </c>
      <c r="D163" s="8" t="str">
        <f>IF('Course 3'!$H161='tab3'!D$3,'Course 3'!$I161," ")</f>
        <v xml:space="preserve"> </v>
      </c>
      <c r="E163" s="8" t="str">
        <f>IF('Course 3'!$H161='tab3'!E$3,'Course 3'!$I161," ")</f>
        <v xml:space="preserve"> </v>
      </c>
      <c r="F163" s="8" t="str">
        <f>IF('Course 3'!$H161='tab3'!F$3,'Course 3'!$I161," ")</f>
        <v xml:space="preserve"> </v>
      </c>
      <c r="G163" s="8" t="str">
        <f>IF('Course 3'!$H161='tab3'!G$3,'Course 3'!$I161," ")</f>
        <v xml:space="preserve"> </v>
      </c>
      <c r="H163" s="8" t="str">
        <f>IF('Course 3'!$H161='tab3'!H$3,'Course 3'!$I161," ")</f>
        <v xml:space="preserve"> </v>
      </c>
      <c r="I163" s="8" t="str">
        <f>IF('Course 3'!$H161='tab3'!I$3,'Course 3'!$I161," ")</f>
        <v xml:space="preserve"> </v>
      </c>
      <c r="J163" s="8" t="str">
        <f>IF('Course 3'!$H161='tab3'!J$3,'Course 3'!$I161," ")</f>
        <v xml:space="preserve"> </v>
      </c>
      <c r="K163" s="8" t="str">
        <f>IF('Course 3'!$H161='tab3'!K$3,'Course 3'!$I161," ")</f>
        <v xml:space="preserve"> </v>
      </c>
      <c r="L163" s="8" t="str">
        <f>IF('Course 3'!$H161='tab3'!L$3,'Course 3'!$I161," ")</f>
        <v xml:space="preserve"> </v>
      </c>
      <c r="M163" s="8" t="str">
        <f>IF('Course 3'!$H161='tab3'!M$3,'Course 3'!$I161," ")</f>
        <v xml:space="preserve"> </v>
      </c>
      <c r="N163" s="9" t="str">
        <f>IF('Course 3'!$H161='tab3'!N$3,'Course 3'!$I161," ")</f>
        <v xml:space="preserve"> </v>
      </c>
    </row>
    <row r="164" spans="2:14">
      <c r="B164">
        <v>160</v>
      </c>
      <c r="C164" s="7" t="str">
        <f>IF('Course 3'!$H162='tab3'!C$3,'Course 3'!$I162," ")</f>
        <v xml:space="preserve"> </v>
      </c>
      <c r="D164" s="8" t="str">
        <f>IF('Course 3'!$H162='tab3'!D$3,'Course 3'!$I162," ")</f>
        <v xml:space="preserve"> </v>
      </c>
      <c r="E164" s="8" t="str">
        <f>IF('Course 3'!$H162='tab3'!E$3,'Course 3'!$I162," ")</f>
        <v xml:space="preserve"> </v>
      </c>
      <c r="F164" s="8" t="str">
        <f>IF('Course 3'!$H162='tab3'!F$3,'Course 3'!$I162," ")</f>
        <v xml:space="preserve"> </v>
      </c>
      <c r="G164" s="8" t="str">
        <f>IF('Course 3'!$H162='tab3'!G$3,'Course 3'!$I162," ")</f>
        <v xml:space="preserve"> </v>
      </c>
      <c r="H164" s="8" t="str">
        <f>IF('Course 3'!$H162='tab3'!H$3,'Course 3'!$I162," ")</f>
        <v xml:space="preserve"> </v>
      </c>
      <c r="I164" s="8" t="str">
        <f>IF('Course 3'!$H162='tab3'!I$3,'Course 3'!$I162," ")</f>
        <v xml:space="preserve"> </v>
      </c>
      <c r="J164" s="8" t="str">
        <f>IF('Course 3'!$H162='tab3'!J$3,'Course 3'!$I162," ")</f>
        <v xml:space="preserve"> </v>
      </c>
      <c r="K164" s="8" t="str">
        <f>IF('Course 3'!$H162='tab3'!K$3,'Course 3'!$I162," ")</f>
        <v xml:space="preserve"> </v>
      </c>
      <c r="L164" s="8" t="str">
        <f>IF('Course 3'!$H162='tab3'!L$3,'Course 3'!$I162," ")</f>
        <v xml:space="preserve"> </v>
      </c>
      <c r="M164" s="8" t="str">
        <f>IF('Course 3'!$H162='tab3'!M$3,'Course 3'!$I162," ")</f>
        <v xml:space="preserve"> </v>
      </c>
      <c r="N164" s="9" t="str">
        <f>IF('Course 3'!$H162='tab3'!N$3,'Course 3'!$I162," ")</f>
        <v xml:space="preserve"> </v>
      </c>
    </row>
    <row r="165" spans="2:14">
      <c r="B165">
        <v>161</v>
      </c>
      <c r="C165" s="7" t="str">
        <f>IF('Course 3'!$H163='tab3'!C$3,'Course 3'!$I163," ")</f>
        <v xml:space="preserve"> </v>
      </c>
      <c r="D165" s="8" t="str">
        <f>IF('Course 3'!$H163='tab3'!D$3,'Course 3'!$I163," ")</f>
        <v xml:space="preserve"> </v>
      </c>
      <c r="E165" s="8" t="str">
        <f>IF('Course 3'!$H163='tab3'!E$3,'Course 3'!$I163," ")</f>
        <v xml:space="preserve"> </v>
      </c>
      <c r="F165" s="8" t="str">
        <f>IF('Course 3'!$H163='tab3'!F$3,'Course 3'!$I163," ")</f>
        <v xml:space="preserve"> </v>
      </c>
      <c r="G165" s="8" t="str">
        <f>IF('Course 3'!$H163='tab3'!G$3,'Course 3'!$I163," ")</f>
        <v xml:space="preserve"> </v>
      </c>
      <c r="H165" s="8" t="str">
        <f>IF('Course 3'!$H163='tab3'!H$3,'Course 3'!$I163," ")</f>
        <v xml:space="preserve"> </v>
      </c>
      <c r="I165" s="8" t="str">
        <f>IF('Course 3'!$H163='tab3'!I$3,'Course 3'!$I163," ")</f>
        <v xml:space="preserve"> </v>
      </c>
      <c r="J165" s="8" t="str">
        <f>IF('Course 3'!$H163='tab3'!J$3,'Course 3'!$I163," ")</f>
        <v xml:space="preserve"> </v>
      </c>
      <c r="K165" s="8" t="str">
        <f>IF('Course 3'!$H163='tab3'!K$3,'Course 3'!$I163," ")</f>
        <v xml:space="preserve"> </v>
      </c>
      <c r="L165" s="8" t="str">
        <f>IF('Course 3'!$H163='tab3'!L$3,'Course 3'!$I163," ")</f>
        <v xml:space="preserve"> </v>
      </c>
      <c r="M165" s="8" t="str">
        <f>IF('Course 3'!$H163='tab3'!M$3,'Course 3'!$I163," ")</f>
        <v xml:space="preserve"> </v>
      </c>
      <c r="N165" s="9" t="str">
        <f>IF('Course 3'!$H163='tab3'!N$3,'Course 3'!$I163," ")</f>
        <v xml:space="preserve"> </v>
      </c>
    </row>
    <row r="166" spans="2:14">
      <c r="B166">
        <v>162</v>
      </c>
      <c r="C166" s="7" t="str">
        <f>IF('Course 3'!$H164='tab3'!C$3,'Course 3'!$I164," ")</f>
        <v xml:space="preserve"> </v>
      </c>
      <c r="D166" s="8" t="str">
        <f>IF('Course 3'!$H164='tab3'!D$3,'Course 3'!$I164," ")</f>
        <v xml:space="preserve"> </v>
      </c>
      <c r="E166" s="8" t="str">
        <f>IF('Course 3'!$H164='tab3'!E$3,'Course 3'!$I164," ")</f>
        <v xml:space="preserve"> </v>
      </c>
      <c r="F166" s="8" t="str">
        <f>IF('Course 3'!$H164='tab3'!F$3,'Course 3'!$I164," ")</f>
        <v xml:space="preserve"> </v>
      </c>
      <c r="G166" s="8" t="str">
        <f>IF('Course 3'!$H164='tab3'!G$3,'Course 3'!$I164," ")</f>
        <v xml:space="preserve"> </v>
      </c>
      <c r="H166" s="8" t="str">
        <f>IF('Course 3'!$H164='tab3'!H$3,'Course 3'!$I164," ")</f>
        <v xml:space="preserve"> </v>
      </c>
      <c r="I166" s="8" t="str">
        <f>IF('Course 3'!$H164='tab3'!I$3,'Course 3'!$I164," ")</f>
        <v xml:space="preserve"> </v>
      </c>
      <c r="J166" s="8" t="str">
        <f>IF('Course 3'!$H164='tab3'!J$3,'Course 3'!$I164," ")</f>
        <v xml:space="preserve"> </v>
      </c>
      <c r="K166" s="8" t="str">
        <f>IF('Course 3'!$H164='tab3'!K$3,'Course 3'!$I164," ")</f>
        <v xml:space="preserve"> </v>
      </c>
      <c r="L166" s="8" t="str">
        <f>IF('Course 3'!$H164='tab3'!L$3,'Course 3'!$I164," ")</f>
        <v xml:space="preserve"> </v>
      </c>
      <c r="M166" s="8" t="str">
        <f>IF('Course 3'!$H164='tab3'!M$3,'Course 3'!$I164," ")</f>
        <v xml:space="preserve"> </v>
      </c>
      <c r="N166" s="9" t="str">
        <f>IF('Course 3'!$H164='tab3'!N$3,'Course 3'!$I164," ")</f>
        <v xml:space="preserve"> </v>
      </c>
    </row>
    <row r="167" spans="2:14">
      <c r="B167">
        <v>163</v>
      </c>
      <c r="C167" s="7" t="str">
        <f>IF('Course 3'!$H165='tab3'!C$3,'Course 3'!$I165," ")</f>
        <v xml:space="preserve"> </v>
      </c>
      <c r="D167" s="8" t="str">
        <f>IF('Course 3'!$H165='tab3'!D$3,'Course 3'!$I165," ")</f>
        <v xml:space="preserve"> </v>
      </c>
      <c r="E167" s="8" t="str">
        <f>IF('Course 3'!$H165='tab3'!E$3,'Course 3'!$I165," ")</f>
        <v xml:space="preserve"> </v>
      </c>
      <c r="F167" s="8" t="str">
        <f>IF('Course 3'!$H165='tab3'!F$3,'Course 3'!$I165," ")</f>
        <v xml:space="preserve"> </v>
      </c>
      <c r="G167" s="8" t="str">
        <f>IF('Course 3'!$H165='tab3'!G$3,'Course 3'!$I165," ")</f>
        <v xml:space="preserve"> </v>
      </c>
      <c r="H167" s="8" t="str">
        <f>IF('Course 3'!$H165='tab3'!H$3,'Course 3'!$I165," ")</f>
        <v xml:space="preserve"> </v>
      </c>
      <c r="I167" s="8" t="str">
        <f>IF('Course 3'!$H165='tab3'!I$3,'Course 3'!$I165," ")</f>
        <v xml:space="preserve"> </v>
      </c>
      <c r="J167" s="8" t="str">
        <f>IF('Course 3'!$H165='tab3'!J$3,'Course 3'!$I165," ")</f>
        <v xml:space="preserve"> </v>
      </c>
      <c r="K167" s="8" t="str">
        <f>IF('Course 3'!$H165='tab3'!K$3,'Course 3'!$I165," ")</f>
        <v xml:space="preserve"> </v>
      </c>
      <c r="L167" s="8" t="str">
        <f>IF('Course 3'!$H165='tab3'!L$3,'Course 3'!$I165," ")</f>
        <v xml:space="preserve"> </v>
      </c>
      <c r="M167" s="8" t="str">
        <f>IF('Course 3'!$H165='tab3'!M$3,'Course 3'!$I165," ")</f>
        <v xml:space="preserve"> </v>
      </c>
      <c r="N167" s="9" t="str">
        <f>IF('Course 3'!$H165='tab3'!N$3,'Course 3'!$I165," ")</f>
        <v xml:space="preserve"> </v>
      </c>
    </row>
    <row r="168" spans="2:14">
      <c r="B168">
        <v>164</v>
      </c>
      <c r="C168" s="7" t="str">
        <f>IF('Course 3'!$H166='tab3'!C$3,'Course 3'!$I166," ")</f>
        <v xml:space="preserve"> </v>
      </c>
      <c r="D168" s="8" t="str">
        <f>IF('Course 3'!$H166='tab3'!D$3,'Course 3'!$I166," ")</f>
        <v xml:space="preserve"> </v>
      </c>
      <c r="E168" s="8" t="str">
        <f>IF('Course 3'!$H166='tab3'!E$3,'Course 3'!$I166," ")</f>
        <v xml:space="preserve"> </v>
      </c>
      <c r="F168" s="8" t="str">
        <f>IF('Course 3'!$H166='tab3'!F$3,'Course 3'!$I166," ")</f>
        <v xml:space="preserve"> </v>
      </c>
      <c r="G168" s="8" t="str">
        <f>IF('Course 3'!$H166='tab3'!G$3,'Course 3'!$I166," ")</f>
        <v xml:space="preserve"> </v>
      </c>
      <c r="H168" s="8" t="str">
        <f>IF('Course 3'!$H166='tab3'!H$3,'Course 3'!$I166," ")</f>
        <v xml:space="preserve"> </v>
      </c>
      <c r="I168" s="8" t="str">
        <f>IF('Course 3'!$H166='tab3'!I$3,'Course 3'!$I166," ")</f>
        <v xml:space="preserve"> </v>
      </c>
      <c r="J168" s="8" t="str">
        <f>IF('Course 3'!$H166='tab3'!J$3,'Course 3'!$I166," ")</f>
        <v xml:space="preserve"> </v>
      </c>
      <c r="K168" s="8" t="str">
        <f>IF('Course 3'!$H166='tab3'!K$3,'Course 3'!$I166," ")</f>
        <v xml:space="preserve"> </v>
      </c>
      <c r="L168" s="8" t="str">
        <f>IF('Course 3'!$H166='tab3'!L$3,'Course 3'!$I166," ")</f>
        <v xml:space="preserve"> </v>
      </c>
      <c r="M168" s="8" t="str">
        <f>IF('Course 3'!$H166='tab3'!M$3,'Course 3'!$I166," ")</f>
        <v xml:space="preserve"> </v>
      </c>
      <c r="N168" s="9" t="str">
        <f>IF('Course 3'!$H166='tab3'!N$3,'Course 3'!$I166," ")</f>
        <v xml:space="preserve"> </v>
      </c>
    </row>
    <row r="169" spans="2:14">
      <c r="B169">
        <v>165</v>
      </c>
      <c r="C169" s="7" t="str">
        <f>IF('Course 3'!$H167='tab3'!C$3,'Course 3'!$I167," ")</f>
        <v xml:space="preserve"> </v>
      </c>
      <c r="D169" s="8" t="str">
        <f>IF('Course 3'!$H167='tab3'!D$3,'Course 3'!$I167," ")</f>
        <v xml:space="preserve"> </v>
      </c>
      <c r="E169" s="8" t="str">
        <f>IF('Course 3'!$H167='tab3'!E$3,'Course 3'!$I167," ")</f>
        <v xml:space="preserve"> </v>
      </c>
      <c r="F169" s="8" t="str">
        <f>IF('Course 3'!$H167='tab3'!F$3,'Course 3'!$I167," ")</f>
        <v xml:space="preserve"> </v>
      </c>
      <c r="G169" s="8" t="str">
        <f>IF('Course 3'!$H167='tab3'!G$3,'Course 3'!$I167," ")</f>
        <v xml:space="preserve"> </v>
      </c>
      <c r="H169" s="8" t="str">
        <f>IF('Course 3'!$H167='tab3'!H$3,'Course 3'!$I167," ")</f>
        <v xml:space="preserve"> </v>
      </c>
      <c r="I169" s="8" t="str">
        <f>IF('Course 3'!$H167='tab3'!I$3,'Course 3'!$I167," ")</f>
        <v xml:space="preserve"> </v>
      </c>
      <c r="J169" s="8" t="str">
        <f>IF('Course 3'!$H167='tab3'!J$3,'Course 3'!$I167," ")</f>
        <v xml:space="preserve"> </v>
      </c>
      <c r="K169" s="8" t="str">
        <f>IF('Course 3'!$H167='tab3'!K$3,'Course 3'!$I167," ")</f>
        <v xml:space="preserve"> </v>
      </c>
      <c r="L169" s="8" t="str">
        <f>IF('Course 3'!$H167='tab3'!L$3,'Course 3'!$I167," ")</f>
        <v xml:space="preserve"> </v>
      </c>
      <c r="M169" s="8" t="str">
        <f>IF('Course 3'!$H167='tab3'!M$3,'Course 3'!$I167," ")</f>
        <v xml:space="preserve"> </v>
      </c>
      <c r="N169" s="9" t="str">
        <f>IF('Course 3'!$H167='tab3'!N$3,'Course 3'!$I167," ")</f>
        <v xml:space="preserve"> </v>
      </c>
    </row>
    <row r="170" spans="2:14">
      <c r="B170">
        <v>166</v>
      </c>
      <c r="C170" s="7" t="str">
        <f>IF('Course 3'!$H168='tab3'!C$3,'Course 3'!$I168," ")</f>
        <v xml:space="preserve"> </v>
      </c>
      <c r="D170" s="8" t="str">
        <f>IF('Course 3'!$H168='tab3'!D$3,'Course 3'!$I168," ")</f>
        <v xml:space="preserve"> </v>
      </c>
      <c r="E170" s="8" t="str">
        <f>IF('Course 3'!$H168='tab3'!E$3,'Course 3'!$I168," ")</f>
        <v xml:space="preserve"> </v>
      </c>
      <c r="F170" s="8" t="str">
        <f>IF('Course 3'!$H168='tab3'!F$3,'Course 3'!$I168," ")</f>
        <v xml:space="preserve"> </v>
      </c>
      <c r="G170" s="8" t="str">
        <f>IF('Course 3'!$H168='tab3'!G$3,'Course 3'!$I168," ")</f>
        <v xml:space="preserve"> </v>
      </c>
      <c r="H170" s="8" t="str">
        <f>IF('Course 3'!$H168='tab3'!H$3,'Course 3'!$I168," ")</f>
        <v xml:space="preserve"> </v>
      </c>
      <c r="I170" s="8" t="str">
        <f>IF('Course 3'!$H168='tab3'!I$3,'Course 3'!$I168," ")</f>
        <v xml:space="preserve"> </v>
      </c>
      <c r="J170" s="8" t="str">
        <f>IF('Course 3'!$H168='tab3'!J$3,'Course 3'!$I168," ")</f>
        <v xml:space="preserve"> </v>
      </c>
      <c r="K170" s="8" t="str">
        <f>IF('Course 3'!$H168='tab3'!K$3,'Course 3'!$I168," ")</f>
        <v xml:space="preserve"> </v>
      </c>
      <c r="L170" s="8" t="str">
        <f>IF('Course 3'!$H168='tab3'!L$3,'Course 3'!$I168," ")</f>
        <v xml:space="preserve"> </v>
      </c>
      <c r="M170" s="8" t="str">
        <f>IF('Course 3'!$H168='tab3'!M$3,'Course 3'!$I168," ")</f>
        <v xml:space="preserve"> </v>
      </c>
      <c r="N170" s="9" t="str">
        <f>IF('Course 3'!$H168='tab3'!N$3,'Course 3'!$I168," ")</f>
        <v xml:space="preserve"> </v>
      </c>
    </row>
    <row r="171" spans="2:14">
      <c r="B171">
        <v>167</v>
      </c>
      <c r="C171" s="7" t="str">
        <f>IF('Course 3'!$H169='tab3'!C$3,'Course 3'!$I169," ")</f>
        <v xml:space="preserve"> </v>
      </c>
      <c r="D171" s="8" t="str">
        <f>IF('Course 3'!$H169='tab3'!D$3,'Course 3'!$I169," ")</f>
        <v xml:space="preserve"> </v>
      </c>
      <c r="E171" s="8" t="str">
        <f>IF('Course 3'!$H169='tab3'!E$3,'Course 3'!$I169," ")</f>
        <v xml:space="preserve"> </v>
      </c>
      <c r="F171" s="8" t="str">
        <f>IF('Course 3'!$H169='tab3'!F$3,'Course 3'!$I169," ")</f>
        <v xml:space="preserve"> </v>
      </c>
      <c r="G171" s="8" t="str">
        <f>IF('Course 3'!$H169='tab3'!G$3,'Course 3'!$I169," ")</f>
        <v xml:space="preserve"> </v>
      </c>
      <c r="H171" s="8" t="str">
        <f>IF('Course 3'!$H169='tab3'!H$3,'Course 3'!$I169," ")</f>
        <v xml:space="preserve"> </v>
      </c>
      <c r="I171" s="8" t="str">
        <f>IF('Course 3'!$H169='tab3'!I$3,'Course 3'!$I169," ")</f>
        <v xml:space="preserve"> </v>
      </c>
      <c r="J171" s="8" t="str">
        <f>IF('Course 3'!$H169='tab3'!J$3,'Course 3'!$I169," ")</f>
        <v xml:space="preserve"> </v>
      </c>
      <c r="K171" s="8" t="str">
        <f>IF('Course 3'!$H169='tab3'!K$3,'Course 3'!$I169," ")</f>
        <v xml:space="preserve"> </v>
      </c>
      <c r="L171" s="8" t="str">
        <f>IF('Course 3'!$H169='tab3'!L$3,'Course 3'!$I169," ")</f>
        <v xml:space="preserve"> </v>
      </c>
      <c r="M171" s="8" t="str">
        <f>IF('Course 3'!$H169='tab3'!M$3,'Course 3'!$I169," ")</f>
        <v xml:space="preserve"> </v>
      </c>
      <c r="N171" s="9" t="str">
        <f>IF('Course 3'!$H169='tab3'!N$3,'Course 3'!$I169," ")</f>
        <v xml:space="preserve"> </v>
      </c>
    </row>
    <row r="172" spans="2:14">
      <c r="B172">
        <v>168</v>
      </c>
      <c r="C172" s="7" t="str">
        <f>IF('Course 3'!$H170='tab3'!C$3,'Course 3'!$I170," ")</f>
        <v xml:space="preserve"> </v>
      </c>
      <c r="D172" s="8" t="str">
        <f>IF('Course 3'!$H170='tab3'!D$3,'Course 3'!$I170," ")</f>
        <v xml:space="preserve"> </v>
      </c>
      <c r="E172" s="8" t="str">
        <f>IF('Course 3'!$H170='tab3'!E$3,'Course 3'!$I170," ")</f>
        <v xml:space="preserve"> </v>
      </c>
      <c r="F172" s="8" t="str">
        <f>IF('Course 3'!$H170='tab3'!F$3,'Course 3'!$I170," ")</f>
        <v xml:space="preserve"> </v>
      </c>
      <c r="G172" s="8" t="str">
        <f>IF('Course 3'!$H170='tab3'!G$3,'Course 3'!$I170," ")</f>
        <v xml:space="preserve"> </v>
      </c>
      <c r="H172" s="8" t="str">
        <f>IF('Course 3'!$H170='tab3'!H$3,'Course 3'!$I170," ")</f>
        <v xml:space="preserve"> </v>
      </c>
      <c r="I172" s="8" t="str">
        <f>IF('Course 3'!$H170='tab3'!I$3,'Course 3'!$I170," ")</f>
        <v xml:space="preserve"> </v>
      </c>
      <c r="J172" s="8" t="str">
        <f>IF('Course 3'!$H170='tab3'!J$3,'Course 3'!$I170," ")</f>
        <v xml:space="preserve"> </v>
      </c>
      <c r="K172" s="8" t="str">
        <f>IF('Course 3'!$H170='tab3'!K$3,'Course 3'!$I170," ")</f>
        <v xml:space="preserve"> </v>
      </c>
      <c r="L172" s="8" t="str">
        <f>IF('Course 3'!$H170='tab3'!L$3,'Course 3'!$I170," ")</f>
        <v xml:space="preserve"> </v>
      </c>
      <c r="M172" s="8" t="str">
        <f>IF('Course 3'!$H170='tab3'!M$3,'Course 3'!$I170," ")</f>
        <v xml:space="preserve"> </v>
      </c>
      <c r="N172" s="9" t="str">
        <f>IF('Course 3'!$H170='tab3'!N$3,'Course 3'!$I170," ")</f>
        <v xml:space="preserve"> </v>
      </c>
    </row>
    <row r="173" spans="2:14">
      <c r="B173">
        <v>169</v>
      </c>
      <c r="C173" s="7" t="str">
        <f>IF('Course 3'!$H171='tab3'!C$3,'Course 3'!$I171," ")</f>
        <v xml:space="preserve"> </v>
      </c>
      <c r="D173" s="8" t="str">
        <f>IF('Course 3'!$H171='tab3'!D$3,'Course 3'!$I171," ")</f>
        <v xml:space="preserve"> </v>
      </c>
      <c r="E173" s="8" t="str">
        <f>IF('Course 3'!$H171='tab3'!E$3,'Course 3'!$I171," ")</f>
        <v xml:space="preserve"> </v>
      </c>
      <c r="F173" s="8" t="str">
        <f>IF('Course 3'!$H171='tab3'!F$3,'Course 3'!$I171," ")</f>
        <v xml:space="preserve"> </v>
      </c>
      <c r="G173" s="8" t="str">
        <f>IF('Course 3'!$H171='tab3'!G$3,'Course 3'!$I171," ")</f>
        <v xml:space="preserve"> </v>
      </c>
      <c r="H173" s="8" t="str">
        <f>IF('Course 3'!$H171='tab3'!H$3,'Course 3'!$I171," ")</f>
        <v xml:space="preserve"> </v>
      </c>
      <c r="I173" s="8" t="str">
        <f>IF('Course 3'!$H171='tab3'!I$3,'Course 3'!$I171," ")</f>
        <v xml:space="preserve"> </v>
      </c>
      <c r="J173" s="8" t="str">
        <f>IF('Course 3'!$H171='tab3'!J$3,'Course 3'!$I171," ")</f>
        <v xml:space="preserve"> </v>
      </c>
      <c r="K173" s="8" t="str">
        <f>IF('Course 3'!$H171='tab3'!K$3,'Course 3'!$I171," ")</f>
        <v xml:space="preserve"> </v>
      </c>
      <c r="L173" s="8" t="str">
        <f>IF('Course 3'!$H171='tab3'!L$3,'Course 3'!$I171," ")</f>
        <v xml:space="preserve"> </v>
      </c>
      <c r="M173" s="8" t="str">
        <f>IF('Course 3'!$H171='tab3'!M$3,'Course 3'!$I171," ")</f>
        <v xml:space="preserve"> </v>
      </c>
      <c r="N173" s="9" t="str">
        <f>IF('Course 3'!$H171='tab3'!N$3,'Course 3'!$I171," ")</f>
        <v xml:space="preserve"> </v>
      </c>
    </row>
    <row r="174" spans="2:14">
      <c r="B174">
        <v>170</v>
      </c>
      <c r="C174" s="7" t="str">
        <f>IF('Course 3'!$H172='tab3'!C$3,'Course 3'!$I172," ")</f>
        <v xml:space="preserve"> </v>
      </c>
      <c r="D174" s="8" t="str">
        <f>IF('Course 3'!$H172='tab3'!D$3,'Course 3'!$I172," ")</f>
        <v xml:space="preserve"> </v>
      </c>
      <c r="E174" s="8" t="str">
        <f>IF('Course 3'!$H172='tab3'!E$3,'Course 3'!$I172," ")</f>
        <v xml:space="preserve"> </v>
      </c>
      <c r="F174" s="8" t="str">
        <f>IF('Course 3'!$H172='tab3'!F$3,'Course 3'!$I172," ")</f>
        <v xml:space="preserve"> </v>
      </c>
      <c r="G174" s="8" t="str">
        <f>IF('Course 3'!$H172='tab3'!G$3,'Course 3'!$I172," ")</f>
        <v xml:space="preserve"> </v>
      </c>
      <c r="H174" s="8" t="str">
        <f>IF('Course 3'!$H172='tab3'!H$3,'Course 3'!$I172," ")</f>
        <v xml:space="preserve"> </v>
      </c>
      <c r="I174" s="8" t="str">
        <f>IF('Course 3'!$H172='tab3'!I$3,'Course 3'!$I172," ")</f>
        <v xml:space="preserve"> </v>
      </c>
      <c r="J174" s="8" t="str">
        <f>IF('Course 3'!$H172='tab3'!J$3,'Course 3'!$I172," ")</f>
        <v xml:space="preserve"> </v>
      </c>
      <c r="K174" s="8" t="str">
        <f>IF('Course 3'!$H172='tab3'!K$3,'Course 3'!$I172," ")</f>
        <v xml:space="preserve"> </v>
      </c>
      <c r="L174" s="8" t="str">
        <f>IF('Course 3'!$H172='tab3'!L$3,'Course 3'!$I172," ")</f>
        <v xml:space="preserve"> </v>
      </c>
      <c r="M174" s="8" t="str">
        <f>IF('Course 3'!$H172='tab3'!M$3,'Course 3'!$I172," ")</f>
        <v xml:space="preserve"> </v>
      </c>
      <c r="N174" s="9" t="str">
        <f>IF('Course 3'!$H172='tab3'!N$3,'Course 3'!$I172," ")</f>
        <v xml:space="preserve"> </v>
      </c>
    </row>
    <row r="175" spans="2:14">
      <c r="B175">
        <v>171</v>
      </c>
      <c r="C175" s="7" t="str">
        <f>IF('Course 3'!$H173='tab3'!C$3,'Course 3'!$I173," ")</f>
        <v xml:space="preserve"> </v>
      </c>
      <c r="D175" s="8" t="str">
        <f>IF('Course 3'!$H173='tab3'!D$3,'Course 3'!$I173," ")</f>
        <v xml:space="preserve"> </v>
      </c>
      <c r="E175" s="8" t="str">
        <f>IF('Course 3'!$H173='tab3'!E$3,'Course 3'!$I173," ")</f>
        <v xml:space="preserve"> </v>
      </c>
      <c r="F175" s="8" t="str">
        <f>IF('Course 3'!$H173='tab3'!F$3,'Course 3'!$I173," ")</f>
        <v xml:space="preserve"> </v>
      </c>
      <c r="G175" s="8" t="str">
        <f>IF('Course 3'!$H173='tab3'!G$3,'Course 3'!$I173," ")</f>
        <v xml:space="preserve"> </v>
      </c>
      <c r="H175" s="8" t="str">
        <f>IF('Course 3'!$H173='tab3'!H$3,'Course 3'!$I173," ")</f>
        <v xml:space="preserve"> </v>
      </c>
      <c r="I175" s="8" t="str">
        <f>IF('Course 3'!$H173='tab3'!I$3,'Course 3'!$I173," ")</f>
        <v xml:space="preserve"> </v>
      </c>
      <c r="J175" s="8" t="str">
        <f>IF('Course 3'!$H173='tab3'!J$3,'Course 3'!$I173," ")</f>
        <v xml:space="preserve"> </v>
      </c>
      <c r="K175" s="8" t="str">
        <f>IF('Course 3'!$H173='tab3'!K$3,'Course 3'!$I173," ")</f>
        <v xml:space="preserve"> </v>
      </c>
      <c r="L175" s="8" t="str">
        <f>IF('Course 3'!$H173='tab3'!L$3,'Course 3'!$I173," ")</f>
        <v xml:space="preserve"> </v>
      </c>
      <c r="M175" s="8" t="str">
        <f>IF('Course 3'!$H173='tab3'!M$3,'Course 3'!$I173," ")</f>
        <v xml:space="preserve"> </v>
      </c>
      <c r="N175" s="9" t="str">
        <f>IF('Course 3'!$H173='tab3'!N$3,'Course 3'!$I173," ")</f>
        <v xml:space="preserve"> </v>
      </c>
    </row>
    <row r="176" spans="2:14">
      <c r="B176">
        <v>172</v>
      </c>
      <c r="C176" s="7" t="str">
        <f>IF('Course 3'!$H174='tab3'!C$3,'Course 3'!$I174," ")</f>
        <v xml:space="preserve"> </v>
      </c>
      <c r="D176" s="8" t="str">
        <f>IF('Course 3'!$H174='tab3'!D$3,'Course 3'!$I174," ")</f>
        <v xml:space="preserve"> </v>
      </c>
      <c r="E176" s="8" t="str">
        <f>IF('Course 3'!$H174='tab3'!E$3,'Course 3'!$I174," ")</f>
        <v xml:space="preserve"> </v>
      </c>
      <c r="F176" s="8" t="str">
        <f>IF('Course 3'!$H174='tab3'!F$3,'Course 3'!$I174," ")</f>
        <v xml:space="preserve"> </v>
      </c>
      <c r="G176" s="8" t="str">
        <f>IF('Course 3'!$H174='tab3'!G$3,'Course 3'!$I174," ")</f>
        <v xml:space="preserve"> </v>
      </c>
      <c r="H176" s="8" t="str">
        <f>IF('Course 3'!$H174='tab3'!H$3,'Course 3'!$I174," ")</f>
        <v xml:space="preserve"> </v>
      </c>
      <c r="I176" s="8" t="str">
        <f>IF('Course 3'!$H174='tab3'!I$3,'Course 3'!$I174," ")</f>
        <v xml:space="preserve"> </v>
      </c>
      <c r="J176" s="8" t="str">
        <f>IF('Course 3'!$H174='tab3'!J$3,'Course 3'!$I174," ")</f>
        <v xml:space="preserve"> </v>
      </c>
      <c r="K176" s="8" t="str">
        <f>IF('Course 3'!$H174='tab3'!K$3,'Course 3'!$I174," ")</f>
        <v xml:space="preserve"> </v>
      </c>
      <c r="L176" s="8" t="str">
        <f>IF('Course 3'!$H174='tab3'!L$3,'Course 3'!$I174," ")</f>
        <v xml:space="preserve"> </v>
      </c>
      <c r="M176" s="8" t="str">
        <f>IF('Course 3'!$H174='tab3'!M$3,'Course 3'!$I174," ")</f>
        <v xml:space="preserve"> </v>
      </c>
      <c r="N176" s="9" t="str">
        <f>IF('Course 3'!$H174='tab3'!N$3,'Course 3'!$I174," ")</f>
        <v xml:space="preserve"> </v>
      </c>
    </row>
    <row r="177" spans="2:14">
      <c r="B177">
        <v>173</v>
      </c>
      <c r="C177" s="7" t="str">
        <f>IF('Course 3'!$H175='tab3'!C$3,'Course 3'!$I175," ")</f>
        <v xml:space="preserve"> </v>
      </c>
      <c r="D177" s="8" t="str">
        <f>IF('Course 3'!$H175='tab3'!D$3,'Course 3'!$I175," ")</f>
        <v xml:space="preserve"> </v>
      </c>
      <c r="E177" s="8" t="str">
        <f>IF('Course 3'!$H175='tab3'!E$3,'Course 3'!$I175," ")</f>
        <v xml:space="preserve"> </v>
      </c>
      <c r="F177" s="8" t="str">
        <f>IF('Course 3'!$H175='tab3'!F$3,'Course 3'!$I175," ")</f>
        <v xml:space="preserve"> </v>
      </c>
      <c r="G177" s="8" t="str">
        <f>IF('Course 3'!$H175='tab3'!G$3,'Course 3'!$I175," ")</f>
        <v xml:space="preserve"> </v>
      </c>
      <c r="H177" s="8" t="str">
        <f>IF('Course 3'!$H175='tab3'!H$3,'Course 3'!$I175," ")</f>
        <v xml:space="preserve"> </v>
      </c>
      <c r="I177" s="8" t="str">
        <f>IF('Course 3'!$H175='tab3'!I$3,'Course 3'!$I175," ")</f>
        <v xml:space="preserve"> </v>
      </c>
      <c r="J177" s="8" t="str">
        <f>IF('Course 3'!$H175='tab3'!J$3,'Course 3'!$I175," ")</f>
        <v xml:space="preserve"> </v>
      </c>
      <c r="K177" s="8" t="str">
        <f>IF('Course 3'!$H175='tab3'!K$3,'Course 3'!$I175," ")</f>
        <v xml:space="preserve"> </v>
      </c>
      <c r="L177" s="8" t="str">
        <f>IF('Course 3'!$H175='tab3'!L$3,'Course 3'!$I175," ")</f>
        <v xml:space="preserve"> </v>
      </c>
      <c r="M177" s="8" t="str">
        <f>IF('Course 3'!$H175='tab3'!M$3,'Course 3'!$I175," ")</f>
        <v xml:space="preserve"> </v>
      </c>
      <c r="N177" s="9" t="str">
        <f>IF('Course 3'!$H175='tab3'!N$3,'Course 3'!$I175," ")</f>
        <v xml:space="preserve"> </v>
      </c>
    </row>
    <row r="178" spans="2:14">
      <c r="B178">
        <v>174</v>
      </c>
      <c r="C178" s="7" t="str">
        <f>IF('Course 3'!$H176='tab3'!C$3,'Course 3'!$I176," ")</f>
        <v xml:space="preserve"> </v>
      </c>
      <c r="D178" s="8" t="str">
        <f>IF('Course 3'!$H176='tab3'!D$3,'Course 3'!$I176," ")</f>
        <v xml:space="preserve"> </v>
      </c>
      <c r="E178" s="8" t="str">
        <f>IF('Course 3'!$H176='tab3'!E$3,'Course 3'!$I176," ")</f>
        <v xml:space="preserve"> </v>
      </c>
      <c r="F178" s="8" t="str">
        <f>IF('Course 3'!$H176='tab3'!F$3,'Course 3'!$I176," ")</f>
        <v xml:space="preserve"> </v>
      </c>
      <c r="G178" s="8" t="str">
        <f>IF('Course 3'!$H176='tab3'!G$3,'Course 3'!$I176," ")</f>
        <v xml:space="preserve"> </v>
      </c>
      <c r="H178" s="8" t="str">
        <f>IF('Course 3'!$H176='tab3'!H$3,'Course 3'!$I176," ")</f>
        <v xml:space="preserve"> </v>
      </c>
      <c r="I178" s="8" t="str">
        <f>IF('Course 3'!$H176='tab3'!I$3,'Course 3'!$I176," ")</f>
        <v xml:space="preserve"> </v>
      </c>
      <c r="J178" s="8" t="str">
        <f>IF('Course 3'!$H176='tab3'!J$3,'Course 3'!$I176," ")</f>
        <v xml:space="preserve"> </v>
      </c>
      <c r="K178" s="8" t="str">
        <f>IF('Course 3'!$H176='tab3'!K$3,'Course 3'!$I176," ")</f>
        <v xml:space="preserve"> </v>
      </c>
      <c r="L178" s="8" t="str">
        <f>IF('Course 3'!$H176='tab3'!L$3,'Course 3'!$I176," ")</f>
        <v xml:space="preserve"> </v>
      </c>
      <c r="M178" s="8" t="str">
        <f>IF('Course 3'!$H176='tab3'!M$3,'Course 3'!$I176," ")</f>
        <v xml:space="preserve"> </v>
      </c>
      <c r="N178" s="9" t="str">
        <f>IF('Course 3'!$H176='tab3'!N$3,'Course 3'!$I176," ")</f>
        <v xml:space="preserve"> </v>
      </c>
    </row>
    <row r="179" spans="2:14">
      <c r="B179">
        <v>175</v>
      </c>
      <c r="C179" s="7" t="str">
        <f>IF('Course 3'!$H177='tab3'!C$3,'Course 3'!$I177," ")</f>
        <v xml:space="preserve"> </v>
      </c>
      <c r="D179" s="8" t="str">
        <f>IF('Course 3'!$H177='tab3'!D$3,'Course 3'!$I177," ")</f>
        <v xml:space="preserve"> </v>
      </c>
      <c r="E179" s="8" t="str">
        <f>IF('Course 3'!$H177='tab3'!E$3,'Course 3'!$I177," ")</f>
        <v xml:space="preserve"> </v>
      </c>
      <c r="F179" s="8" t="str">
        <f>IF('Course 3'!$H177='tab3'!F$3,'Course 3'!$I177," ")</f>
        <v xml:space="preserve"> </v>
      </c>
      <c r="G179" s="8" t="str">
        <f>IF('Course 3'!$H177='tab3'!G$3,'Course 3'!$I177," ")</f>
        <v xml:space="preserve"> </v>
      </c>
      <c r="H179" s="8" t="str">
        <f>IF('Course 3'!$H177='tab3'!H$3,'Course 3'!$I177," ")</f>
        <v xml:space="preserve"> </v>
      </c>
      <c r="I179" s="8" t="str">
        <f>IF('Course 3'!$H177='tab3'!I$3,'Course 3'!$I177," ")</f>
        <v xml:space="preserve"> </v>
      </c>
      <c r="J179" s="8" t="str">
        <f>IF('Course 3'!$H177='tab3'!J$3,'Course 3'!$I177," ")</f>
        <v xml:space="preserve"> </v>
      </c>
      <c r="K179" s="8" t="str">
        <f>IF('Course 3'!$H177='tab3'!K$3,'Course 3'!$I177," ")</f>
        <v xml:space="preserve"> </v>
      </c>
      <c r="L179" s="8" t="str">
        <f>IF('Course 3'!$H177='tab3'!L$3,'Course 3'!$I177," ")</f>
        <v xml:space="preserve"> </v>
      </c>
      <c r="M179" s="8" t="str">
        <f>IF('Course 3'!$H177='tab3'!M$3,'Course 3'!$I177," ")</f>
        <v xml:space="preserve"> </v>
      </c>
      <c r="N179" s="9" t="str">
        <f>IF('Course 3'!$H177='tab3'!N$3,'Course 3'!$I177," ")</f>
        <v xml:space="preserve"> </v>
      </c>
    </row>
    <row r="180" spans="2:14">
      <c r="B180">
        <v>176</v>
      </c>
      <c r="C180" s="7" t="str">
        <f>IF('Course 3'!$H178='tab3'!C$3,'Course 3'!$I178," ")</f>
        <v xml:space="preserve"> </v>
      </c>
      <c r="D180" s="8" t="str">
        <f>IF('Course 3'!$H178='tab3'!D$3,'Course 3'!$I178," ")</f>
        <v xml:space="preserve"> </v>
      </c>
      <c r="E180" s="8" t="str">
        <f>IF('Course 3'!$H178='tab3'!E$3,'Course 3'!$I178," ")</f>
        <v xml:space="preserve"> </v>
      </c>
      <c r="F180" s="8" t="str">
        <f>IF('Course 3'!$H178='tab3'!F$3,'Course 3'!$I178," ")</f>
        <v xml:space="preserve"> </v>
      </c>
      <c r="G180" s="8" t="str">
        <f>IF('Course 3'!$H178='tab3'!G$3,'Course 3'!$I178," ")</f>
        <v xml:space="preserve"> </v>
      </c>
      <c r="H180" s="8" t="str">
        <f>IF('Course 3'!$H178='tab3'!H$3,'Course 3'!$I178," ")</f>
        <v xml:space="preserve"> </v>
      </c>
      <c r="I180" s="8" t="str">
        <f>IF('Course 3'!$H178='tab3'!I$3,'Course 3'!$I178," ")</f>
        <v xml:space="preserve"> </v>
      </c>
      <c r="J180" s="8" t="str">
        <f>IF('Course 3'!$H178='tab3'!J$3,'Course 3'!$I178," ")</f>
        <v xml:space="preserve"> </v>
      </c>
      <c r="K180" s="8" t="str">
        <f>IF('Course 3'!$H178='tab3'!K$3,'Course 3'!$I178," ")</f>
        <v xml:space="preserve"> </v>
      </c>
      <c r="L180" s="8" t="str">
        <f>IF('Course 3'!$H178='tab3'!L$3,'Course 3'!$I178," ")</f>
        <v xml:space="preserve"> </v>
      </c>
      <c r="M180" s="8" t="str">
        <f>IF('Course 3'!$H178='tab3'!M$3,'Course 3'!$I178," ")</f>
        <v xml:space="preserve"> </v>
      </c>
      <c r="N180" s="9" t="str">
        <f>IF('Course 3'!$H178='tab3'!N$3,'Course 3'!$I178," ")</f>
        <v xml:space="preserve"> </v>
      </c>
    </row>
    <row r="181" spans="2:14">
      <c r="B181">
        <v>177</v>
      </c>
      <c r="C181" s="7" t="str">
        <f>IF('Course 3'!$H179='tab3'!C$3,'Course 3'!$I179," ")</f>
        <v xml:space="preserve"> </v>
      </c>
      <c r="D181" s="8" t="str">
        <f>IF('Course 3'!$H179='tab3'!D$3,'Course 3'!$I179," ")</f>
        <v xml:space="preserve"> </v>
      </c>
      <c r="E181" s="8" t="str">
        <f>IF('Course 3'!$H179='tab3'!E$3,'Course 3'!$I179," ")</f>
        <v xml:space="preserve"> </v>
      </c>
      <c r="F181" s="8" t="str">
        <f>IF('Course 3'!$H179='tab3'!F$3,'Course 3'!$I179," ")</f>
        <v xml:space="preserve"> </v>
      </c>
      <c r="G181" s="8" t="str">
        <f>IF('Course 3'!$H179='tab3'!G$3,'Course 3'!$I179," ")</f>
        <v xml:space="preserve"> </v>
      </c>
      <c r="H181" s="8" t="str">
        <f>IF('Course 3'!$H179='tab3'!H$3,'Course 3'!$I179," ")</f>
        <v xml:space="preserve"> </v>
      </c>
      <c r="I181" s="8" t="str">
        <f>IF('Course 3'!$H179='tab3'!I$3,'Course 3'!$I179," ")</f>
        <v xml:space="preserve"> </v>
      </c>
      <c r="J181" s="8" t="str">
        <f>IF('Course 3'!$H179='tab3'!J$3,'Course 3'!$I179," ")</f>
        <v xml:space="preserve"> </v>
      </c>
      <c r="K181" s="8" t="str">
        <f>IF('Course 3'!$H179='tab3'!K$3,'Course 3'!$I179," ")</f>
        <v xml:space="preserve"> </v>
      </c>
      <c r="L181" s="8" t="str">
        <f>IF('Course 3'!$H179='tab3'!L$3,'Course 3'!$I179," ")</f>
        <v xml:space="preserve"> </v>
      </c>
      <c r="M181" s="8" t="str">
        <f>IF('Course 3'!$H179='tab3'!M$3,'Course 3'!$I179," ")</f>
        <v xml:space="preserve"> </v>
      </c>
      <c r="N181" s="9" t="str">
        <f>IF('Course 3'!$H179='tab3'!N$3,'Course 3'!$I179," ")</f>
        <v xml:space="preserve"> </v>
      </c>
    </row>
    <row r="182" spans="2:14">
      <c r="B182">
        <v>178</v>
      </c>
      <c r="C182" s="7" t="str">
        <f>IF('Course 3'!$H180='tab3'!C$3,'Course 3'!$I180," ")</f>
        <v xml:space="preserve"> </v>
      </c>
      <c r="D182" s="8" t="str">
        <f>IF('Course 3'!$H180='tab3'!D$3,'Course 3'!$I180," ")</f>
        <v xml:space="preserve"> </v>
      </c>
      <c r="E182" s="8" t="str">
        <f>IF('Course 3'!$H180='tab3'!E$3,'Course 3'!$I180," ")</f>
        <v xml:space="preserve"> </v>
      </c>
      <c r="F182" s="8" t="str">
        <f>IF('Course 3'!$H180='tab3'!F$3,'Course 3'!$I180," ")</f>
        <v xml:space="preserve"> </v>
      </c>
      <c r="G182" s="8" t="str">
        <f>IF('Course 3'!$H180='tab3'!G$3,'Course 3'!$I180," ")</f>
        <v xml:space="preserve"> </v>
      </c>
      <c r="H182" s="8" t="str">
        <f>IF('Course 3'!$H180='tab3'!H$3,'Course 3'!$I180," ")</f>
        <v xml:space="preserve"> </v>
      </c>
      <c r="I182" s="8" t="str">
        <f>IF('Course 3'!$H180='tab3'!I$3,'Course 3'!$I180," ")</f>
        <v xml:space="preserve"> </v>
      </c>
      <c r="J182" s="8" t="str">
        <f>IF('Course 3'!$H180='tab3'!J$3,'Course 3'!$I180," ")</f>
        <v xml:space="preserve"> </v>
      </c>
      <c r="K182" s="8" t="str">
        <f>IF('Course 3'!$H180='tab3'!K$3,'Course 3'!$I180," ")</f>
        <v xml:space="preserve"> </v>
      </c>
      <c r="L182" s="8" t="str">
        <f>IF('Course 3'!$H180='tab3'!L$3,'Course 3'!$I180," ")</f>
        <v xml:space="preserve"> </v>
      </c>
      <c r="M182" s="8" t="str">
        <f>IF('Course 3'!$H180='tab3'!M$3,'Course 3'!$I180," ")</f>
        <v xml:space="preserve"> </v>
      </c>
      <c r="N182" s="9" t="str">
        <f>IF('Course 3'!$H180='tab3'!N$3,'Course 3'!$I180," ")</f>
        <v xml:space="preserve"> </v>
      </c>
    </row>
    <row r="183" spans="2:14">
      <c r="B183">
        <v>179</v>
      </c>
      <c r="C183" s="7" t="str">
        <f>IF('Course 3'!$H181='tab3'!C$3,'Course 3'!$I181," ")</f>
        <v xml:space="preserve"> </v>
      </c>
      <c r="D183" s="8" t="str">
        <f>IF('Course 3'!$H181='tab3'!D$3,'Course 3'!$I181," ")</f>
        <v xml:space="preserve"> </v>
      </c>
      <c r="E183" s="8" t="str">
        <f>IF('Course 3'!$H181='tab3'!E$3,'Course 3'!$I181," ")</f>
        <v xml:space="preserve"> </v>
      </c>
      <c r="F183" s="8" t="str">
        <f>IF('Course 3'!$H181='tab3'!F$3,'Course 3'!$I181," ")</f>
        <v xml:space="preserve"> </v>
      </c>
      <c r="G183" s="8" t="str">
        <f>IF('Course 3'!$H181='tab3'!G$3,'Course 3'!$I181," ")</f>
        <v xml:space="preserve"> </v>
      </c>
      <c r="H183" s="8" t="str">
        <f>IF('Course 3'!$H181='tab3'!H$3,'Course 3'!$I181," ")</f>
        <v xml:space="preserve"> </v>
      </c>
      <c r="I183" s="8" t="str">
        <f>IF('Course 3'!$H181='tab3'!I$3,'Course 3'!$I181," ")</f>
        <v xml:space="preserve"> </v>
      </c>
      <c r="J183" s="8" t="str">
        <f>IF('Course 3'!$H181='tab3'!J$3,'Course 3'!$I181," ")</f>
        <v xml:space="preserve"> </v>
      </c>
      <c r="K183" s="8" t="str">
        <f>IF('Course 3'!$H181='tab3'!K$3,'Course 3'!$I181," ")</f>
        <v xml:space="preserve"> </v>
      </c>
      <c r="L183" s="8" t="str">
        <f>IF('Course 3'!$H181='tab3'!L$3,'Course 3'!$I181," ")</f>
        <v xml:space="preserve"> </v>
      </c>
      <c r="M183" s="8" t="str">
        <f>IF('Course 3'!$H181='tab3'!M$3,'Course 3'!$I181," ")</f>
        <v xml:space="preserve"> </v>
      </c>
      <c r="N183" s="9" t="str">
        <f>IF('Course 3'!$H181='tab3'!N$3,'Course 3'!$I181," ")</f>
        <v xml:space="preserve"> </v>
      </c>
    </row>
    <row r="184" spans="2:14">
      <c r="B184">
        <v>180</v>
      </c>
      <c r="C184" s="7" t="str">
        <f>IF('Course 3'!$H182='tab3'!C$3,'Course 3'!$I182," ")</f>
        <v xml:space="preserve"> </v>
      </c>
      <c r="D184" s="8" t="str">
        <f>IF('Course 3'!$H182='tab3'!D$3,'Course 3'!$I182," ")</f>
        <v xml:space="preserve"> </v>
      </c>
      <c r="E184" s="8" t="str">
        <f>IF('Course 3'!$H182='tab3'!E$3,'Course 3'!$I182," ")</f>
        <v xml:space="preserve"> </v>
      </c>
      <c r="F184" s="8" t="str">
        <f>IF('Course 3'!$H182='tab3'!F$3,'Course 3'!$I182," ")</f>
        <v xml:space="preserve"> </v>
      </c>
      <c r="G184" s="8" t="str">
        <f>IF('Course 3'!$H182='tab3'!G$3,'Course 3'!$I182," ")</f>
        <v xml:space="preserve"> </v>
      </c>
      <c r="H184" s="8" t="str">
        <f>IF('Course 3'!$H182='tab3'!H$3,'Course 3'!$I182," ")</f>
        <v xml:space="preserve"> </v>
      </c>
      <c r="I184" s="8" t="str">
        <f>IF('Course 3'!$H182='tab3'!I$3,'Course 3'!$I182," ")</f>
        <v xml:space="preserve"> </v>
      </c>
      <c r="J184" s="8" t="str">
        <f>IF('Course 3'!$H182='tab3'!J$3,'Course 3'!$I182," ")</f>
        <v xml:space="preserve"> </v>
      </c>
      <c r="K184" s="8" t="str">
        <f>IF('Course 3'!$H182='tab3'!K$3,'Course 3'!$I182," ")</f>
        <v xml:space="preserve"> </v>
      </c>
      <c r="L184" s="8" t="str">
        <f>IF('Course 3'!$H182='tab3'!L$3,'Course 3'!$I182," ")</f>
        <v xml:space="preserve"> </v>
      </c>
      <c r="M184" s="8" t="str">
        <f>IF('Course 3'!$H182='tab3'!M$3,'Course 3'!$I182," ")</f>
        <v xml:space="preserve"> </v>
      </c>
      <c r="N184" s="9" t="str">
        <f>IF('Course 3'!$H182='tab3'!N$3,'Course 3'!$I182," ")</f>
        <v xml:space="preserve"> </v>
      </c>
    </row>
    <row r="185" spans="2:14">
      <c r="B185">
        <v>181</v>
      </c>
      <c r="C185" s="7" t="str">
        <f>IF('Course 3'!$H183='tab3'!C$3,'Course 3'!$I183," ")</f>
        <v xml:space="preserve"> </v>
      </c>
      <c r="D185" s="8" t="str">
        <f>IF('Course 3'!$H183='tab3'!D$3,'Course 3'!$I183," ")</f>
        <v xml:space="preserve"> </v>
      </c>
      <c r="E185" s="8" t="str">
        <f>IF('Course 3'!$H183='tab3'!E$3,'Course 3'!$I183," ")</f>
        <v xml:space="preserve"> </v>
      </c>
      <c r="F185" s="8" t="str">
        <f>IF('Course 3'!$H183='tab3'!F$3,'Course 3'!$I183," ")</f>
        <v xml:space="preserve"> </v>
      </c>
      <c r="G185" s="8" t="str">
        <f>IF('Course 3'!$H183='tab3'!G$3,'Course 3'!$I183," ")</f>
        <v xml:space="preserve"> </v>
      </c>
      <c r="H185" s="8" t="str">
        <f>IF('Course 3'!$H183='tab3'!H$3,'Course 3'!$I183," ")</f>
        <v xml:space="preserve"> </v>
      </c>
      <c r="I185" s="8" t="str">
        <f>IF('Course 3'!$H183='tab3'!I$3,'Course 3'!$I183," ")</f>
        <v xml:space="preserve"> </v>
      </c>
      <c r="J185" s="8" t="str">
        <f>IF('Course 3'!$H183='tab3'!J$3,'Course 3'!$I183," ")</f>
        <v xml:space="preserve"> </v>
      </c>
      <c r="K185" s="8" t="str">
        <f>IF('Course 3'!$H183='tab3'!K$3,'Course 3'!$I183," ")</f>
        <v xml:space="preserve"> </v>
      </c>
      <c r="L185" s="8" t="str">
        <f>IF('Course 3'!$H183='tab3'!L$3,'Course 3'!$I183," ")</f>
        <v xml:space="preserve"> </v>
      </c>
      <c r="M185" s="8" t="str">
        <f>IF('Course 3'!$H183='tab3'!M$3,'Course 3'!$I183," ")</f>
        <v xml:space="preserve"> </v>
      </c>
      <c r="N185" s="9" t="str">
        <f>IF('Course 3'!$H183='tab3'!N$3,'Course 3'!$I183," ")</f>
        <v xml:space="preserve"> </v>
      </c>
    </row>
    <row r="186" spans="2:14">
      <c r="B186">
        <v>182</v>
      </c>
      <c r="C186" s="7" t="str">
        <f>IF('Course 3'!$H184='tab3'!C$3,'Course 3'!$I184," ")</f>
        <v xml:space="preserve"> </v>
      </c>
      <c r="D186" s="8" t="str">
        <f>IF('Course 3'!$H184='tab3'!D$3,'Course 3'!$I184," ")</f>
        <v xml:space="preserve"> </v>
      </c>
      <c r="E186" s="8" t="str">
        <f>IF('Course 3'!$H184='tab3'!E$3,'Course 3'!$I184," ")</f>
        <v xml:space="preserve"> </v>
      </c>
      <c r="F186" s="8" t="str">
        <f>IF('Course 3'!$H184='tab3'!F$3,'Course 3'!$I184," ")</f>
        <v xml:space="preserve"> </v>
      </c>
      <c r="G186" s="8" t="str">
        <f>IF('Course 3'!$H184='tab3'!G$3,'Course 3'!$I184," ")</f>
        <v xml:space="preserve"> </v>
      </c>
      <c r="H186" s="8" t="str">
        <f>IF('Course 3'!$H184='tab3'!H$3,'Course 3'!$I184," ")</f>
        <v xml:space="preserve"> </v>
      </c>
      <c r="I186" s="8" t="str">
        <f>IF('Course 3'!$H184='tab3'!I$3,'Course 3'!$I184," ")</f>
        <v xml:space="preserve"> </v>
      </c>
      <c r="J186" s="8" t="str">
        <f>IF('Course 3'!$H184='tab3'!J$3,'Course 3'!$I184," ")</f>
        <v xml:space="preserve"> </v>
      </c>
      <c r="K186" s="8" t="str">
        <f>IF('Course 3'!$H184='tab3'!K$3,'Course 3'!$I184," ")</f>
        <v xml:space="preserve"> </v>
      </c>
      <c r="L186" s="8" t="str">
        <f>IF('Course 3'!$H184='tab3'!L$3,'Course 3'!$I184," ")</f>
        <v xml:space="preserve"> </v>
      </c>
      <c r="M186" s="8" t="str">
        <f>IF('Course 3'!$H184='tab3'!M$3,'Course 3'!$I184," ")</f>
        <v xml:space="preserve"> </v>
      </c>
      <c r="N186" s="9" t="str">
        <f>IF('Course 3'!$H184='tab3'!N$3,'Course 3'!$I184," ")</f>
        <v xml:space="preserve"> </v>
      </c>
    </row>
    <row r="187" spans="2:14">
      <c r="B187">
        <v>183</v>
      </c>
      <c r="C187" s="7" t="str">
        <f>IF('Course 3'!$H185='tab3'!C$3,'Course 3'!$I185," ")</f>
        <v xml:space="preserve"> </v>
      </c>
      <c r="D187" s="8" t="str">
        <f>IF('Course 3'!$H185='tab3'!D$3,'Course 3'!$I185," ")</f>
        <v xml:space="preserve"> </v>
      </c>
      <c r="E187" s="8" t="str">
        <f>IF('Course 3'!$H185='tab3'!E$3,'Course 3'!$I185," ")</f>
        <v xml:space="preserve"> </v>
      </c>
      <c r="F187" s="8" t="str">
        <f>IF('Course 3'!$H185='tab3'!F$3,'Course 3'!$I185," ")</f>
        <v xml:space="preserve"> </v>
      </c>
      <c r="G187" s="8" t="str">
        <f>IF('Course 3'!$H185='tab3'!G$3,'Course 3'!$I185," ")</f>
        <v xml:space="preserve"> </v>
      </c>
      <c r="H187" s="8" t="str">
        <f>IF('Course 3'!$H185='tab3'!H$3,'Course 3'!$I185," ")</f>
        <v xml:space="preserve"> </v>
      </c>
      <c r="I187" s="8" t="str">
        <f>IF('Course 3'!$H185='tab3'!I$3,'Course 3'!$I185," ")</f>
        <v xml:space="preserve"> </v>
      </c>
      <c r="J187" s="8" t="str">
        <f>IF('Course 3'!$H185='tab3'!J$3,'Course 3'!$I185," ")</f>
        <v xml:space="preserve"> </v>
      </c>
      <c r="K187" s="8" t="str">
        <f>IF('Course 3'!$H185='tab3'!K$3,'Course 3'!$I185," ")</f>
        <v xml:space="preserve"> </v>
      </c>
      <c r="L187" s="8" t="str">
        <f>IF('Course 3'!$H185='tab3'!L$3,'Course 3'!$I185," ")</f>
        <v xml:space="preserve"> </v>
      </c>
      <c r="M187" s="8" t="str">
        <f>IF('Course 3'!$H185='tab3'!M$3,'Course 3'!$I185," ")</f>
        <v xml:space="preserve"> </v>
      </c>
      <c r="N187" s="9" t="str">
        <f>IF('Course 3'!$H185='tab3'!N$3,'Course 3'!$I185," ")</f>
        <v xml:space="preserve"> </v>
      </c>
    </row>
    <row r="188" spans="2:14">
      <c r="B188">
        <v>184</v>
      </c>
      <c r="C188" s="7" t="str">
        <f>IF('Course 3'!$H186='tab3'!C$3,'Course 3'!$I186," ")</f>
        <v xml:space="preserve"> </v>
      </c>
      <c r="D188" s="8" t="str">
        <f>IF('Course 3'!$H186='tab3'!D$3,'Course 3'!$I186," ")</f>
        <v xml:space="preserve"> </v>
      </c>
      <c r="E188" s="8" t="str">
        <f>IF('Course 3'!$H186='tab3'!E$3,'Course 3'!$I186," ")</f>
        <v xml:space="preserve"> </v>
      </c>
      <c r="F188" s="8" t="str">
        <f>IF('Course 3'!$H186='tab3'!F$3,'Course 3'!$I186," ")</f>
        <v xml:space="preserve"> </v>
      </c>
      <c r="G188" s="8" t="str">
        <f>IF('Course 3'!$H186='tab3'!G$3,'Course 3'!$I186," ")</f>
        <v xml:space="preserve"> </v>
      </c>
      <c r="H188" s="8" t="str">
        <f>IF('Course 3'!$H186='tab3'!H$3,'Course 3'!$I186," ")</f>
        <v xml:space="preserve"> </v>
      </c>
      <c r="I188" s="8" t="str">
        <f>IF('Course 3'!$H186='tab3'!I$3,'Course 3'!$I186," ")</f>
        <v xml:space="preserve"> </v>
      </c>
      <c r="J188" s="8" t="str">
        <f>IF('Course 3'!$H186='tab3'!J$3,'Course 3'!$I186," ")</f>
        <v xml:space="preserve"> </v>
      </c>
      <c r="K188" s="8" t="str">
        <f>IF('Course 3'!$H186='tab3'!K$3,'Course 3'!$I186," ")</f>
        <v xml:space="preserve"> </v>
      </c>
      <c r="L188" s="8" t="str">
        <f>IF('Course 3'!$H186='tab3'!L$3,'Course 3'!$I186," ")</f>
        <v xml:space="preserve"> </v>
      </c>
      <c r="M188" s="8" t="str">
        <f>IF('Course 3'!$H186='tab3'!M$3,'Course 3'!$I186," ")</f>
        <v xml:space="preserve"> </v>
      </c>
      <c r="N188" s="9" t="str">
        <f>IF('Course 3'!$H186='tab3'!N$3,'Course 3'!$I186," ")</f>
        <v xml:space="preserve"> </v>
      </c>
    </row>
    <row r="189" spans="2:14">
      <c r="B189">
        <v>185</v>
      </c>
      <c r="C189" s="7" t="str">
        <f>IF('Course 3'!$H187='tab3'!C$3,'Course 3'!$I187," ")</f>
        <v xml:space="preserve"> </v>
      </c>
      <c r="D189" s="8" t="str">
        <f>IF('Course 3'!$H187='tab3'!D$3,'Course 3'!$I187," ")</f>
        <v xml:space="preserve"> </v>
      </c>
      <c r="E189" s="8" t="str">
        <f>IF('Course 3'!$H187='tab3'!E$3,'Course 3'!$I187," ")</f>
        <v xml:space="preserve"> </v>
      </c>
      <c r="F189" s="8" t="str">
        <f>IF('Course 3'!$H187='tab3'!F$3,'Course 3'!$I187," ")</f>
        <v xml:space="preserve"> </v>
      </c>
      <c r="G189" s="8" t="str">
        <f>IF('Course 3'!$H187='tab3'!G$3,'Course 3'!$I187," ")</f>
        <v xml:space="preserve"> </v>
      </c>
      <c r="H189" s="8" t="str">
        <f>IF('Course 3'!$H187='tab3'!H$3,'Course 3'!$I187," ")</f>
        <v xml:space="preserve"> </v>
      </c>
      <c r="I189" s="8" t="str">
        <f>IF('Course 3'!$H187='tab3'!I$3,'Course 3'!$I187," ")</f>
        <v xml:space="preserve"> </v>
      </c>
      <c r="J189" s="8" t="str">
        <f>IF('Course 3'!$H187='tab3'!J$3,'Course 3'!$I187," ")</f>
        <v xml:space="preserve"> </v>
      </c>
      <c r="K189" s="8" t="str">
        <f>IF('Course 3'!$H187='tab3'!K$3,'Course 3'!$I187," ")</f>
        <v xml:space="preserve"> </v>
      </c>
      <c r="L189" s="8" t="str">
        <f>IF('Course 3'!$H187='tab3'!L$3,'Course 3'!$I187," ")</f>
        <v xml:space="preserve"> </v>
      </c>
      <c r="M189" s="8" t="str">
        <f>IF('Course 3'!$H187='tab3'!M$3,'Course 3'!$I187," ")</f>
        <v xml:space="preserve"> </v>
      </c>
      <c r="N189" s="9" t="str">
        <f>IF('Course 3'!$H187='tab3'!N$3,'Course 3'!$I187," ")</f>
        <v xml:space="preserve"> </v>
      </c>
    </row>
    <row r="190" spans="2:14">
      <c r="B190">
        <v>186</v>
      </c>
      <c r="C190" s="7" t="str">
        <f>IF('Course 3'!$H188='tab3'!C$3,'Course 3'!$I188," ")</f>
        <v xml:space="preserve"> </v>
      </c>
      <c r="D190" s="8" t="str">
        <f>IF('Course 3'!$H188='tab3'!D$3,'Course 3'!$I188," ")</f>
        <v xml:space="preserve"> </v>
      </c>
      <c r="E190" s="8" t="str">
        <f>IF('Course 3'!$H188='tab3'!E$3,'Course 3'!$I188," ")</f>
        <v xml:space="preserve"> </v>
      </c>
      <c r="F190" s="8" t="str">
        <f>IF('Course 3'!$H188='tab3'!F$3,'Course 3'!$I188," ")</f>
        <v xml:space="preserve"> </v>
      </c>
      <c r="G190" s="8" t="str">
        <f>IF('Course 3'!$H188='tab3'!G$3,'Course 3'!$I188," ")</f>
        <v xml:space="preserve"> </v>
      </c>
      <c r="H190" s="8" t="str">
        <f>IF('Course 3'!$H188='tab3'!H$3,'Course 3'!$I188," ")</f>
        <v xml:space="preserve"> </v>
      </c>
      <c r="I190" s="8" t="str">
        <f>IF('Course 3'!$H188='tab3'!I$3,'Course 3'!$I188," ")</f>
        <v xml:space="preserve"> </v>
      </c>
      <c r="J190" s="8" t="str">
        <f>IF('Course 3'!$H188='tab3'!J$3,'Course 3'!$I188," ")</f>
        <v xml:space="preserve"> </v>
      </c>
      <c r="K190" s="8" t="str">
        <f>IF('Course 3'!$H188='tab3'!K$3,'Course 3'!$I188," ")</f>
        <v xml:space="preserve"> </v>
      </c>
      <c r="L190" s="8" t="str">
        <f>IF('Course 3'!$H188='tab3'!L$3,'Course 3'!$I188," ")</f>
        <v xml:space="preserve"> </v>
      </c>
      <c r="M190" s="8" t="str">
        <f>IF('Course 3'!$H188='tab3'!M$3,'Course 3'!$I188," ")</f>
        <v xml:space="preserve"> </v>
      </c>
      <c r="N190" s="9" t="str">
        <f>IF('Course 3'!$H188='tab3'!N$3,'Course 3'!$I188," ")</f>
        <v xml:space="preserve"> </v>
      </c>
    </row>
    <row r="191" spans="2:14">
      <c r="B191">
        <v>187</v>
      </c>
      <c r="C191" s="7" t="str">
        <f>IF('Course 3'!$H189='tab3'!C$3,'Course 3'!$I189," ")</f>
        <v xml:space="preserve"> </v>
      </c>
      <c r="D191" s="8" t="str">
        <f>IF('Course 3'!$H189='tab3'!D$3,'Course 3'!$I189," ")</f>
        <v xml:space="preserve"> </v>
      </c>
      <c r="E191" s="8" t="str">
        <f>IF('Course 3'!$H189='tab3'!E$3,'Course 3'!$I189," ")</f>
        <v xml:space="preserve"> </v>
      </c>
      <c r="F191" s="8" t="str">
        <f>IF('Course 3'!$H189='tab3'!F$3,'Course 3'!$I189," ")</f>
        <v xml:space="preserve"> </v>
      </c>
      <c r="G191" s="8" t="str">
        <f>IF('Course 3'!$H189='tab3'!G$3,'Course 3'!$I189," ")</f>
        <v xml:space="preserve"> </v>
      </c>
      <c r="H191" s="8" t="str">
        <f>IF('Course 3'!$H189='tab3'!H$3,'Course 3'!$I189," ")</f>
        <v xml:space="preserve"> </v>
      </c>
      <c r="I191" s="8" t="str">
        <f>IF('Course 3'!$H189='tab3'!I$3,'Course 3'!$I189," ")</f>
        <v xml:space="preserve"> </v>
      </c>
      <c r="J191" s="8" t="str">
        <f>IF('Course 3'!$H189='tab3'!J$3,'Course 3'!$I189," ")</f>
        <v xml:space="preserve"> </v>
      </c>
      <c r="K191" s="8" t="str">
        <f>IF('Course 3'!$H189='tab3'!K$3,'Course 3'!$I189," ")</f>
        <v xml:space="preserve"> </v>
      </c>
      <c r="L191" s="8" t="str">
        <f>IF('Course 3'!$H189='tab3'!L$3,'Course 3'!$I189," ")</f>
        <v xml:space="preserve"> </v>
      </c>
      <c r="M191" s="8" t="str">
        <f>IF('Course 3'!$H189='tab3'!M$3,'Course 3'!$I189," ")</f>
        <v xml:space="preserve"> </v>
      </c>
      <c r="N191" s="9" t="str">
        <f>IF('Course 3'!$H189='tab3'!N$3,'Course 3'!$I189," ")</f>
        <v xml:space="preserve"> </v>
      </c>
    </row>
    <row r="192" spans="2:14">
      <c r="B192">
        <v>188</v>
      </c>
      <c r="C192" s="7" t="str">
        <f>IF('Course 3'!$H190='tab3'!C$3,'Course 3'!$I190," ")</f>
        <v xml:space="preserve"> </v>
      </c>
      <c r="D192" s="8" t="str">
        <f>IF('Course 3'!$H190='tab3'!D$3,'Course 3'!$I190," ")</f>
        <v xml:space="preserve"> </v>
      </c>
      <c r="E192" s="8" t="str">
        <f>IF('Course 3'!$H190='tab3'!E$3,'Course 3'!$I190," ")</f>
        <v xml:space="preserve"> </v>
      </c>
      <c r="F192" s="8" t="str">
        <f>IF('Course 3'!$H190='tab3'!F$3,'Course 3'!$I190," ")</f>
        <v xml:space="preserve"> </v>
      </c>
      <c r="G192" s="8" t="str">
        <f>IF('Course 3'!$H190='tab3'!G$3,'Course 3'!$I190," ")</f>
        <v xml:space="preserve"> </v>
      </c>
      <c r="H192" s="8" t="str">
        <f>IF('Course 3'!$H190='tab3'!H$3,'Course 3'!$I190," ")</f>
        <v xml:space="preserve"> </v>
      </c>
      <c r="I192" s="8" t="str">
        <f>IF('Course 3'!$H190='tab3'!I$3,'Course 3'!$I190," ")</f>
        <v xml:space="preserve"> </v>
      </c>
      <c r="J192" s="8" t="str">
        <f>IF('Course 3'!$H190='tab3'!J$3,'Course 3'!$I190," ")</f>
        <v xml:space="preserve"> </v>
      </c>
      <c r="K192" s="8" t="str">
        <f>IF('Course 3'!$H190='tab3'!K$3,'Course 3'!$I190," ")</f>
        <v xml:space="preserve"> </v>
      </c>
      <c r="L192" s="8" t="str">
        <f>IF('Course 3'!$H190='tab3'!L$3,'Course 3'!$I190," ")</f>
        <v xml:space="preserve"> </v>
      </c>
      <c r="M192" s="8" t="str">
        <f>IF('Course 3'!$H190='tab3'!M$3,'Course 3'!$I190," ")</f>
        <v xml:space="preserve"> </v>
      </c>
      <c r="N192" s="9" t="str">
        <f>IF('Course 3'!$H190='tab3'!N$3,'Course 3'!$I190," ")</f>
        <v xml:space="preserve"> </v>
      </c>
    </row>
    <row r="193" spans="2:14">
      <c r="B193">
        <v>189</v>
      </c>
      <c r="C193" s="7" t="str">
        <f>IF('Course 3'!$H191='tab3'!C$3,'Course 3'!$I191," ")</f>
        <v xml:space="preserve"> </v>
      </c>
      <c r="D193" s="8" t="str">
        <f>IF('Course 3'!$H191='tab3'!D$3,'Course 3'!$I191," ")</f>
        <v xml:space="preserve"> </v>
      </c>
      <c r="E193" s="8" t="str">
        <f>IF('Course 3'!$H191='tab3'!E$3,'Course 3'!$I191," ")</f>
        <v xml:space="preserve"> </v>
      </c>
      <c r="F193" s="8" t="str">
        <f>IF('Course 3'!$H191='tab3'!F$3,'Course 3'!$I191," ")</f>
        <v xml:space="preserve"> </v>
      </c>
      <c r="G193" s="8" t="str">
        <f>IF('Course 3'!$H191='tab3'!G$3,'Course 3'!$I191," ")</f>
        <v xml:space="preserve"> </v>
      </c>
      <c r="H193" s="8" t="str">
        <f>IF('Course 3'!$H191='tab3'!H$3,'Course 3'!$I191," ")</f>
        <v xml:space="preserve"> </v>
      </c>
      <c r="I193" s="8" t="str">
        <f>IF('Course 3'!$H191='tab3'!I$3,'Course 3'!$I191," ")</f>
        <v xml:space="preserve"> </v>
      </c>
      <c r="J193" s="8" t="str">
        <f>IF('Course 3'!$H191='tab3'!J$3,'Course 3'!$I191," ")</f>
        <v xml:space="preserve"> </v>
      </c>
      <c r="K193" s="8" t="str">
        <f>IF('Course 3'!$H191='tab3'!K$3,'Course 3'!$I191," ")</f>
        <v xml:space="preserve"> </v>
      </c>
      <c r="L193" s="8" t="str">
        <f>IF('Course 3'!$H191='tab3'!L$3,'Course 3'!$I191," ")</f>
        <v xml:space="preserve"> </v>
      </c>
      <c r="M193" s="8" t="str">
        <f>IF('Course 3'!$H191='tab3'!M$3,'Course 3'!$I191," ")</f>
        <v xml:space="preserve"> </v>
      </c>
      <c r="N193" s="9" t="str">
        <f>IF('Course 3'!$H191='tab3'!N$3,'Course 3'!$I191," ")</f>
        <v xml:space="preserve"> </v>
      </c>
    </row>
    <row r="194" spans="2:14">
      <c r="B194">
        <v>190</v>
      </c>
      <c r="C194" s="7" t="str">
        <f>IF('Course 3'!$H192='tab3'!C$3,'Course 3'!$I192," ")</f>
        <v xml:space="preserve"> </v>
      </c>
      <c r="D194" s="8" t="str">
        <f>IF('Course 3'!$H192='tab3'!D$3,'Course 3'!$I192," ")</f>
        <v xml:space="preserve"> </v>
      </c>
      <c r="E194" s="8" t="str">
        <f>IF('Course 3'!$H192='tab3'!E$3,'Course 3'!$I192," ")</f>
        <v xml:space="preserve"> </v>
      </c>
      <c r="F194" s="8" t="str">
        <f>IF('Course 3'!$H192='tab3'!F$3,'Course 3'!$I192," ")</f>
        <v xml:space="preserve"> </v>
      </c>
      <c r="G194" s="8" t="str">
        <f>IF('Course 3'!$H192='tab3'!G$3,'Course 3'!$I192," ")</f>
        <v xml:space="preserve"> </v>
      </c>
      <c r="H194" s="8" t="str">
        <f>IF('Course 3'!$H192='tab3'!H$3,'Course 3'!$I192," ")</f>
        <v xml:space="preserve"> </v>
      </c>
      <c r="I194" s="8" t="str">
        <f>IF('Course 3'!$H192='tab3'!I$3,'Course 3'!$I192," ")</f>
        <v xml:space="preserve"> </v>
      </c>
      <c r="J194" s="8" t="str">
        <f>IF('Course 3'!$H192='tab3'!J$3,'Course 3'!$I192," ")</f>
        <v xml:space="preserve"> </v>
      </c>
      <c r="K194" s="8" t="str">
        <f>IF('Course 3'!$H192='tab3'!K$3,'Course 3'!$I192," ")</f>
        <v xml:space="preserve"> </v>
      </c>
      <c r="L194" s="8" t="str">
        <f>IF('Course 3'!$H192='tab3'!L$3,'Course 3'!$I192," ")</f>
        <v xml:space="preserve"> </v>
      </c>
      <c r="M194" s="8" t="str">
        <f>IF('Course 3'!$H192='tab3'!M$3,'Course 3'!$I192," ")</f>
        <v xml:space="preserve"> </v>
      </c>
      <c r="N194" s="9" t="str">
        <f>IF('Course 3'!$H192='tab3'!N$3,'Course 3'!$I192," ")</f>
        <v xml:space="preserve"> </v>
      </c>
    </row>
    <row r="195" spans="2:14">
      <c r="B195">
        <v>191</v>
      </c>
      <c r="C195" s="7" t="str">
        <f>IF('Course 3'!$H193='tab3'!C$3,'Course 3'!$I193," ")</f>
        <v xml:space="preserve"> </v>
      </c>
      <c r="D195" s="8" t="str">
        <f>IF('Course 3'!$H193='tab3'!D$3,'Course 3'!$I193," ")</f>
        <v xml:space="preserve"> </v>
      </c>
      <c r="E195" s="8" t="str">
        <f>IF('Course 3'!$H193='tab3'!E$3,'Course 3'!$I193," ")</f>
        <v xml:space="preserve"> </v>
      </c>
      <c r="F195" s="8" t="str">
        <f>IF('Course 3'!$H193='tab3'!F$3,'Course 3'!$I193," ")</f>
        <v xml:space="preserve"> </v>
      </c>
      <c r="G195" s="8" t="str">
        <f>IF('Course 3'!$H193='tab3'!G$3,'Course 3'!$I193," ")</f>
        <v xml:space="preserve"> </v>
      </c>
      <c r="H195" s="8" t="str">
        <f>IF('Course 3'!$H193='tab3'!H$3,'Course 3'!$I193," ")</f>
        <v xml:space="preserve"> </v>
      </c>
      <c r="I195" s="8" t="str">
        <f>IF('Course 3'!$H193='tab3'!I$3,'Course 3'!$I193," ")</f>
        <v xml:space="preserve"> </v>
      </c>
      <c r="J195" s="8" t="str">
        <f>IF('Course 3'!$H193='tab3'!J$3,'Course 3'!$I193," ")</f>
        <v xml:space="preserve"> </v>
      </c>
      <c r="K195" s="8" t="str">
        <f>IF('Course 3'!$H193='tab3'!K$3,'Course 3'!$I193," ")</f>
        <v xml:space="preserve"> </v>
      </c>
      <c r="L195" s="8" t="str">
        <f>IF('Course 3'!$H193='tab3'!L$3,'Course 3'!$I193," ")</f>
        <v xml:space="preserve"> </v>
      </c>
      <c r="M195" s="8" t="str">
        <f>IF('Course 3'!$H193='tab3'!M$3,'Course 3'!$I193," ")</f>
        <v xml:space="preserve"> </v>
      </c>
      <c r="N195" s="9" t="str">
        <f>IF('Course 3'!$H193='tab3'!N$3,'Course 3'!$I193," ")</f>
        <v xml:space="preserve"> </v>
      </c>
    </row>
    <row r="196" spans="2:14">
      <c r="B196">
        <v>192</v>
      </c>
      <c r="C196" s="7" t="str">
        <f>IF('Course 3'!$H194='tab3'!C$3,'Course 3'!$I194," ")</f>
        <v xml:space="preserve"> </v>
      </c>
      <c r="D196" s="8" t="str">
        <f>IF('Course 3'!$H194='tab3'!D$3,'Course 3'!$I194," ")</f>
        <v xml:space="preserve"> </v>
      </c>
      <c r="E196" s="8" t="str">
        <f>IF('Course 3'!$H194='tab3'!E$3,'Course 3'!$I194," ")</f>
        <v xml:space="preserve"> </v>
      </c>
      <c r="F196" s="8" t="str">
        <f>IF('Course 3'!$H194='tab3'!F$3,'Course 3'!$I194," ")</f>
        <v xml:space="preserve"> </v>
      </c>
      <c r="G196" s="8" t="str">
        <f>IF('Course 3'!$H194='tab3'!G$3,'Course 3'!$I194," ")</f>
        <v xml:space="preserve"> </v>
      </c>
      <c r="H196" s="8" t="str">
        <f>IF('Course 3'!$H194='tab3'!H$3,'Course 3'!$I194," ")</f>
        <v xml:space="preserve"> </v>
      </c>
      <c r="I196" s="8" t="str">
        <f>IF('Course 3'!$H194='tab3'!I$3,'Course 3'!$I194," ")</f>
        <v xml:space="preserve"> </v>
      </c>
      <c r="J196" s="8" t="str">
        <f>IF('Course 3'!$H194='tab3'!J$3,'Course 3'!$I194," ")</f>
        <v xml:space="preserve"> </v>
      </c>
      <c r="K196" s="8" t="str">
        <f>IF('Course 3'!$H194='tab3'!K$3,'Course 3'!$I194," ")</f>
        <v xml:space="preserve"> </v>
      </c>
      <c r="L196" s="8" t="str">
        <f>IF('Course 3'!$H194='tab3'!L$3,'Course 3'!$I194," ")</f>
        <v xml:space="preserve"> </v>
      </c>
      <c r="M196" s="8" t="str">
        <f>IF('Course 3'!$H194='tab3'!M$3,'Course 3'!$I194," ")</f>
        <v xml:space="preserve"> </v>
      </c>
      <c r="N196" s="9" t="str">
        <f>IF('Course 3'!$H194='tab3'!N$3,'Course 3'!$I194," ")</f>
        <v xml:space="preserve"> </v>
      </c>
    </row>
    <row r="197" spans="2:14">
      <c r="B197">
        <v>193</v>
      </c>
      <c r="C197" s="7" t="str">
        <f>IF('Course 3'!$H195='tab3'!C$3,'Course 3'!$I195," ")</f>
        <v xml:space="preserve"> </v>
      </c>
      <c r="D197" s="8" t="str">
        <f>IF('Course 3'!$H195='tab3'!D$3,'Course 3'!$I195," ")</f>
        <v xml:space="preserve"> </v>
      </c>
      <c r="E197" s="8" t="str">
        <f>IF('Course 3'!$H195='tab3'!E$3,'Course 3'!$I195," ")</f>
        <v xml:space="preserve"> </v>
      </c>
      <c r="F197" s="8" t="str">
        <f>IF('Course 3'!$H195='tab3'!F$3,'Course 3'!$I195," ")</f>
        <v xml:space="preserve"> </v>
      </c>
      <c r="G197" s="8" t="str">
        <f>IF('Course 3'!$H195='tab3'!G$3,'Course 3'!$I195," ")</f>
        <v xml:space="preserve"> </v>
      </c>
      <c r="H197" s="8" t="str">
        <f>IF('Course 3'!$H195='tab3'!H$3,'Course 3'!$I195," ")</f>
        <v xml:space="preserve"> </v>
      </c>
      <c r="I197" s="8" t="str">
        <f>IF('Course 3'!$H195='tab3'!I$3,'Course 3'!$I195," ")</f>
        <v xml:space="preserve"> </v>
      </c>
      <c r="J197" s="8" t="str">
        <f>IF('Course 3'!$H195='tab3'!J$3,'Course 3'!$I195," ")</f>
        <v xml:space="preserve"> </v>
      </c>
      <c r="K197" s="8" t="str">
        <f>IF('Course 3'!$H195='tab3'!K$3,'Course 3'!$I195," ")</f>
        <v xml:space="preserve"> </v>
      </c>
      <c r="L197" s="8" t="str">
        <f>IF('Course 3'!$H195='tab3'!L$3,'Course 3'!$I195," ")</f>
        <v xml:space="preserve"> </v>
      </c>
      <c r="M197" s="8" t="str">
        <f>IF('Course 3'!$H195='tab3'!M$3,'Course 3'!$I195," ")</f>
        <v xml:space="preserve"> </v>
      </c>
      <c r="N197" s="9" t="str">
        <f>IF('Course 3'!$H195='tab3'!N$3,'Course 3'!$I195," ")</f>
        <v xml:space="preserve"> </v>
      </c>
    </row>
    <row r="198" spans="2:14">
      <c r="B198">
        <v>194</v>
      </c>
      <c r="C198" s="7" t="str">
        <f>IF('Course 3'!$H196='tab3'!C$3,'Course 3'!$I196," ")</f>
        <v xml:space="preserve"> </v>
      </c>
      <c r="D198" s="8" t="str">
        <f>IF('Course 3'!$H196='tab3'!D$3,'Course 3'!$I196," ")</f>
        <v xml:space="preserve"> </v>
      </c>
      <c r="E198" s="8" t="str">
        <f>IF('Course 3'!$H196='tab3'!E$3,'Course 3'!$I196," ")</f>
        <v xml:space="preserve"> </v>
      </c>
      <c r="F198" s="8" t="str">
        <f>IF('Course 3'!$H196='tab3'!F$3,'Course 3'!$I196," ")</f>
        <v xml:space="preserve"> </v>
      </c>
      <c r="G198" s="8" t="str">
        <f>IF('Course 3'!$H196='tab3'!G$3,'Course 3'!$I196," ")</f>
        <v xml:space="preserve"> </v>
      </c>
      <c r="H198" s="8" t="str">
        <f>IF('Course 3'!$H196='tab3'!H$3,'Course 3'!$I196," ")</f>
        <v xml:space="preserve"> </v>
      </c>
      <c r="I198" s="8" t="str">
        <f>IF('Course 3'!$H196='tab3'!I$3,'Course 3'!$I196," ")</f>
        <v xml:space="preserve"> </v>
      </c>
      <c r="J198" s="8" t="str">
        <f>IF('Course 3'!$H196='tab3'!J$3,'Course 3'!$I196," ")</f>
        <v xml:space="preserve"> </v>
      </c>
      <c r="K198" s="8" t="str">
        <f>IF('Course 3'!$H196='tab3'!K$3,'Course 3'!$I196," ")</f>
        <v xml:space="preserve"> </v>
      </c>
      <c r="L198" s="8" t="str">
        <f>IF('Course 3'!$H196='tab3'!L$3,'Course 3'!$I196," ")</f>
        <v xml:space="preserve"> </v>
      </c>
      <c r="M198" s="8" t="str">
        <f>IF('Course 3'!$H196='tab3'!M$3,'Course 3'!$I196," ")</f>
        <v xml:space="preserve"> </v>
      </c>
      <c r="N198" s="9" t="str">
        <f>IF('Course 3'!$H196='tab3'!N$3,'Course 3'!$I196," ")</f>
        <v xml:space="preserve"> </v>
      </c>
    </row>
    <row r="199" spans="2:14">
      <c r="B199">
        <v>195</v>
      </c>
      <c r="C199" s="7" t="str">
        <f>IF('Course 3'!$H197='tab3'!C$3,'Course 3'!$I197," ")</f>
        <v xml:space="preserve"> </v>
      </c>
      <c r="D199" s="8" t="str">
        <f>IF('Course 3'!$H197='tab3'!D$3,'Course 3'!$I197," ")</f>
        <v xml:space="preserve"> </v>
      </c>
      <c r="E199" s="8" t="str">
        <f>IF('Course 3'!$H197='tab3'!E$3,'Course 3'!$I197," ")</f>
        <v xml:space="preserve"> </v>
      </c>
      <c r="F199" s="8" t="str">
        <f>IF('Course 3'!$H197='tab3'!F$3,'Course 3'!$I197," ")</f>
        <v xml:space="preserve"> </v>
      </c>
      <c r="G199" s="8" t="str">
        <f>IF('Course 3'!$H197='tab3'!G$3,'Course 3'!$I197," ")</f>
        <v xml:space="preserve"> </v>
      </c>
      <c r="H199" s="8" t="str">
        <f>IF('Course 3'!$H197='tab3'!H$3,'Course 3'!$I197," ")</f>
        <v xml:space="preserve"> </v>
      </c>
      <c r="I199" s="8" t="str">
        <f>IF('Course 3'!$H197='tab3'!I$3,'Course 3'!$I197," ")</f>
        <v xml:space="preserve"> </v>
      </c>
      <c r="J199" s="8" t="str">
        <f>IF('Course 3'!$H197='tab3'!J$3,'Course 3'!$I197," ")</f>
        <v xml:space="preserve"> </v>
      </c>
      <c r="K199" s="8" t="str">
        <f>IF('Course 3'!$H197='tab3'!K$3,'Course 3'!$I197," ")</f>
        <v xml:space="preserve"> </v>
      </c>
      <c r="L199" s="8" t="str">
        <f>IF('Course 3'!$H197='tab3'!L$3,'Course 3'!$I197," ")</f>
        <v xml:space="preserve"> </v>
      </c>
      <c r="M199" s="8" t="str">
        <f>IF('Course 3'!$H197='tab3'!M$3,'Course 3'!$I197," ")</f>
        <v xml:space="preserve"> </v>
      </c>
      <c r="N199" s="9" t="str">
        <f>IF('Course 3'!$H197='tab3'!N$3,'Course 3'!$I197," ")</f>
        <v xml:space="preserve"> </v>
      </c>
    </row>
    <row r="200" spans="2:14">
      <c r="B200">
        <v>196</v>
      </c>
      <c r="C200" s="7" t="str">
        <f>IF('Course 3'!$H198='tab3'!C$3,'Course 3'!$I198," ")</f>
        <v xml:space="preserve"> </v>
      </c>
      <c r="D200" s="8" t="str">
        <f>IF('Course 3'!$H198='tab3'!D$3,'Course 3'!$I198," ")</f>
        <v xml:space="preserve"> </v>
      </c>
      <c r="E200" s="8" t="str">
        <f>IF('Course 3'!$H198='tab3'!E$3,'Course 3'!$I198," ")</f>
        <v xml:space="preserve"> </v>
      </c>
      <c r="F200" s="8" t="str">
        <f>IF('Course 3'!$H198='tab3'!F$3,'Course 3'!$I198," ")</f>
        <v xml:space="preserve"> </v>
      </c>
      <c r="G200" s="8" t="str">
        <f>IF('Course 3'!$H198='tab3'!G$3,'Course 3'!$I198," ")</f>
        <v xml:space="preserve"> </v>
      </c>
      <c r="H200" s="8" t="str">
        <f>IF('Course 3'!$H198='tab3'!H$3,'Course 3'!$I198," ")</f>
        <v xml:space="preserve"> </v>
      </c>
      <c r="I200" s="8" t="str">
        <f>IF('Course 3'!$H198='tab3'!I$3,'Course 3'!$I198," ")</f>
        <v xml:space="preserve"> </v>
      </c>
      <c r="J200" s="8" t="str">
        <f>IF('Course 3'!$H198='tab3'!J$3,'Course 3'!$I198," ")</f>
        <v xml:space="preserve"> </v>
      </c>
      <c r="K200" s="8" t="str">
        <f>IF('Course 3'!$H198='tab3'!K$3,'Course 3'!$I198," ")</f>
        <v xml:space="preserve"> </v>
      </c>
      <c r="L200" s="8" t="str">
        <f>IF('Course 3'!$H198='tab3'!L$3,'Course 3'!$I198," ")</f>
        <v xml:space="preserve"> </v>
      </c>
      <c r="M200" s="8" t="str">
        <f>IF('Course 3'!$H198='tab3'!M$3,'Course 3'!$I198," ")</f>
        <v xml:space="preserve"> </v>
      </c>
      <c r="N200" s="9" t="str">
        <f>IF('Course 3'!$H198='tab3'!N$3,'Course 3'!$I198," ")</f>
        <v xml:space="preserve"> </v>
      </c>
    </row>
    <row r="201" spans="2:14">
      <c r="B201">
        <v>197</v>
      </c>
      <c r="C201" s="7" t="str">
        <f>IF('Course 3'!$H199='tab3'!C$3,'Course 3'!$I199," ")</f>
        <v xml:space="preserve"> </v>
      </c>
      <c r="D201" s="8" t="str">
        <f>IF('Course 3'!$H199='tab3'!D$3,'Course 3'!$I199," ")</f>
        <v xml:space="preserve"> </v>
      </c>
      <c r="E201" s="8" t="str">
        <f>IF('Course 3'!$H199='tab3'!E$3,'Course 3'!$I199," ")</f>
        <v xml:space="preserve"> </v>
      </c>
      <c r="F201" s="8" t="str">
        <f>IF('Course 3'!$H199='tab3'!F$3,'Course 3'!$I199," ")</f>
        <v xml:space="preserve"> </v>
      </c>
      <c r="G201" s="8" t="str">
        <f>IF('Course 3'!$H199='tab3'!G$3,'Course 3'!$I199," ")</f>
        <v xml:space="preserve"> </v>
      </c>
      <c r="H201" s="8" t="str">
        <f>IF('Course 3'!$H199='tab3'!H$3,'Course 3'!$I199," ")</f>
        <v xml:space="preserve"> </v>
      </c>
      <c r="I201" s="8" t="str">
        <f>IF('Course 3'!$H199='tab3'!I$3,'Course 3'!$I199," ")</f>
        <v xml:space="preserve"> </v>
      </c>
      <c r="J201" s="8" t="str">
        <f>IF('Course 3'!$H199='tab3'!J$3,'Course 3'!$I199," ")</f>
        <v xml:space="preserve"> </v>
      </c>
      <c r="K201" s="8" t="str">
        <f>IF('Course 3'!$H199='tab3'!K$3,'Course 3'!$I199," ")</f>
        <v xml:space="preserve"> </v>
      </c>
      <c r="L201" s="8" t="str">
        <f>IF('Course 3'!$H199='tab3'!L$3,'Course 3'!$I199," ")</f>
        <v xml:space="preserve"> </v>
      </c>
      <c r="M201" s="8" t="str">
        <f>IF('Course 3'!$H199='tab3'!M$3,'Course 3'!$I199," ")</f>
        <v xml:space="preserve"> </v>
      </c>
      <c r="N201" s="9" t="str">
        <f>IF('Course 3'!$H199='tab3'!N$3,'Course 3'!$I199," ")</f>
        <v xml:space="preserve"> </v>
      </c>
    </row>
    <row r="202" spans="2:14">
      <c r="B202">
        <v>198</v>
      </c>
      <c r="C202" s="7" t="str">
        <f>IF('Course 3'!$H200='tab3'!C$3,'Course 3'!$I200," ")</f>
        <v xml:space="preserve"> </v>
      </c>
      <c r="D202" s="8" t="str">
        <f>IF('Course 3'!$H200='tab3'!D$3,'Course 3'!$I200," ")</f>
        <v xml:space="preserve"> </v>
      </c>
      <c r="E202" s="8" t="str">
        <f>IF('Course 3'!$H200='tab3'!E$3,'Course 3'!$I200," ")</f>
        <v xml:space="preserve"> </v>
      </c>
      <c r="F202" s="8" t="str">
        <f>IF('Course 3'!$H200='tab3'!F$3,'Course 3'!$I200," ")</f>
        <v xml:space="preserve"> </v>
      </c>
      <c r="G202" s="8" t="str">
        <f>IF('Course 3'!$H200='tab3'!G$3,'Course 3'!$I200," ")</f>
        <v xml:space="preserve"> </v>
      </c>
      <c r="H202" s="8" t="str">
        <f>IF('Course 3'!$H200='tab3'!H$3,'Course 3'!$I200," ")</f>
        <v xml:space="preserve"> </v>
      </c>
      <c r="I202" s="8" t="str">
        <f>IF('Course 3'!$H200='tab3'!I$3,'Course 3'!$I200," ")</f>
        <v xml:space="preserve"> </v>
      </c>
      <c r="J202" s="8" t="str">
        <f>IF('Course 3'!$H200='tab3'!J$3,'Course 3'!$I200," ")</f>
        <v xml:space="preserve"> </v>
      </c>
      <c r="K202" s="8" t="str">
        <f>IF('Course 3'!$H200='tab3'!K$3,'Course 3'!$I200," ")</f>
        <v xml:space="preserve"> </v>
      </c>
      <c r="L202" s="8" t="str">
        <f>IF('Course 3'!$H200='tab3'!L$3,'Course 3'!$I200," ")</f>
        <v xml:space="preserve"> </v>
      </c>
      <c r="M202" s="8" t="str">
        <f>IF('Course 3'!$H200='tab3'!M$3,'Course 3'!$I200," ")</f>
        <v xml:space="preserve"> </v>
      </c>
      <c r="N202" s="9" t="str">
        <f>IF('Course 3'!$H200='tab3'!N$3,'Course 3'!$I200," ")</f>
        <v xml:space="preserve"> </v>
      </c>
    </row>
    <row r="203" spans="2:14">
      <c r="B203">
        <v>199</v>
      </c>
      <c r="C203" s="7" t="str">
        <f>IF('Course 3'!$H201='tab3'!C$3,'Course 3'!$I201," ")</f>
        <v xml:space="preserve"> </v>
      </c>
      <c r="D203" s="8" t="str">
        <f>IF('Course 3'!$H201='tab3'!D$3,'Course 3'!$I201," ")</f>
        <v xml:space="preserve"> </v>
      </c>
      <c r="E203" s="8" t="str">
        <f>IF('Course 3'!$H201='tab3'!E$3,'Course 3'!$I201," ")</f>
        <v xml:space="preserve"> </v>
      </c>
      <c r="F203" s="8" t="str">
        <f>IF('Course 3'!$H201='tab3'!F$3,'Course 3'!$I201," ")</f>
        <v xml:space="preserve"> </v>
      </c>
      <c r="G203" s="8" t="str">
        <f>IF('Course 3'!$H201='tab3'!G$3,'Course 3'!$I201," ")</f>
        <v xml:space="preserve"> </v>
      </c>
      <c r="H203" s="8" t="str">
        <f>IF('Course 3'!$H201='tab3'!H$3,'Course 3'!$I201," ")</f>
        <v xml:space="preserve"> </v>
      </c>
      <c r="I203" s="8" t="str">
        <f>IF('Course 3'!$H201='tab3'!I$3,'Course 3'!$I201," ")</f>
        <v xml:space="preserve"> </v>
      </c>
      <c r="J203" s="8" t="str">
        <f>IF('Course 3'!$H201='tab3'!J$3,'Course 3'!$I201," ")</f>
        <v xml:space="preserve"> </v>
      </c>
      <c r="K203" s="8" t="str">
        <f>IF('Course 3'!$H201='tab3'!K$3,'Course 3'!$I201," ")</f>
        <v xml:space="preserve"> </v>
      </c>
      <c r="L203" s="8" t="str">
        <f>IF('Course 3'!$H201='tab3'!L$3,'Course 3'!$I201," ")</f>
        <v xml:space="preserve"> </v>
      </c>
      <c r="M203" s="8" t="str">
        <f>IF('Course 3'!$H201='tab3'!M$3,'Course 3'!$I201," ")</f>
        <v xml:space="preserve"> </v>
      </c>
      <c r="N203" s="9" t="str">
        <f>IF('Course 3'!$H201='tab3'!N$3,'Course 3'!$I201," ")</f>
        <v xml:space="preserve"> </v>
      </c>
    </row>
    <row r="204" spans="2:14">
      <c r="B204">
        <v>200</v>
      </c>
      <c r="C204" s="7" t="str">
        <f>IF('Course 3'!$H202='tab3'!C$3,'Course 3'!$I202," ")</f>
        <v xml:space="preserve"> </v>
      </c>
      <c r="D204" s="8" t="str">
        <f>IF('Course 3'!$H202='tab3'!D$3,'Course 3'!$I202," ")</f>
        <v xml:space="preserve"> </v>
      </c>
      <c r="E204" s="8" t="str">
        <f>IF('Course 3'!$H202='tab3'!E$3,'Course 3'!$I202," ")</f>
        <v xml:space="preserve"> </v>
      </c>
      <c r="F204" s="8" t="str">
        <f>IF('Course 3'!$H202='tab3'!F$3,'Course 3'!$I202," ")</f>
        <v xml:space="preserve"> </v>
      </c>
      <c r="G204" s="8" t="str">
        <f>IF('Course 3'!$H202='tab3'!G$3,'Course 3'!$I202," ")</f>
        <v xml:space="preserve"> </v>
      </c>
      <c r="H204" s="8" t="str">
        <f>IF('Course 3'!$H202='tab3'!H$3,'Course 3'!$I202," ")</f>
        <v xml:space="preserve"> </v>
      </c>
      <c r="I204" s="8" t="str">
        <f>IF('Course 3'!$H202='tab3'!I$3,'Course 3'!$I202," ")</f>
        <v xml:space="preserve"> </v>
      </c>
      <c r="J204" s="8" t="str">
        <f>IF('Course 3'!$H202='tab3'!J$3,'Course 3'!$I202," ")</f>
        <v xml:space="preserve"> </v>
      </c>
      <c r="K204" s="8" t="str">
        <f>IF('Course 3'!$H202='tab3'!K$3,'Course 3'!$I202," ")</f>
        <v xml:space="preserve"> </v>
      </c>
      <c r="L204" s="8" t="str">
        <f>IF('Course 3'!$H202='tab3'!L$3,'Course 3'!$I202," ")</f>
        <v xml:space="preserve"> </v>
      </c>
      <c r="M204" s="8" t="str">
        <f>IF('Course 3'!$H202='tab3'!M$3,'Course 3'!$I202," ")</f>
        <v xml:space="preserve"> </v>
      </c>
      <c r="N204" s="9" t="str">
        <f>IF('Course 3'!$H202='tab3'!N$3,'Course 3'!$I202," ")</f>
        <v xml:space="preserve"> </v>
      </c>
    </row>
    <row r="205" spans="2:14">
      <c r="B205">
        <v>201</v>
      </c>
      <c r="C205" s="7" t="str">
        <f>IF('Course 3'!$H203='tab3'!C$3,'Course 3'!$I203," ")</f>
        <v xml:space="preserve"> </v>
      </c>
      <c r="D205" s="8" t="str">
        <f>IF('Course 3'!$H203='tab3'!D$3,'Course 3'!$I203," ")</f>
        <v xml:space="preserve"> </v>
      </c>
      <c r="E205" s="8" t="str">
        <f>IF('Course 3'!$H203='tab3'!E$3,'Course 3'!$I203," ")</f>
        <v xml:space="preserve"> </v>
      </c>
      <c r="F205" s="8" t="str">
        <f>IF('Course 3'!$H203='tab3'!F$3,'Course 3'!$I203," ")</f>
        <v xml:space="preserve"> </v>
      </c>
      <c r="G205" s="8" t="str">
        <f>IF('Course 3'!$H203='tab3'!G$3,'Course 3'!$I203," ")</f>
        <v xml:space="preserve"> </v>
      </c>
      <c r="H205" s="8" t="str">
        <f>IF('Course 3'!$H203='tab3'!H$3,'Course 3'!$I203," ")</f>
        <v xml:space="preserve"> </v>
      </c>
      <c r="I205" s="8" t="str">
        <f>IF('Course 3'!$H203='tab3'!I$3,'Course 3'!$I203," ")</f>
        <v xml:space="preserve"> </v>
      </c>
      <c r="J205" s="8" t="str">
        <f>IF('Course 3'!$H203='tab3'!J$3,'Course 3'!$I203," ")</f>
        <v xml:space="preserve"> </v>
      </c>
      <c r="K205" s="8" t="str">
        <f>IF('Course 3'!$H203='tab3'!K$3,'Course 3'!$I203," ")</f>
        <v xml:space="preserve"> </v>
      </c>
      <c r="L205" s="8" t="str">
        <f>IF('Course 3'!$H203='tab3'!L$3,'Course 3'!$I203," ")</f>
        <v xml:space="preserve"> </v>
      </c>
      <c r="M205" s="8" t="str">
        <f>IF('Course 3'!$H203='tab3'!M$3,'Course 3'!$I203," ")</f>
        <v xml:space="preserve"> </v>
      </c>
      <c r="N205" s="9" t="str">
        <f>IF('Course 3'!$H203='tab3'!N$3,'Course 3'!$I203," ")</f>
        <v xml:space="preserve"> </v>
      </c>
    </row>
    <row r="206" spans="2:14">
      <c r="B206">
        <v>202</v>
      </c>
      <c r="C206" s="7" t="str">
        <f>IF('Course 3'!$H204='tab3'!C$3,'Course 3'!$I204," ")</f>
        <v xml:space="preserve"> </v>
      </c>
      <c r="D206" s="8" t="str">
        <f>IF('Course 3'!$H204='tab3'!D$3,'Course 3'!$I204," ")</f>
        <v xml:space="preserve"> </v>
      </c>
      <c r="E206" s="8" t="str">
        <f>IF('Course 3'!$H204='tab3'!E$3,'Course 3'!$I204," ")</f>
        <v xml:space="preserve"> </v>
      </c>
      <c r="F206" s="8" t="str">
        <f>IF('Course 3'!$H204='tab3'!F$3,'Course 3'!$I204," ")</f>
        <v xml:space="preserve"> </v>
      </c>
      <c r="G206" s="8" t="str">
        <f>IF('Course 3'!$H204='tab3'!G$3,'Course 3'!$I204," ")</f>
        <v xml:space="preserve"> </v>
      </c>
      <c r="H206" s="8" t="str">
        <f>IF('Course 3'!$H204='tab3'!H$3,'Course 3'!$I204," ")</f>
        <v xml:space="preserve"> </v>
      </c>
      <c r="I206" s="8" t="str">
        <f>IF('Course 3'!$H204='tab3'!I$3,'Course 3'!$I204," ")</f>
        <v xml:space="preserve"> </v>
      </c>
      <c r="J206" s="8" t="str">
        <f>IF('Course 3'!$H204='tab3'!J$3,'Course 3'!$I204," ")</f>
        <v xml:space="preserve"> </v>
      </c>
      <c r="K206" s="8" t="str">
        <f>IF('Course 3'!$H204='tab3'!K$3,'Course 3'!$I204," ")</f>
        <v xml:space="preserve"> </v>
      </c>
      <c r="L206" s="8" t="str">
        <f>IF('Course 3'!$H204='tab3'!L$3,'Course 3'!$I204," ")</f>
        <v xml:space="preserve"> </v>
      </c>
      <c r="M206" s="8" t="str">
        <f>IF('Course 3'!$H204='tab3'!M$3,'Course 3'!$I204," ")</f>
        <v xml:space="preserve"> </v>
      </c>
      <c r="N206" s="9" t="str">
        <f>IF('Course 3'!$H204='tab3'!N$3,'Course 3'!$I204," ")</f>
        <v xml:space="preserve"> </v>
      </c>
    </row>
    <row r="207" spans="2:14">
      <c r="B207">
        <v>203</v>
      </c>
      <c r="C207" s="7" t="str">
        <f>IF('Course 3'!$H205='tab3'!C$3,'Course 3'!$I205," ")</f>
        <v xml:space="preserve"> </v>
      </c>
      <c r="D207" s="8" t="str">
        <f>IF('Course 3'!$H205='tab3'!D$3,'Course 3'!$I205," ")</f>
        <v xml:space="preserve"> </v>
      </c>
      <c r="E207" s="8" t="str">
        <f>IF('Course 3'!$H205='tab3'!E$3,'Course 3'!$I205," ")</f>
        <v xml:space="preserve"> </v>
      </c>
      <c r="F207" s="8" t="str">
        <f>IF('Course 3'!$H205='tab3'!F$3,'Course 3'!$I205," ")</f>
        <v xml:space="preserve"> </v>
      </c>
      <c r="G207" s="8" t="str">
        <f>IF('Course 3'!$H205='tab3'!G$3,'Course 3'!$I205," ")</f>
        <v xml:space="preserve"> </v>
      </c>
      <c r="H207" s="8" t="str">
        <f>IF('Course 3'!$H205='tab3'!H$3,'Course 3'!$I205," ")</f>
        <v xml:space="preserve"> </v>
      </c>
      <c r="I207" s="8" t="str">
        <f>IF('Course 3'!$H205='tab3'!I$3,'Course 3'!$I205," ")</f>
        <v xml:space="preserve"> </v>
      </c>
      <c r="J207" s="8" t="str">
        <f>IF('Course 3'!$H205='tab3'!J$3,'Course 3'!$I205," ")</f>
        <v xml:space="preserve"> </v>
      </c>
      <c r="K207" s="8" t="str">
        <f>IF('Course 3'!$H205='tab3'!K$3,'Course 3'!$I205," ")</f>
        <v xml:space="preserve"> </v>
      </c>
      <c r="L207" s="8" t="str">
        <f>IF('Course 3'!$H205='tab3'!L$3,'Course 3'!$I205," ")</f>
        <v xml:space="preserve"> </v>
      </c>
      <c r="M207" s="8" t="str">
        <f>IF('Course 3'!$H205='tab3'!M$3,'Course 3'!$I205," ")</f>
        <v xml:space="preserve"> </v>
      </c>
      <c r="N207" s="9" t="str">
        <f>IF('Course 3'!$H205='tab3'!N$3,'Course 3'!$I205," ")</f>
        <v xml:space="preserve"> </v>
      </c>
    </row>
    <row r="208" spans="2:14">
      <c r="B208">
        <v>204</v>
      </c>
      <c r="C208" s="7" t="str">
        <f>IF('Course 3'!$H206='tab3'!C$3,'Course 3'!$I206," ")</f>
        <v xml:space="preserve"> </v>
      </c>
      <c r="D208" s="8" t="str">
        <f>IF('Course 3'!$H206='tab3'!D$3,'Course 3'!$I206," ")</f>
        <v xml:space="preserve"> </v>
      </c>
      <c r="E208" s="8" t="str">
        <f>IF('Course 3'!$H206='tab3'!E$3,'Course 3'!$I206," ")</f>
        <v xml:space="preserve"> </v>
      </c>
      <c r="F208" s="8" t="str">
        <f>IF('Course 3'!$H206='tab3'!F$3,'Course 3'!$I206," ")</f>
        <v xml:space="preserve"> </v>
      </c>
      <c r="G208" s="8" t="str">
        <f>IF('Course 3'!$H206='tab3'!G$3,'Course 3'!$I206," ")</f>
        <v xml:space="preserve"> </v>
      </c>
      <c r="H208" s="8" t="str">
        <f>IF('Course 3'!$H206='tab3'!H$3,'Course 3'!$I206," ")</f>
        <v xml:space="preserve"> </v>
      </c>
      <c r="I208" s="8" t="str">
        <f>IF('Course 3'!$H206='tab3'!I$3,'Course 3'!$I206," ")</f>
        <v xml:space="preserve"> </v>
      </c>
      <c r="J208" s="8" t="str">
        <f>IF('Course 3'!$H206='tab3'!J$3,'Course 3'!$I206," ")</f>
        <v xml:space="preserve"> </v>
      </c>
      <c r="K208" s="8" t="str">
        <f>IF('Course 3'!$H206='tab3'!K$3,'Course 3'!$I206," ")</f>
        <v xml:space="preserve"> </v>
      </c>
      <c r="L208" s="8" t="str">
        <f>IF('Course 3'!$H206='tab3'!L$3,'Course 3'!$I206," ")</f>
        <v xml:space="preserve"> </v>
      </c>
      <c r="M208" s="8" t="str">
        <f>IF('Course 3'!$H206='tab3'!M$3,'Course 3'!$I206," ")</f>
        <v xml:space="preserve"> </v>
      </c>
      <c r="N208" s="9" t="str">
        <f>IF('Course 3'!$H206='tab3'!N$3,'Course 3'!$I206," ")</f>
        <v xml:space="preserve"> </v>
      </c>
    </row>
    <row r="209" spans="2:14">
      <c r="B209">
        <v>205</v>
      </c>
      <c r="C209" s="7" t="str">
        <f>IF('Course 3'!$H207='tab3'!C$3,'Course 3'!$I207," ")</f>
        <v xml:space="preserve"> </v>
      </c>
      <c r="D209" s="8" t="str">
        <f>IF('Course 3'!$H207='tab3'!D$3,'Course 3'!$I207," ")</f>
        <v xml:space="preserve"> </v>
      </c>
      <c r="E209" s="8" t="str">
        <f>IF('Course 3'!$H207='tab3'!E$3,'Course 3'!$I207," ")</f>
        <v xml:space="preserve"> </v>
      </c>
      <c r="F209" s="8" t="str">
        <f>IF('Course 3'!$H207='tab3'!F$3,'Course 3'!$I207," ")</f>
        <v xml:space="preserve"> </v>
      </c>
      <c r="G209" s="8" t="str">
        <f>IF('Course 3'!$H207='tab3'!G$3,'Course 3'!$I207," ")</f>
        <v xml:space="preserve"> </v>
      </c>
      <c r="H209" s="8" t="str">
        <f>IF('Course 3'!$H207='tab3'!H$3,'Course 3'!$I207," ")</f>
        <v xml:space="preserve"> </v>
      </c>
      <c r="I209" s="8" t="str">
        <f>IF('Course 3'!$H207='tab3'!I$3,'Course 3'!$I207," ")</f>
        <v xml:space="preserve"> </v>
      </c>
      <c r="J209" s="8" t="str">
        <f>IF('Course 3'!$H207='tab3'!J$3,'Course 3'!$I207," ")</f>
        <v xml:space="preserve"> </v>
      </c>
      <c r="K209" s="8" t="str">
        <f>IF('Course 3'!$H207='tab3'!K$3,'Course 3'!$I207," ")</f>
        <v xml:space="preserve"> </v>
      </c>
      <c r="L209" s="8" t="str">
        <f>IF('Course 3'!$H207='tab3'!L$3,'Course 3'!$I207," ")</f>
        <v xml:space="preserve"> </v>
      </c>
      <c r="M209" s="8" t="str">
        <f>IF('Course 3'!$H207='tab3'!M$3,'Course 3'!$I207," ")</f>
        <v xml:space="preserve"> </v>
      </c>
      <c r="N209" s="9" t="str">
        <f>IF('Course 3'!$H207='tab3'!N$3,'Course 3'!$I207," ")</f>
        <v xml:space="preserve"> </v>
      </c>
    </row>
    <row r="210" spans="2:14">
      <c r="B210">
        <v>206</v>
      </c>
      <c r="C210" s="7" t="str">
        <f>IF('Course 3'!$H208='tab3'!C$3,'Course 3'!$I208," ")</f>
        <v xml:space="preserve"> </v>
      </c>
      <c r="D210" s="8" t="str">
        <f>IF('Course 3'!$H208='tab3'!D$3,'Course 3'!$I208," ")</f>
        <v xml:space="preserve"> </v>
      </c>
      <c r="E210" s="8" t="str">
        <f>IF('Course 3'!$H208='tab3'!E$3,'Course 3'!$I208," ")</f>
        <v xml:space="preserve"> </v>
      </c>
      <c r="F210" s="8" t="str">
        <f>IF('Course 3'!$H208='tab3'!F$3,'Course 3'!$I208," ")</f>
        <v xml:space="preserve"> </v>
      </c>
      <c r="G210" s="8" t="str">
        <f>IF('Course 3'!$H208='tab3'!G$3,'Course 3'!$I208," ")</f>
        <v xml:space="preserve"> </v>
      </c>
      <c r="H210" s="8" t="str">
        <f>IF('Course 3'!$H208='tab3'!H$3,'Course 3'!$I208," ")</f>
        <v xml:space="preserve"> </v>
      </c>
      <c r="I210" s="8" t="str">
        <f>IF('Course 3'!$H208='tab3'!I$3,'Course 3'!$I208," ")</f>
        <v xml:space="preserve"> </v>
      </c>
      <c r="J210" s="8" t="str">
        <f>IF('Course 3'!$H208='tab3'!J$3,'Course 3'!$I208," ")</f>
        <v xml:space="preserve"> </v>
      </c>
      <c r="K210" s="8" t="str">
        <f>IF('Course 3'!$H208='tab3'!K$3,'Course 3'!$I208," ")</f>
        <v xml:space="preserve"> </v>
      </c>
      <c r="L210" s="8" t="str">
        <f>IF('Course 3'!$H208='tab3'!L$3,'Course 3'!$I208," ")</f>
        <v xml:space="preserve"> </v>
      </c>
      <c r="M210" s="8" t="str">
        <f>IF('Course 3'!$H208='tab3'!M$3,'Course 3'!$I208," ")</f>
        <v xml:space="preserve"> </v>
      </c>
      <c r="N210" s="9" t="str">
        <f>IF('Course 3'!$H208='tab3'!N$3,'Course 3'!$I208," ")</f>
        <v xml:space="preserve"> </v>
      </c>
    </row>
    <row r="211" spans="2:14">
      <c r="B211">
        <v>207</v>
      </c>
      <c r="C211" s="7" t="str">
        <f>IF('Course 3'!$H209='tab3'!C$3,'Course 3'!$I209," ")</f>
        <v xml:space="preserve"> </v>
      </c>
      <c r="D211" s="8" t="str">
        <f>IF('Course 3'!$H209='tab3'!D$3,'Course 3'!$I209," ")</f>
        <v xml:space="preserve"> </v>
      </c>
      <c r="E211" s="8" t="str">
        <f>IF('Course 3'!$H209='tab3'!E$3,'Course 3'!$I209," ")</f>
        <v xml:space="preserve"> </v>
      </c>
      <c r="F211" s="8" t="str">
        <f>IF('Course 3'!$H209='tab3'!F$3,'Course 3'!$I209," ")</f>
        <v xml:space="preserve"> </v>
      </c>
      <c r="G211" s="8" t="str">
        <f>IF('Course 3'!$H209='tab3'!G$3,'Course 3'!$I209," ")</f>
        <v xml:space="preserve"> </v>
      </c>
      <c r="H211" s="8" t="str">
        <f>IF('Course 3'!$H209='tab3'!H$3,'Course 3'!$I209," ")</f>
        <v xml:space="preserve"> </v>
      </c>
      <c r="I211" s="8" t="str">
        <f>IF('Course 3'!$H209='tab3'!I$3,'Course 3'!$I209," ")</f>
        <v xml:space="preserve"> </v>
      </c>
      <c r="J211" s="8" t="str">
        <f>IF('Course 3'!$H209='tab3'!J$3,'Course 3'!$I209," ")</f>
        <v xml:space="preserve"> </v>
      </c>
      <c r="K211" s="8" t="str">
        <f>IF('Course 3'!$H209='tab3'!K$3,'Course 3'!$I209," ")</f>
        <v xml:space="preserve"> </v>
      </c>
      <c r="L211" s="8" t="str">
        <f>IF('Course 3'!$H209='tab3'!L$3,'Course 3'!$I209," ")</f>
        <v xml:space="preserve"> </v>
      </c>
      <c r="M211" s="8" t="str">
        <f>IF('Course 3'!$H209='tab3'!M$3,'Course 3'!$I209," ")</f>
        <v xml:space="preserve"> </v>
      </c>
      <c r="N211" s="9" t="str">
        <f>IF('Course 3'!$H209='tab3'!N$3,'Course 3'!$I209," ")</f>
        <v xml:space="preserve"> </v>
      </c>
    </row>
    <row r="212" spans="2:14">
      <c r="B212">
        <v>208</v>
      </c>
      <c r="C212" s="7" t="str">
        <f>IF('Course 3'!$H210='tab3'!C$3,'Course 3'!$I210," ")</f>
        <v xml:space="preserve"> </v>
      </c>
      <c r="D212" s="8" t="str">
        <f>IF('Course 3'!$H210='tab3'!D$3,'Course 3'!$I210," ")</f>
        <v xml:space="preserve"> </v>
      </c>
      <c r="E212" s="8" t="str">
        <f>IF('Course 3'!$H210='tab3'!E$3,'Course 3'!$I210," ")</f>
        <v xml:space="preserve"> </v>
      </c>
      <c r="F212" s="8" t="str">
        <f>IF('Course 3'!$H210='tab3'!F$3,'Course 3'!$I210," ")</f>
        <v xml:space="preserve"> </v>
      </c>
      <c r="G212" s="8" t="str">
        <f>IF('Course 3'!$H210='tab3'!G$3,'Course 3'!$I210," ")</f>
        <v xml:space="preserve"> </v>
      </c>
      <c r="H212" s="8" t="str">
        <f>IF('Course 3'!$H210='tab3'!H$3,'Course 3'!$I210," ")</f>
        <v xml:space="preserve"> </v>
      </c>
      <c r="I212" s="8" t="str">
        <f>IF('Course 3'!$H210='tab3'!I$3,'Course 3'!$I210," ")</f>
        <v xml:space="preserve"> </v>
      </c>
      <c r="J212" s="8" t="str">
        <f>IF('Course 3'!$H210='tab3'!J$3,'Course 3'!$I210," ")</f>
        <v xml:space="preserve"> </v>
      </c>
      <c r="K212" s="8" t="str">
        <f>IF('Course 3'!$H210='tab3'!K$3,'Course 3'!$I210," ")</f>
        <v xml:space="preserve"> </v>
      </c>
      <c r="L212" s="8" t="str">
        <f>IF('Course 3'!$H210='tab3'!L$3,'Course 3'!$I210," ")</f>
        <v xml:space="preserve"> </v>
      </c>
      <c r="M212" s="8" t="str">
        <f>IF('Course 3'!$H210='tab3'!M$3,'Course 3'!$I210," ")</f>
        <v xml:space="preserve"> </v>
      </c>
      <c r="N212" s="9" t="str">
        <f>IF('Course 3'!$H210='tab3'!N$3,'Course 3'!$I210," ")</f>
        <v xml:space="preserve"> </v>
      </c>
    </row>
    <row r="213" spans="2:14">
      <c r="B213">
        <v>209</v>
      </c>
      <c r="C213" s="7" t="str">
        <f>IF('Course 3'!$H211='tab3'!C$3,'Course 3'!$I211," ")</f>
        <v xml:space="preserve"> </v>
      </c>
      <c r="D213" s="8" t="str">
        <f>IF('Course 3'!$H211='tab3'!D$3,'Course 3'!$I211," ")</f>
        <v xml:space="preserve"> </v>
      </c>
      <c r="E213" s="8" t="str">
        <f>IF('Course 3'!$H211='tab3'!E$3,'Course 3'!$I211," ")</f>
        <v xml:space="preserve"> </v>
      </c>
      <c r="F213" s="8" t="str">
        <f>IF('Course 3'!$H211='tab3'!F$3,'Course 3'!$I211," ")</f>
        <v xml:space="preserve"> </v>
      </c>
      <c r="G213" s="8" t="str">
        <f>IF('Course 3'!$H211='tab3'!G$3,'Course 3'!$I211," ")</f>
        <v xml:space="preserve"> </v>
      </c>
      <c r="H213" s="8" t="str">
        <f>IF('Course 3'!$H211='tab3'!H$3,'Course 3'!$I211," ")</f>
        <v xml:space="preserve"> </v>
      </c>
      <c r="I213" s="8" t="str">
        <f>IF('Course 3'!$H211='tab3'!I$3,'Course 3'!$I211," ")</f>
        <v xml:space="preserve"> </v>
      </c>
      <c r="J213" s="8" t="str">
        <f>IF('Course 3'!$H211='tab3'!J$3,'Course 3'!$I211," ")</f>
        <v xml:space="preserve"> </v>
      </c>
      <c r="K213" s="8" t="str">
        <f>IF('Course 3'!$H211='tab3'!K$3,'Course 3'!$I211," ")</f>
        <v xml:space="preserve"> </v>
      </c>
      <c r="L213" s="8" t="str">
        <f>IF('Course 3'!$H211='tab3'!L$3,'Course 3'!$I211," ")</f>
        <v xml:space="preserve"> </v>
      </c>
      <c r="M213" s="8" t="str">
        <f>IF('Course 3'!$H211='tab3'!M$3,'Course 3'!$I211," ")</f>
        <v xml:space="preserve"> </v>
      </c>
      <c r="N213" s="9" t="str">
        <f>IF('Course 3'!$H211='tab3'!N$3,'Course 3'!$I211," ")</f>
        <v xml:space="preserve"> </v>
      </c>
    </row>
    <row r="214" spans="2:14">
      <c r="B214">
        <v>210</v>
      </c>
      <c r="C214" s="7" t="str">
        <f>IF('Course 3'!$H212='tab3'!C$3,'Course 3'!$I212," ")</f>
        <v xml:space="preserve"> </v>
      </c>
      <c r="D214" s="8" t="str">
        <f>IF('Course 3'!$H212='tab3'!D$3,'Course 3'!$I212," ")</f>
        <v xml:space="preserve"> </v>
      </c>
      <c r="E214" s="8" t="str">
        <f>IF('Course 3'!$H212='tab3'!E$3,'Course 3'!$I212," ")</f>
        <v xml:space="preserve"> </v>
      </c>
      <c r="F214" s="8" t="str">
        <f>IF('Course 3'!$H212='tab3'!F$3,'Course 3'!$I212," ")</f>
        <v xml:space="preserve"> </v>
      </c>
      <c r="G214" s="8" t="str">
        <f>IF('Course 3'!$H212='tab3'!G$3,'Course 3'!$I212," ")</f>
        <v xml:space="preserve"> </v>
      </c>
      <c r="H214" s="8" t="str">
        <f>IF('Course 3'!$H212='tab3'!H$3,'Course 3'!$I212," ")</f>
        <v xml:space="preserve"> </v>
      </c>
      <c r="I214" s="8" t="str">
        <f>IF('Course 3'!$H212='tab3'!I$3,'Course 3'!$I212," ")</f>
        <v xml:space="preserve"> </v>
      </c>
      <c r="J214" s="8" t="str">
        <f>IF('Course 3'!$H212='tab3'!J$3,'Course 3'!$I212," ")</f>
        <v xml:space="preserve"> </v>
      </c>
      <c r="K214" s="8" t="str">
        <f>IF('Course 3'!$H212='tab3'!K$3,'Course 3'!$I212," ")</f>
        <v xml:space="preserve"> </v>
      </c>
      <c r="L214" s="8" t="str">
        <f>IF('Course 3'!$H212='tab3'!L$3,'Course 3'!$I212," ")</f>
        <v xml:space="preserve"> </v>
      </c>
      <c r="M214" s="8" t="str">
        <f>IF('Course 3'!$H212='tab3'!M$3,'Course 3'!$I212," ")</f>
        <v xml:space="preserve"> </v>
      </c>
      <c r="N214" s="9" t="str">
        <f>IF('Course 3'!$H212='tab3'!N$3,'Course 3'!$I212," ")</f>
        <v xml:space="preserve"> </v>
      </c>
    </row>
    <row r="215" spans="2:14">
      <c r="B215">
        <v>211</v>
      </c>
      <c r="C215" s="7" t="str">
        <f>IF('Course 3'!$H213='tab3'!C$3,'Course 3'!$I213," ")</f>
        <v xml:space="preserve"> </v>
      </c>
      <c r="D215" s="8" t="str">
        <f>IF('Course 3'!$H213='tab3'!D$3,'Course 3'!$I213," ")</f>
        <v xml:space="preserve"> </v>
      </c>
      <c r="E215" s="8" t="str">
        <f>IF('Course 3'!$H213='tab3'!E$3,'Course 3'!$I213," ")</f>
        <v xml:space="preserve"> </v>
      </c>
      <c r="F215" s="8" t="str">
        <f>IF('Course 3'!$H213='tab3'!F$3,'Course 3'!$I213," ")</f>
        <v xml:space="preserve"> </v>
      </c>
      <c r="G215" s="8" t="str">
        <f>IF('Course 3'!$H213='tab3'!G$3,'Course 3'!$I213," ")</f>
        <v xml:space="preserve"> </v>
      </c>
      <c r="H215" s="8" t="str">
        <f>IF('Course 3'!$H213='tab3'!H$3,'Course 3'!$I213," ")</f>
        <v xml:space="preserve"> </v>
      </c>
      <c r="I215" s="8" t="str">
        <f>IF('Course 3'!$H213='tab3'!I$3,'Course 3'!$I213," ")</f>
        <v xml:space="preserve"> </v>
      </c>
      <c r="J215" s="8" t="str">
        <f>IF('Course 3'!$H213='tab3'!J$3,'Course 3'!$I213," ")</f>
        <v xml:space="preserve"> </v>
      </c>
      <c r="K215" s="8" t="str">
        <f>IF('Course 3'!$H213='tab3'!K$3,'Course 3'!$I213," ")</f>
        <v xml:space="preserve"> </v>
      </c>
      <c r="L215" s="8" t="str">
        <f>IF('Course 3'!$H213='tab3'!L$3,'Course 3'!$I213," ")</f>
        <v xml:space="preserve"> </v>
      </c>
      <c r="M215" s="8" t="str">
        <f>IF('Course 3'!$H213='tab3'!M$3,'Course 3'!$I213," ")</f>
        <v xml:space="preserve"> </v>
      </c>
      <c r="N215" s="9" t="str">
        <f>IF('Course 3'!$H213='tab3'!N$3,'Course 3'!$I213," ")</f>
        <v xml:space="preserve"> </v>
      </c>
    </row>
    <row r="216" spans="2:14">
      <c r="B216">
        <v>212</v>
      </c>
      <c r="C216" s="7" t="str">
        <f>IF('Course 3'!$H214='tab3'!C$3,'Course 3'!$I214," ")</f>
        <v xml:space="preserve"> </v>
      </c>
      <c r="D216" s="8" t="str">
        <f>IF('Course 3'!$H214='tab3'!D$3,'Course 3'!$I214," ")</f>
        <v xml:space="preserve"> </v>
      </c>
      <c r="E216" s="8" t="str">
        <f>IF('Course 3'!$H214='tab3'!E$3,'Course 3'!$I214," ")</f>
        <v xml:space="preserve"> </v>
      </c>
      <c r="F216" s="8" t="str">
        <f>IF('Course 3'!$H214='tab3'!F$3,'Course 3'!$I214," ")</f>
        <v xml:space="preserve"> </v>
      </c>
      <c r="G216" s="8" t="str">
        <f>IF('Course 3'!$H214='tab3'!G$3,'Course 3'!$I214," ")</f>
        <v xml:space="preserve"> </v>
      </c>
      <c r="H216" s="8" t="str">
        <f>IF('Course 3'!$H214='tab3'!H$3,'Course 3'!$I214," ")</f>
        <v xml:space="preserve"> </v>
      </c>
      <c r="I216" s="8" t="str">
        <f>IF('Course 3'!$H214='tab3'!I$3,'Course 3'!$I214," ")</f>
        <v xml:space="preserve"> </v>
      </c>
      <c r="J216" s="8" t="str">
        <f>IF('Course 3'!$H214='tab3'!J$3,'Course 3'!$I214," ")</f>
        <v xml:space="preserve"> </v>
      </c>
      <c r="K216" s="8" t="str">
        <f>IF('Course 3'!$H214='tab3'!K$3,'Course 3'!$I214," ")</f>
        <v xml:space="preserve"> </v>
      </c>
      <c r="L216" s="8" t="str">
        <f>IF('Course 3'!$H214='tab3'!L$3,'Course 3'!$I214," ")</f>
        <v xml:space="preserve"> </v>
      </c>
      <c r="M216" s="8" t="str">
        <f>IF('Course 3'!$H214='tab3'!M$3,'Course 3'!$I214," ")</f>
        <v xml:space="preserve"> </v>
      </c>
      <c r="N216" s="9" t="str">
        <f>IF('Course 3'!$H214='tab3'!N$3,'Course 3'!$I214," ")</f>
        <v xml:space="preserve"> </v>
      </c>
    </row>
    <row r="217" spans="2:14">
      <c r="B217">
        <v>213</v>
      </c>
      <c r="C217" s="7" t="str">
        <f>IF('Course 3'!$H215='tab3'!C$3,'Course 3'!$I215," ")</f>
        <v xml:space="preserve"> </v>
      </c>
      <c r="D217" s="8" t="str">
        <f>IF('Course 3'!$H215='tab3'!D$3,'Course 3'!$I215," ")</f>
        <v xml:space="preserve"> </v>
      </c>
      <c r="E217" s="8" t="str">
        <f>IF('Course 3'!$H215='tab3'!E$3,'Course 3'!$I215," ")</f>
        <v xml:space="preserve"> </v>
      </c>
      <c r="F217" s="8" t="str">
        <f>IF('Course 3'!$H215='tab3'!F$3,'Course 3'!$I215," ")</f>
        <v xml:space="preserve"> </v>
      </c>
      <c r="G217" s="8" t="str">
        <f>IF('Course 3'!$H215='tab3'!G$3,'Course 3'!$I215," ")</f>
        <v xml:space="preserve"> </v>
      </c>
      <c r="H217" s="8" t="str">
        <f>IF('Course 3'!$H215='tab3'!H$3,'Course 3'!$I215," ")</f>
        <v xml:space="preserve"> </v>
      </c>
      <c r="I217" s="8" t="str">
        <f>IF('Course 3'!$H215='tab3'!I$3,'Course 3'!$I215," ")</f>
        <v xml:space="preserve"> </v>
      </c>
      <c r="J217" s="8" t="str">
        <f>IF('Course 3'!$H215='tab3'!J$3,'Course 3'!$I215," ")</f>
        <v xml:space="preserve"> </v>
      </c>
      <c r="K217" s="8" t="str">
        <f>IF('Course 3'!$H215='tab3'!K$3,'Course 3'!$I215," ")</f>
        <v xml:space="preserve"> </v>
      </c>
      <c r="L217" s="8" t="str">
        <f>IF('Course 3'!$H215='tab3'!L$3,'Course 3'!$I215," ")</f>
        <v xml:space="preserve"> </v>
      </c>
      <c r="M217" s="8" t="str">
        <f>IF('Course 3'!$H215='tab3'!M$3,'Course 3'!$I215," ")</f>
        <v xml:space="preserve"> </v>
      </c>
      <c r="N217" s="9" t="str">
        <f>IF('Course 3'!$H215='tab3'!N$3,'Course 3'!$I215," ")</f>
        <v xml:space="preserve"> </v>
      </c>
    </row>
    <row r="218" spans="2:14">
      <c r="B218">
        <v>214</v>
      </c>
      <c r="C218" s="7" t="str">
        <f>IF('Course 3'!$H216='tab3'!C$3,'Course 3'!$I216," ")</f>
        <v xml:space="preserve"> </v>
      </c>
      <c r="D218" s="8" t="str">
        <f>IF('Course 3'!$H216='tab3'!D$3,'Course 3'!$I216," ")</f>
        <v xml:space="preserve"> </v>
      </c>
      <c r="E218" s="8" t="str">
        <f>IF('Course 3'!$H216='tab3'!E$3,'Course 3'!$I216," ")</f>
        <v xml:space="preserve"> </v>
      </c>
      <c r="F218" s="8" t="str">
        <f>IF('Course 3'!$H216='tab3'!F$3,'Course 3'!$I216," ")</f>
        <v xml:space="preserve"> </v>
      </c>
      <c r="G218" s="8" t="str">
        <f>IF('Course 3'!$H216='tab3'!G$3,'Course 3'!$I216," ")</f>
        <v xml:space="preserve"> </v>
      </c>
      <c r="H218" s="8" t="str">
        <f>IF('Course 3'!$H216='tab3'!H$3,'Course 3'!$I216," ")</f>
        <v xml:space="preserve"> </v>
      </c>
      <c r="I218" s="8" t="str">
        <f>IF('Course 3'!$H216='tab3'!I$3,'Course 3'!$I216," ")</f>
        <v xml:space="preserve"> </v>
      </c>
      <c r="J218" s="8" t="str">
        <f>IF('Course 3'!$H216='tab3'!J$3,'Course 3'!$I216," ")</f>
        <v xml:space="preserve"> </v>
      </c>
      <c r="K218" s="8" t="str">
        <f>IF('Course 3'!$H216='tab3'!K$3,'Course 3'!$I216," ")</f>
        <v xml:space="preserve"> </v>
      </c>
      <c r="L218" s="8" t="str">
        <f>IF('Course 3'!$H216='tab3'!L$3,'Course 3'!$I216," ")</f>
        <v xml:space="preserve"> </v>
      </c>
      <c r="M218" s="8" t="str">
        <f>IF('Course 3'!$H216='tab3'!M$3,'Course 3'!$I216," ")</f>
        <v xml:space="preserve"> </v>
      </c>
      <c r="N218" s="9" t="str">
        <f>IF('Course 3'!$H216='tab3'!N$3,'Course 3'!$I216," ")</f>
        <v xml:space="preserve"> </v>
      </c>
    </row>
    <row r="219" spans="2:14">
      <c r="B219">
        <v>215</v>
      </c>
      <c r="C219" s="7" t="str">
        <f>IF('Course 3'!$H217='tab3'!C$3,'Course 3'!$I217," ")</f>
        <v xml:space="preserve"> </v>
      </c>
      <c r="D219" s="8" t="str">
        <f>IF('Course 3'!$H217='tab3'!D$3,'Course 3'!$I217," ")</f>
        <v xml:space="preserve"> </v>
      </c>
      <c r="E219" s="8" t="str">
        <f>IF('Course 3'!$H217='tab3'!E$3,'Course 3'!$I217," ")</f>
        <v xml:space="preserve"> </v>
      </c>
      <c r="F219" s="8" t="str">
        <f>IF('Course 3'!$H217='tab3'!F$3,'Course 3'!$I217," ")</f>
        <v xml:space="preserve"> </v>
      </c>
      <c r="G219" s="8" t="str">
        <f>IF('Course 3'!$H217='tab3'!G$3,'Course 3'!$I217," ")</f>
        <v xml:space="preserve"> </v>
      </c>
      <c r="H219" s="8" t="str">
        <f>IF('Course 3'!$H217='tab3'!H$3,'Course 3'!$I217," ")</f>
        <v xml:space="preserve"> </v>
      </c>
      <c r="I219" s="8" t="str">
        <f>IF('Course 3'!$H217='tab3'!I$3,'Course 3'!$I217," ")</f>
        <v xml:space="preserve"> </v>
      </c>
      <c r="J219" s="8" t="str">
        <f>IF('Course 3'!$H217='tab3'!J$3,'Course 3'!$I217," ")</f>
        <v xml:space="preserve"> </v>
      </c>
      <c r="K219" s="8" t="str">
        <f>IF('Course 3'!$H217='tab3'!K$3,'Course 3'!$I217," ")</f>
        <v xml:space="preserve"> </v>
      </c>
      <c r="L219" s="8" t="str">
        <f>IF('Course 3'!$H217='tab3'!L$3,'Course 3'!$I217," ")</f>
        <v xml:space="preserve"> </v>
      </c>
      <c r="M219" s="8" t="str">
        <f>IF('Course 3'!$H217='tab3'!M$3,'Course 3'!$I217," ")</f>
        <v xml:space="preserve"> </v>
      </c>
      <c r="N219" s="9" t="str">
        <f>IF('Course 3'!$H217='tab3'!N$3,'Course 3'!$I217," ")</f>
        <v xml:space="preserve"> </v>
      </c>
    </row>
    <row r="220" spans="2:14">
      <c r="B220">
        <v>216</v>
      </c>
      <c r="C220" s="7" t="str">
        <f>IF('Course 3'!$H218='tab3'!C$3,'Course 3'!$I218," ")</f>
        <v xml:space="preserve"> </v>
      </c>
      <c r="D220" s="8" t="str">
        <f>IF('Course 3'!$H218='tab3'!D$3,'Course 3'!$I218," ")</f>
        <v xml:space="preserve"> </v>
      </c>
      <c r="E220" s="8" t="str">
        <f>IF('Course 3'!$H218='tab3'!E$3,'Course 3'!$I218," ")</f>
        <v xml:space="preserve"> </v>
      </c>
      <c r="F220" s="8" t="str">
        <f>IF('Course 3'!$H218='tab3'!F$3,'Course 3'!$I218," ")</f>
        <v xml:space="preserve"> </v>
      </c>
      <c r="G220" s="8" t="str">
        <f>IF('Course 3'!$H218='tab3'!G$3,'Course 3'!$I218," ")</f>
        <v xml:space="preserve"> </v>
      </c>
      <c r="H220" s="8" t="str">
        <f>IF('Course 3'!$H218='tab3'!H$3,'Course 3'!$I218," ")</f>
        <v xml:space="preserve"> </v>
      </c>
      <c r="I220" s="8" t="str">
        <f>IF('Course 3'!$H218='tab3'!I$3,'Course 3'!$I218," ")</f>
        <v xml:space="preserve"> </v>
      </c>
      <c r="J220" s="8" t="str">
        <f>IF('Course 3'!$H218='tab3'!J$3,'Course 3'!$I218," ")</f>
        <v xml:space="preserve"> </v>
      </c>
      <c r="K220" s="8" t="str">
        <f>IF('Course 3'!$H218='tab3'!K$3,'Course 3'!$I218," ")</f>
        <v xml:space="preserve"> </v>
      </c>
      <c r="L220" s="8" t="str">
        <f>IF('Course 3'!$H218='tab3'!L$3,'Course 3'!$I218," ")</f>
        <v xml:space="preserve"> </v>
      </c>
      <c r="M220" s="8" t="str">
        <f>IF('Course 3'!$H218='tab3'!M$3,'Course 3'!$I218," ")</f>
        <v xml:space="preserve"> </v>
      </c>
      <c r="N220" s="9" t="str">
        <f>IF('Course 3'!$H218='tab3'!N$3,'Course 3'!$I218," ")</f>
        <v xml:space="preserve"> </v>
      </c>
    </row>
    <row r="221" spans="2:14">
      <c r="B221">
        <v>217</v>
      </c>
      <c r="C221" s="7" t="str">
        <f>IF('Course 3'!$H219='tab3'!C$3,'Course 3'!$I219," ")</f>
        <v xml:space="preserve"> </v>
      </c>
      <c r="D221" s="8" t="str">
        <f>IF('Course 3'!$H219='tab3'!D$3,'Course 3'!$I219," ")</f>
        <v xml:space="preserve"> </v>
      </c>
      <c r="E221" s="8" t="str">
        <f>IF('Course 3'!$H219='tab3'!E$3,'Course 3'!$I219," ")</f>
        <v xml:space="preserve"> </v>
      </c>
      <c r="F221" s="8" t="str">
        <f>IF('Course 3'!$H219='tab3'!F$3,'Course 3'!$I219," ")</f>
        <v xml:space="preserve"> </v>
      </c>
      <c r="G221" s="8" t="str">
        <f>IF('Course 3'!$H219='tab3'!G$3,'Course 3'!$I219," ")</f>
        <v xml:space="preserve"> </v>
      </c>
      <c r="H221" s="8" t="str">
        <f>IF('Course 3'!$H219='tab3'!H$3,'Course 3'!$I219," ")</f>
        <v xml:space="preserve"> </v>
      </c>
      <c r="I221" s="8" t="str">
        <f>IF('Course 3'!$H219='tab3'!I$3,'Course 3'!$I219," ")</f>
        <v xml:space="preserve"> </v>
      </c>
      <c r="J221" s="8" t="str">
        <f>IF('Course 3'!$H219='tab3'!J$3,'Course 3'!$I219," ")</f>
        <v xml:space="preserve"> </v>
      </c>
      <c r="K221" s="8" t="str">
        <f>IF('Course 3'!$H219='tab3'!K$3,'Course 3'!$I219," ")</f>
        <v xml:space="preserve"> </v>
      </c>
      <c r="L221" s="8" t="str">
        <f>IF('Course 3'!$H219='tab3'!L$3,'Course 3'!$I219," ")</f>
        <v xml:space="preserve"> </v>
      </c>
      <c r="M221" s="8" t="str">
        <f>IF('Course 3'!$H219='tab3'!M$3,'Course 3'!$I219," ")</f>
        <v xml:space="preserve"> </v>
      </c>
      <c r="N221" s="9" t="str">
        <f>IF('Course 3'!$H219='tab3'!N$3,'Course 3'!$I219," ")</f>
        <v xml:space="preserve"> </v>
      </c>
    </row>
    <row r="222" spans="2:14">
      <c r="B222">
        <v>218</v>
      </c>
      <c r="C222" s="7" t="str">
        <f>IF('Course 3'!$H220='tab3'!C$3,'Course 3'!$I220," ")</f>
        <v xml:space="preserve"> </v>
      </c>
      <c r="D222" s="8" t="str">
        <f>IF('Course 3'!$H220='tab3'!D$3,'Course 3'!$I220," ")</f>
        <v xml:space="preserve"> </v>
      </c>
      <c r="E222" s="8" t="str">
        <f>IF('Course 3'!$H220='tab3'!E$3,'Course 3'!$I220," ")</f>
        <v xml:space="preserve"> </v>
      </c>
      <c r="F222" s="8" t="str">
        <f>IF('Course 3'!$H220='tab3'!F$3,'Course 3'!$I220," ")</f>
        <v xml:space="preserve"> </v>
      </c>
      <c r="G222" s="8" t="str">
        <f>IF('Course 3'!$H220='tab3'!G$3,'Course 3'!$I220," ")</f>
        <v xml:space="preserve"> </v>
      </c>
      <c r="H222" s="8" t="str">
        <f>IF('Course 3'!$H220='tab3'!H$3,'Course 3'!$I220," ")</f>
        <v xml:space="preserve"> </v>
      </c>
      <c r="I222" s="8" t="str">
        <f>IF('Course 3'!$H220='tab3'!I$3,'Course 3'!$I220," ")</f>
        <v xml:space="preserve"> </v>
      </c>
      <c r="J222" s="8" t="str">
        <f>IF('Course 3'!$H220='tab3'!J$3,'Course 3'!$I220," ")</f>
        <v xml:space="preserve"> </v>
      </c>
      <c r="K222" s="8" t="str">
        <f>IF('Course 3'!$H220='tab3'!K$3,'Course 3'!$I220," ")</f>
        <v xml:space="preserve"> </v>
      </c>
      <c r="L222" s="8" t="str">
        <f>IF('Course 3'!$H220='tab3'!L$3,'Course 3'!$I220," ")</f>
        <v xml:space="preserve"> </v>
      </c>
      <c r="M222" s="8" t="str">
        <f>IF('Course 3'!$H220='tab3'!M$3,'Course 3'!$I220," ")</f>
        <v xml:space="preserve"> </v>
      </c>
      <c r="N222" s="9" t="str">
        <f>IF('Course 3'!$H220='tab3'!N$3,'Course 3'!$I220," ")</f>
        <v xml:space="preserve"> </v>
      </c>
    </row>
    <row r="223" spans="2:14">
      <c r="B223">
        <v>219</v>
      </c>
      <c r="C223" s="7" t="str">
        <f>IF('Course 3'!$H221='tab3'!C$3,'Course 3'!$I221," ")</f>
        <v xml:space="preserve"> </v>
      </c>
      <c r="D223" s="8" t="str">
        <f>IF('Course 3'!$H221='tab3'!D$3,'Course 3'!$I221," ")</f>
        <v xml:space="preserve"> </v>
      </c>
      <c r="E223" s="8" t="str">
        <f>IF('Course 3'!$H221='tab3'!E$3,'Course 3'!$I221," ")</f>
        <v xml:space="preserve"> </v>
      </c>
      <c r="F223" s="8" t="str">
        <f>IF('Course 3'!$H221='tab3'!F$3,'Course 3'!$I221," ")</f>
        <v xml:space="preserve"> </v>
      </c>
      <c r="G223" s="8" t="str">
        <f>IF('Course 3'!$H221='tab3'!G$3,'Course 3'!$I221," ")</f>
        <v xml:space="preserve"> </v>
      </c>
      <c r="H223" s="8" t="str">
        <f>IF('Course 3'!$H221='tab3'!H$3,'Course 3'!$I221," ")</f>
        <v xml:space="preserve"> </v>
      </c>
      <c r="I223" s="8" t="str">
        <f>IF('Course 3'!$H221='tab3'!I$3,'Course 3'!$I221," ")</f>
        <v xml:space="preserve"> </v>
      </c>
      <c r="J223" s="8" t="str">
        <f>IF('Course 3'!$H221='tab3'!J$3,'Course 3'!$I221," ")</f>
        <v xml:space="preserve"> </v>
      </c>
      <c r="K223" s="8" t="str">
        <f>IF('Course 3'!$H221='tab3'!K$3,'Course 3'!$I221," ")</f>
        <v xml:space="preserve"> </v>
      </c>
      <c r="L223" s="8" t="str">
        <f>IF('Course 3'!$H221='tab3'!L$3,'Course 3'!$I221," ")</f>
        <v xml:space="preserve"> </v>
      </c>
      <c r="M223" s="8" t="str">
        <f>IF('Course 3'!$H221='tab3'!M$3,'Course 3'!$I221," ")</f>
        <v xml:space="preserve"> </v>
      </c>
      <c r="N223" s="9" t="str">
        <f>IF('Course 3'!$H221='tab3'!N$3,'Course 3'!$I221," ")</f>
        <v xml:space="preserve"> </v>
      </c>
    </row>
    <row r="224" spans="2:14">
      <c r="B224">
        <v>220</v>
      </c>
      <c r="C224" s="7" t="str">
        <f>IF('Course 3'!$H222='tab3'!C$3,'Course 3'!$I222," ")</f>
        <v xml:space="preserve"> </v>
      </c>
      <c r="D224" s="8" t="str">
        <f>IF('Course 3'!$H222='tab3'!D$3,'Course 3'!$I222," ")</f>
        <v xml:space="preserve"> </v>
      </c>
      <c r="E224" s="8" t="str">
        <f>IF('Course 3'!$H222='tab3'!E$3,'Course 3'!$I222," ")</f>
        <v xml:space="preserve"> </v>
      </c>
      <c r="F224" s="8" t="str">
        <f>IF('Course 3'!$H222='tab3'!F$3,'Course 3'!$I222," ")</f>
        <v xml:space="preserve"> </v>
      </c>
      <c r="G224" s="8" t="str">
        <f>IF('Course 3'!$H222='tab3'!G$3,'Course 3'!$I222," ")</f>
        <v xml:space="preserve"> </v>
      </c>
      <c r="H224" s="8" t="str">
        <f>IF('Course 3'!$H222='tab3'!H$3,'Course 3'!$I222," ")</f>
        <v xml:space="preserve"> </v>
      </c>
      <c r="I224" s="8" t="str">
        <f>IF('Course 3'!$H222='tab3'!I$3,'Course 3'!$I222," ")</f>
        <v xml:space="preserve"> </v>
      </c>
      <c r="J224" s="8" t="str">
        <f>IF('Course 3'!$H222='tab3'!J$3,'Course 3'!$I222," ")</f>
        <v xml:space="preserve"> </v>
      </c>
      <c r="K224" s="8" t="str">
        <f>IF('Course 3'!$H222='tab3'!K$3,'Course 3'!$I222," ")</f>
        <v xml:space="preserve"> </v>
      </c>
      <c r="L224" s="8" t="str">
        <f>IF('Course 3'!$H222='tab3'!L$3,'Course 3'!$I222," ")</f>
        <v xml:space="preserve"> </v>
      </c>
      <c r="M224" s="8" t="str">
        <f>IF('Course 3'!$H222='tab3'!M$3,'Course 3'!$I222," ")</f>
        <v xml:space="preserve"> </v>
      </c>
      <c r="N224" s="9" t="str">
        <f>IF('Course 3'!$H222='tab3'!N$3,'Course 3'!$I222," ")</f>
        <v xml:space="preserve"> </v>
      </c>
    </row>
    <row r="225" spans="2:14">
      <c r="B225">
        <v>221</v>
      </c>
      <c r="C225" s="7" t="str">
        <f>IF('Course 3'!$H223='tab3'!C$3,'Course 3'!$I223," ")</f>
        <v xml:space="preserve"> </v>
      </c>
      <c r="D225" s="8" t="str">
        <f>IF('Course 3'!$H223='tab3'!D$3,'Course 3'!$I223," ")</f>
        <v xml:space="preserve"> </v>
      </c>
      <c r="E225" s="8" t="str">
        <f>IF('Course 3'!$H223='tab3'!E$3,'Course 3'!$I223," ")</f>
        <v xml:space="preserve"> </v>
      </c>
      <c r="F225" s="8" t="str">
        <f>IF('Course 3'!$H223='tab3'!F$3,'Course 3'!$I223," ")</f>
        <v xml:space="preserve"> </v>
      </c>
      <c r="G225" s="8" t="str">
        <f>IF('Course 3'!$H223='tab3'!G$3,'Course 3'!$I223," ")</f>
        <v xml:space="preserve"> </v>
      </c>
      <c r="H225" s="8" t="str">
        <f>IF('Course 3'!$H223='tab3'!H$3,'Course 3'!$I223," ")</f>
        <v xml:space="preserve"> </v>
      </c>
      <c r="I225" s="8" t="str">
        <f>IF('Course 3'!$H223='tab3'!I$3,'Course 3'!$I223," ")</f>
        <v xml:space="preserve"> </v>
      </c>
      <c r="J225" s="8" t="str">
        <f>IF('Course 3'!$H223='tab3'!J$3,'Course 3'!$I223," ")</f>
        <v xml:space="preserve"> </v>
      </c>
      <c r="K225" s="8" t="str">
        <f>IF('Course 3'!$H223='tab3'!K$3,'Course 3'!$I223," ")</f>
        <v xml:space="preserve"> </v>
      </c>
      <c r="L225" s="8" t="str">
        <f>IF('Course 3'!$H223='tab3'!L$3,'Course 3'!$I223," ")</f>
        <v xml:space="preserve"> </v>
      </c>
      <c r="M225" s="8" t="str">
        <f>IF('Course 3'!$H223='tab3'!M$3,'Course 3'!$I223," ")</f>
        <v xml:space="preserve"> </v>
      </c>
      <c r="N225" s="9" t="str">
        <f>IF('Course 3'!$H223='tab3'!N$3,'Course 3'!$I223," ")</f>
        <v xml:space="preserve"> </v>
      </c>
    </row>
    <row r="226" spans="2:14">
      <c r="B226">
        <v>222</v>
      </c>
      <c r="C226" s="7" t="str">
        <f>IF('Course 3'!$H224='tab3'!C$3,'Course 3'!$I224," ")</f>
        <v xml:space="preserve"> </v>
      </c>
      <c r="D226" s="8" t="str">
        <f>IF('Course 3'!$H224='tab3'!D$3,'Course 3'!$I224," ")</f>
        <v xml:space="preserve"> </v>
      </c>
      <c r="E226" s="8" t="str">
        <f>IF('Course 3'!$H224='tab3'!E$3,'Course 3'!$I224," ")</f>
        <v xml:space="preserve"> </v>
      </c>
      <c r="F226" s="8" t="str">
        <f>IF('Course 3'!$H224='tab3'!F$3,'Course 3'!$I224," ")</f>
        <v xml:space="preserve"> </v>
      </c>
      <c r="G226" s="8" t="str">
        <f>IF('Course 3'!$H224='tab3'!G$3,'Course 3'!$I224," ")</f>
        <v xml:space="preserve"> </v>
      </c>
      <c r="H226" s="8" t="str">
        <f>IF('Course 3'!$H224='tab3'!H$3,'Course 3'!$I224," ")</f>
        <v xml:space="preserve"> </v>
      </c>
      <c r="I226" s="8" t="str">
        <f>IF('Course 3'!$H224='tab3'!I$3,'Course 3'!$I224," ")</f>
        <v xml:space="preserve"> </v>
      </c>
      <c r="J226" s="8" t="str">
        <f>IF('Course 3'!$H224='tab3'!J$3,'Course 3'!$I224," ")</f>
        <v xml:space="preserve"> </v>
      </c>
      <c r="K226" s="8" t="str">
        <f>IF('Course 3'!$H224='tab3'!K$3,'Course 3'!$I224," ")</f>
        <v xml:space="preserve"> </v>
      </c>
      <c r="L226" s="8" t="str">
        <f>IF('Course 3'!$H224='tab3'!L$3,'Course 3'!$I224," ")</f>
        <v xml:space="preserve"> </v>
      </c>
      <c r="M226" s="8" t="str">
        <f>IF('Course 3'!$H224='tab3'!M$3,'Course 3'!$I224," ")</f>
        <v xml:space="preserve"> </v>
      </c>
      <c r="N226" s="9" t="str">
        <f>IF('Course 3'!$H224='tab3'!N$3,'Course 3'!$I224," ")</f>
        <v xml:space="preserve"> </v>
      </c>
    </row>
    <row r="227" spans="2:14">
      <c r="B227">
        <v>223</v>
      </c>
      <c r="C227" s="7" t="str">
        <f>IF('Course 3'!$H225='tab3'!C$3,'Course 3'!$I225," ")</f>
        <v xml:space="preserve"> </v>
      </c>
      <c r="D227" s="8" t="str">
        <f>IF('Course 3'!$H225='tab3'!D$3,'Course 3'!$I225," ")</f>
        <v xml:space="preserve"> </v>
      </c>
      <c r="E227" s="8" t="str">
        <f>IF('Course 3'!$H225='tab3'!E$3,'Course 3'!$I225," ")</f>
        <v xml:space="preserve"> </v>
      </c>
      <c r="F227" s="8" t="str">
        <f>IF('Course 3'!$H225='tab3'!F$3,'Course 3'!$I225," ")</f>
        <v xml:space="preserve"> </v>
      </c>
      <c r="G227" s="8" t="str">
        <f>IF('Course 3'!$H225='tab3'!G$3,'Course 3'!$I225," ")</f>
        <v xml:space="preserve"> </v>
      </c>
      <c r="H227" s="8" t="str">
        <f>IF('Course 3'!$H225='tab3'!H$3,'Course 3'!$I225," ")</f>
        <v xml:space="preserve"> </v>
      </c>
      <c r="I227" s="8" t="str">
        <f>IF('Course 3'!$H225='tab3'!I$3,'Course 3'!$I225," ")</f>
        <v xml:space="preserve"> </v>
      </c>
      <c r="J227" s="8" t="str">
        <f>IF('Course 3'!$H225='tab3'!J$3,'Course 3'!$I225," ")</f>
        <v xml:space="preserve"> </v>
      </c>
      <c r="K227" s="8" t="str">
        <f>IF('Course 3'!$H225='tab3'!K$3,'Course 3'!$I225," ")</f>
        <v xml:space="preserve"> </v>
      </c>
      <c r="L227" s="8" t="str">
        <f>IF('Course 3'!$H225='tab3'!L$3,'Course 3'!$I225," ")</f>
        <v xml:space="preserve"> </v>
      </c>
      <c r="M227" s="8" t="str">
        <f>IF('Course 3'!$H225='tab3'!M$3,'Course 3'!$I225," ")</f>
        <v xml:space="preserve"> </v>
      </c>
      <c r="N227" s="9" t="str">
        <f>IF('Course 3'!$H225='tab3'!N$3,'Course 3'!$I225," ")</f>
        <v xml:space="preserve"> </v>
      </c>
    </row>
    <row r="228" spans="2:14">
      <c r="B228">
        <v>224</v>
      </c>
      <c r="C228" s="7" t="str">
        <f>IF('Course 3'!$H226='tab3'!C$3,'Course 3'!$I226," ")</f>
        <v xml:space="preserve"> </v>
      </c>
      <c r="D228" s="8" t="str">
        <f>IF('Course 3'!$H226='tab3'!D$3,'Course 3'!$I226," ")</f>
        <v xml:space="preserve"> </v>
      </c>
      <c r="E228" s="8" t="str">
        <f>IF('Course 3'!$H226='tab3'!E$3,'Course 3'!$I226," ")</f>
        <v xml:space="preserve"> </v>
      </c>
      <c r="F228" s="8" t="str">
        <f>IF('Course 3'!$H226='tab3'!F$3,'Course 3'!$I226," ")</f>
        <v xml:space="preserve"> </v>
      </c>
      <c r="G228" s="8" t="str">
        <f>IF('Course 3'!$H226='tab3'!G$3,'Course 3'!$I226," ")</f>
        <v xml:space="preserve"> </v>
      </c>
      <c r="H228" s="8" t="str">
        <f>IF('Course 3'!$H226='tab3'!H$3,'Course 3'!$I226," ")</f>
        <v xml:space="preserve"> </v>
      </c>
      <c r="I228" s="8" t="str">
        <f>IF('Course 3'!$H226='tab3'!I$3,'Course 3'!$I226," ")</f>
        <v xml:space="preserve"> </v>
      </c>
      <c r="J228" s="8" t="str">
        <f>IF('Course 3'!$H226='tab3'!J$3,'Course 3'!$I226," ")</f>
        <v xml:space="preserve"> </v>
      </c>
      <c r="K228" s="8" t="str">
        <f>IF('Course 3'!$H226='tab3'!K$3,'Course 3'!$I226," ")</f>
        <v xml:space="preserve"> </v>
      </c>
      <c r="L228" s="8" t="str">
        <f>IF('Course 3'!$H226='tab3'!L$3,'Course 3'!$I226," ")</f>
        <v xml:space="preserve"> </v>
      </c>
      <c r="M228" s="8" t="str">
        <f>IF('Course 3'!$H226='tab3'!M$3,'Course 3'!$I226," ")</f>
        <v xml:space="preserve"> </v>
      </c>
      <c r="N228" s="9" t="str">
        <f>IF('Course 3'!$H226='tab3'!N$3,'Course 3'!$I226," ")</f>
        <v xml:space="preserve"> </v>
      </c>
    </row>
    <row r="229" spans="2:14">
      <c r="B229">
        <v>225</v>
      </c>
      <c r="C229" s="7" t="str">
        <f>IF('Course 3'!$H227='tab3'!C$3,'Course 3'!$I227," ")</f>
        <v xml:space="preserve"> </v>
      </c>
      <c r="D229" s="8" t="str">
        <f>IF('Course 3'!$H227='tab3'!D$3,'Course 3'!$I227," ")</f>
        <v xml:space="preserve"> </v>
      </c>
      <c r="E229" s="8" t="str">
        <f>IF('Course 3'!$H227='tab3'!E$3,'Course 3'!$I227," ")</f>
        <v xml:space="preserve"> </v>
      </c>
      <c r="F229" s="8" t="str">
        <f>IF('Course 3'!$H227='tab3'!F$3,'Course 3'!$I227," ")</f>
        <v xml:space="preserve"> </v>
      </c>
      <c r="G229" s="8" t="str">
        <f>IF('Course 3'!$H227='tab3'!G$3,'Course 3'!$I227," ")</f>
        <v xml:space="preserve"> </v>
      </c>
      <c r="H229" s="8" t="str">
        <f>IF('Course 3'!$H227='tab3'!H$3,'Course 3'!$I227," ")</f>
        <v xml:space="preserve"> </v>
      </c>
      <c r="I229" s="8" t="str">
        <f>IF('Course 3'!$H227='tab3'!I$3,'Course 3'!$I227," ")</f>
        <v xml:space="preserve"> </v>
      </c>
      <c r="J229" s="8" t="str">
        <f>IF('Course 3'!$H227='tab3'!J$3,'Course 3'!$I227," ")</f>
        <v xml:space="preserve"> </v>
      </c>
      <c r="K229" s="8" t="str">
        <f>IF('Course 3'!$H227='tab3'!K$3,'Course 3'!$I227," ")</f>
        <v xml:space="preserve"> </v>
      </c>
      <c r="L229" s="8" t="str">
        <f>IF('Course 3'!$H227='tab3'!L$3,'Course 3'!$I227," ")</f>
        <v xml:space="preserve"> </v>
      </c>
      <c r="M229" s="8" t="str">
        <f>IF('Course 3'!$H227='tab3'!M$3,'Course 3'!$I227," ")</f>
        <v xml:space="preserve"> </v>
      </c>
      <c r="N229" s="9" t="str">
        <f>IF('Course 3'!$H227='tab3'!N$3,'Course 3'!$I227," ")</f>
        <v xml:space="preserve"> </v>
      </c>
    </row>
    <row r="230" spans="2:14">
      <c r="B230">
        <v>226</v>
      </c>
      <c r="C230" s="7" t="str">
        <f>IF('Course 3'!$H228='tab3'!C$3,'Course 3'!$I228," ")</f>
        <v xml:space="preserve"> </v>
      </c>
      <c r="D230" s="8" t="str">
        <f>IF('Course 3'!$H228='tab3'!D$3,'Course 3'!$I228," ")</f>
        <v xml:space="preserve"> </v>
      </c>
      <c r="E230" s="8" t="str">
        <f>IF('Course 3'!$H228='tab3'!E$3,'Course 3'!$I228," ")</f>
        <v xml:space="preserve"> </v>
      </c>
      <c r="F230" s="8" t="str">
        <f>IF('Course 3'!$H228='tab3'!F$3,'Course 3'!$I228," ")</f>
        <v xml:space="preserve"> </v>
      </c>
      <c r="G230" s="8" t="str">
        <f>IF('Course 3'!$H228='tab3'!G$3,'Course 3'!$I228," ")</f>
        <v xml:space="preserve"> </v>
      </c>
      <c r="H230" s="8" t="str">
        <f>IF('Course 3'!$H228='tab3'!H$3,'Course 3'!$I228," ")</f>
        <v xml:space="preserve"> </v>
      </c>
      <c r="I230" s="8" t="str">
        <f>IF('Course 3'!$H228='tab3'!I$3,'Course 3'!$I228," ")</f>
        <v xml:space="preserve"> </v>
      </c>
      <c r="J230" s="8" t="str">
        <f>IF('Course 3'!$H228='tab3'!J$3,'Course 3'!$I228," ")</f>
        <v xml:space="preserve"> </v>
      </c>
      <c r="K230" s="8" t="str">
        <f>IF('Course 3'!$H228='tab3'!K$3,'Course 3'!$I228," ")</f>
        <v xml:space="preserve"> </v>
      </c>
      <c r="L230" s="8" t="str">
        <f>IF('Course 3'!$H228='tab3'!L$3,'Course 3'!$I228," ")</f>
        <v xml:space="preserve"> </v>
      </c>
      <c r="M230" s="8" t="str">
        <f>IF('Course 3'!$H228='tab3'!M$3,'Course 3'!$I228," ")</f>
        <v xml:space="preserve"> </v>
      </c>
      <c r="N230" s="9" t="str">
        <f>IF('Course 3'!$H228='tab3'!N$3,'Course 3'!$I228," ")</f>
        <v xml:space="preserve"> </v>
      </c>
    </row>
    <row r="231" spans="2:14">
      <c r="B231">
        <v>227</v>
      </c>
      <c r="C231" s="7" t="str">
        <f>IF('Course 3'!$H229='tab3'!C$3,'Course 3'!$I229," ")</f>
        <v xml:space="preserve"> </v>
      </c>
      <c r="D231" s="8" t="str">
        <f>IF('Course 3'!$H229='tab3'!D$3,'Course 3'!$I229," ")</f>
        <v xml:space="preserve"> </v>
      </c>
      <c r="E231" s="8" t="str">
        <f>IF('Course 3'!$H229='tab3'!E$3,'Course 3'!$I229," ")</f>
        <v xml:space="preserve"> </v>
      </c>
      <c r="F231" s="8" t="str">
        <f>IF('Course 3'!$H229='tab3'!F$3,'Course 3'!$I229," ")</f>
        <v xml:space="preserve"> </v>
      </c>
      <c r="G231" s="8" t="str">
        <f>IF('Course 3'!$H229='tab3'!G$3,'Course 3'!$I229," ")</f>
        <v xml:space="preserve"> </v>
      </c>
      <c r="H231" s="8" t="str">
        <f>IF('Course 3'!$H229='tab3'!H$3,'Course 3'!$I229," ")</f>
        <v xml:space="preserve"> </v>
      </c>
      <c r="I231" s="8" t="str">
        <f>IF('Course 3'!$H229='tab3'!I$3,'Course 3'!$I229," ")</f>
        <v xml:space="preserve"> </v>
      </c>
      <c r="J231" s="8" t="str">
        <f>IF('Course 3'!$H229='tab3'!J$3,'Course 3'!$I229," ")</f>
        <v xml:space="preserve"> </v>
      </c>
      <c r="K231" s="8" t="str">
        <f>IF('Course 3'!$H229='tab3'!K$3,'Course 3'!$I229," ")</f>
        <v xml:space="preserve"> </v>
      </c>
      <c r="L231" s="8" t="str">
        <f>IF('Course 3'!$H229='tab3'!L$3,'Course 3'!$I229," ")</f>
        <v xml:space="preserve"> </v>
      </c>
      <c r="M231" s="8" t="str">
        <f>IF('Course 3'!$H229='tab3'!M$3,'Course 3'!$I229," ")</f>
        <v xml:space="preserve"> </v>
      </c>
      <c r="N231" s="9" t="str">
        <f>IF('Course 3'!$H229='tab3'!N$3,'Course 3'!$I229," ")</f>
        <v xml:space="preserve"> </v>
      </c>
    </row>
    <row r="232" spans="2:14">
      <c r="B232">
        <v>228</v>
      </c>
      <c r="C232" s="7" t="str">
        <f>IF('Course 3'!$H230='tab3'!C$3,'Course 3'!$I230," ")</f>
        <v xml:space="preserve"> </v>
      </c>
      <c r="D232" s="8" t="str">
        <f>IF('Course 3'!$H230='tab3'!D$3,'Course 3'!$I230," ")</f>
        <v xml:space="preserve"> </v>
      </c>
      <c r="E232" s="8" t="str">
        <f>IF('Course 3'!$H230='tab3'!E$3,'Course 3'!$I230," ")</f>
        <v xml:space="preserve"> </v>
      </c>
      <c r="F232" s="8" t="str">
        <f>IF('Course 3'!$H230='tab3'!F$3,'Course 3'!$I230," ")</f>
        <v xml:space="preserve"> </v>
      </c>
      <c r="G232" s="8" t="str">
        <f>IF('Course 3'!$H230='tab3'!G$3,'Course 3'!$I230," ")</f>
        <v xml:space="preserve"> </v>
      </c>
      <c r="H232" s="8" t="str">
        <f>IF('Course 3'!$H230='tab3'!H$3,'Course 3'!$I230," ")</f>
        <v xml:space="preserve"> </v>
      </c>
      <c r="I232" s="8" t="str">
        <f>IF('Course 3'!$H230='tab3'!I$3,'Course 3'!$I230," ")</f>
        <v xml:space="preserve"> </v>
      </c>
      <c r="J232" s="8" t="str">
        <f>IF('Course 3'!$H230='tab3'!J$3,'Course 3'!$I230," ")</f>
        <v xml:space="preserve"> </v>
      </c>
      <c r="K232" s="8" t="str">
        <f>IF('Course 3'!$H230='tab3'!K$3,'Course 3'!$I230," ")</f>
        <v xml:space="preserve"> </v>
      </c>
      <c r="L232" s="8" t="str">
        <f>IF('Course 3'!$H230='tab3'!L$3,'Course 3'!$I230," ")</f>
        <v xml:space="preserve"> </v>
      </c>
      <c r="M232" s="8" t="str">
        <f>IF('Course 3'!$H230='tab3'!M$3,'Course 3'!$I230," ")</f>
        <v xml:space="preserve"> </v>
      </c>
      <c r="N232" s="9" t="str">
        <f>IF('Course 3'!$H230='tab3'!N$3,'Course 3'!$I230," ")</f>
        <v xml:space="preserve"> </v>
      </c>
    </row>
    <row r="233" spans="2:14">
      <c r="B233">
        <v>229</v>
      </c>
      <c r="C233" s="7" t="str">
        <f>IF('Course 3'!$H231='tab3'!C$3,'Course 3'!$I231," ")</f>
        <v xml:space="preserve"> </v>
      </c>
      <c r="D233" s="8" t="str">
        <f>IF('Course 3'!$H231='tab3'!D$3,'Course 3'!$I231," ")</f>
        <v xml:space="preserve"> </v>
      </c>
      <c r="E233" s="8" t="str">
        <f>IF('Course 3'!$H231='tab3'!E$3,'Course 3'!$I231," ")</f>
        <v xml:space="preserve"> </v>
      </c>
      <c r="F233" s="8" t="str">
        <f>IF('Course 3'!$H231='tab3'!F$3,'Course 3'!$I231," ")</f>
        <v xml:space="preserve"> </v>
      </c>
      <c r="G233" s="8" t="str">
        <f>IF('Course 3'!$H231='tab3'!G$3,'Course 3'!$I231," ")</f>
        <v xml:space="preserve"> </v>
      </c>
      <c r="H233" s="8" t="str">
        <f>IF('Course 3'!$H231='tab3'!H$3,'Course 3'!$I231," ")</f>
        <v xml:space="preserve"> </v>
      </c>
      <c r="I233" s="8" t="str">
        <f>IF('Course 3'!$H231='tab3'!I$3,'Course 3'!$I231," ")</f>
        <v xml:space="preserve"> </v>
      </c>
      <c r="J233" s="8" t="str">
        <f>IF('Course 3'!$H231='tab3'!J$3,'Course 3'!$I231," ")</f>
        <v xml:space="preserve"> </v>
      </c>
      <c r="K233" s="8" t="str">
        <f>IF('Course 3'!$H231='tab3'!K$3,'Course 3'!$I231," ")</f>
        <v xml:space="preserve"> </v>
      </c>
      <c r="L233" s="8" t="str">
        <f>IF('Course 3'!$H231='tab3'!L$3,'Course 3'!$I231," ")</f>
        <v xml:space="preserve"> </v>
      </c>
      <c r="M233" s="8" t="str">
        <f>IF('Course 3'!$H231='tab3'!M$3,'Course 3'!$I231," ")</f>
        <v xml:space="preserve"> </v>
      </c>
      <c r="N233" s="9" t="str">
        <f>IF('Course 3'!$H231='tab3'!N$3,'Course 3'!$I231," ")</f>
        <v xml:space="preserve"> </v>
      </c>
    </row>
    <row r="234" spans="2:14">
      <c r="B234">
        <v>230</v>
      </c>
      <c r="C234" s="7" t="str">
        <f>IF('Course 3'!$H232='tab3'!C$3,'Course 3'!$I232," ")</f>
        <v xml:space="preserve"> </v>
      </c>
      <c r="D234" s="8" t="str">
        <f>IF('Course 3'!$H232='tab3'!D$3,'Course 3'!$I232," ")</f>
        <v xml:space="preserve"> </v>
      </c>
      <c r="E234" s="8" t="str">
        <f>IF('Course 3'!$H232='tab3'!E$3,'Course 3'!$I232," ")</f>
        <v xml:space="preserve"> </v>
      </c>
      <c r="F234" s="8" t="str">
        <f>IF('Course 3'!$H232='tab3'!F$3,'Course 3'!$I232," ")</f>
        <v xml:space="preserve"> </v>
      </c>
      <c r="G234" s="8" t="str">
        <f>IF('Course 3'!$H232='tab3'!G$3,'Course 3'!$I232," ")</f>
        <v xml:space="preserve"> </v>
      </c>
      <c r="H234" s="8" t="str">
        <f>IF('Course 3'!$H232='tab3'!H$3,'Course 3'!$I232," ")</f>
        <v xml:space="preserve"> </v>
      </c>
      <c r="I234" s="8" t="str">
        <f>IF('Course 3'!$H232='tab3'!I$3,'Course 3'!$I232," ")</f>
        <v xml:space="preserve"> </v>
      </c>
      <c r="J234" s="8" t="str">
        <f>IF('Course 3'!$H232='tab3'!J$3,'Course 3'!$I232," ")</f>
        <v xml:space="preserve"> </v>
      </c>
      <c r="K234" s="8" t="str">
        <f>IF('Course 3'!$H232='tab3'!K$3,'Course 3'!$I232," ")</f>
        <v xml:space="preserve"> </v>
      </c>
      <c r="L234" s="8" t="str">
        <f>IF('Course 3'!$H232='tab3'!L$3,'Course 3'!$I232," ")</f>
        <v xml:space="preserve"> </v>
      </c>
      <c r="M234" s="8" t="str">
        <f>IF('Course 3'!$H232='tab3'!M$3,'Course 3'!$I232," ")</f>
        <v xml:space="preserve"> </v>
      </c>
      <c r="N234" s="9" t="str">
        <f>IF('Course 3'!$H232='tab3'!N$3,'Course 3'!$I232," ")</f>
        <v xml:space="preserve"> </v>
      </c>
    </row>
    <row r="235" spans="2:14">
      <c r="B235">
        <v>231</v>
      </c>
      <c r="C235" s="7" t="str">
        <f>IF('Course 3'!$H233='tab3'!C$3,'Course 3'!$I233," ")</f>
        <v xml:space="preserve"> </v>
      </c>
      <c r="D235" s="8" t="str">
        <f>IF('Course 3'!$H233='tab3'!D$3,'Course 3'!$I233," ")</f>
        <v xml:space="preserve"> </v>
      </c>
      <c r="E235" s="8" t="str">
        <f>IF('Course 3'!$H233='tab3'!E$3,'Course 3'!$I233," ")</f>
        <v xml:space="preserve"> </v>
      </c>
      <c r="F235" s="8" t="str">
        <f>IF('Course 3'!$H233='tab3'!F$3,'Course 3'!$I233," ")</f>
        <v xml:space="preserve"> </v>
      </c>
      <c r="G235" s="8" t="str">
        <f>IF('Course 3'!$H233='tab3'!G$3,'Course 3'!$I233," ")</f>
        <v xml:space="preserve"> </v>
      </c>
      <c r="H235" s="8" t="str">
        <f>IF('Course 3'!$H233='tab3'!H$3,'Course 3'!$I233," ")</f>
        <v xml:space="preserve"> </v>
      </c>
      <c r="I235" s="8" t="str">
        <f>IF('Course 3'!$H233='tab3'!I$3,'Course 3'!$I233," ")</f>
        <v xml:space="preserve"> </v>
      </c>
      <c r="J235" s="8" t="str">
        <f>IF('Course 3'!$H233='tab3'!J$3,'Course 3'!$I233," ")</f>
        <v xml:space="preserve"> </v>
      </c>
      <c r="K235" s="8" t="str">
        <f>IF('Course 3'!$H233='tab3'!K$3,'Course 3'!$I233," ")</f>
        <v xml:space="preserve"> </v>
      </c>
      <c r="L235" s="8" t="str">
        <f>IF('Course 3'!$H233='tab3'!L$3,'Course 3'!$I233," ")</f>
        <v xml:space="preserve"> </v>
      </c>
      <c r="M235" s="8" t="str">
        <f>IF('Course 3'!$H233='tab3'!M$3,'Course 3'!$I233," ")</f>
        <v xml:space="preserve"> </v>
      </c>
      <c r="N235" s="9" t="str">
        <f>IF('Course 3'!$H233='tab3'!N$3,'Course 3'!$I233," ")</f>
        <v xml:space="preserve"> </v>
      </c>
    </row>
    <row r="236" spans="2:14">
      <c r="B236">
        <v>232</v>
      </c>
      <c r="C236" s="7" t="str">
        <f>IF('Course 3'!$H234='tab3'!C$3,'Course 3'!$I234," ")</f>
        <v xml:space="preserve"> </v>
      </c>
      <c r="D236" s="8" t="str">
        <f>IF('Course 3'!$H234='tab3'!D$3,'Course 3'!$I234," ")</f>
        <v xml:space="preserve"> </v>
      </c>
      <c r="E236" s="8" t="str">
        <f>IF('Course 3'!$H234='tab3'!E$3,'Course 3'!$I234," ")</f>
        <v xml:space="preserve"> </v>
      </c>
      <c r="F236" s="8" t="str">
        <f>IF('Course 3'!$H234='tab3'!F$3,'Course 3'!$I234," ")</f>
        <v xml:space="preserve"> </v>
      </c>
      <c r="G236" s="8" t="str">
        <f>IF('Course 3'!$H234='tab3'!G$3,'Course 3'!$I234," ")</f>
        <v xml:space="preserve"> </v>
      </c>
      <c r="H236" s="8" t="str">
        <f>IF('Course 3'!$H234='tab3'!H$3,'Course 3'!$I234," ")</f>
        <v xml:space="preserve"> </v>
      </c>
      <c r="I236" s="8" t="str">
        <f>IF('Course 3'!$H234='tab3'!I$3,'Course 3'!$I234," ")</f>
        <v xml:space="preserve"> </v>
      </c>
      <c r="J236" s="8" t="str">
        <f>IF('Course 3'!$H234='tab3'!J$3,'Course 3'!$I234," ")</f>
        <v xml:space="preserve"> </v>
      </c>
      <c r="K236" s="8" t="str">
        <f>IF('Course 3'!$H234='tab3'!K$3,'Course 3'!$I234," ")</f>
        <v xml:space="preserve"> </v>
      </c>
      <c r="L236" s="8" t="str">
        <f>IF('Course 3'!$H234='tab3'!L$3,'Course 3'!$I234," ")</f>
        <v xml:space="preserve"> </v>
      </c>
      <c r="M236" s="8" t="str">
        <f>IF('Course 3'!$H234='tab3'!M$3,'Course 3'!$I234," ")</f>
        <v xml:space="preserve"> </v>
      </c>
      <c r="N236" s="9" t="str">
        <f>IF('Course 3'!$H234='tab3'!N$3,'Course 3'!$I234," ")</f>
        <v xml:space="preserve"> </v>
      </c>
    </row>
    <row r="237" spans="2:14">
      <c r="B237">
        <v>233</v>
      </c>
      <c r="C237" s="7" t="str">
        <f>IF('Course 3'!$H235='tab3'!C$3,'Course 3'!$I235," ")</f>
        <v xml:space="preserve"> </v>
      </c>
      <c r="D237" s="8" t="str">
        <f>IF('Course 3'!$H235='tab3'!D$3,'Course 3'!$I235," ")</f>
        <v xml:space="preserve"> </v>
      </c>
      <c r="E237" s="8" t="str">
        <f>IF('Course 3'!$H235='tab3'!E$3,'Course 3'!$I235," ")</f>
        <v xml:space="preserve"> </v>
      </c>
      <c r="F237" s="8" t="str">
        <f>IF('Course 3'!$H235='tab3'!F$3,'Course 3'!$I235," ")</f>
        <v xml:space="preserve"> </v>
      </c>
      <c r="G237" s="8" t="str">
        <f>IF('Course 3'!$H235='tab3'!G$3,'Course 3'!$I235," ")</f>
        <v xml:space="preserve"> </v>
      </c>
      <c r="H237" s="8" t="str">
        <f>IF('Course 3'!$H235='tab3'!H$3,'Course 3'!$I235," ")</f>
        <v xml:space="preserve"> </v>
      </c>
      <c r="I237" s="8" t="str">
        <f>IF('Course 3'!$H235='tab3'!I$3,'Course 3'!$I235," ")</f>
        <v xml:space="preserve"> </v>
      </c>
      <c r="J237" s="8" t="str">
        <f>IF('Course 3'!$H235='tab3'!J$3,'Course 3'!$I235," ")</f>
        <v xml:space="preserve"> </v>
      </c>
      <c r="K237" s="8" t="str">
        <f>IF('Course 3'!$H235='tab3'!K$3,'Course 3'!$I235," ")</f>
        <v xml:space="preserve"> </v>
      </c>
      <c r="L237" s="8" t="str">
        <f>IF('Course 3'!$H235='tab3'!L$3,'Course 3'!$I235," ")</f>
        <v xml:space="preserve"> </v>
      </c>
      <c r="M237" s="8" t="str">
        <f>IF('Course 3'!$H235='tab3'!M$3,'Course 3'!$I235," ")</f>
        <v xml:space="preserve"> </v>
      </c>
      <c r="N237" s="9" t="str">
        <f>IF('Course 3'!$H235='tab3'!N$3,'Course 3'!$I235," ")</f>
        <v xml:space="preserve"> </v>
      </c>
    </row>
    <row r="238" spans="2:14">
      <c r="B238">
        <v>234</v>
      </c>
      <c r="C238" s="7" t="str">
        <f>IF('Course 3'!$H236='tab3'!C$3,'Course 3'!$I236," ")</f>
        <v xml:space="preserve"> </v>
      </c>
      <c r="D238" s="8" t="str">
        <f>IF('Course 3'!$H236='tab3'!D$3,'Course 3'!$I236," ")</f>
        <v xml:space="preserve"> </v>
      </c>
      <c r="E238" s="8" t="str">
        <f>IF('Course 3'!$H236='tab3'!E$3,'Course 3'!$I236," ")</f>
        <v xml:space="preserve"> </v>
      </c>
      <c r="F238" s="8" t="str">
        <f>IF('Course 3'!$H236='tab3'!F$3,'Course 3'!$I236," ")</f>
        <v xml:space="preserve"> </v>
      </c>
      <c r="G238" s="8" t="str">
        <f>IF('Course 3'!$H236='tab3'!G$3,'Course 3'!$I236," ")</f>
        <v xml:space="preserve"> </v>
      </c>
      <c r="H238" s="8" t="str">
        <f>IF('Course 3'!$H236='tab3'!H$3,'Course 3'!$I236," ")</f>
        <v xml:space="preserve"> </v>
      </c>
      <c r="I238" s="8" t="str">
        <f>IF('Course 3'!$H236='tab3'!I$3,'Course 3'!$I236," ")</f>
        <v xml:space="preserve"> </v>
      </c>
      <c r="J238" s="8" t="str">
        <f>IF('Course 3'!$H236='tab3'!J$3,'Course 3'!$I236," ")</f>
        <v xml:space="preserve"> </v>
      </c>
      <c r="K238" s="8" t="str">
        <f>IF('Course 3'!$H236='tab3'!K$3,'Course 3'!$I236," ")</f>
        <v xml:space="preserve"> </v>
      </c>
      <c r="L238" s="8" t="str">
        <f>IF('Course 3'!$H236='tab3'!L$3,'Course 3'!$I236," ")</f>
        <v xml:space="preserve"> </v>
      </c>
      <c r="M238" s="8" t="str">
        <f>IF('Course 3'!$H236='tab3'!M$3,'Course 3'!$I236," ")</f>
        <v xml:space="preserve"> </v>
      </c>
      <c r="N238" s="9" t="str">
        <f>IF('Course 3'!$H236='tab3'!N$3,'Course 3'!$I236," ")</f>
        <v xml:space="preserve"> </v>
      </c>
    </row>
    <row r="239" spans="2:14">
      <c r="B239">
        <v>235</v>
      </c>
      <c r="C239" s="7" t="str">
        <f>IF('Course 3'!$H237='tab3'!C$3,'Course 3'!$I237," ")</f>
        <v xml:space="preserve"> </v>
      </c>
      <c r="D239" s="8" t="str">
        <f>IF('Course 3'!$H237='tab3'!D$3,'Course 3'!$I237," ")</f>
        <v xml:space="preserve"> </v>
      </c>
      <c r="E239" s="8" t="str">
        <f>IF('Course 3'!$H237='tab3'!E$3,'Course 3'!$I237," ")</f>
        <v xml:space="preserve"> </v>
      </c>
      <c r="F239" s="8" t="str">
        <f>IF('Course 3'!$H237='tab3'!F$3,'Course 3'!$I237," ")</f>
        <v xml:space="preserve"> </v>
      </c>
      <c r="G239" s="8" t="str">
        <f>IF('Course 3'!$H237='tab3'!G$3,'Course 3'!$I237," ")</f>
        <v xml:space="preserve"> </v>
      </c>
      <c r="H239" s="8" t="str">
        <f>IF('Course 3'!$H237='tab3'!H$3,'Course 3'!$I237," ")</f>
        <v xml:space="preserve"> </v>
      </c>
      <c r="I239" s="8" t="str">
        <f>IF('Course 3'!$H237='tab3'!I$3,'Course 3'!$I237," ")</f>
        <v xml:space="preserve"> </v>
      </c>
      <c r="J239" s="8" t="str">
        <f>IF('Course 3'!$H237='tab3'!J$3,'Course 3'!$I237," ")</f>
        <v xml:space="preserve"> </v>
      </c>
      <c r="K239" s="8" t="str">
        <f>IF('Course 3'!$H237='tab3'!K$3,'Course 3'!$I237," ")</f>
        <v xml:space="preserve"> </v>
      </c>
      <c r="L239" s="8" t="str">
        <f>IF('Course 3'!$H237='tab3'!L$3,'Course 3'!$I237," ")</f>
        <v xml:space="preserve"> </v>
      </c>
      <c r="M239" s="8" t="str">
        <f>IF('Course 3'!$H237='tab3'!M$3,'Course 3'!$I237," ")</f>
        <v xml:space="preserve"> </v>
      </c>
      <c r="N239" s="9" t="str">
        <f>IF('Course 3'!$H237='tab3'!N$3,'Course 3'!$I237," ")</f>
        <v xml:space="preserve"> </v>
      </c>
    </row>
    <row r="240" spans="2:14">
      <c r="B240">
        <v>236</v>
      </c>
      <c r="C240" s="7" t="str">
        <f>IF('Course 3'!$H238='tab3'!C$3,'Course 3'!$I238," ")</f>
        <v xml:space="preserve"> </v>
      </c>
      <c r="D240" s="8" t="str">
        <f>IF('Course 3'!$H238='tab3'!D$3,'Course 3'!$I238," ")</f>
        <v xml:space="preserve"> </v>
      </c>
      <c r="E240" s="8" t="str">
        <f>IF('Course 3'!$H238='tab3'!E$3,'Course 3'!$I238," ")</f>
        <v xml:space="preserve"> </v>
      </c>
      <c r="F240" s="8" t="str">
        <f>IF('Course 3'!$H238='tab3'!F$3,'Course 3'!$I238," ")</f>
        <v xml:space="preserve"> </v>
      </c>
      <c r="G240" s="8" t="str">
        <f>IF('Course 3'!$H238='tab3'!G$3,'Course 3'!$I238," ")</f>
        <v xml:space="preserve"> </v>
      </c>
      <c r="H240" s="8" t="str">
        <f>IF('Course 3'!$H238='tab3'!H$3,'Course 3'!$I238," ")</f>
        <v xml:space="preserve"> </v>
      </c>
      <c r="I240" s="8" t="str">
        <f>IF('Course 3'!$H238='tab3'!I$3,'Course 3'!$I238," ")</f>
        <v xml:space="preserve"> </v>
      </c>
      <c r="J240" s="8" t="str">
        <f>IF('Course 3'!$H238='tab3'!J$3,'Course 3'!$I238," ")</f>
        <v xml:space="preserve"> </v>
      </c>
      <c r="K240" s="8" t="str">
        <f>IF('Course 3'!$H238='tab3'!K$3,'Course 3'!$I238," ")</f>
        <v xml:space="preserve"> </v>
      </c>
      <c r="L240" s="8" t="str">
        <f>IF('Course 3'!$H238='tab3'!L$3,'Course 3'!$I238," ")</f>
        <v xml:space="preserve"> </v>
      </c>
      <c r="M240" s="8" t="str">
        <f>IF('Course 3'!$H238='tab3'!M$3,'Course 3'!$I238," ")</f>
        <v xml:space="preserve"> </v>
      </c>
      <c r="N240" s="9" t="str">
        <f>IF('Course 3'!$H238='tab3'!N$3,'Course 3'!$I238," ")</f>
        <v xml:space="preserve"> </v>
      </c>
    </row>
    <row r="241" spans="2:14">
      <c r="B241">
        <v>237</v>
      </c>
      <c r="C241" s="7" t="str">
        <f>IF('Course 3'!$H239='tab3'!C$3,'Course 3'!$I239," ")</f>
        <v xml:space="preserve"> </v>
      </c>
      <c r="D241" s="8" t="str">
        <f>IF('Course 3'!$H239='tab3'!D$3,'Course 3'!$I239," ")</f>
        <v xml:space="preserve"> </v>
      </c>
      <c r="E241" s="8" t="str">
        <f>IF('Course 3'!$H239='tab3'!E$3,'Course 3'!$I239," ")</f>
        <v xml:space="preserve"> </v>
      </c>
      <c r="F241" s="8" t="str">
        <f>IF('Course 3'!$H239='tab3'!F$3,'Course 3'!$I239," ")</f>
        <v xml:space="preserve"> </v>
      </c>
      <c r="G241" s="8" t="str">
        <f>IF('Course 3'!$H239='tab3'!G$3,'Course 3'!$I239," ")</f>
        <v xml:space="preserve"> </v>
      </c>
      <c r="H241" s="8" t="str">
        <f>IF('Course 3'!$H239='tab3'!H$3,'Course 3'!$I239," ")</f>
        <v xml:space="preserve"> </v>
      </c>
      <c r="I241" s="8" t="str">
        <f>IF('Course 3'!$H239='tab3'!I$3,'Course 3'!$I239," ")</f>
        <v xml:space="preserve"> </v>
      </c>
      <c r="J241" s="8" t="str">
        <f>IF('Course 3'!$H239='tab3'!J$3,'Course 3'!$I239," ")</f>
        <v xml:space="preserve"> </v>
      </c>
      <c r="K241" s="8" t="str">
        <f>IF('Course 3'!$H239='tab3'!K$3,'Course 3'!$I239," ")</f>
        <v xml:space="preserve"> </v>
      </c>
      <c r="L241" s="8" t="str">
        <f>IF('Course 3'!$H239='tab3'!L$3,'Course 3'!$I239," ")</f>
        <v xml:space="preserve"> </v>
      </c>
      <c r="M241" s="8" t="str">
        <f>IF('Course 3'!$H239='tab3'!M$3,'Course 3'!$I239," ")</f>
        <v xml:space="preserve"> </v>
      </c>
      <c r="N241" s="9" t="str">
        <f>IF('Course 3'!$H239='tab3'!N$3,'Course 3'!$I239," ")</f>
        <v xml:space="preserve"> </v>
      </c>
    </row>
    <row r="242" spans="2:14">
      <c r="B242">
        <v>238</v>
      </c>
      <c r="C242" s="7" t="str">
        <f>IF('Course 3'!$H240='tab3'!C$3,'Course 3'!$I240," ")</f>
        <v xml:space="preserve"> </v>
      </c>
      <c r="D242" s="8" t="str">
        <f>IF('Course 3'!$H240='tab3'!D$3,'Course 3'!$I240," ")</f>
        <v xml:space="preserve"> </v>
      </c>
      <c r="E242" s="8" t="str">
        <f>IF('Course 3'!$H240='tab3'!E$3,'Course 3'!$I240," ")</f>
        <v xml:space="preserve"> </v>
      </c>
      <c r="F242" s="8" t="str">
        <f>IF('Course 3'!$H240='tab3'!F$3,'Course 3'!$I240," ")</f>
        <v xml:space="preserve"> </v>
      </c>
      <c r="G242" s="8" t="str">
        <f>IF('Course 3'!$H240='tab3'!G$3,'Course 3'!$I240," ")</f>
        <v xml:space="preserve"> </v>
      </c>
      <c r="H242" s="8" t="str">
        <f>IF('Course 3'!$H240='tab3'!H$3,'Course 3'!$I240," ")</f>
        <v xml:space="preserve"> </v>
      </c>
      <c r="I242" s="8" t="str">
        <f>IF('Course 3'!$H240='tab3'!I$3,'Course 3'!$I240," ")</f>
        <v xml:space="preserve"> </v>
      </c>
      <c r="J242" s="8" t="str">
        <f>IF('Course 3'!$H240='tab3'!J$3,'Course 3'!$I240," ")</f>
        <v xml:space="preserve"> </v>
      </c>
      <c r="K242" s="8" t="str">
        <f>IF('Course 3'!$H240='tab3'!K$3,'Course 3'!$I240," ")</f>
        <v xml:space="preserve"> </v>
      </c>
      <c r="L242" s="8" t="str">
        <f>IF('Course 3'!$H240='tab3'!L$3,'Course 3'!$I240," ")</f>
        <v xml:space="preserve"> </v>
      </c>
      <c r="M242" s="8" t="str">
        <f>IF('Course 3'!$H240='tab3'!M$3,'Course 3'!$I240," ")</f>
        <v xml:space="preserve"> </v>
      </c>
      <c r="N242" s="9" t="str">
        <f>IF('Course 3'!$H240='tab3'!N$3,'Course 3'!$I240," ")</f>
        <v xml:space="preserve"> </v>
      </c>
    </row>
    <row r="243" spans="2:14">
      <c r="B243">
        <v>239</v>
      </c>
      <c r="C243" s="7" t="str">
        <f>IF('Course 3'!$H241='tab3'!C$3,'Course 3'!$I241," ")</f>
        <v xml:space="preserve"> </v>
      </c>
      <c r="D243" s="8" t="str">
        <f>IF('Course 3'!$H241='tab3'!D$3,'Course 3'!$I241," ")</f>
        <v xml:space="preserve"> </v>
      </c>
      <c r="E243" s="8" t="str">
        <f>IF('Course 3'!$H241='tab3'!E$3,'Course 3'!$I241," ")</f>
        <v xml:space="preserve"> </v>
      </c>
      <c r="F243" s="8" t="str">
        <f>IF('Course 3'!$H241='tab3'!F$3,'Course 3'!$I241," ")</f>
        <v xml:space="preserve"> </v>
      </c>
      <c r="G243" s="8" t="str">
        <f>IF('Course 3'!$H241='tab3'!G$3,'Course 3'!$I241," ")</f>
        <v xml:space="preserve"> </v>
      </c>
      <c r="H243" s="8" t="str">
        <f>IF('Course 3'!$H241='tab3'!H$3,'Course 3'!$I241," ")</f>
        <v xml:space="preserve"> </v>
      </c>
      <c r="I243" s="8" t="str">
        <f>IF('Course 3'!$H241='tab3'!I$3,'Course 3'!$I241," ")</f>
        <v xml:space="preserve"> </v>
      </c>
      <c r="J243" s="8" t="str">
        <f>IF('Course 3'!$H241='tab3'!J$3,'Course 3'!$I241," ")</f>
        <v xml:space="preserve"> </v>
      </c>
      <c r="K243" s="8" t="str">
        <f>IF('Course 3'!$H241='tab3'!K$3,'Course 3'!$I241," ")</f>
        <v xml:space="preserve"> </v>
      </c>
      <c r="L243" s="8" t="str">
        <f>IF('Course 3'!$H241='tab3'!L$3,'Course 3'!$I241," ")</f>
        <v xml:space="preserve"> </v>
      </c>
      <c r="M243" s="8" t="str">
        <f>IF('Course 3'!$H241='tab3'!M$3,'Course 3'!$I241," ")</f>
        <v xml:space="preserve"> </v>
      </c>
      <c r="N243" s="9" t="str">
        <f>IF('Course 3'!$H241='tab3'!N$3,'Course 3'!$I241," ")</f>
        <v xml:space="preserve"> </v>
      </c>
    </row>
    <row r="244" spans="2:14">
      <c r="B244">
        <v>240</v>
      </c>
      <c r="C244" s="7" t="str">
        <f>IF('Course 3'!$H242='tab3'!C$3,'Course 3'!$I242," ")</f>
        <v xml:space="preserve"> </v>
      </c>
      <c r="D244" s="8" t="str">
        <f>IF('Course 3'!$H242='tab3'!D$3,'Course 3'!$I242," ")</f>
        <v xml:space="preserve"> </v>
      </c>
      <c r="E244" s="8" t="str">
        <f>IF('Course 3'!$H242='tab3'!E$3,'Course 3'!$I242," ")</f>
        <v xml:space="preserve"> </v>
      </c>
      <c r="F244" s="8" t="str">
        <f>IF('Course 3'!$H242='tab3'!F$3,'Course 3'!$I242," ")</f>
        <v xml:space="preserve"> </v>
      </c>
      <c r="G244" s="8" t="str">
        <f>IF('Course 3'!$H242='tab3'!G$3,'Course 3'!$I242," ")</f>
        <v xml:space="preserve"> </v>
      </c>
      <c r="H244" s="8" t="str">
        <f>IF('Course 3'!$H242='tab3'!H$3,'Course 3'!$I242," ")</f>
        <v xml:space="preserve"> </v>
      </c>
      <c r="I244" s="8" t="str">
        <f>IF('Course 3'!$H242='tab3'!I$3,'Course 3'!$I242," ")</f>
        <v xml:space="preserve"> </v>
      </c>
      <c r="J244" s="8" t="str">
        <f>IF('Course 3'!$H242='tab3'!J$3,'Course 3'!$I242," ")</f>
        <v xml:space="preserve"> </v>
      </c>
      <c r="K244" s="8" t="str">
        <f>IF('Course 3'!$H242='tab3'!K$3,'Course 3'!$I242," ")</f>
        <v xml:space="preserve"> </v>
      </c>
      <c r="L244" s="8" t="str">
        <f>IF('Course 3'!$H242='tab3'!L$3,'Course 3'!$I242," ")</f>
        <v xml:space="preserve"> </v>
      </c>
      <c r="M244" s="8" t="str">
        <f>IF('Course 3'!$H242='tab3'!M$3,'Course 3'!$I242," ")</f>
        <v xml:space="preserve"> </v>
      </c>
      <c r="N244" s="9" t="str">
        <f>IF('Course 3'!$H242='tab3'!N$3,'Course 3'!$I242," ")</f>
        <v xml:space="preserve"> </v>
      </c>
    </row>
    <row r="245" spans="2:14">
      <c r="B245">
        <v>241</v>
      </c>
      <c r="C245" s="7" t="str">
        <f>IF('Course 3'!$H243='tab3'!C$3,'Course 3'!$I243," ")</f>
        <v xml:space="preserve"> </v>
      </c>
      <c r="D245" s="8" t="str">
        <f>IF('Course 3'!$H243='tab3'!D$3,'Course 3'!$I243," ")</f>
        <v xml:space="preserve"> </v>
      </c>
      <c r="E245" s="8" t="str">
        <f>IF('Course 3'!$H243='tab3'!E$3,'Course 3'!$I243," ")</f>
        <v xml:space="preserve"> </v>
      </c>
      <c r="F245" s="8" t="str">
        <f>IF('Course 3'!$H243='tab3'!F$3,'Course 3'!$I243," ")</f>
        <v xml:space="preserve"> </v>
      </c>
      <c r="G245" s="8" t="str">
        <f>IF('Course 3'!$H243='tab3'!G$3,'Course 3'!$I243," ")</f>
        <v xml:space="preserve"> </v>
      </c>
      <c r="H245" s="8" t="str">
        <f>IF('Course 3'!$H243='tab3'!H$3,'Course 3'!$I243," ")</f>
        <v xml:space="preserve"> </v>
      </c>
      <c r="I245" s="8" t="str">
        <f>IF('Course 3'!$H243='tab3'!I$3,'Course 3'!$I243," ")</f>
        <v xml:space="preserve"> </v>
      </c>
      <c r="J245" s="8" t="str">
        <f>IF('Course 3'!$H243='tab3'!J$3,'Course 3'!$I243," ")</f>
        <v xml:space="preserve"> </v>
      </c>
      <c r="K245" s="8" t="str">
        <f>IF('Course 3'!$H243='tab3'!K$3,'Course 3'!$I243," ")</f>
        <v xml:space="preserve"> </v>
      </c>
      <c r="L245" s="8" t="str">
        <f>IF('Course 3'!$H243='tab3'!L$3,'Course 3'!$I243," ")</f>
        <v xml:space="preserve"> </v>
      </c>
      <c r="M245" s="8" t="str">
        <f>IF('Course 3'!$H243='tab3'!M$3,'Course 3'!$I243," ")</f>
        <v xml:space="preserve"> </v>
      </c>
      <c r="N245" s="9" t="str">
        <f>IF('Course 3'!$H243='tab3'!N$3,'Course 3'!$I243," ")</f>
        <v xml:space="preserve"> </v>
      </c>
    </row>
    <row r="246" spans="2:14">
      <c r="B246">
        <v>242</v>
      </c>
      <c r="C246" s="7" t="str">
        <f>IF('Course 3'!$H244='tab3'!C$3,'Course 3'!$I244," ")</f>
        <v xml:space="preserve"> </v>
      </c>
      <c r="D246" s="8" t="str">
        <f>IF('Course 3'!$H244='tab3'!D$3,'Course 3'!$I244," ")</f>
        <v xml:space="preserve"> </v>
      </c>
      <c r="E246" s="8" t="str">
        <f>IF('Course 3'!$H244='tab3'!E$3,'Course 3'!$I244," ")</f>
        <v xml:space="preserve"> </v>
      </c>
      <c r="F246" s="8" t="str">
        <f>IF('Course 3'!$H244='tab3'!F$3,'Course 3'!$I244," ")</f>
        <v xml:space="preserve"> </v>
      </c>
      <c r="G246" s="8" t="str">
        <f>IF('Course 3'!$H244='tab3'!G$3,'Course 3'!$I244," ")</f>
        <v xml:space="preserve"> </v>
      </c>
      <c r="H246" s="8" t="str">
        <f>IF('Course 3'!$H244='tab3'!H$3,'Course 3'!$I244," ")</f>
        <v xml:space="preserve"> </v>
      </c>
      <c r="I246" s="8" t="str">
        <f>IF('Course 3'!$H244='tab3'!I$3,'Course 3'!$I244," ")</f>
        <v xml:space="preserve"> </v>
      </c>
      <c r="J246" s="8" t="str">
        <f>IF('Course 3'!$H244='tab3'!J$3,'Course 3'!$I244," ")</f>
        <v xml:space="preserve"> </v>
      </c>
      <c r="K246" s="8" t="str">
        <f>IF('Course 3'!$H244='tab3'!K$3,'Course 3'!$I244," ")</f>
        <v xml:space="preserve"> </v>
      </c>
      <c r="L246" s="8" t="str">
        <f>IF('Course 3'!$H244='tab3'!L$3,'Course 3'!$I244," ")</f>
        <v xml:space="preserve"> </v>
      </c>
      <c r="M246" s="8" t="str">
        <f>IF('Course 3'!$H244='tab3'!M$3,'Course 3'!$I244," ")</f>
        <v xml:space="preserve"> </v>
      </c>
      <c r="N246" s="9" t="str">
        <f>IF('Course 3'!$H244='tab3'!N$3,'Course 3'!$I244," ")</f>
        <v xml:space="preserve"> </v>
      </c>
    </row>
    <row r="247" spans="2:14">
      <c r="B247">
        <v>243</v>
      </c>
      <c r="C247" s="7" t="str">
        <f>IF('Course 3'!$H245='tab3'!C$3,'Course 3'!$I245," ")</f>
        <v xml:space="preserve"> </v>
      </c>
      <c r="D247" s="8" t="str">
        <f>IF('Course 3'!$H245='tab3'!D$3,'Course 3'!$I245," ")</f>
        <v xml:space="preserve"> </v>
      </c>
      <c r="E247" s="8" t="str">
        <f>IF('Course 3'!$H245='tab3'!E$3,'Course 3'!$I245," ")</f>
        <v xml:space="preserve"> </v>
      </c>
      <c r="F247" s="8" t="str">
        <f>IF('Course 3'!$H245='tab3'!F$3,'Course 3'!$I245," ")</f>
        <v xml:space="preserve"> </v>
      </c>
      <c r="G247" s="8" t="str">
        <f>IF('Course 3'!$H245='tab3'!G$3,'Course 3'!$I245," ")</f>
        <v xml:space="preserve"> </v>
      </c>
      <c r="H247" s="8" t="str">
        <f>IF('Course 3'!$H245='tab3'!H$3,'Course 3'!$I245," ")</f>
        <v xml:space="preserve"> </v>
      </c>
      <c r="I247" s="8" t="str">
        <f>IF('Course 3'!$H245='tab3'!I$3,'Course 3'!$I245," ")</f>
        <v xml:space="preserve"> </v>
      </c>
      <c r="J247" s="8" t="str">
        <f>IF('Course 3'!$H245='tab3'!J$3,'Course 3'!$I245," ")</f>
        <v xml:space="preserve"> </v>
      </c>
      <c r="K247" s="8" t="str">
        <f>IF('Course 3'!$H245='tab3'!K$3,'Course 3'!$I245," ")</f>
        <v xml:space="preserve"> </v>
      </c>
      <c r="L247" s="8" t="str">
        <f>IF('Course 3'!$H245='tab3'!L$3,'Course 3'!$I245," ")</f>
        <v xml:space="preserve"> </v>
      </c>
      <c r="M247" s="8" t="str">
        <f>IF('Course 3'!$H245='tab3'!M$3,'Course 3'!$I245," ")</f>
        <v xml:space="preserve"> </v>
      </c>
      <c r="N247" s="9" t="str">
        <f>IF('Course 3'!$H245='tab3'!N$3,'Course 3'!$I245," ")</f>
        <v xml:space="preserve"> </v>
      </c>
    </row>
    <row r="248" spans="2:14">
      <c r="B248">
        <v>244</v>
      </c>
      <c r="C248" s="7" t="str">
        <f>IF('Course 3'!$H246='tab3'!C$3,'Course 3'!$I246," ")</f>
        <v xml:space="preserve"> </v>
      </c>
      <c r="D248" s="8" t="str">
        <f>IF('Course 3'!$H246='tab3'!D$3,'Course 3'!$I246," ")</f>
        <v xml:space="preserve"> </v>
      </c>
      <c r="E248" s="8" t="str">
        <f>IF('Course 3'!$H246='tab3'!E$3,'Course 3'!$I246," ")</f>
        <v xml:space="preserve"> </v>
      </c>
      <c r="F248" s="8" t="str">
        <f>IF('Course 3'!$H246='tab3'!F$3,'Course 3'!$I246," ")</f>
        <v xml:space="preserve"> </v>
      </c>
      <c r="G248" s="8" t="str">
        <f>IF('Course 3'!$H246='tab3'!G$3,'Course 3'!$I246," ")</f>
        <v xml:space="preserve"> </v>
      </c>
      <c r="H248" s="8" t="str">
        <f>IF('Course 3'!$H246='tab3'!H$3,'Course 3'!$I246," ")</f>
        <v xml:space="preserve"> </v>
      </c>
      <c r="I248" s="8" t="str">
        <f>IF('Course 3'!$H246='tab3'!I$3,'Course 3'!$I246," ")</f>
        <v xml:space="preserve"> </v>
      </c>
      <c r="J248" s="8" t="str">
        <f>IF('Course 3'!$H246='tab3'!J$3,'Course 3'!$I246," ")</f>
        <v xml:space="preserve"> </v>
      </c>
      <c r="K248" s="8" t="str">
        <f>IF('Course 3'!$H246='tab3'!K$3,'Course 3'!$I246," ")</f>
        <v xml:space="preserve"> </v>
      </c>
      <c r="L248" s="8" t="str">
        <f>IF('Course 3'!$H246='tab3'!L$3,'Course 3'!$I246," ")</f>
        <v xml:space="preserve"> </v>
      </c>
      <c r="M248" s="8" t="str">
        <f>IF('Course 3'!$H246='tab3'!M$3,'Course 3'!$I246," ")</f>
        <v xml:space="preserve"> </v>
      </c>
      <c r="N248" s="9" t="str">
        <f>IF('Course 3'!$H246='tab3'!N$3,'Course 3'!$I246," ")</f>
        <v xml:space="preserve"> </v>
      </c>
    </row>
    <row r="249" spans="2:14">
      <c r="B249">
        <v>245</v>
      </c>
      <c r="C249" s="7" t="str">
        <f>IF('Course 3'!$H247='tab3'!C$3,'Course 3'!$I247," ")</f>
        <v xml:space="preserve"> </v>
      </c>
      <c r="D249" s="8" t="str">
        <f>IF('Course 3'!$H247='tab3'!D$3,'Course 3'!$I247," ")</f>
        <v xml:space="preserve"> </v>
      </c>
      <c r="E249" s="8" t="str">
        <f>IF('Course 3'!$H247='tab3'!E$3,'Course 3'!$I247," ")</f>
        <v xml:space="preserve"> </v>
      </c>
      <c r="F249" s="8" t="str">
        <f>IF('Course 3'!$H247='tab3'!F$3,'Course 3'!$I247," ")</f>
        <v xml:space="preserve"> </v>
      </c>
      <c r="G249" s="8" t="str">
        <f>IF('Course 3'!$H247='tab3'!G$3,'Course 3'!$I247," ")</f>
        <v xml:space="preserve"> </v>
      </c>
      <c r="H249" s="8" t="str">
        <f>IF('Course 3'!$H247='tab3'!H$3,'Course 3'!$I247," ")</f>
        <v xml:space="preserve"> </v>
      </c>
      <c r="I249" s="8" t="str">
        <f>IF('Course 3'!$H247='tab3'!I$3,'Course 3'!$I247," ")</f>
        <v xml:space="preserve"> </v>
      </c>
      <c r="J249" s="8" t="str">
        <f>IF('Course 3'!$H247='tab3'!J$3,'Course 3'!$I247," ")</f>
        <v xml:space="preserve"> </v>
      </c>
      <c r="K249" s="8" t="str">
        <f>IF('Course 3'!$H247='tab3'!K$3,'Course 3'!$I247," ")</f>
        <v xml:space="preserve"> </v>
      </c>
      <c r="L249" s="8" t="str">
        <f>IF('Course 3'!$H247='tab3'!L$3,'Course 3'!$I247," ")</f>
        <v xml:space="preserve"> </v>
      </c>
      <c r="M249" s="8" t="str">
        <f>IF('Course 3'!$H247='tab3'!M$3,'Course 3'!$I247," ")</f>
        <v xml:space="preserve"> </v>
      </c>
      <c r="N249" s="9" t="str">
        <f>IF('Course 3'!$H247='tab3'!N$3,'Course 3'!$I247," ")</f>
        <v xml:space="preserve"> </v>
      </c>
    </row>
    <row r="250" spans="2:14">
      <c r="B250">
        <v>246</v>
      </c>
      <c r="C250" s="7" t="str">
        <f>IF('Course 3'!$H248='tab3'!C$3,'Course 3'!$I248," ")</f>
        <v xml:space="preserve"> </v>
      </c>
      <c r="D250" s="8" t="str">
        <f>IF('Course 3'!$H248='tab3'!D$3,'Course 3'!$I248," ")</f>
        <v xml:space="preserve"> </v>
      </c>
      <c r="E250" s="8" t="str">
        <f>IF('Course 3'!$H248='tab3'!E$3,'Course 3'!$I248," ")</f>
        <v xml:space="preserve"> </v>
      </c>
      <c r="F250" s="8" t="str">
        <f>IF('Course 3'!$H248='tab3'!F$3,'Course 3'!$I248," ")</f>
        <v xml:space="preserve"> </v>
      </c>
      <c r="G250" s="8" t="str">
        <f>IF('Course 3'!$H248='tab3'!G$3,'Course 3'!$I248," ")</f>
        <v xml:space="preserve"> </v>
      </c>
      <c r="H250" s="8" t="str">
        <f>IF('Course 3'!$H248='tab3'!H$3,'Course 3'!$I248," ")</f>
        <v xml:space="preserve"> </v>
      </c>
      <c r="I250" s="8" t="str">
        <f>IF('Course 3'!$H248='tab3'!I$3,'Course 3'!$I248," ")</f>
        <v xml:space="preserve"> </v>
      </c>
      <c r="J250" s="8" t="str">
        <f>IF('Course 3'!$H248='tab3'!J$3,'Course 3'!$I248," ")</f>
        <v xml:space="preserve"> </v>
      </c>
      <c r="K250" s="8" t="str">
        <f>IF('Course 3'!$H248='tab3'!K$3,'Course 3'!$I248," ")</f>
        <v xml:space="preserve"> </v>
      </c>
      <c r="L250" s="8" t="str">
        <f>IF('Course 3'!$H248='tab3'!L$3,'Course 3'!$I248," ")</f>
        <v xml:space="preserve"> </v>
      </c>
      <c r="M250" s="8" t="str">
        <f>IF('Course 3'!$H248='tab3'!M$3,'Course 3'!$I248," ")</f>
        <v xml:space="preserve"> </v>
      </c>
      <c r="N250" s="9" t="str">
        <f>IF('Course 3'!$H248='tab3'!N$3,'Course 3'!$I248," ")</f>
        <v xml:space="preserve"> </v>
      </c>
    </row>
    <row r="251" spans="2:14">
      <c r="B251">
        <v>247</v>
      </c>
      <c r="C251" s="7" t="str">
        <f>IF('Course 3'!$H249='tab3'!C$3,'Course 3'!$I249," ")</f>
        <v xml:space="preserve"> </v>
      </c>
      <c r="D251" s="8" t="str">
        <f>IF('Course 3'!$H249='tab3'!D$3,'Course 3'!$I249," ")</f>
        <v xml:space="preserve"> </v>
      </c>
      <c r="E251" s="8" t="str">
        <f>IF('Course 3'!$H249='tab3'!E$3,'Course 3'!$I249," ")</f>
        <v xml:space="preserve"> </v>
      </c>
      <c r="F251" s="8" t="str">
        <f>IF('Course 3'!$H249='tab3'!F$3,'Course 3'!$I249," ")</f>
        <v xml:space="preserve"> </v>
      </c>
      <c r="G251" s="8" t="str">
        <f>IF('Course 3'!$H249='tab3'!G$3,'Course 3'!$I249," ")</f>
        <v xml:space="preserve"> </v>
      </c>
      <c r="H251" s="8" t="str">
        <f>IF('Course 3'!$H249='tab3'!H$3,'Course 3'!$I249," ")</f>
        <v xml:space="preserve"> </v>
      </c>
      <c r="I251" s="8" t="str">
        <f>IF('Course 3'!$H249='tab3'!I$3,'Course 3'!$I249," ")</f>
        <v xml:space="preserve"> </v>
      </c>
      <c r="J251" s="8" t="str">
        <f>IF('Course 3'!$H249='tab3'!J$3,'Course 3'!$I249," ")</f>
        <v xml:space="preserve"> </v>
      </c>
      <c r="K251" s="8" t="str">
        <f>IF('Course 3'!$H249='tab3'!K$3,'Course 3'!$I249," ")</f>
        <v xml:space="preserve"> </v>
      </c>
      <c r="L251" s="8" t="str">
        <f>IF('Course 3'!$H249='tab3'!L$3,'Course 3'!$I249," ")</f>
        <v xml:space="preserve"> </v>
      </c>
      <c r="M251" s="8" t="str">
        <f>IF('Course 3'!$H249='tab3'!M$3,'Course 3'!$I249," ")</f>
        <v xml:space="preserve"> </v>
      </c>
      <c r="N251" s="9" t="str">
        <f>IF('Course 3'!$H249='tab3'!N$3,'Course 3'!$I249," ")</f>
        <v xml:space="preserve"> </v>
      </c>
    </row>
    <row r="252" spans="2:14">
      <c r="B252">
        <v>248</v>
      </c>
      <c r="C252" s="7" t="str">
        <f>IF('Course 3'!$H250='tab3'!C$3,'Course 3'!$I250," ")</f>
        <v xml:space="preserve"> </v>
      </c>
      <c r="D252" s="8" t="str">
        <f>IF('Course 3'!$H250='tab3'!D$3,'Course 3'!$I250," ")</f>
        <v xml:space="preserve"> </v>
      </c>
      <c r="E252" s="8" t="str">
        <f>IF('Course 3'!$H250='tab3'!E$3,'Course 3'!$I250," ")</f>
        <v xml:space="preserve"> </v>
      </c>
      <c r="F252" s="8" t="str">
        <f>IF('Course 3'!$H250='tab3'!F$3,'Course 3'!$I250," ")</f>
        <v xml:space="preserve"> </v>
      </c>
      <c r="G252" s="8" t="str">
        <f>IF('Course 3'!$H250='tab3'!G$3,'Course 3'!$I250," ")</f>
        <v xml:space="preserve"> </v>
      </c>
      <c r="H252" s="8" t="str">
        <f>IF('Course 3'!$H250='tab3'!H$3,'Course 3'!$I250," ")</f>
        <v xml:space="preserve"> </v>
      </c>
      <c r="I252" s="8" t="str">
        <f>IF('Course 3'!$H250='tab3'!I$3,'Course 3'!$I250," ")</f>
        <v xml:space="preserve"> </v>
      </c>
      <c r="J252" s="8" t="str">
        <f>IF('Course 3'!$H250='tab3'!J$3,'Course 3'!$I250," ")</f>
        <v xml:space="preserve"> </v>
      </c>
      <c r="K252" s="8" t="str">
        <f>IF('Course 3'!$H250='tab3'!K$3,'Course 3'!$I250," ")</f>
        <v xml:space="preserve"> </v>
      </c>
      <c r="L252" s="8" t="str">
        <f>IF('Course 3'!$H250='tab3'!L$3,'Course 3'!$I250," ")</f>
        <v xml:space="preserve"> </v>
      </c>
      <c r="M252" s="8" t="str">
        <f>IF('Course 3'!$H250='tab3'!M$3,'Course 3'!$I250," ")</f>
        <v xml:space="preserve"> </v>
      </c>
      <c r="N252" s="9" t="str">
        <f>IF('Course 3'!$H250='tab3'!N$3,'Course 3'!$I250," ")</f>
        <v xml:space="preserve"> </v>
      </c>
    </row>
    <row r="253" spans="2:14">
      <c r="B253">
        <v>249</v>
      </c>
      <c r="C253" s="7" t="str">
        <f>IF('Course 3'!$H251='tab3'!C$3,'Course 3'!$I251," ")</f>
        <v xml:space="preserve"> </v>
      </c>
      <c r="D253" s="8" t="str">
        <f>IF('Course 3'!$H251='tab3'!D$3,'Course 3'!$I251," ")</f>
        <v xml:space="preserve"> </v>
      </c>
      <c r="E253" s="8" t="str">
        <f>IF('Course 3'!$H251='tab3'!E$3,'Course 3'!$I251," ")</f>
        <v xml:space="preserve"> </v>
      </c>
      <c r="F253" s="8" t="str">
        <f>IF('Course 3'!$H251='tab3'!F$3,'Course 3'!$I251," ")</f>
        <v xml:space="preserve"> </v>
      </c>
      <c r="G253" s="8" t="str">
        <f>IF('Course 3'!$H251='tab3'!G$3,'Course 3'!$I251," ")</f>
        <v xml:space="preserve"> </v>
      </c>
      <c r="H253" s="8" t="str">
        <f>IF('Course 3'!$H251='tab3'!H$3,'Course 3'!$I251," ")</f>
        <v xml:space="preserve"> </v>
      </c>
      <c r="I253" s="8" t="str">
        <f>IF('Course 3'!$H251='tab3'!I$3,'Course 3'!$I251," ")</f>
        <v xml:space="preserve"> </v>
      </c>
      <c r="J253" s="8" t="str">
        <f>IF('Course 3'!$H251='tab3'!J$3,'Course 3'!$I251," ")</f>
        <v xml:space="preserve"> </v>
      </c>
      <c r="K253" s="8" t="str">
        <f>IF('Course 3'!$H251='tab3'!K$3,'Course 3'!$I251," ")</f>
        <v xml:space="preserve"> </v>
      </c>
      <c r="L253" s="8" t="str">
        <f>IF('Course 3'!$H251='tab3'!L$3,'Course 3'!$I251," ")</f>
        <v xml:space="preserve"> </v>
      </c>
      <c r="M253" s="8" t="str">
        <f>IF('Course 3'!$H251='tab3'!M$3,'Course 3'!$I251," ")</f>
        <v xml:space="preserve"> </v>
      </c>
      <c r="N253" s="9" t="str">
        <f>IF('Course 3'!$H251='tab3'!N$3,'Course 3'!$I251," ")</f>
        <v xml:space="preserve"> </v>
      </c>
    </row>
    <row r="254" spans="2:14">
      <c r="B254">
        <v>250</v>
      </c>
      <c r="C254" s="7" t="str">
        <f>IF('Course 3'!$H252='tab3'!C$3,'Course 3'!$I252," ")</f>
        <v xml:space="preserve"> </v>
      </c>
      <c r="D254" s="8" t="str">
        <f>IF('Course 3'!$H252='tab3'!D$3,'Course 3'!$I252," ")</f>
        <v xml:space="preserve"> </v>
      </c>
      <c r="E254" s="8" t="str">
        <f>IF('Course 3'!$H252='tab3'!E$3,'Course 3'!$I252," ")</f>
        <v xml:space="preserve"> </v>
      </c>
      <c r="F254" s="8" t="str">
        <f>IF('Course 3'!$H252='tab3'!F$3,'Course 3'!$I252," ")</f>
        <v xml:space="preserve"> </v>
      </c>
      <c r="G254" s="8" t="str">
        <f>IF('Course 3'!$H252='tab3'!G$3,'Course 3'!$I252," ")</f>
        <v xml:space="preserve"> </v>
      </c>
      <c r="H254" s="8" t="str">
        <f>IF('Course 3'!$H252='tab3'!H$3,'Course 3'!$I252," ")</f>
        <v xml:space="preserve"> </v>
      </c>
      <c r="I254" s="8" t="str">
        <f>IF('Course 3'!$H252='tab3'!I$3,'Course 3'!$I252," ")</f>
        <v xml:space="preserve"> </v>
      </c>
      <c r="J254" s="8" t="str">
        <f>IF('Course 3'!$H252='tab3'!J$3,'Course 3'!$I252," ")</f>
        <v xml:space="preserve"> </v>
      </c>
      <c r="K254" s="8" t="str">
        <f>IF('Course 3'!$H252='tab3'!K$3,'Course 3'!$I252," ")</f>
        <v xml:space="preserve"> </v>
      </c>
      <c r="L254" s="8" t="str">
        <f>IF('Course 3'!$H252='tab3'!L$3,'Course 3'!$I252," ")</f>
        <v xml:space="preserve"> </v>
      </c>
      <c r="M254" s="8" t="str">
        <f>IF('Course 3'!$H252='tab3'!M$3,'Course 3'!$I252," ")</f>
        <v xml:space="preserve"> </v>
      </c>
      <c r="N254" s="9" t="str">
        <f>IF('Course 3'!$H252='tab3'!N$3,'Course 3'!$I252," ")</f>
        <v xml:space="preserve"> </v>
      </c>
    </row>
    <row r="255" spans="2:14">
      <c r="B255">
        <v>251</v>
      </c>
      <c r="C255" s="7" t="str">
        <f>IF('Course 3'!$H253='tab3'!C$3,'Course 3'!$I253," ")</f>
        <v xml:space="preserve"> </v>
      </c>
      <c r="D255" s="8" t="str">
        <f>IF('Course 3'!$H253='tab3'!D$3,'Course 3'!$I253," ")</f>
        <v xml:space="preserve"> </v>
      </c>
      <c r="E255" s="8" t="str">
        <f>IF('Course 3'!$H253='tab3'!E$3,'Course 3'!$I253," ")</f>
        <v xml:space="preserve"> </v>
      </c>
      <c r="F255" s="8" t="str">
        <f>IF('Course 3'!$H253='tab3'!F$3,'Course 3'!$I253," ")</f>
        <v xml:space="preserve"> </v>
      </c>
      <c r="G255" s="8" t="str">
        <f>IF('Course 3'!$H253='tab3'!G$3,'Course 3'!$I253," ")</f>
        <v xml:space="preserve"> </v>
      </c>
      <c r="H255" s="8" t="str">
        <f>IF('Course 3'!$H253='tab3'!H$3,'Course 3'!$I253," ")</f>
        <v xml:space="preserve"> </v>
      </c>
      <c r="I255" s="8" t="str">
        <f>IF('Course 3'!$H253='tab3'!I$3,'Course 3'!$I253," ")</f>
        <v xml:space="preserve"> </v>
      </c>
      <c r="J255" s="8" t="str">
        <f>IF('Course 3'!$H253='tab3'!J$3,'Course 3'!$I253," ")</f>
        <v xml:space="preserve"> </v>
      </c>
      <c r="K255" s="8" t="str">
        <f>IF('Course 3'!$H253='tab3'!K$3,'Course 3'!$I253," ")</f>
        <v xml:space="preserve"> </v>
      </c>
      <c r="L255" s="8" t="str">
        <f>IF('Course 3'!$H253='tab3'!L$3,'Course 3'!$I253," ")</f>
        <v xml:space="preserve"> </v>
      </c>
      <c r="M255" s="8" t="str">
        <f>IF('Course 3'!$H253='tab3'!M$3,'Course 3'!$I253," ")</f>
        <v xml:space="preserve"> </v>
      </c>
      <c r="N255" s="9" t="str">
        <f>IF('Course 3'!$H253='tab3'!N$3,'Course 3'!$I253," ")</f>
        <v xml:space="preserve"> </v>
      </c>
    </row>
    <row r="256" spans="2:14">
      <c r="B256">
        <v>252</v>
      </c>
      <c r="C256" s="7" t="str">
        <f>IF('Course 3'!$H254='tab3'!C$3,'Course 3'!$I254," ")</f>
        <v xml:space="preserve"> </v>
      </c>
      <c r="D256" s="8" t="str">
        <f>IF('Course 3'!$H254='tab3'!D$3,'Course 3'!$I254," ")</f>
        <v xml:space="preserve"> </v>
      </c>
      <c r="E256" s="8" t="str">
        <f>IF('Course 3'!$H254='tab3'!E$3,'Course 3'!$I254," ")</f>
        <v xml:space="preserve"> </v>
      </c>
      <c r="F256" s="8" t="str">
        <f>IF('Course 3'!$H254='tab3'!F$3,'Course 3'!$I254," ")</f>
        <v xml:space="preserve"> </v>
      </c>
      <c r="G256" s="8" t="str">
        <f>IF('Course 3'!$H254='tab3'!G$3,'Course 3'!$I254," ")</f>
        <v xml:space="preserve"> </v>
      </c>
      <c r="H256" s="8" t="str">
        <f>IF('Course 3'!$H254='tab3'!H$3,'Course 3'!$I254," ")</f>
        <v xml:space="preserve"> </v>
      </c>
      <c r="I256" s="8" t="str">
        <f>IF('Course 3'!$H254='tab3'!I$3,'Course 3'!$I254," ")</f>
        <v xml:space="preserve"> </v>
      </c>
      <c r="J256" s="8" t="str">
        <f>IF('Course 3'!$H254='tab3'!J$3,'Course 3'!$I254," ")</f>
        <v xml:space="preserve"> </v>
      </c>
      <c r="K256" s="8" t="str">
        <f>IF('Course 3'!$H254='tab3'!K$3,'Course 3'!$I254," ")</f>
        <v xml:space="preserve"> </v>
      </c>
      <c r="L256" s="8" t="str">
        <f>IF('Course 3'!$H254='tab3'!L$3,'Course 3'!$I254," ")</f>
        <v xml:space="preserve"> </v>
      </c>
      <c r="M256" s="8" t="str">
        <f>IF('Course 3'!$H254='tab3'!M$3,'Course 3'!$I254," ")</f>
        <v xml:space="preserve"> </v>
      </c>
      <c r="N256" s="9" t="str">
        <f>IF('Course 3'!$H254='tab3'!N$3,'Course 3'!$I254," ")</f>
        <v xml:space="preserve"> </v>
      </c>
    </row>
    <row r="257" spans="2:14">
      <c r="B257">
        <v>253</v>
      </c>
      <c r="C257" s="7" t="str">
        <f>IF('Course 3'!$H255='tab3'!C$3,'Course 3'!$I255," ")</f>
        <v xml:space="preserve"> </v>
      </c>
      <c r="D257" s="8" t="str">
        <f>IF('Course 3'!$H255='tab3'!D$3,'Course 3'!$I255," ")</f>
        <v xml:space="preserve"> </v>
      </c>
      <c r="E257" s="8" t="str">
        <f>IF('Course 3'!$H255='tab3'!E$3,'Course 3'!$I255," ")</f>
        <v xml:space="preserve"> </v>
      </c>
      <c r="F257" s="8" t="str">
        <f>IF('Course 3'!$H255='tab3'!F$3,'Course 3'!$I255," ")</f>
        <v xml:space="preserve"> </v>
      </c>
      <c r="G257" s="8" t="str">
        <f>IF('Course 3'!$H255='tab3'!G$3,'Course 3'!$I255," ")</f>
        <v xml:space="preserve"> </v>
      </c>
      <c r="H257" s="8" t="str">
        <f>IF('Course 3'!$H255='tab3'!H$3,'Course 3'!$I255," ")</f>
        <v xml:space="preserve"> </v>
      </c>
      <c r="I257" s="8" t="str">
        <f>IF('Course 3'!$H255='tab3'!I$3,'Course 3'!$I255," ")</f>
        <v xml:space="preserve"> </v>
      </c>
      <c r="J257" s="8" t="str">
        <f>IF('Course 3'!$H255='tab3'!J$3,'Course 3'!$I255," ")</f>
        <v xml:space="preserve"> </v>
      </c>
      <c r="K257" s="8" t="str">
        <f>IF('Course 3'!$H255='tab3'!K$3,'Course 3'!$I255," ")</f>
        <v xml:space="preserve"> </v>
      </c>
      <c r="L257" s="8" t="str">
        <f>IF('Course 3'!$H255='tab3'!L$3,'Course 3'!$I255," ")</f>
        <v xml:space="preserve"> </v>
      </c>
      <c r="M257" s="8" t="str">
        <f>IF('Course 3'!$H255='tab3'!M$3,'Course 3'!$I255," ")</f>
        <v xml:space="preserve"> </v>
      </c>
      <c r="N257" s="9" t="str">
        <f>IF('Course 3'!$H255='tab3'!N$3,'Course 3'!$I255," ")</f>
        <v xml:space="preserve"> </v>
      </c>
    </row>
    <row r="258" spans="2:14">
      <c r="B258">
        <v>254</v>
      </c>
      <c r="C258" s="7" t="str">
        <f>IF('Course 3'!$H256='tab3'!C$3,'Course 3'!$I256," ")</f>
        <v xml:space="preserve"> </v>
      </c>
      <c r="D258" s="8" t="str">
        <f>IF('Course 3'!$H256='tab3'!D$3,'Course 3'!$I256," ")</f>
        <v xml:space="preserve"> </v>
      </c>
      <c r="E258" s="8" t="str">
        <f>IF('Course 3'!$H256='tab3'!E$3,'Course 3'!$I256," ")</f>
        <v xml:space="preserve"> </v>
      </c>
      <c r="F258" s="8" t="str">
        <f>IF('Course 3'!$H256='tab3'!F$3,'Course 3'!$I256," ")</f>
        <v xml:space="preserve"> </v>
      </c>
      <c r="G258" s="8" t="str">
        <f>IF('Course 3'!$H256='tab3'!G$3,'Course 3'!$I256," ")</f>
        <v xml:space="preserve"> </v>
      </c>
      <c r="H258" s="8" t="str">
        <f>IF('Course 3'!$H256='tab3'!H$3,'Course 3'!$I256," ")</f>
        <v xml:space="preserve"> </v>
      </c>
      <c r="I258" s="8" t="str">
        <f>IF('Course 3'!$H256='tab3'!I$3,'Course 3'!$I256," ")</f>
        <v xml:space="preserve"> </v>
      </c>
      <c r="J258" s="8" t="str">
        <f>IF('Course 3'!$H256='tab3'!J$3,'Course 3'!$I256," ")</f>
        <v xml:space="preserve"> </v>
      </c>
      <c r="K258" s="8" t="str">
        <f>IF('Course 3'!$H256='tab3'!K$3,'Course 3'!$I256," ")</f>
        <v xml:space="preserve"> </v>
      </c>
      <c r="L258" s="8" t="str">
        <f>IF('Course 3'!$H256='tab3'!L$3,'Course 3'!$I256," ")</f>
        <v xml:space="preserve"> </v>
      </c>
      <c r="M258" s="8" t="str">
        <f>IF('Course 3'!$H256='tab3'!M$3,'Course 3'!$I256," ")</f>
        <v xml:space="preserve"> </v>
      </c>
      <c r="N258" s="9" t="str">
        <f>IF('Course 3'!$H256='tab3'!N$3,'Course 3'!$I256," ")</f>
        <v xml:space="preserve"> </v>
      </c>
    </row>
    <row r="259" spans="2:14">
      <c r="B259">
        <v>255</v>
      </c>
      <c r="C259" s="7" t="str">
        <f>IF('Course 3'!$H257='tab3'!C$3,'Course 3'!$I257," ")</f>
        <v xml:space="preserve"> </v>
      </c>
      <c r="D259" s="8" t="str">
        <f>IF('Course 3'!$H257='tab3'!D$3,'Course 3'!$I257," ")</f>
        <v xml:space="preserve"> </v>
      </c>
      <c r="E259" s="8" t="str">
        <f>IF('Course 3'!$H257='tab3'!E$3,'Course 3'!$I257," ")</f>
        <v xml:space="preserve"> </v>
      </c>
      <c r="F259" s="8" t="str">
        <f>IF('Course 3'!$H257='tab3'!F$3,'Course 3'!$I257," ")</f>
        <v xml:space="preserve"> </v>
      </c>
      <c r="G259" s="8" t="str">
        <f>IF('Course 3'!$H257='tab3'!G$3,'Course 3'!$I257," ")</f>
        <v xml:space="preserve"> </v>
      </c>
      <c r="H259" s="8" t="str">
        <f>IF('Course 3'!$H257='tab3'!H$3,'Course 3'!$I257," ")</f>
        <v xml:space="preserve"> </v>
      </c>
      <c r="I259" s="8" t="str">
        <f>IF('Course 3'!$H257='tab3'!I$3,'Course 3'!$I257," ")</f>
        <v xml:space="preserve"> </v>
      </c>
      <c r="J259" s="8" t="str">
        <f>IF('Course 3'!$H257='tab3'!J$3,'Course 3'!$I257," ")</f>
        <v xml:space="preserve"> </v>
      </c>
      <c r="K259" s="8" t="str">
        <f>IF('Course 3'!$H257='tab3'!K$3,'Course 3'!$I257," ")</f>
        <v xml:space="preserve"> </v>
      </c>
      <c r="L259" s="8" t="str">
        <f>IF('Course 3'!$H257='tab3'!L$3,'Course 3'!$I257," ")</f>
        <v xml:space="preserve"> </v>
      </c>
      <c r="M259" s="8" t="str">
        <f>IF('Course 3'!$H257='tab3'!M$3,'Course 3'!$I257," ")</f>
        <v xml:space="preserve"> </v>
      </c>
      <c r="N259" s="9" t="str">
        <f>IF('Course 3'!$H257='tab3'!N$3,'Course 3'!$I257," ")</f>
        <v xml:space="preserve"> </v>
      </c>
    </row>
    <row r="260" spans="2:14">
      <c r="B260">
        <v>256</v>
      </c>
      <c r="C260" s="7" t="str">
        <f>IF('Course 3'!$H258='tab3'!C$3,'Course 3'!$I258," ")</f>
        <v xml:space="preserve"> </v>
      </c>
      <c r="D260" s="8" t="str">
        <f>IF('Course 3'!$H258='tab3'!D$3,'Course 3'!$I258," ")</f>
        <v xml:space="preserve"> </v>
      </c>
      <c r="E260" s="8" t="str">
        <f>IF('Course 3'!$H258='tab3'!E$3,'Course 3'!$I258," ")</f>
        <v xml:space="preserve"> </v>
      </c>
      <c r="F260" s="8" t="str">
        <f>IF('Course 3'!$H258='tab3'!F$3,'Course 3'!$I258," ")</f>
        <v xml:space="preserve"> </v>
      </c>
      <c r="G260" s="8" t="str">
        <f>IF('Course 3'!$H258='tab3'!G$3,'Course 3'!$I258," ")</f>
        <v xml:space="preserve"> </v>
      </c>
      <c r="H260" s="8" t="str">
        <f>IF('Course 3'!$H258='tab3'!H$3,'Course 3'!$I258," ")</f>
        <v xml:space="preserve"> </v>
      </c>
      <c r="I260" s="8" t="str">
        <f>IF('Course 3'!$H258='tab3'!I$3,'Course 3'!$I258," ")</f>
        <v xml:space="preserve"> </v>
      </c>
      <c r="J260" s="8" t="str">
        <f>IF('Course 3'!$H258='tab3'!J$3,'Course 3'!$I258," ")</f>
        <v xml:space="preserve"> </v>
      </c>
      <c r="K260" s="8" t="str">
        <f>IF('Course 3'!$H258='tab3'!K$3,'Course 3'!$I258," ")</f>
        <v xml:space="preserve"> </v>
      </c>
      <c r="L260" s="8" t="str">
        <f>IF('Course 3'!$H258='tab3'!L$3,'Course 3'!$I258," ")</f>
        <v xml:space="preserve"> </v>
      </c>
      <c r="M260" s="8" t="str">
        <f>IF('Course 3'!$H258='tab3'!M$3,'Course 3'!$I258," ")</f>
        <v xml:space="preserve"> </v>
      </c>
      <c r="N260" s="9" t="str">
        <f>IF('Course 3'!$H258='tab3'!N$3,'Course 3'!$I258," ")</f>
        <v xml:space="preserve"> </v>
      </c>
    </row>
    <row r="261" spans="2:14">
      <c r="B261">
        <v>257</v>
      </c>
      <c r="C261" s="7" t="str">
        <f>IF('Course 3'!$H259='tab3'!C$3,'Course 3'!$I259," ")</f>
        <v xml:space="preserve"> </v>
      </c>
      <c r="D261" s="8" t="str">
        <f>IF('Course 3'!$H259='tab3'!D$3,'Course 3'!$I259," ")</f>
        <v xml:space="preserve"> </v>
      </c>
      <c r="E261" s="8" t="str">
        <f>IF('Course 3'!$H259='tab3'!E$3,'Course 3'!$I259," ")</f>
        <v xml:space="preserve"> </v>
      </c>
      <c r="F261" s="8" t="str">
        <f>IF('Course 3'!$H259='tab3'!F$3,'Course 3'!$I259," ")</f>
        <v xml:space="preserve"> </v>
      </c>
      <c r="G261" s="8" t="str">
        <f>IF('Course 3'!$H259='tab3'!G$3,'Course 3'!$I259," ")</f>
        <v xml:space="preserve"> </v>
      </c>
      <c r="H261" s="8" t="str">
        <f>IF('Course 3'!$H259='tab3'!H$3,'Course 3'!$I259," ")</f>
        <v xml:space="preserve"> </v>
      </c>
      <c r="I261" s="8" t="str">
        <f>IF('Course 3'!$H259='tab3'!I$3,'Course 3'!$I259," ")</f>
        <v xml:space="preserve"> </v>
      </c>
      <c r="J261" s="8" t="str">
        <f>IF('Course 3'!$H259='tab3'!J$3,'Course 3'!$I259," ")</f>
        <v xml:space="preserve"> </v>
      </c>
      <c r="K261" s="8" t="str">
        <f>IF('Course 3'!$H259='tab3'!K$3,'Course 3'!$I259," ")</f>
        <v xml:space="preserve"> </v>
      </c>
      <c r="L261" s="8" t="str">
        <f>IF('Course 3'!$H259='tab3'!L$3,'Course 3'!$I259," ")</f>
        <v xml:space="preserve"> </v>
      </c>
      <c r="M261" s="8" t="str">
        <f>IF('Course 3'!$H259='tab3'!M$3,'Course 3'!$I259," ")</f>
        <v xml:space="preserve"> </v>
      </c>
      <c r="N261" s="9" t="str">
        <f>IF('Course 3'!$H259='tab3'!N$3,'Course 3'!$I259," ")</f>
        <v xml:space="preserve"> </v>
      </c>
    </row>
    <row r="262" spans="2:14">
      <c r="B262">
        <v>258</v>
      </c>
      <c r="C262" s="7" t="str">
        <f>IF('Course 3'!$H260='tab3'!C$3,'Course 3'!$I260," ")</f>
        <v xml:space="preserve"> </v>
      </c>
      <c r="D262" s="8" t="str">
        <f>IF('Course 3'!$H260='tab3'!D$3,'Course 3'!$I260," ")</f>
        <v xml:space="preserve"> </v>
      </c>
      <c r="E262" s="8" t="str">
        <f>IF('Course 3'!$H260='tab3'!E$3,'Course 3'!$I260," ")</f>
        <v xml:space="preserve"> </v>
      </c>
      <c r="F262" s="8" t="str">
        <f>IF('Course 3'!$H260='tab3'!F$3,'Course 3'!$I260," ")</f>
        <v xml:space="preserve"> </v>
      </c>
      <c r="G262" s="8" t="str">
        <f>IF('Course 3'!$H260='tab3'!G$3,'Course 3'!$I260," ")</f>
        <v xml:space="preserve"> </v>
      </c>
      <c r="H262" s="8" t="str">
        <f>IF('Course 3'!$H260='tab3'!H$3,'Course 3'!$I260," ")</f>
        <v xml:space="preserve"> </v>
      </c>
      <c r="I262" s="8" t="str">
        <f>IF('Course 3'!$H260='tab3'!I$3,'Course 3'!$I260," ")</f>
        <v xml:space="preserve"> </v>
      </c>
      <c r="J262" s="8" t="str">
        <f>IF('Course 3'!$H260='tab3'!J$3,'Course 3'!$I260," ")</f>
        <v xml:space="preserve"> </v>
      </c>
      <c r="K262" s="8" t="str">
        <f>IF('Course 3'!$H260='tab3'!K$3,'Course 3'!$I260," ")</f>
        <v xml:space="preserve"> </v>
      </c>
      <c r="L262" s="8" t="str">
        <f>IF('Course 3'!$H260='tab3'!L$3,'Course 3'!$I260," ")</f>
        <v xml:space="preserve"> </v>
      </c>
      <c r="M262" s="8" t="str">
        <f>IF('Course 3'!$H260='tab3'!M$3,'Course 3'!$I260," ")</f>
        <v xml:space="preserve"> </v>
      </c>
      <c r="N262" s="9" t="str">
        <f>IF('Course 3'!$H260='tab3'!N$3,'Course 3'!$I260," ")</f>
        <v xml:space="preserve"> </v>
      </c>
    </row>
    <row r="263" spans="2:14">
      <c r="B263">
        <v>259</v>
      </c>
      <c r="C263" s="7" t="str">
        <f>IF('Course 3'!$H261='tab3'!C$3,'Course 3'!$I261," ")</f>
        <v xml:space="preserve"> </v>
      </c>
      <c r="D263" s="8" t="str">
        <f>IF('Course 3'!$H261='tab3'!D$3,'Course 3'!$I261," ")</f>
        <v xml:space="preserve"> </v>
      </c>
      <c r="E263" s="8" t="str">
        <f>IF('Course 3'!$H261='tab3'!E$3,'Course 3'!$I261," ")</f>
        <v xml:space="preserve"> </v>
      </c>
      <c r="F263" s="8" t="str">
        <f>IF('Course 3'!$H261='tab3'!F$3,'Course 3'!$I261," ")</f>
        <v xml:space="preserve"> </v>
      </c>
      <c r="G263" s="8" t="str">
        <f>IF('Course 3'!$H261='tab3'!G$3,'Course 3'!$I261," ")</f>
        <v xml:space="preserve"> </v>
      </c>
      <c r="H263" s="8" t="str">
        <f>IF('Course 3'!$H261='tab3'!H$3,'Course 3'!$I261," ")</f>
        <v xml:space="preserve"> </v>
      </c>
      <c r="I263" s="8" t="str">
        <f>IF('Course 3'!$H261='tab3'!I$3,'Course 3'!$I261," ")</f>
        <v xml:space="preserve"> </v>
      </c>
      <c r="J263" s="8" t="str">
        <f>IF('Course 3'!$H261='tab3'!J$3,'Course 3'!$I261," ")</f>
        <v xml:space="preserve"> </v>
      </c>
      <c r="K263" s="8" t="str">
        <f>IF('Course 3'!$H261='tab3'!K$3,'Course 3'!$I261," ")</f>
        <v xml:space="preserve"> </v>
      </c>
      <c r="L263" s="8" t="str">
        <f>IF('Course 3'!$H261='tab3'!L$3,'Course 3'!$I261," ")</f>
        <v xml:space="preserve"> </v>
      </c>
      <c r="M263" s="8" t="str">
        <f>IF('Course 3'!$H261='tab3'!M$3,'Course 3'!$I261," ")</f>
        <v xml:space="preserve"> </v>
      </c>
      <c r="N263" s="9" t="str">
        <f>IF('Course 3'!$H261='tab3'!N$3,'Course 3'!$I261," ")</f>
        <v xml:space="preserve"> </v>
      </c>
    </row>
    <row r="264" spans="2:14">
      <c r="B264">
        <v>260</v>
      </c>
      <c r="C264" s="7" t="str">
        <f>IF('Course 3'!$H262='tab3'!C$3,'Course 3'!$I262," ")</f>
        <v xml:space="preserve"> </v>
      </c>
      <c r="D264" s="8" t="str">
        <f>IF('Course 3'!$H262='tab3'!D$3,'Course 3'!$I262," ")</f>
        <v xml:space="preserve"> </v>
      </c>
      <c r="E264" s="8" t="str">
        <f>IF('Course 3'!$H262='tab3'!E$3,'Course 3'!$I262," ")</f>
        <v xml:space="preserve"> </v>
      </c>
      <c r="F264" s="8" t="str">
        <f>IF('Course 3'!$H262='tab3'!F$3,'Course 3'!$I262," ")</f>
        <v xml:space="preserve"> </v>
      </c>
      <c r="G264" s="8" t="str">
        <f>IF('Course 3'!$H262='tab3'!G$3,'Course 3'!$I262," ")</f>
        <v xml:space="preserve"> </v>
      </c>
      <c r="H264" s="8" t="str">
        <f>IF('Course 3'!$H262='tab3'!H$3,'Course 3'!$I262," ")</f>
        <v xml:space="preserve"> </v>
      </c>
      <c r="I264" s="8" t="str">
        <f>IF('Course 3'!$H262='tab3'!I$3,'Course 3'!$I262," ")</f>
        <v xml:space="preserve"> </v>
      </c>
      <c r="J264" s="8" t="str">
        <f>IF('Course 3'!$H262='tab3'!J$3,'Course 3'!$I262," ")</f>
        <v xml:space="preserve"> </v>
      </c>
      <c r="K264" s="8" t="str">
        <f>IF('Course 3'!$H262='tab3'!K$3,'Course 3'!$I262," ")</f>
        <v xml:space="preserve"> </v>
      </c>
      <c r="L264" s="8" t="str">
        <f>IF('Course 3'!$H262='tab3'!L$3,'Course 3'!$I262," ")</f>
        <v xml:space="preserve"> </v>
      </c>
      <c r="M264" s="8" t="str">
        <f>IF('Course 3'!$H262='tab3'!M$3,'Course 3'!$I262," ")</f>
        <v xml:space="preserve"> </v>
      </c>
      <c r="N264" s="9" t="str">
        <f>IF('Course 3'!$H262='tab3'!N$3,'Course 3'!$I262," ")</f>
        <v xml:space="preserve"> </v>
      </c>
    </row>
    <row r="265" spans="2:14">
      <c r="B265">
        <v>261</v>
      </c>
      <c r="C265" s="7" t="str">
        <f>IF('Course 3'!$H263='tab3'!C$3,'Course 3'!$I263," ")</f>
        <v xml:space="preserve"> </v>
      </c>
      <c r="D265" s="8" t="str">
        <f>IF('Course 3'!$H263='tab3'!D$3,'Course 3'!$I263," ")</f>
        <v xml:space="preserve"> </v>
      </c>
      <c r="E265" s="8" t="str">
        <f>IF('Course 3'!$H263='tab3'!E$3,'Course 3'!$I263," ")</f>
        <v xml:space="preserve"> </v>
      </c>
      <c r="F265" s="8" t="str">
        <f>IF('Course 3'!$H263='tab3'!F$3,'Course 3'!$I263," ")</f>
        <v xml:space="preserve"> </v>
      </c>
      <c r="G265" s="8" t="str">
        <f>IF('Course 3'!$H263='tab3'!G$3,'Course 3'!$I263," ")</f>
        <v xml:space="preserve"> </v>
      </c>
      <c r="H265" s="8" t="str">
        <f>IF('Course 3'!$H263='tab3'!H$3,'Course 3'!$I263," ")</f>
        <v xml:space="preserve"> </v>
      </c>
      <c r="I265" s="8" t="str">
        <f>IF('Course 3'!$H263='tab3'!I$3,'Course 3'!$I263," ")</f>
        <v xml:space="preserve"> </v>
      </c>
      <c r="J265" s="8" t="str">
        <f>IF('Course 3'!$H263='tab3'!J$3,'Course 3'!$I263," ")</f>
        <v xml:space="preserve"> </v>
      </c>
      <c r="K265" s="8" t="str">
        <f>IF('Course 3'!$H263='tab3'!K$3,'Course 3'!$I263," ")</f>
        <v xml:space="preserve"> </v>
      </c>
      <c r="L265" s="8" t="str">
        <f>IF('Course 3'!$H263='tab3'!L$3,'Course 3'!$I263," ")</f>
        <v xml:space="preserve"> </v>
      </c>
      <c r="M265" s="8" t="str">
        <f>IF('Course 3'!$H263='tab3'!M$3,'Course 3'!$I263," ")</f>
        <v xml:space="preserve"> </v>
      </c>
      <c r="N265" s="9" t="str">
        <f>IF('Course 3'!$H263='tab3'!N$3,'Course 3'!$I263," ")</f>
        <v xml:space="preserve"> </v>
      </c>
    </row>
    <row r="266" spans="2:14">
      <c r="B266">
        <v>262</v>
      </c>
      <c r="C266" s="7" t="str">
        <f>IF('Course 3'!$H264='tab3'!C$3,'Course 3'!$I264," ")</f>
        <v xml:space="preserve"> </v>
      </c>
      <c r="D266" s="8" t="str">
        <f>IF('Course 3'!$H264='tab3'!D$3,'Course 3'!$I264," ")</f>
        <v xml:space="preserve"> </v>
      </c>
      <c r="E266" s="8" t="str">
        <f>IF('Course 3'!$H264='tab3'!E$3,'Course 3'!$I264," ")</f>
        <v xml:space="preserve"> </v>
      </c>
      <c r="F266" s="8" t="str">
        <f>IF('Course 3'!$H264='tab3'!F$3,'Course 3'!$I264," ")</f>
        <v xml:space="preserve"> </v>
      </c>
      <c r="G266" s="8" t="str">
        <f>IF('Course 3'!$H264='tab3'!G$3,'Course 3'!$I264," ")</f>
        <v xml:space="preserve"> </v>
      </c>
      <c r="H266" s="8" t="str">
        <f>IF('Course 3'!$H264='tab3'!H$3,'Course 3'!$I264," ")</f>
        <v xml:space="preserve"> </v>
      </c>
      <c r="I266" s="8" t="str">
        <f>IF('Course 3'!$H264='tab3'!I$3,'Course 3'!$I264," ")</f>
        <v xml:space="preserve"> </v>
      </c>
      <c r="J266" s="8" t="str">
        <f>IF('Course 3'!$H264='tab3'!J$3,'Course 3'!$I264," ")</f>
        <v xml:space="preserve"> </v>
      </c>
      <c r="K266" s="8" t="str">
        <f>IF('Course 3'!$H264='tab3'!K$3,'Course 3'!$I264," ")</f>
        <v xml:space="preserve"> </v>
      </c>
      <c r="L266" s="8" t="str">
        <f>IF('Course 3'!$H264='tab3'!L$3,'Course 3'!$I264," ")</f>
        <v xml:space="preserve"> </v>
      </c>
      <c r="M266" s="8" t="str">
        <f>IF('Course 3'!$H264='tab3'!M$3,'Course 3'!$I264," ")</f>
        <v xml:space="preserve"> </v>
      </c>
      <c r="N266" s="9" t="str">
        <f>IF('Course 3'!$H264='tab3'!N$3,'Course 3'!$I264," ")</f>
        <v xml:space="preserve"> </v>
      </c>
    </row>
    <row r="267" spans="2:14">
      <c r="B267">
        <v>263</v>
      </c>
      <c r="C267" s="7" t="str">
        <f>IF('Course 3'!$H265='tab3'!C$3,'Course 3'!$I265," ")</f>
        <v xml:space="preserve"> </v>
      </c>
      <c r="D267" s="8" t="str">
        <f>IF('Course 3'!$H265='tab3'!D$3,'Course 3'!$I265," ")</f>
        <v xml:space="preserve"> </v>
      </c>
      <c r="E267" s="8" t="str">
        <f>IF('Course 3'!$H265='tab3'!E$3,'Course 3'!$I265," ")</f>
        <v xml:space="preserve"> </v>
      </c>
      <c r="F267" s="8" t="str">
        <f>IF('Course 3'!$H265='tab3'!F$3,'Course 3'!$I265," ")</f>
        <v xml:space="preserve"> </v>
      </c>
      <c r="G267" s="8" t="str">
        <f>IF('Course 3'!$H265='tab3'!G$3,'Course 3'!$I265," ")</f>
        <v xml:space="preserve"> </v>
      </c>
      <c r="H267" s="8" t="str">
        <f>IF('Course 3'!$H265='tab3'!H$3,'Course 3'!$I265," ")</f>
        <v xml:space="preserve"> </v>
      </c>
      <c r="I267" s="8" t="str">
        <f>IF('Course 3'!$H265='tab3'!I$3,'Course 3'!$I265," ")</f>
        <v xml:space="preserve"> </v>
      </c>
      <c r="J267" s="8" t="str">
        <f>IF('Course 3'!$H265='tab3'!J$3,'Course 3'!$I265," ")</f>
        <v xml:space="preserve"> </v>
      </c>
      <c r="K267" s="8" t="str">
        <f>IF('Course 3'!$H265='tab3'!K$3,'Course 3'!$I265," ")</f>
        <v xml:space="preserve"> </v>
      </c>
      <c r="L267" s="8" t="str">
        <f>IF('Course 3'!$H265='tab3'!L$3,'Course 3'!$I265," ")</f>
        <v xml:space="preserve"> </v>
      </c>
      <c r="M267" s="8" t="str">
        <f>IF('Course 3'!$H265='tab3'!M$3,'Course 3'!$I265," ")</f>
        <v xml:space="preserve"> </v>
      </c>
      <c r="N267" s="9" t="str">
        <f>IF('Course 3'!$H265='tab3'!N$3,'Course 3'!$I265," ")</f>
        <v xml:space="preserve"> </v>
      </c>
    </row>
    <row r="268" spans="2:14">
      <c r="B268">
        <v>264</v>
      </c>
      <c r="C268" s="7" t="str">
        <f>IF('Course 3'!$H266='tab3'!C$3,'Course 3'!$I266," ")</f>
        <v xml:space="preserve"> </v>
      </c>
      <c r="D268" s="8" t="str">
        <f>IF('Course 3'!$H266='tab3'!D$3,'Course 3'!$I266," ")</f>
        <v xml:space="preserve"> </v>
      </c>
      <c r="E268" s="8" t="str">
        <f>IF('Course 3'!$H266='tab3'!E$3,'Course 3'!$I266," ")</f>
        <v xml:space="preserve"> </v>
      </c>
      <c r="F268" s="8" t="str">
        <f>IF('Course 3'!$H266='tab3'!F$3,'Course 3'!$I266," ")</f>
        <v xml:space="preserve"> </v>
      </c>
      <c r="G268" s="8" t="str">
        <f>IF('Course 3'!$H266='tab3'!G$3,'Course 3'!$I266," ")</f>
        <v xml:space="preserve"> </v>
      </c>
      <c r="H268" s="8" t="str">
        <f>IF('Course 3'!$H266='tab3'!H$3,'Course 3'!$I266," ")</f>
        <v xml:space="preserve"> </v>
      </c>
      <c r="I268" s="8" t="str">
        <f>IF('Course 3'!$H266='tab3'!I$3,'Course 3'!$I266," ")</f>
        <v xml:space="preserve"> </v>
      </c>
      <c r="J268" s="8" t="str">
        <f>IF('Course 3'!$H266='tab3'!J$3,'Course 3'!$I266," ")</f>
        <v xml:space="preserve"> </v>
      </c>
      <c r="K268" s="8" t="str">
        <f>IF('Course 3'!$H266='tab3'!K$3,'Course 3'!$I266," ")</f>
        <v xml:space="preserve"> </v>
      </c>
      <c r="L268" s="8" t="str">
        <f>IF('Course 3'!$H266='tab3'!L$3,'Course 3'!$I266," ")</f>
        <v xml:space="preserve"> </v>
      </c>
      <c r="M268" s="8" t="str">
        <f>IF('Course 3'!$H266='tab3'!M$3,'Course 3'!$I266," ")</f>
        <v xml:space="preserve"> </v>
      </c>
      <c r="N268" s="9" t="str">
        <f>IF('Course 3'!$H266='tab3'!N$3,'Course 3'!$I266," ")</f>
        <v xml:space="preserve"> </v>
      </c>
    </row>
    <row r="269" spans="2:14">
      <c r="B269">
        <v>265</v>
      </c>
      <c r="C269" s="7" t="str">
        <f>IF('Course 3'!$H267='tab3'!C$3,'Course 3'!$I267," ")</f>
        <v xml:space="preserve"> </v>
      </c>
      <c r="D269" s="8" t="str">
        <f>IF('Course 3'!$H267='tab3'!D$3,'Course 3'!$I267," ")</f>
        <v xml:space="preserve"> </v>
      </c>
      <c r="E269" s="8" t="str">
        <f>IF('Course 3'!$H267='tab3'!E$3,'Course 3'!$I267," ")</f>
        <v xml:space="preserve"> </v>
      </c>
      <c r="F269" s="8" t="str">
        <f>IF('Course 3'!$H267='tab3'!F$3,'Course 3'!$I267," ")</f>
        <v xml:space="preserve"> </v>
      </c>
      <c r="G269" s="8" t="str">
        <f>IF('Course 3'!$H267='tab3'!G$3,'Course 3'!$I267," ")</f>
        <v xml:space="preserve"> </v>
      </c>
      <c r="H269" s="8" t="str">
        <f>IF('Course 3'!$H267='tab3'!H$3,'Course 3'!$I267," ")</f>
        <v xml:space="preserve"> </v>
      </c>
      <c r="I269" s="8" t="str">
        <f>IF('Course 3'!$H267='tab3'!I$3,'Course 3'!$I267," ")</f>
        <v xml:space="preserve"> </v>
      </c>
      <c r="J269" s="8" t="str">
        <f>IF('Course 3'!$H267='tab3'!J$3,'Course 3'!$I267," ")</f>
        <v xml:space="preserve"> </v>
      </c>
      <c r="K269" s="8" t="str">
        <f>IF('Course 3'!$H267='tab3'!K$3,'Course 3'!$I267," ")</f>
        <v xml:space="preserve"> </v>
      </c>
      <c r="L269" s="8" t="str">
        <f>IF('Course 3'!$H267='tab3'!L$3,'Course 3'!$I267," ")</f>
        <v xml:space="preserve"> </v>
      </c>
      <c r="M269" s="8" t="str">
        <f>IF('Course 3'!$H267='tab3'!M$3,'Course 3'!$I267," ")</f>
        <v xml:space="preserve"> </v>
      </c>
      <c r="N269" s="9" t="str">
        <f>IF('Course 3'!$H267='tab3'!N$3,'Course 3'!$I267," ")</f>
        <v xml:space="preserve"> </v>
      </c>
    </row>
    <row r="270" spans="2:14">
      <c r="B270">
        <v>266</v>
      </c>
      <c r="C270" s="7" t="str">
        <f>IF('Course 3'!$H268='tab3'!C$3,'Course 3'!$I268," ")</f>
        <v xml:space="preserve"> </v>
      </c>
      <c r="D270" s="8" t="str">
        <f>IF('Course 3'!$H268='tab3'!D$3,'Course 3'!$I268," ")</f>
        <v xml:space="preserve"> </v>
      </c>
      <c r="E270" s="8" t="str">
        <f>IF('Course 3'!$H268='tab3'!E$3,'Course 3'!$I268," ")</f>
        <v xml:space="preserve"> </v>
      </c>
      <c r="F270" s="8" t="str">
        <f>IF('Course 3'!$H268='tab3'!F$3,'Course 3'!$I268," ")</f>
        <v xml:space="preserve"> </v>
      </c>
      <c r="G270" s="8" t="str">
        <f>IF('Course 3'!$H268='tab3'!G$3,'Course 3'!$I268," ")</f>
        <v xml:space="preserve"> </v>
      </c>
      <c r="H270" s="8" t="str">
        <f>IF('Course 3'!$H268='tab3'!H$3,'Course 3'!$I268," ")</f>
        <v xml:space="preserve"> </v>
      </c>
      <c r="I270" s="8" t="str">
        <f>IF('Course 3'!$H268='tab3'!I$3,'Course 3'!$I268," ")</f>
        <v xml:space="preserve"> </v>
      </c>
      <c r="J270" s="8" t="str">
        <f>IF('Course 3'!$H268='tab3'!J$3,'Course 3'!$I268," ")</f>
        <v xml:space="preserve"> </v>
      </c>
      <c r="K270" s="8" t="str">
        <f>IF('Course 3'!$H268='tab3'!K$3,'Course 3'!$I268," ")</f>
        <v xml:space="preserve"> </v>
      </c>
      <c r="L270" s="8" t="str">
        <f>IF('Course 3'!$H268='tab3'!L$3,'Course 3'!$I268," ")</f>
        <v xml:space="preserve"> </v>
      </c>
      <c r="M270" s="8" t="str">
        <f>IF('Course 3'!$H268='tab3'!M$3,'Course 3'!$I268," ")</f>
        <v xml:space="preserve"> </v>
      </c>
      <c r="N270" s="9" t="str">
        <f>IF('Course 3'!$H268='tab3'!N$3,'Course 3'!$I268," ")</f>
        <v xml:space="preserve"> </v>
      </c>
    </row>
    <row r="271" spans="2:14">
      <c r="B271">
        <v>267</v>
      </c>
      <c r="C271" s="7" t="str">
        <f>IF('Course 3'!$H269='tab3'!C$3,'Course 3'!$I269," ")</f>
        <v xml:space="preserve"> </v>
      </c>
      <c r="D271" s="8" t="str">
        <f>IF('Course 3'!$H269='tab3'!D$3,'Course 3'!$I269," ")</f>
        <v xml:space="preserve"> </v>
      </c>
      <c r="E271" s="8" t="str">
        <f>IF('Course 3'!$H269='tab3'!E$3,'Course 3'!$I269," ")</f>
        <v xml:space="preserve"> </v>
      </c>
      <c r="F271" s="8" t="str">
        <f>IF('Course 3'!$H269='tab3'!F$3,'Course 3'!$I269," ")</f>
        <v xml:space="preserve"> </v>
      </c>
      <c r="G271" s="8" t="str">
        <f>IF('Course 3'!$H269='tab3'!G$3,'Course 3'!$I269," ")</f>
        <v xml:space="preserve"> </v>
      </c>
      <c r="H271" s="8" t="str">
        <f>IF('Course 3'!$H269='tab3'!H$3,'Course 3'!$I269," ")</f>
        <v xml:space="preserve"> </v>
      </c>
      <c r="I271" s="8" t="str">
        <f>IF('Course 3'!$H269='tab3'!I$3,'Course 3'!$I269," ")</f>
        <v xml:space="preserve"> </v>
      </c>
      <c r="J271" s="8" t="str">
        <f>IF('Course 3'!$H269='tab3'!J$3,'Course 3'!$I269," ")</f>
        <v xml:space="preserve"> </v>
      </c>
      <c r="K271" s="8" t="str">
        <f>IF('Course 3'!$H269='tab3'!K$3,'Course 3'!$I269," ")</f>
        <v xml:space="preserve"> </v>
      </c>
      <c r="L271" s="8" t="str">
        <f>IF('Course 3'!$H269='tab3'!L$3,'Course 3'!$I269," ")</f>
        <v xml:space="preserve"> </v>
      </c>
      <c r="M271" s="8" t="str">
        <f>IF('Course 3'!$H269='tab3'!M$3,'Course 3'!$I269," ")</f>
        <v xml:space="preserve"> </v>
      </c>
      <c r="N271" s="9" t="str">
        <f>IF('Course 3'!$H269='tab3'!N$3,'Course 3'!$I269," ")</f>
        <v xml:space="preserve"> </v>
      </c>
    </row>
    <row r="272" spans="2:14">
      <c r="B272">
        <v>268</v>
      </c>
      <c r="C272" s="7" t="str">
        <f>IF('Course 3'!$H270='tab3'!C$3,'Course 3'!$I270," ")</f>
        <v xml:space="preserve"> </v>
      </c>
      <c r="D272" s="8" t="str">
        <f>IF('Course 3'!$H270='tab3'!D$3,'Course 3'!$I270," ")</f>
        <v xml:space="preserve"> </v>
      </c>
      <c r="E272" s="8" t="str">
        <f>IF('Course 3'!$H270='tab3'!E$3,'Course 3'!$I270," ")</f>
        <v xml:space="preserve"> </v>
      </c>
      <c r="F272" s="8" t="str">
        <f>IF('Course 3'!$H270='tab3'!F$3,'Course 3'!$I270," ")</f>
        <v xml:space="preserve"> </v>
      </c>
      <c r="G272" s="8" t="str">
        <f>IF('Course 3'!$H270='tab3'!G$3,'Course 3'!$I270," ")</f>
        <v xml:space="preserve"> </v>
      </c>
      <c r="H272" s="8" t="str">
        <f>IF('Course 3'!$H270='tab3'!H$3,'Course 3'!$I270," ")</f>
        <v xml:space="preserve"> </v>
      </c>
      <c r="I272" s="8" t="str">
        <f>IF('Course 3'!$H270='tab3'!I$3,'Course 3'!$I270," ")</f>
        <v xml:space="preserve"> </v>
      </c>
      <c r="J272" s="8" t="str">
        <f>IF('Course 3'!$H270='tab3'!J$3,'Course 3'!$I270," ")</f>
        <v xml:space="preserve"> </v>
      </c>
      <c r="K272" s="8" t="str">
        <f>IF('Course 3'!$H270='tab3'!K$3,'Course 3'!$I270," ")</f>
        <v xml:space="preserve"> </v>
      </c>
      <c r="L272" s="8" t="str">
        <f>IF('Course 3'!$H270='tab3'!L$3,'Course 3'!$I270," ")</f>
        <v xml:space="preserve"> </v>
      </c>
      <c r="M272" s="8" t="str">
        <f>IF('Course 3'!$H270='tab3'!M$3,'Course 3'!$I270," ")</f>
        <v xml:space="preserve"> </v>
      </c>
      <c r="N272" s="9" t="str">
        <f>IF('Course 3'!$H270='tab3'!N$3,'Course 3'!$I270," ")</f>
        <v xml:space="preserve"> </v>
      </c>
    </row>
    <row r="273" spans="2:14">
      <c r="B273">
        <v>269</v>
      </c>
      <c r="C273" s="7" t="str">
        <f>IF('Course 3'!$H271='tab3'!C$3,'Course 3'!$I271," ")</f>
        <v xml:space="preserve"> </v>
      </c>
      <c r="D273" s="8" t="str">
        <f>IF('Course 3'!$H271='tab3'!D$3,'Course 3'!$I271," ")</f>
        <v xml:space="preserve"> </v>
      </c>
      <c r="E273" s="8" t="str">
        <f>IF('Course 3'!$H271='tab3'!E$3,'Course 3'!$I271," ")</f>
        <v xml:space="preserve"> </v>
      </c>
      <c r="F273" s="8" t="str">
        <f>IF('Course 3'!$H271='tab3'!F$3,'Course 3'!$I271," ")</f>
        <v xml:space="preserve"> </v>
      </c>
      <c r="G273" s="8" t="str">
        <f>IF('Course 3'!$H271='tab3'!G$3,'Course 3'!$I271," ")</f>
        <v xml:space="preserve"> </v>
      </c>
      <c r="H273" s="8" t="str">
        <f>IF('Course 3'!$H271='tab3'!H$3,'Course 3'!$I271," ")</f>
        <v xml:space="preserve"> </v>
      </c>
      <c r="I273" s="8" t="str">
        <f>IF('Course 3'!$H271='tab3'!I$3,'Course 3'!$I271," ")</f>
        <v xml:space="preserve"> </v>
      </c>
      <c r="J273" s="8" t="str">
        <f>IF('Course 3'!$H271='tab3'!J$3,'Course 3'!$I271," ")</f>
        <v xml:space="preserve"> </v>
      </c>
      <c r="K273" s="8" t="str">
        <f>IF('Course 3'!$H271='tab3'!K$3,'Course 3'!$I271," ")</f>
        <v xml:space="preserve"> </v>
      </c>
      <c r="L273" s="8" t="str">
        <f>IF('Course 3'!$H271='tab3'!L$3,'Course 3'!$I271," ")</f>
        <v xml:space="preserve"> </v>
      </c>
      <c r="M273" s="8" t="str">
        <f>IF('Course 3'!$H271='tab3'!M$3,'Course 3'!$I271," ")</f>
        <v xml:space="preserve"> </v>
      </c>
      <c r="N273" s="9" t="str">
        <f>IF('Course 3'!$H271='tab3'!N$3,'Course 3'!$I271," ")</f>
        <v xml:space="preserve"> </v>
      </c>
    </row>
    <row r="274" spans="2:14">
      <c r="B274">
        <v>270</v>
      </c>
      <c r="C274" s="7" t="str">
        <f>IF('Course 3'!$H272='tab3'!C$3,'Course 3'!$I272," ")</f>
        <v xml:space="preserve"> </v>
      </c>
      <c r="D274" s="8" t="str">
        <f>IF('Course 3'!$H272='tab3'!D$3,'Course 3'!$I272," ")</f>
        <v xml:space="preserve"> </v>
      </c>
      <c r="E274" s="8" t="str">
        <f>IF('Course 3'!$H272='tab3'!E$3,'Course 3'!$I272," ")</f>
        <v xml:space="preserve"> </v>
      </c>
      <c r="F274" s="8" t="str">
        <f>IF('Course 3'!$H272='tab3'!F$3,'Course 3'!$I272," ")</f>
        <v xml:space="preserve"> </v>
      </c>
      <c r="G274" s="8" t="str">
        <f>IF('Course 3'!$H272='tab3'!G$3,'Course 3'!$I272," ")</f>
        <v xml:space="preserve"> </v>
      </c>
      <c r="H274" s="8" t="str">
        <f>IF('Course 3'!$H272='tab3'!H$3,'Course 3'!$I272," ")</f>
        <v xml:space="preserve"> </v>
      </c>
      <c r="I274" s="8" t="str">
        <f>IF('Course 3'!$H272='tab3'!I$3,'Course 3'!$I272," ")</f>
        <v xml:space="preserve"> </v>
      </c>
      <c r="J274" s="8" t="str">
        <f>IF('Course 3'!$H272='tab3'!J$3,'Course 3'!$I272," ")</f>
        <v xml:space="preserve"> </v>
      </c>
      <c r="K274" s="8" t="str">
        <f>IF('Course 3'!$H272='tab3'!K$3,'Course 3'!$I272," ")</f>
        <v xml:space="preserve"> </v>
      </c>
      <c r="L274" s="8" t="str">
        <f>IF('Course 3'!$H272='tab3'!L$3,'Course 3'!$I272," ")</f>
        <v xml:space="preserve"> </v>
      </c>
      <c r="M274" s="8" t="str">
        <f>IF('Course 3'!$H272='tab3'!M$3,'Course 3'!$I272," ")</f>
        <v xml:space="preserve"> </v>
      </c>
      <c r="N274" s="9" t="str">
        <f>IF('Course 3'!$H272='tab3'!N$3,'Course 3'!$I272," ")</f>
        <v xml:space="preserve"> </v>
      </c>
    </row>
    <row r="275" spans="2:14">
      <c r="B275">
        <v>271</v>
      </c>
      <c r="C275" s="7" t="str">
        <f>IF('Course 3'!$H273='tab3'!C$3,'Course 3'!$I273," ")</f>
        <v xml:space="preserve"> </v>
      </c>
      <c r="D275" s="8" t="str">
        <f>IF('Course 3'!$H273='tab3'!D$3,'Course 3'!$I273," ")</f>
        <v xml:space="preserve"> </v>
      </c>
      <c r="E275" s="8" t="str">
        <f>IF('Course 3'!$H273='tab3'!E$3,'Course 3'!$I273," ")</f>
        <v xml:space="preserve"> </v>
      </c>
      <c r="F275" s="8" t="str">
        <f>IF('Course 3'!$H273='tab3'!F$3,'Course 3'!$I273," ")</f>
        <v xml:space="preserve"> </v>
      </c>
      <c r="G275" s="8" t="str">
        <f>IF('Course 3'!$H273='tab3'!G$3,'Course 3'!$I273," ")</f>
        <v xml:space="preserve"> </v>
      </c>
      <c r="H275" s="8" t="str">
        <f>IF('Course 3'!$H273='tab3'!H$3,'Course 3'!$I273," ")</f>
        <v xml:space="preserve"> </v>
      </c>
      <c r="I275" s="8" t="str">
        <f>IF('Course 3'!$H273='tab3'!I$3,'Course 3'!$I273," ")</f>
        <v xml:space="preserve"> </v>
      </c>
      <c r="J275" s="8" t="str">
        <f>IF('Course 3'!$H273='tab3'!J$3,'Course 3'!$I273," ")</f>
        <v xml:space="preserve"> </v>
      </c>
      <c r="K275" s="8" t="str">
        <f>IF('Course 3'!$H273='tab3'!K$3,'Course 3'!$I273," ")</f>
        <v xml:space="preserve"> </v>
      </c>
      <c r="L275" s="8" t="str">
        <f>IF('Course 3'!$H273='tab3'!L$3,'Course 3'!$I273," ")</f>
        <v xml:space="preserve"> </v>
      </c>
      <c r="M275" s="8" t="str">
        <f>IF('Course 3'!$H273='tab3'!M$3,'Course 3'!$I273," ")</f>
        <v xml:space="preserve"> </v>
      </c>
      <c r="N275" s="9" t="str">
        <f>IF('Course 3'!$H273='tab3'!N$3,'Course 3'!$I273," ")</f>
        <v xml:space="preserve"> </v>
      </c>
    </row>
    <row r="276" spans="2:14">
      <c r="B276">
        <v>272</v>
      </c>
      <c r="C276" s="7" t="str">
        <f>IF('Course 3'!$H274='tab3'!C$3,'Course 3'!$I274," ")</f>
        <v xml:space="preserve"> </v>
      </c>
      <c r="D276" s="8" t="str">
        <f>IF('Course 3'!$H274='tab3'!D$3,'Course 3'!$I274," ")</f>
        <v xml:space="preserve"> </v>
      </c>
      <c r="E276" s="8" t="str">
        <f>IF('Course 3'!$H274='tab3'!E$3,'Course 3'!$I274," ")</f>
        <v xml:space="preserve"> </v>
      </c>
      <c r="F276" s="8" t="str">
        <f>IF('Course 3'!$H274='tab3'!F$3,'Course 3'!$I274," ")</f>
        <v xml:space="preserve"> </v>
      </c>
      <c r="G276" s="8" t="str">
        <f>IF('Course 3'!$H274='tab3'!G$3,'Course 3'!$I274," ")</f>
        <v xml:space="preserve"> </v>
      </c>
      <c r="H276" s="8" t="str">
        <f>IF('Course 3'!$H274='tab3'!H$3,'Course 3'!$I274," ")</f>
        <v xml:space="preserve"> </v>
      </c>
      <c r="I276" s="8" t="str">
        <f>IF('Course 3'!$H274='tab3'!I$3,'Course 3'!$I274," ")</f>
        <v xml:space="preserve"> </v>
      </c>
      <c r="J276" s="8" t="str">
        <f>IF('Course 3'!$H274='tab3'!J$3,'Course 3'!$I274," ")</f>
        <v xml:space="preserve"> </v>
      </c>
      <c r="K276" s="8" t="str">
        <f>IF('Course 3'!$H274='tab3'!K$3,'Course 3'!$I274," ")</f>
        <v xml:space="preserve"> </v>
      </c>
      <c r="L276" s="8" t="str">
        <f>IF('Course 3'!$H274='tab3'!L$3,'Course 3'!$I274," ")</f>
        <v xml:space="preserve"> </v>
      </c>
      <c r="M276" s="8" t="str">
        <f>IF('Course 3'!$H274='tab3'!M$3,'Course 3'!$I274," ")</f>
        <v xml:space="preserve"> </v>
      </c>
      <c r="N276" s="9" t="str">
        <f>IF('Course 3'!$H274='tab3'!N$3,'Course 3'!$I274," ")</f>
        <v xml:space="preserve"> </v>
      </c>
    </row>
    <row r="277" spans="2:14">
      <c r="B277">
        <v>273</v>
      </c>
      <c r="C277" s="7" t="str">
        <f>IF('Course 3'!$H275='tab3'!C$3,'Course 3'!$I275," ")</f>
        <v xml:space="preserve"> </v>
      </c>
      <c r="D277" s="8" t="str">
        <f>IF('Course 3'!$H275='tab3'!D$3,'Course 3'!$I275," ")</f>
        <v xml:space="preserve"> </v>
      </c>
      <c r="E277" s="8" t="str">
        <f>IF('Course 3'!$H275='tab3'!E$3,'Course 3'!$I275," ")</f>
        <v xml:space="preserve"> </v>
      </c>
      <c r="F277" s="8" t="str">
        <f>IF('Course 3'!$H275='tab3'!F$3,'Course 3'!$I275," ")</f>
        <v xml:space="preserve"> </v>
      </c>
      <c r="G277" s="8" t="str">
        <f>IF('Course 3'!$H275='tab3'!G$3,'Course 3'!$I275," ")</f>
        <v xml:space="preserve"> </v>
      </c>
      <c r="H277" s="8" t="str">
        <f>IF('Course 3'!$H275='tab3'!H$3,'Course 3'!$I275," ")</f>
        <v xml:space="preserve"> </v>
      </c>
      <c r="I277" s="8" t="str">
        <f>IF('Course 3'!$H275='tab3'!I$3,'Course 3'!$I275," ")</f>
        <v xml:space="preserve"> </v>
      </c>
      <c r="J277" s="8" t="str">
        <f>IF('Course 3'!$H275='tab3'!J$3,'Course 3'!$I275," ")</f>
        <v xml:space="preserve"> </v>
      </c>
      <c r="K277" s="8" t="str">
        <f>IF('Course 3'!$H275='tab3'!K$3,'Course 3'!$I275," ")</f>
        <v xml:space="preserve"> </v>
      </c>
      <c r="L277" s="8" t="str">
        <f>IF('Course 3'!$H275='tab3'!L$3,'Course 3'!$I275," ")</f>
        <v xml:space="preserve"> </v>
      </c>
      <c r="M277" s="8" t="str">
        <f>IF('Course 3'!$H275='tab3'!M$3,'Course 3'!$I275," ")</f>
        <v xml:space="preserve"> </v>
      </c>
      <c r="N277" s="9" t="str">
        <f>IF('Course 3'!$H275='tab3'!N$3,'Course 3'!$I275," ")</f>
        <v xml:space="preserve"> </v>
      </c>
    </row>
    <row r="278" spans="2:14">
      <c r="B278">
        <v>274</v>
      </c>
      <c r="C278" s="7" t="str">
        <f>IF('Course 3'!$H276='tab3'!C$3,'Course 3'!$I276," ")</f>
        <v xml:space="preserve"> </v>
      </c>
      <c r="D278" s="8" t="str">
        <f>IF('Course 3'!$H276='tab3'!D$3,'Course 3'!$I276," ")</f>
        <v xml:space="preserve"> </v>
      </c>
      <c r="E278" s="8" t="str">
        <f>IF('Course 3'!$H276='tab3'!E$3,'Course 3'!$I276," ")</f>
        <v xml:space="preserve"> </v>
      </c>
      <c r="F278" s="8" t="str">
        <f>IF('Course 3'!$H276='tab3'!F$3,'Course 3'!$I276," ")</f>
        <v xml:space="preserve"> </v>
      </c>
      <c r="G278" s="8" t="str">
        <f>IF('Course 3'!$H276='tab3'!G$3,'Course 3'!$I276," ")</f>
        <v xml:space="preserve"> </v>
      </c>
      <c r="H278" s="8" t="str">
        <f>IF('Course 3'!$H276='tab3'!H$3,'Course 3'!$I276," ")</f>
        <v xml:space="preserve"> </v>
      </c>
      <c r="I278" s="8" t="str">
        <f>IF('Course 3'!$H276='tab3'!I$3,'Course 3'!$I276," ")</f>
        <v xml:space="preserve"> </v>
      </c>
      <c r="J278" s="8" t="str">
        <f>IF('Course 3'!$H276='tab3'!J$3,'Course 3'!$I276," ")</f>
        <v xml:space="preserve"> </v>
      </c>
      <c r="K278" s="8" t="str">
        <f>IF('Course 3'!$H276='tab3'!K$3,'Course 3'!$I276," ")</f>
        <v xml:space="preserve"> </v>
      </c>
      <c r="L278" s="8" t="str">
        <f>IF('Course 3'!$H276='tab3'!L$3,'Course 3'!$I276," ")</f>
        <v xml:space="preserve"> </v>
      </c>
      <c r="M278" s="8" t="str">
        <f>IF('Course 3'!$H276='tab3'!M$3,'Course 3'!$I276," ")</f>
        <v xml:space="preserve"> </v>
      </c>
      <c r="N278" s="9" t="str">
        <f>IF('Course 3'!$H276='tab3'!N$3,'Course 3'!$I276," ")</f>
        <v xml:space="preserve"> </v>
      </c>
    </row>
    <row r="279" spans="2:14">
      <c r="B279">
        <v>275</v>
      </c>
      <c r="C279" s="7" t="str">
        <f>IF('Course 3'!$H277='tab3'!C$3,'Course 3'!$I277," ")</f>
        <v xml:space="preserve"> </v>
      </c>
      <c r="D279" s="8" t="str">
        <f>IF('Course 3'!$H277='tab3'!D$3,'Course 3'!$I277," ")</f>
        <v xml:space="preserve"> </v>
      </c>
      <c r="E279" s="8" t="str">
        <f>IF('Course 3'!$H277='tab3'!E$3,'Course 3'!$I277," ")</f>
        <v xml:space="preserve"> </v>
      </c>
      <c r="F279" s="8" t="str">
        <f>IF('Course 3'!$H277='tab3'!F$3,'Course 3'!$I277," ")</f>
        <v xml:space="preserve"> </v>
      </c>
      <c r="G279" s="8" t="str">
        <f>IF('Course 3'!$H277='tab3'!G$3,'Course 3'!$I277," ")</f>
        <v xml:space="preserve"> </v>
      </c>
      <c r="H279" s="8" t="str">
        <f>IF('Course 3'!$H277='tab3'!H$3,'Course 3'!$I277," ")</f>
        <v xml:space="preserve"> </v>
      </c>
      <c r="I279" s="8" t="str">
        <f>IF('Course 3'!$H277='tab3'!I$3,'Course 3'!$I277," ")</f>
        <v xml:space="preserve"> </v>
      </c>
      <c r="J279" s="8" t="str">
        <f>IF('Course 3'!$H277='tab3'!J$3,'Course 3'!$I277," ")</f>
        <v xml:space="preserve"> </v>
      </c>
      <c r="K279" s="8" t="str">
        <f>IF('Course 3'!$H277='tab3'!K$3,'Course 3'!$I277," ")</f>
        <v xml:space="preserve"> </v>
      </c>
      <c r="L279" s="8" t="str">
        <f>IF('Course 3'!$H277='tab3'!L$3,'Course 3'!$I277," ")</f>
        <v xml:space="preserve"> </v>
      </c>
      <c r="M279" s="8" t="str">
        <f>IF('Course 3'!$H277='tab3'!M$3,'Course 3'!$I277," ")</f>
        <v xml:space="preserve"> </v>
      </c>
      <c r="N279" s="9" t="str">
        <f>IF('Course 3'!$H277='tab3'!N$3,'Course 3'!$I277," ")</f>
        <v xml:space="preserve"> </v>
      </c>
    </row>
    <row r="280" spans="2:14">
      <c r="B280">
        <v>276</v>
      </c>
      <c r="C280" s="7" t="str">
        <f>IF('Course 3'!$H278='tab3'!C$3,'Course 3'!$I278," ")</f>
        <v xml:space="preserve"> </v>
      </c>
      <c r="D280" s="8" t="str">
        <f>IF('Course 3'!$H278='tab3'!D$3,'Course 3'!$I278," ")</f>
        <v xml:space="preserve"> </v>
      </c>
      <c r="E280" s="8" t="str">
        <f>IF('Course 3'!$H278='tab3'!E$3,'Course 3'!$I278," ")</f>
        <v xml:space="preserve"> </v>
      </c>
      <c r="F280" s="8" t="str">
        <f>IF('Course 3'!$H278='tab3'!F$3,'Course 3'!$I278," ")</f>
        <v xml:space="preserve"> </v>
      </c>
      <c r="G280" s="8" t="str">
        <f>IF('Course 3'!$H278='tab3'!G$3,'Course 3'!$I278," ")</f>
        <v xml:space="preserve"> </v>
      </c>
      <c r="H280" s="8" t="str">
        <f>IF('Course 3'!$H278='tab3'!H$3,'Course 3'!$I278," ")</f>
        <v xml:space="preserve"> </v>
      </c>
      <c r="I280" s="8" t="str">
        <f>IF('Course 3'!$H278='tab3'!I$3,'Course 3'!$I278," ")</f>
        <v xml:space="preserve"> </v>
      </c>
      <c r="J280" s="8" t="str">
        <f>IF('Course 3'!$H278='tab3'!J$3,'Course 3'!$I278," ")</f>
        <v xml:space="preserve"> </v>
      </c>
      <c r="K280" s="8" t="str">
        <f>IF('Course 3'!$H278='tab3'!K$3,'Course 3'!$I278," ")</f>
        <v xml:space="preserve"> </v>
      </c>
      <c r="L280" s="8" t="str">
        <f>IF('Course 3'!$H278='tab3'!L$3,'Course 3'!$I278," ")</f>
        <v xml:space="preserve"> </v>
      </c>
      <c r="M280" s="8" t="str">
        <f>IF('Course 3'!$H278='tab3'!M$3,'Course 3'!$I278," ")</f>
        <v xml:space="preserve"> </v>
      </c>
      <c r="N280" s="9" t="str">
        <f>IF('Course 3'!$H278='tab3'!N$3,'Course 3'!$I278," ")</f>
        <v xml:space="preserve"> </v>
      </c>
    </row>
    <row r="281" spans="2:14">
      <c r="B281">
        <v>277</v>
      </c>
      <c r="C281" s="7" t="str">
        <f>IF('Course 3'!$H279='tab3'!C$3,'Course 3'!$I279," ")</f>
        <v xml:space="preserve"> </v>
      </c>
      <c r="D281" s="8" t="str">
        <f>IF('Course 3'!$H279='tab3'!D$3,'Course 3'!$I279," ")</f>
        <v xml:space="preserve"> </v>
      </c>
      <c r="E281" s="8" t="str">
        <f>IF('Course 3'!$H279='tab3'!E$3,'Course 3'!$I279," ")</f>
        <v xml:space="preserve"> </v>
      </c>
      <c r="F281" s="8" t="str">
        <f>IF('Course 3'!$H279='tab3'!F$3,'Course 3'!$I279," ")</f>
        <v xml:space="preserve"> </v>
      </c>
      <c r="G281" s="8" t="str">
        <f>IF('Course 3'!$H279='tab3'!G$3,'Course 3'!$I279," ")</f>
        <v xml:space="preserve"> </v>
      </c>
      <c r="H281" s="8" t="str">
        <f>IF('Course 3'!$H279='tab3'!H$3,'Course 3'!$I279," ")</f>
        <v xml:space="preserve"> </v>
      </c>
      <c r="I281" s="8" t="str">
        <f>IF('Course 3'!$H279='tab3'!I$3,'Course 3'!$I279," ")</f>
        <v xml:space="preserve"> </v>
      </c>
      <c r="J281" s="8" t="str">
        <f>IF('Course 3'!$H279='tab3'!J$3,'Course 3'!$I279," ")</f>
        <v xml:space="preserve"> </v>
      </c>
      <c r="K281" s="8" t="str">
        <f>IF('Course 3'!$H279='tab3'!K$3,'Course 3'!$I279," ")</f>
        <v xml:space="preserve"> </v>
      </c>
      <c r="L281" s="8" t="str">
        <f>IF('Course 3'!$H279='tab3'!L$3,'Course 3'!$I279," ")</f>
        <v xml:space="preserve"> </v>
      </c>
      <c r="M281" s="8" t="str">
        <f>IF('Course 3'!$H279='tab3'!M$3,'Course 3'!$I279," ")</f>
        <v xml:space="preserve"> </v>
      </c>
      <c r="N281" s="9" t="str">
        <f>IF('Course 3'!$H279='tab3'!N$3,'Course 3'!$I279," ")</f>
        <v xml:space="preserve"> </v>
      </c>
    </row>
    <row r="282" spans="2:14">
      <c r="B282">
        <v>278</v>
      </c>
      <c r="C282" s="7" t="str">
        <f>IF('Course 3'!$H280='tab3'!C$3,'Course 3'!$I280," ")</f>
        <v xml:space="preserve"> </v>
      </c>
      <c r="D282" s="8" t="str">
        <f>IF('Course 3'!$H280='tab3'!D$3,'Course 3'!$I280," ")</f>
        <v xml:space="preserve"> </v>
      </c>
      <c r="E282" s="8" t="str">
        <f>IF('Course 3'!$H280='tab3'!E$3,'Course 3'!$I280," ")</f>
        <v xml:space="preserve"> </v>
      </c>
      <c r="F282" s="8" t="str">
        <f>IF('Course 3'!$H280='tab3'!F$3,'Course 3'!$I280," ")</f>
        <v xml:space="preserve"> </v>
      </c>
      <c r="G282" s="8" t="str">
        <f>IF('Course 3'!$H280='tab3'!G$3,'Course 3'!$I280," ")</f>
        <v xml:space="preserve"> </v>
      </c>
      <c r="H282" s="8" t="str">
        <f>IF('Course 3'!$H280='tab3'!H$3,'Course 3'!$I280," ")</f>
        <v xml:space="preserve"> </v>
      </c>
      <c r="I282" s="8" t="str">
        <f>IF('Course 3'!$H280='tab3'!I$3,'Course 3'!$I280," ")</f>
        <v xml:space="preserve"> </v>
      </c>
      <c r="J282" s="8" t="str">
        <f>IF('Course 3'!$H280='tab3'!J$3,'Course 3'!$I280," ")</f>
        <v xml:space="preserve"> </v>
      </c>
      <c r="K282" s="8" t="str">
        <f>IF('Course 3'!$H280='tab3'!K$3,'Course 3'!$I280," ")</f>
        <v xml:space="preserve"> </v>
      </c>
      <c r="L282" s="8" t="str">
        <f>IF('Course 3'!$H280='tab3'!L$3,'Course 3'!$I280," ")</f>
        <v xml:space="preserve"> </v>
      </c>
      <c r="M282" s="8" t="str">
        <f>IF('Course 3'!$H280='tab3'!M$3,'Course 3'!$I280," ")</f>
        <v xml:space="preserve"> </v>
      </c>
      <c r="N282" s="9" t="str">
        <f>IF('Course 3'!$H280='tab3'!N$3,'Course 3'!$I280," ")</f>
        <v xml:space="preserve"> </v>
      </c>
    </row>
    <row r="283" spans="2:14">
      <c r="B283">
        <v>279</v>
      </c>
      <c r="C283" s="7" t="str">
        <f>IF('Course 3'!$H281='tab3'!C$3,'Course 3'!$I281," ")</f>
        <v xml:space="preserve"> </v>
      </c>
      <c r="D283" s="8" t="str">
        <f>IF('Course 3'!$H281='tab3'!D$3,'Course 3'!$I281," ")</f>
        <v xml:space="preserve"> </v>
      </c>
      <c r="E283" s="8" t="str">
        <f>IF('Course 3'!$H281='tab3'!E$3,'Course 3'!$I281," ")</f>
        <v xml:space="preserve"> </v>
      </c>
      <c r="F283" s="8" t="str">
        <f>IF('Course 3'!$H281='tab3'!F$3,'Course 3'!$I281," ")</f>
        <v xml:space="preserve"> </v>
      </c>
      <c r="G283" s="8" t="str">
        <f>IF('Course 3'!$H281='tab3'!G$3,'Course 3'!$I281," ")</f>
        <v xml:space="preserve"> </v>
      </c>
      <c r="H283" s="8" t="str">
        <f>IF('Course 3'!$H281='tab3'!H$3,'Course 3'!$I281," ")</f>
        <v xml:space="preserve"> </v>
      </c>
      <c r="I283" s="8" t="str">
        <f>IF('Course 3'!$H281='tab3'!I$3,'Course 3'!$I281," ")</f>
        <v xml:space="preserve"> </v>
      </c>
      <c r="J283" s="8" t="str">
        <f>IF('Course 3'!$H281='tab3'!J$3,'Course 3'!$I281," ")</f>
        <v xml:space="preserve"> </v>
      </c>
      <c r="K283" s="8" t="str">
        <f>IF('Course 3'!$H281='tab3'!K$3,'Course 3'!$I281," ")</f>
        <v xml:space="preserve"> </v>
      </c>
      <c r="L283" s="8" t="str">
        <f>IF('Course 3'!$H281='tab3'!L$3,'Course 3'!$I281," ")</f>
        <v xml:space="preserve"> </v>
      </c>
      <c r="M283" s="8" t="str">
        <f>IF('Course 3'!$H281='tab3'!M$3,'Course 3'!$I281," ")</f>
        <v xml:space="preserve"> </v>
      </c>
      <c r="N283" s="9" t="str">
        <f>IF('Course 3'!$H281='tab3'!N$3,'Course 3'!$I281," ")</f>
        <v xml:space="preserve"> </v>
      </c>
    </row>
    <row r="284" spans="2:14">
      <c r="B284">
        <v>280</v>
      </c>
      <c r="C284" s="7" t="str">
        <f>IF('Course 3'!$H282='tab3'!C$3,'Course 3'!$I282," ")</f>
        <v xml:space="preserve"> </v>
      </c>
      <c r="D284" s="8" t="str">
        <f>IF('Course 3'!$H282='tab3'!D$3,'Course 3'!$I282," ")</f>
        <v xml:space="preserve"> </v>
      </c>
      <c r="E284" s="8" t="str">
        <f>IF('Course 3'!$H282='tab3'!E$3,'Course 3'!$I282," ")</f>
        <v xml:space="preserve"> </v>
      </c>
      <c r="F284" s="8" t="str">
        <f>IF('Course 3'!$H282='tab3'!F$3,'Course 3'!$I282," ")</f>
        <v xml:space="preserve"> </v>
      </c>
      <c r="G284" s="8" t="str">
        <f>IF('Course 3'!$H282='tab3'!G$3,'Course 3'!$I282," ")</f>
        <v xml:space="preserve"> </v>
      </c>
      <c r="H284" s="8" t="str">
        <f>IF('Course 3'!$H282='tab3'!H$3,'Course 3'!$I282," ")</f>
        <v xml:space="preserve"> </v>
      </c>
      <c r="I284" s="8" t="str">
        <f>IF('Course 3'!$H282='tab3'!I$3,'Course 3'!$I282," ")</f>
        <v xml:space="preserve"> </v>
      </c>
      <c r="J284" s="8" t="str">
        <f>IF('Course 3'!$H282='tab3'!J$3,'Course 3'!$I282," ")</f>
        <v xml:space="preserve"> </v>
      </c>
      <c r="K284" s="8" t="str">
        <f>IF('Course 3'!$H282='tab3'!K$3,'Course 3'!$I282," ")</f>
        <v xml:space="preserve"> </v>
      </c>
      <c r="L284" s="8" t="str">
        <f>IF('Course 3'!$H282='tab3'!L$3,'Course 3'!$I282," ")</f>
        <v xml:space="preserve"> </v>
      </c>
      <c r="M284" s="8" t="str">
        <f>IF('Course 3'!$H282='tab3'!M$3,'Course 3'!$I282," ")</f>
        <v xml:space="preserve"> </v>
      </c>
      <c r="N284" s="9" t="str">
        <f>IF('Course 3'!$H282='tab3'!N$3,'Course 3'!$I282," ")</f>
        <v xml:space="preserve"> </v>
      </c>
    </row>
    <row r="285" spans="2:14">
      <c r="B285">
        <v>281</v>
      </c>
      <c r="C285" s="7" t="str">
        <f>IF('Course 3'!$H283='tab3'!C$3,'Course 3'!$I283," ")</f>
        <v xml:space="preserve"> </v>
      </c>
      <c r="D285" s="8" t="str">
        <f>IF('Course 3'!$H283='tab3'!D$3,'Course 3'!$I283," ")</f>
        <v xml:space="preserve"> </v>
      </c>
      <c r="E285" s="8" t="str">
        <f>IF('Course 3'!$H283='tab3'!E$3,'Course 3'!$I283," ")</f>
        <v xml:space="preserve"> </v>
      </c>
      <c r="F285" s="8" t="str">
        <f>IF('Course 3'!$H283='tab3'!F$3,'Course 3'!$I283," ")</f>
        <v xml:space="preserve"> </v>
      </c>
      <c r="G285" s="8" t="str">
        <f>IF('Course 3'!$H283='tab3'!G$3,'Course 3'!$I283," ")</f>
        <v xml:space="preserve"> </v>
      </c>
      <c r="H285" s="8" t="str">
        <f>IF('Course 3'!$H283='tab3'!H$3,'Course 3'!$I283," ")</f>
        <v xml:space="preserve"> </v>
      </c>
      <c r="I285" s="8" t="str">
        <f>IF('Course 3'!$H283='tab3'!I$3,'Course 3'!$I283," ")</f>
        <v xml:space="preserve"> </v>
      </c>
      <c r="J285" s="8" t="str">
        <f>IF('Course 3'!$H283='tab3'!J$3,'Course 3'!$I283," ")</f>
        <v xml:space="preserve"> </v>
      </c>
      <c r="K285" s="8" t="str">
        <f>IF('Course 3'!$H283='tab3'!K$3,'Course 3'!$I283," ")</f>
        <v xml:space="preserve"> </v>
      </c>
      <c r="L285" s="8" t="str">
        <f>IF('Course 3'!$H283='tab3'!L$3,'Course 3'!$I283," ")</f>
        <v xml:space="preserve"> </v>
      </c>
      <c r="M285" s="8" t="str">
        <f>IF('Course 3'!$H283='tab3'!M$3,'Course 3'!$I283," ")</f>
        <v xml:space="preserve"> </v>
      </c>
      <c r="N285" s="9" t="str">
        <f>IF('Course 3'!$H283='tab3'!N$3,'Course 3'!$I283," ")</f>
        <v xml:space="preserve"> </v>
      </c>
    </row>
    <row r="286" spans="2:14">
      <c r="B286">
        <v>282</v>
      </c>
      <c r="C286" s="7" t="str">
        <f>IF('Course 3'!$H284='tab3'!C$3,'Course 3'!$I284," ")</f>
        <v xml:space="preserve"> </v>
      </c>
      <c r="D286" s="8" t="str">
        <f>IF('Course 3'!$H284='tab3'!D$3,'Course 3'!$I284," ")</f>
        <v xml:space="preserve"> </v>
      </c>
      <c r="E286" s="8" t="str">
        <f>IF('Course 3'!$H284='tab3'!E$3,'Course 3'!$I284," ")</f>
        <v xml:space="preserve"> </v>
      </c>
      <c r="F286" s="8" t="str">
        <f>IF('Course 3'!$H284='tab3'!F$3,'Course 3'!$I284," ")</f>
        <v xml:space="preserve"> </v>
      </c>
      <c r="G286" s="8" t="str">
        <f>IF('Course 3'!$H284='tab3'!G$3,'Course 3'!$I284," ")</f>
        <v xml:space="preserve"> </v>
      </c>
      <c r="H286" s="8" t="str">
        <f>IF('Course 3'!$H284='tab3'!H$3,'Course 3'!$I284," ")</f>
        <v xml:space="preserve"> </v>
      </c>
      <c r="I286" s="8" t="str">
        <f>IF('Course 3'!$H284='tab3'!I$3,'Course 3'!$I284," ")</f>
        <v xml:space="preserve"> </v>
      </c>
      <c r="J286" s="8" t="str">
        <f>IF('Course 3'!$H284='tab3'!J$3,'Course 3'!$I284," ")</f>
        <v xml:space="preserve"> </v>
      </c>
      <c r="K286" s="8" t="str">
        <f>IF('Course 3'!$H284='tab3'!K$3,'Course 3'!$I284," ")</f>
        <v xml:space="preserve"> </v>
      </c>
      <c r="L286" s="8" t="str">
        <f>IF('Course 3'!$H284='tab3'!L$3,'Course 3'!$I284," ")</f>
        <v xml:space="preserve"> </v>
      </c>
      <c r="M286" s="8" t="str">
        <f>IF('Course 3'!$H284='tab3'!M$3,'Course 3'!$I284," ")</f>
        <v xml:space="preserve"> </v>
      </c>
      <c r="N286" s="9" t="str">
        <f>IF('Course 3'!$H284='tab3'!N$3,'Course 3'!$I284," ")</f>
        <v xml:space="preserve"> </v>
      </c>
    </row>
    <row r="287" spans="2:14">
      <c r="B287">
        <v>283</v>
      </c>
      <c r="C287" s="7" t="str">
        <f>IF('Course 3'!$H285='tab3'!C$3,'Course 3'!$I285," ")</f>
        <v xml:space="preserve"> </v>
      </c>
      <c r="D287" s="8" t="str">
        <f>IF('Course 3'!$H285='tab3'!D$3,'Course 3'!$I285," ")</f>
        <v xml:space="preserve"> </v>
      </c>
      <c r="E287" s="8" t="str">
        <f>IF('Course 3'!$H285='tab3'!E$3,'Course 3'!$I285," ")</f>
        <v xml:space="preserve"> </v>
      </c>
      <c r="F287" s="8" t="str">
        <f>IF('Course 3'!$H285='tab3'!F$3,'Course 3'!$I285," ")</f>
        <v xml:space="preserve"> </v>
      </c>
      <c r="G287" s="8" t="str">
        <f>IF('Course 3'!$H285='tab3'!G$3,'Course 3'!$I285," ")</f>
        <v xml:space="preserve"> </v>
      </c>
      <c r="H287" s="8" t="str">
        <f>IF('Course 3'!$H285='tab3'!H$3,'Course 3'!$I285," ")</f>
        <v xml:space="preserve"> </v>
      </c>
      <c r="I287" s="8" t="str">
        <f>IF('Course 3'!$H285='tab3'!I$3,'Course 3'!$I285," ")</f>
        <v xml:space="preserve"> </v>
      </c>
      <c r="J287" s="8" t="str">
        <f>IF('Course 3'!$H285='tab3'!J$3,'Course 3'!$I285," ")</f>
        <v xml:space="preserve"> </v>
      </c>
      <c r="K287" s="8" t="str">
        <f>IF('Course 3'!$H285='tab3'!K$3,'Course 3'!$I285," ")</f>
        <v xml:space="preserve"> </v>
      </c>
      <c r="L287" s="8" t="str">
        <f>IF('Course 3'!$H285='tab3'!L$3,'Course 3'!$I285," ")</f>
        <v xml:space="preserve"> </v>
      </c>
      <c r="M287" s="8" t="str">
        <f>IF('Course 3'!$H285='tab3'!M$3,'Course 3'!$I285," ")</f>
        <v xml:space="preserve"> </v>
      </c>
      <c r="N287" s="9" t="str">
        <f>IF('Course 3'!$H285='tab3'!N$3,'Course 3'!$I285," ")</f>
        <v xml:space="preserve"> </v>
      </c>
    </row>
    <row r="288" spans="2:14">
      <c r="B288">
        <v>284</v>
      </c>
      <c r="C288" s="7" t="str">
        <f>IF('Course 3'!$H286='tab3'!C$3,'Course 3'!$I286," ")</f>
        <v xml:space="preserve"> </v>
      </c>
      <c r="D288" s="8" t="str">
        <f>IF('Course 3'!$H286='tab3'!D$3,'Course 3'!$I286," ")</f>
        <v xml:space="preserve"> </v>
      </c>
      <c r="E288" s="8" t="str">
        <f>IF('Course 3'!$H286='tab3'!E$3,'Course 3'!$I286," ")</f>
        <v xml:space="preserve"> </v>
      </c>
      <c r="F288" s="8" t="str">
        <f>IF('Course 3'!$H286='tab3'!F$3,'Course 3'!$I286," ")</f>
        <v xml:space="preserve"> </v>
      </c>
      <c r="G288" s="8" t="str">
        <f>IF('Course 3'!$H286='tab3'!G$3,'Course 3'!$I286," ")</f>
        <v xml:space="preserve"> </v>
      </c>
      <c r="H288" s="8" t="str">
        <f>IF('Course 3'!$H286='tab3'!H$3,'Course 3'!$I286," ")</f>
        <v xml:space="preserve"> </v>
      </c>
      <c r="I288" s="8" t="str">
        <f>IF('Course 3'!$H286='tab3'!I$3,'Course 3'!$I286," ")</f>
        <v xml:space="preserve"> </v>
      </c>
      <c r="J288" s="8" t="str">
        <f>IF('Course 3'!$H286='tab3'!J$3,'Course 3'!$I286," ")</f>
        <v xml:space="preserve"> </v>
      </c>
      <c r="K288" s="8" t="str">
        <f>IF('Course 3'!$H286='tab3'!K$3,'Course 3'!$I286," ")</f>
        <v xml:space="preserve"> </v>
      </c>
      <c r="L288" s="8" t="str">
        <f>IF('Course 3'!$H286='tab3'!L$3,'Course 3'!$I286," ")</f>
        <v xml:space="preserve"> </v>
      </c>
      <c r="M288" s="8" t="str">
        <f>IF('Course 3'!$H286='tab3'!M$3,'Course 3'!$I286," ")</f>
        <v xml:space="preserve"> </v>
      </c>
      <c r="N288" s="9" t="str">
        <f>IF('Course 3'!$H286='tab3'!N$3,'Course 3'!$I286," ")</f>
        <v xml:space="preserve"> </v>
      </c>
    </row>
    <row r="289" spans="2:14">
      <c r="B289">
        <v>285</v>
      </c>
      <c r="C289" s="7" t="str">
        <f>IF('Course 3'!$H287='tab3'!C$3,'Course 3'!$I287," ")</f>
        <v xml:space="preserve"> </v>
      </c>
      <c r="D289" s="8" t="str">
        <f>IF('Course 3'!$H287='tab3'!D$3,'Course 3'!$I287," ")</f>
        <v xml:space="preserve"> </v>
      </c>
      <c r="E289" s="8" t="str">
        <f>IF('Course 3'!$H287='tab3'!E$3,'Course 3'!$I287," ")</f>
        <v xml:space="preserve"> </v>
      </c>
      <c r="F289" s="8" t="str">
        <f>IF('Course 3'!$H287='tab3'!F$3,'Course 3'!$I287," ")</f>
        <v xml:space="preserve"> </v>
      </c>
      <c r="G289" s="8" t="str">
        <f>IF('Course 3'!$H287='tab3'!G$3,'Course 3'!$I287," ")</f>
        <v xml:space="preserve"> </v>
      </c>
      <c r="H289" s="8" t="str">
        <f>IF('Course 3'!$H287='tab3'!H$3,'Course 3'!$I287," ")</f>
        <v xml:space="preserve"> </v>
      </c>
      <c r="I289" s="8" t="str">
        <f>IF('Course 3'!$H287='tab3'!I$3,'Course 3'!$I287," ")</f>
        <v xml:space="preserve"> </v>
      </c>
      <c r="J289" s="8" t="str">
        <f>IF('Course 3'!$H287='tab3'!J$3,'Course 3'!$I287," ")</f>
        <v xml:space="preserve"> </v>
      </c>
      <c r="K289" s="8" t="str">
        <f>IF('Course 3'!$H287='tab3'!K$3,'Course 3'!$I287," ")</f>
        <v xml:space="preserve"> </v>
      </c>
      <c r="L289" s="8" t="str">
        <f>IF('Course 3'!$H287='tab3'!L$3,'Course 3'!$I287," ")</f>
        <v xml:space="preserve"> </v>
      </c>
      <c r="M289" s="8" t="str">
        <f>IF('Course 3'!$H287='tab3'!M$3,'Course 3'!$I287," ")</f>
        <v xml:space="preserve"> </v>
      </c>
      <c r="N289" s="9" t="str">
        <f>IF('Course 3'!$H287='tab3'!N$3,'Course 3'!$I287," ")</f>
        <v xml:space="preserve"> </v>
      </c>
    </row>
    <row r="290" spans="2:14">
      <c r="B290">
        <v>286</v>
      </c>
      <c r="C290" s="7" t="str">
        <f>IF('Course 3'!$H288='tab3'!C$3,'Course 3'!$I288," ")</f>
        <v xml:space="preserve"> </v>
      </c>
      <c r="D290" s="8" t="str">
        <f>IF('Course 3'!$H288='tab3'!D$3,'Course 3'!$I288," ")</f>
        <v xml:space="preserve"> </v>
      </c>
      <c r="E290" s="8" t="str">
        <f>IF('Course 3'!$H288='tab3'!E$3,'Course 3'!$I288," ")</f>
        <v xml:space="preserve"> </v>
      </c>
      <c r="F290" s="8" t="str">
        <f>IF('Course 3'!$H288='tab3'!F$3,'Course 3'!$I288," ")</f>
        <v xml:space="preserve"> </v>
      </c>
      <c r="G290" s="8" t="str">
        <f>IF('Course 3'!$H288='tab3'!G$3,'Course 3'!$I288," ")</f>
        <v xml:space="preserve"> </v>
      </c>
      <c r="H290" s="8" t="str">
        <f>IF('Course 3'!$H288='tab3'!H$3,'Course 3'!$I288," ")</f>
        <v xml:space="preserve"> </v>
      </c>
      <c r="I290" s="8" t="str">
        <f>IF('Course 3'!$H288='tab3'!I$3,'Course 3'!$I288," ")</f>
        <v xml:space="preserve"> </v>
      </c>
      <c r="J290" s="8" t="str">
        <f>IF('Course 3'!$H288='tab3'!J$3,'Course 3'!$I288," ")</f>
        <v xml:space="preserve"> </v>
      </c>
      <c r="K290" s="8" t="str">
        <f>IF('Course 3'!$H288='tab3'!K$3,'Course 3'!$I288," ")</f>
        <v xml:space="preserve"> </v>
      </c>
      <c r="L290" s="8" t="str">
        <f>IF('Course 3'!$H288='tab3'!L$3,'Course 3'!$I288," ")</f>
        <v xml:space="preserve"> </v>
      </c>
      <c r="M290" s="8" t="str">
        <f>IF('Course 3'!$H288='tab3'!M$3,'Course 3'!$I288," ")</f>
        <v xml:space="preserve"> </v>
      </c>
      <c r="N290" s="9" t="str">
        <f>IF('Course 3'!$H288='tab3'!N$3,'Course 3'!$I288," ")</f>
        <v xml:space="preserve"> </v>
      </c>
    </row>
    <row r="291" spans="2:14">
      <c r="B291">
        <v>287</v>
      </c>
      <c r="C291" s="7" t="str">
        <f>IF('Course 3'!$H289='tab3'!C$3,'Course 3'!$I289," ")</f>
        <v xml:space="preserve"> </v>
      </c>
      <c r="D291" s="8" t="str">
        <f>IF('Course 3'!$H289='tab3'!D$3,'Course 3'!$I289," ")</f>
        <v xml:space="preserve"> </v>
      </c>
      <c r="E291" s="8" t="str">
        <f>IF('Course 3'!$H289='tab3'!E$3,'Course 3'!$I289," ")</f>
        <v xml:space="preserve"> </v>
      </c>
      <c r="F291" s="8" t="str">
        <f>IF('Course 3'!$H289='tab3'!F$3,'Course 3'!$I289," ")</f>
        <v xml:space="preserve"> </v>
      </c>
      <c r="G291" s="8" t="str">
        <f>IF('Course 3'!$H289='tab3'!G$3,'Course 3'!$I289," ")</f>
        <v xml:space="preserve"> </v>
      </c>
      <c r="H291" s="8" t="str">
        <f>IF('Course 3'!$H289='tab3'!H$3,'Course 3'!$I289," ")</f>
        <v xml:space="preserve"> </v>
      </c>
      <c r="I291" s="8" t="str">
        <f>IF('Course 3'!$H289='tab3'!I$3,'Course 3'!$I289," ")</f>
        <v xml:space="preserve"> </v>
      </c>
      <c r="J291" s="8" t="str">
        <f>IF('Course 3'!$H289='tab3'!J$3,'Course 3'!$I289," ")</f>
        <v xml:space="preserve"> </v>
      </c>
      <c r="K291" s="8" t="str">
        <f>IF('Course 3'!$H289='tab3'!K$3,'Course 3'!$I289," ")</f>
        <v xml:space="preserve"> </v>
      </c>
      <c r="L291" s="8" t="str">
        <f>IF('Course 3'!$H289='tab3'!L$3,'Course 3'!$I289," ")</f>
        <v xml:space="preserve"> </v>
      </c>
      <c r="M291" s="8" t="str">
        <f>IF('Course 3'!$H289='tab3'!M$3,'Course 3'!$I289," ")</f>
        <v xml:space="preserve"> </v>
      </c>
      <c r="N291" s="9" t="str">
        <f>IF('Course 3'!$H289='tab3'!N$3,'Course 3'!$I289," ")</f>
        <v xml:space="preserve"> </v>
      </c>
    </row>
    <row r="292" spans="2:14">
      <c r="B292">
        <v>288</v>
      </c>
      <c r="C292" s="7" t="str">
        <f>IF('Course 3'!$H290='tab3'!C$3,'Course 3'!$I290," ")</f>
        <v xml:space="preserve"> </v>
      </c>
      <c r="D292" s="8" t="str">
        <f>IF('Course 3'!$H290='tab3'!D$3,'Course 3'!$I290," ")</f>
        <v xml:space="preserve"> </v>
      </c>
      <c r="E292" s="8" t="str">
        <f>IF('Course 3'!$H290='tab3'!E$3,'Course 3'!$I290," ")</f>
        <v xml:space="preserve"> </v>
      </c>
      <c r="F292" s="8" t="str">
        <f>IF('Course 3'!$H290='tab3'!F$3,'Course 3'!$I290," ")</f>
        <v xml:space="preserve"> </v>
      </c>
      <c r="G292" s="8" t="str">
        <f>IF('Course 3'!$H290='tab3'!G$3,'Course 3'!$I290," ")</f>
        <v xml:space="preserve"> </v>
      </c>
      <c r="H292" s="8" t="str">
        <f>IF('Course 3'!$H290='tab3'!H$3,'Course 3'!$I290," ")</f>
        <v xml:space="preserve"> </v>
      </c>
      <c r="I292" s="8" t="str">
        <f>IF('Course 3'!$H290='tab3'!I$3,'Course 3'!$I290," ")</f>
        <v xml:space="preserve"> </v>
      </c>
      <c r="J292" s="8" t="str">
        <f>IF('Course 3'!$H290='tab3'!J$3,'Course 3'!$I290," ")</f>
        <v xml:space="preserve"> </v>
      </c>
      <c r="K292" s="8" t="str">
        <f>IF('Course 3'!$H290='tab3'!K$3,'Course 3'!$I290," ")</f>
        <v xml:space="preserve"> </v>
      </c>
      <c r="L292" s="8" t="str">
        <f>IF('Course 3'!$H290='tab3'!L$3,'Course 3'!$I290," ")</f>
        <v xml:space="preserve"> </v>
      </c>
      <c r="M292" s="8" t="str">
        <f>IF('Course 3'!$H290='tab3'!M$3,'Course 3'!$I290," ")</f>
        <v xml:space="preserve"> </v>
      </c>
      <c r="N292" s="9" t="str">
        <f>IF('Course 3'!$H290='tab3'!N$3,'Course 3'!$I290," ")</f>
        <v xml:space="preserve"> </v>
      </c>
    </row>
    <row r="293" spans="2:14">
      <c r="B293">
        <v>289</v>
      </c>
      <c r="C293" s="7" t="str">
        <f>IF('Course 3'!$H291='tab3'!C$3,'Course 3'!$I291," ")</f>
        <v xml:space="preserve"> </v>
      </c>
      <c r="D293" s="8" t="str">
        <f>IF('Course 3'!$H291='tab3'!D$3,'Course 3'!$I291," ")</f>
        <v xml:space="preserve"> </v>
      </c>
      <c r="E293" s="8" t="str">
        <f>IF('Course 3'!$H291='tab3'!E$3,'Course 3'!$I291," ")</f>
        <v xml:space="preserve"> </v>
      </c>
      <c r="F293" s="8" t="str">
        <f>IF('Course 3'!$H291='tab3'!F$3,'Course 3'!$I291," ")</f>
        <v xml:space="preserve"> </v>
      </c>
      <c r="G293" s="8" t="str">
        <f>IF('Course 3'!$H291='tab3'!G$3,'Course 3'!$I291," ")</f>
        <v xml:space="preserve"> </v>
      </c>
      <c r="H293" s="8" t="str">
        <f>IF('Course 3'!$H291='tab3'!H$3,'Course 3'!$I291," ")</f>
        <v xml:space="preserve"> </v>
      </c>
      <c r="I293" s="8" t="str">
        <f>IF('Course 3'!$H291='tab3'!I$3,'Course 3'!$I291," ")</f>
        <v xml:space="preserve"> </v>
      </c>
      <c r="J293" s="8" t="str">
        <f>IF('Course 3'!$H291='tab3'!J$3,'Course 3'!$I291," ")</f>
        <v xml:space="preserve"> </v>
      </c>
      <c r="K293" s="8" t="str">
        <f>IF('Course 3'!$H291='tab3'!K$3,'Course 3'!$I291," ")</f>
        <v xml:space="preserve"> </v>
      </c>
      <c r="L293" s="8" t="str">
        <f>IF('Course 3'!$H291='tab3'!L$3,'Course 3'!$I291," ")</f>
        <v xml:space="preserve"> </v>
      </c>
      <c r="M293" s="8" t="str">
        <f>IF('Course 3'!$H291='tab3'!M$3,'Course 3'!$I291," ")</f>
        <v xml:space="preserve"> </v>
      </c>
      <c r="N293" s="9" t="str">
        <f>IF('Course 3'!$H291='tab3'!N$3,'Course 3'!$I291," ")</f>
        <v xml:space="preserve"> </v>
      </c>
    </row>
    <row r="294" spans="2:14">
      <c r="B294">
        <v>290</v>
      </c>
      <c r="C294" s="7" t="str">
        <f>IF('Course 3'!$H292='tab3'!C$3,'Course 3'!$I292," ")</f>
        <v xml:space="preserve"> </v>
      </c>
      <c r="D294" s="8" t="str">
        <f>IF('Course 3'!$H292='tab3'!D$3,'Course 3'!$I292," ")</f>
        <v xml:space="preserve"> </v>
      </c>
      <c r="E294" s="8" t="str">
        <f>IF('Course 3'!$H292='tab3'!E$3,'Course 3'!$I292," ")</f>
        <v xml:space="preserve"> </v>
      </c>
      <c r="F294" s="8" t="str">
        <f>IF('Course 3'!$H292='tab3'!F$3,'Course 3'!$I292," ")</f>
        <v xml:space="preserve"> </v>
      </c>
      <c r="G294" s="8" t="str">
        <f>IF('Course 3'!$H292='tab3'!G$3,'Course 3'!$I292," ")</f>
        <v xml:space="preserve"> </v>
      </c>
      <c r="H294" s="8" t="str">
        <f>IF('Course 3'!$H292='tab3'!H$3,'Course 3'!$I292," ")</f>
        <v xml:space="preserve"> </v>
      </c>
      <c r="I294" s="8" t="str">
        <f>IF('Course 3'!$H292='tab3'!I$3,'Course 3'!$I292," ")</f>
        <v xml:space="preserve"> </v>
      </c>
      <c r="J294" s="8" t="str">
        <f>IF('Course 3'!$H292='tab3'!J$3,'Course 3'!$I292," ")</f>
        <v xml:space="preserve"> </v>
      </c>
      <c r="K294" s="8" t="str">
        <f>IF('Course 3'!$H292='tab3'!K$3,'Course 3'!$I292," ")</f>
        <v xml:space="preserve"> </v>
      </c>
      <c r="L294" s="8" t="str">
        <f>IF('Course 3'!$H292='tab3'!L$3,'Course 3'!$I292," ")</f>
        <v xml:space="preserve"> </v>
      </c>
      <c r="M294" s="8" t="str">
        <f>IF('Course 3'!$H292='tab3'!M$3,'Course 3'!$I292," ")</f>
        <v xml:space="preserve"> </v>
      </c>
      <c r="N294" s="9" t="str">
        <f>IF('Course 3'!$H292='tab3'!N$3,'Course 3'!$I292," ")</f>
        <v xml:space="preserve"> </v>
      </c>
    </row>
    <row r="295" spans="2:14">
      <c r="B295">
        <v>291</v>
      </c>
      <c r="C295" s="7" t="str">
        <f>IF('Course 3'!$H293='tab3'!C$3,'Course 3'!$I293," ")</f>
        <v xml:space="preserve"> </v>
      </c>
      <c r="D295" s="8" t="str">
        <f>IF('Course 3'!$H293='tab3'!D$3,'Course 3'!$I293," ")</f>
        <v xml:space="preserve"> </v>
      </c>
      <c r="E295" s="8" t="str">
        <f>IF('Course 3'!$H293='tab3'!E$3,'Course 3'!$I293," ")</f>
        <v xml:space="preserve"> </v>
      </c>
      <c r="F295" s="8" t="str">
        <f>IF('Course 3'!$H293='tab3'!F$3,'Course 3'!$I293," ")</f>
        <v xml:space="preserve"> </v>
      </c>
      <c r="G295" s="8" t="str">
        <f>IF('Course 3'!$H293='tab3'!G$3,'Course 3'!$I293," ")</f>
        <v xml:space="preserve"> </v>
      </c>
      <c r="H295" s="8" t="str">
        <f>IF('Course 3'!$H293='tab3'!H$3,'Course 3'!$I293," ")</f>
        <v xml:space="preserve"> </v>
      </c>
      <c r="I295" s="8" t="str">
        <f>IF('Course 3'!$H293='tab3'!I$3,'Course 3'!$I293," ")</f>
        <v xml:space="preserve"> </v>
      </c>
      <c r="J295" s="8" t="str">
        <f>IF('Course 3'!$H293='tab3'!J$3,'Course 3'!$I293," ")</f>
        <v xml:space="preserve"> </v>
      </c>
      <c r="K295" s="8" t="str">
        <f>IF('Course 3'!$H293='tab3'!K$3,'Course 3'!$I293," ")</f>
        <v xml:space="preserve"> </v>
      </c>
      <c r="L295" s="8" t="str">
        <f>IF('Course 3'!$H293='tab3'!L$3,'Course 3'!$I293," ")</f>
        <v xml:space="preserve"> </v>
      </c>
      <c r="M295" s="8" t="str">
        <f>IF('Course 3'!$H293='tab3'!M$3,'Course 3'!$I293," ")</f>
        <v xml:space="preserve"> </v>
      </c>
      <c r="N295" s="9" t="str">
        <f>IF('Course 3'!$H293='tab3'!N$3,'Course 3'!$I293," ")</f>
        <v xml:space="preserve"> </v>
      </c>
    </row>
    <row r="296" spans="2:14">
      <c r="B296">
        <v>292</v>
      </c>
      <c r="C296" s="7" t="str">
        <f>IF('Course 3'!$H294='tab3'!C$3,'Course 3'!$I294," ")</f>
        <v xml:space="preserve"> </v>
      </c>
      <c r="D296" s="8" t="str">
        <f>IF('Course 3'!$H294='tab3'!D$3,'Course 3'!$I294," ")</f>
        <v xml:space="preserve"> </v>
      </c>
      <c r="E296" s="8" t="str">
        <f>IF('Course 3'!$H294='tab3'!E$3,'Course 3'!$I294," ")</f>
        <v xml:space="preserve"> </v>
      </c>
      <c r="F296" s="8" t="str">
        <f>IF('Course 3'!$H294='tab3'!F$3,'Course 3'!$I294," ")</f>
        <v xml:space="preserve"> </v>
      </c>
      <c r="G296" s="8" t="str">
        <f>IF('Course 3'!$H294='tab3'!G$3,'Course 3'!$I294," ")</f>
        <v xml:space="preserve"> </v>
      </c>
      <c r="H296" s="8" t="str">
        <f>IF('Course 3'!$H294='tab3'!H$3,'Course 3'!$I294," ")</f>
        <v xml:space="preserve"> </v>
      </c>
      <c r="I296" s="8" t="str">
        <f>IF('Course 3'!$H294='tab3'!I$3,'Course 3'!$I294," ")</f>
        <v xml:space="preserve"> </v>
      </c>
      <c r="J296" s="8" t="str">
        <f>IF('Course 3'!$H294='tab3'!J$3,'Course 3'!$I294," ")</f>
        <v xml:space="preserve"> </v>
      </c>
      <c r="K296" s="8" t="str">
        <f>IF('Course 3'!$H294='tab3'!K$3,'Course 3'!$I294," ")</f>
        <v xml:space="preserve"> </v>
      </c>
      <c r="L296" s="8" t="str">
        <f>IF('Course 3'!$H294='tab3'!L$3,'Course 3'!$I294," ")</f>
        <v xml:space="preserve"> </v>
      </c>
      <c r="M296" s="8" t="str">
        <f>IF('Course 3'!$H294='tab3'!M$3,'Course 3'!$I294," ")</f>
        <v xml:space="preserve"> </v>
      </c>
      <c r="N296" s="9" t="str">
        <f>IF('Course 3'!$H294='tab3'!N$3,'Course 3'!$I294," ")</f>
        <v xml:space="preserve"> </v>
      </c>
    </row>
    <row r="297" spans="2:14">
      <c r="B297">
        <v>293</v>
      </c>
      <c r="C297" s="7" t="str">
        <f>IF('Course 3'!$H295='tab3'!C$3,'Course 3'!$I295," ")</f>
        <v xml:space="preserve"> </v>
      </c>
      <c r="D297" s="8" t="str">
        <f>IF('Course 3'!$H295='tab3'!D$3,'Course 3'!$I295," ")</f>
        <v xml:space="preserve"> </v>
      </c>
      <c r="E297" s="8" t="str">
        <f>IF('Course 3'!$H295='tab3'!E$3,'Course 3'!$I295," ")</f>
        <v xml:space="preserve"> </v>
      </c>
      <c r="F297" s="8" t="str">
        <f>IF('Course 3'!$H295='tab3'!F$3,'Course 3'!$I295," ")</f>
        <v xml:space="preserve"> </v>
      </c>
      <c r="G297" s="8" t="str">
        <f>IF('Course 3'!$H295='tab3'!G$3,'Course 3'!$I295," ")</f>
        <v xml:space="preserve"> </v>
      </c>
      <c r="H297" s="8" t="str">
        <f>IF('Course 3'!$H295='tab3'!H$3,'Course 3'!$I295," ")</f>
        <v xml:space="preserve"> </v>
      </c>
      <c r="I297" s="8" t="str">
        <f>IF('Course 3'!$H295='tab3'!I$3,'Course 3'!$I295," ")</f>
        <v xml:space="preserve"> </v>
      </c>
      <c r="J297" s="8" t="str">
        <f>IF('Course 3'!$H295='tab3'!J$3,'Course 3'!$I295," ")</f>
        <v xml:space="preserve"> </v>
      </c>
      <c r="K297" s="8" t="str">
        <f>IF('Course 3'!$H295='tab3'!K$3,'Course 3'!$I295," ")</f>
        <v xml:space="preserve"> </v>
      </c>
      <c r="L297" s="8" t="str">
        <f>IF('Course 3'!$H295='tab3'!L$3,'Course 3'!$I295," ")</f>
        <v xml:space="preserve"> </v>
      </c>
      <c r="M297" s="8" t="str">
        <f>IF('Course 3'!$H295='tab3'!M$3,'Course 3'!$I295," ")</f>
        <v xml:space="preserve"> </v>
      </c>
      <c r="N297" s="9" t="str">
        <f>IF('Course 3'!$H295='tab3'!N$3,'Course 3'!$I295," ")</f>
        <v xml:space="preserve"> </v>
      </c>
    </row>
    <row r="298" spans="2:14">
      <c r="B298">
        <v>294</v>
      </c>
      <c r="C298" s="7" t="str">
        <f>IF('Course 3'!$H296='tab3'!C$3,'Course 3'!$I296," ")</f>
        <v xml:space="preserve"> </v>
      </c>
      <c r="D298" s="8" t="str">
        <f>IF('Course 3'!$H296='tab3'!D$3,'Course 3'!$I296," ")</f>
        <v xml:space="preserve"> </v>
      </c>
      <c r="E298" s="8" t="str">
        <f>IF('Course 3'!$H296='tab3'!E$3,'Course 3'!$I296," ")</f>
        <v xml:space="preserve"> </v>
      </c>
      <c r="F298" s="8" t="str">
        <f>IF('Course 3'!$H296='tab3'!F$3,'Course 3'!$I296," ")</f>
        <v xml:space="preserve"> </v>
      </c>
      <c r="G298" s="8" t="str">
        <f>IF('Course 3'!$H296='tab3'!G$3,'Course 3'!$I296," ")</f>
        <v xml:space="preserve"> </v>
      </c>
      <c r="H298" s="8" t="str">
        <f>IF('Course 3'!$H296='tab3'!H$3,'Course 3'!$I296," ")</f>
        <v xml:space="preserve"> </v>
      </c>
      <c r="I298" s="8" t="str">
        <f>IF('Course 3'!$H296='tab3'!I$3,'Course 3'!$I296," ")</f>
        <v xml:space="preserve"> </v>
      </c>
      <c r="J298" s="8" t="str">
        <f>IF('Course 3'!$H296='tab3'!J$3,'Course 3'!$I296," ")</f>
        <v xml:space="preserve"> </v>
      </c>
      <c r="K298" s="8" t="str">
        <f>IF('Course 3'!$H296='tab3'!K$3,'Course 3'!$I296," ")</f>
        <v xml:space="preserve"> </v>
      </c>
      <c r="L298" s="8" t="str">
        <f>IF('Course 3'!$H296='tab3'!L$3,'Course 3'!$I296," ")</f>
        <v xml:space="preserve"> </v>
      </c>
      <c r="M298" s="8" t="str">
        <f>IF('Course 3'!$H296='tab3'!M$3,'Course 3'!$I296," ")</f>
        <v xml:space="preserve"> </v>
      </c>
      <c r="N298" s="9" t="str">
        <f>IF('Course 3'!$H296='tab3'!N$3,'Course 3'!$I296," ")</f>
        <v xml:space="preserve"> </v>
      </c>
    </row>
    <row r="299" spans="2:14">
      <c r="B299">
        <v>295</v>
      </c>
      <c r="C299" s="7" t="str">
        <f>IF('Course 3'!$H297='tab3'!C$3,'Course 3'!$I297," ")</f>
        <v xml:space="preserve"> </v>
      </c>
      <c r="D299" s="8" t="str">
        <f>IF('Course 3'!$H297='tab3'!D$3,'Course 3'!$I297," ")</f>
        <v xml:space="preserve"> </v>
      </c>
      <c r="E299" s="8" t="str">
        <f>IF('Course 3'!$H297='tab3'!E$3,'Course 3'!$I297," ")</f>
        <v xml:space="preserve"> </v>
      </c>
      <c r="F299" s="8" t="str">
        <f>IF('Course 3'!$H297='tab3'!F$3,'Course 3'!$I297," ")</f>
        <v xml:space="preserve"> </v>
      </c>
      <c r="G299" s="8" t="str">
        <f>IF('Course 3'!$H297='tab3'!G$3,'Course 3'!$I297," ")</f>
        <v xml:space="preserve"> </v>
      </c>
      <c r="H299" s="8" t="str">
        <f>IF('Course 3'!$H297='tab3'!H$3,'Course 3'!$I297," ")</f>
        <v xml:space="preserve"> </v>
      </c>
      <c r="I299" s="8" t="str">
        <f>IF('Course 3'!$H297='tab3'!I$3,'Course 3'!$I297," ")</f>
        <v xml:space="preserve"> </v>
      </c>
      <c r="J299" s="8" t="str">
        <f>IF('Course 3'!$H297='tab3'!J$3,'Course 3'!$I297," ")</f>
        <v xml:space="preserve"> </v>
      </c>
      <c r="K299" s="8" t="str">
        <f>IF('Course 3'!$H297='tab3'!K$3,'Course 3'!$I297," ")</f>
        <v xml:space="preserve"> </v>
      </c>
      <c r="L299" s="8" t="str">
        <f>IF('Course 3'!$H297='tab3'!L$3,'Course 3'!$I297," ")</f>
        <v xml:space="preserve"> </v>
      </c>
      <c r="M299" s="8" t="str">
        <f>IF('Course 3'!$H297='tab3'!M$3,'Course 3'!$I297," ")</f>
        <v xml:space="preserve"> </v>
      </c>
      <c r="N299" s="9" t="str">
        <f>IF('Course 3'!$H297='tab3'!N$3,'Course 3'!$I297," ")</f>
        <v xml:space="preserve"> </v>
      </c>
    </row>
    <row r="300" spans="2:14">
      <c r="B300">
        <v>296</v>
      </c>
      <c r="C300" s="7" t="str">
        <f>IF('Course 3'!$H298='tab3'!C$3,'Course 3'!$I298," ")</f>
        <v xml:space="preserve"> </v>
      </c>
      <c r="D300" s="8" t="str">
        <f>IF('Course 3'!$H298='tab3'!D$3,'Course 3'!$I298," ")</f>
        <v xml:space="preserve"> </v>
      </c>
      <c r="E300" s="8" t="str">
        <f>IF('Course 3'!$H298='tab3'!E$3,'Course 3'!$I298," ")</f>
        <v xml:space="preserve"> </v>
      </c>
      <c r="F300" s="8" t="str">
        <f>IF('Course 3'!$H298='tab3'!F$3,'Course 3'!$I298," ")</f>
        <v xml:space="preserve"> </v>
      </c>
      <c r="G300" s="8" t="str">
        <f>IF('Course 3'!$H298='tab3'!G$3,'Course 3'!$I298," ")</f>
        <v xml:space="preserve"> </v>
      </c>
      <c r="H300" s="8" t="str">
        <f>IF('Course 3'!$H298='tab3'!H$3,'Course 3'!$I298," ")</f>
        <v xml:space="preserve"> </v>
      </c>
      <c r="I300" s="8" t="str">
        <f>IF('Course 3'!$H298='tab3'!I$3,'Course 3'!$I298," ")</f>
        <v xml:space="preserve"> </v>
      </c>
      <c r="J300" s="8" t="str">
        <f>IF('Course 3'!$H298='tab3'!J$3,'Course 3'!$I298," ")</f>
        <v xml:space="preserve"> </v>
      </c>
      <c r="K300" s="8" t="str">
        <f>IF('Course 3'!$H298='tab3'!K$3,'Course 3'!$I298," ")</f>
        <v xml:space="preserve"> </v>
      </c>
      <c r="L300" s="8" t="str">
        <f>IF('Course 3'!$H298='tab3'!L$3,'Course 3'!$I298," ")</f>
        <v xml:space="preserve"> </v>
      </c>
      <c r="M300" s="8" t="str">
        <f>IF('Course 3'!$H298='tab3'!M$3,'Course 3'!$I298," ")</f>
        <v xml:space="preserve"> </v>
      </c>
      <c r="N300" s="9" t="str">
        <f>IF('Course 3'!$H298='tab3'!N$3,'Course 3'!$I298," ")</f>
        <v xml:space="preserve"> </v>
      </c>
    </row>
    <row r="301" spans="2:14">
      <c r="B301">
        <v>297</v>
      </c>
      <c r="C301" s="7" t="str">
        <f>IF('Course 3'!$H299='tab3'!C$3,'Course 3'!$I299," ")</f>
        <v xml:space="preserve"> </v>
      </c>
      <c r="D301" s="8" t="str">
        <f>IF('Course 3'!$H299='tab3'!D$3,'Course 3'!$I299," ")</f>
        <v xml:space="preserve"> </v>
      </c>
      <c r="E301" s="8" t="str">
        <f>IF('Course 3'!$H299='tab3'!E$3,'Course 3'!$I299," ")</f>
        <v xml:space="preserve"> </v>
      </c>
      <c r="F301" s="8" t="str">
        <f>IF('Course 3'!$H299='tab3'!F$3,'Course 3'!$I299," ")</f>
        <v xml:space="preserve"> </v>
      </c>
      <c r="G301" s="8" t="str">
        <f>IF('Course 3'!$H299='tab3'!G$3,'Course 3'!$I299," ")</f>
        <v xml:space="preserve"> </v>
      </c>
      <c r="H301" s="8" t="str">
        <f>IF('Course 3'!$H299='tab3'!H$3,'Course 3'!$I299," ")</f>
        <v xml:space="preserve"> </v>
      </c>
      <c r="I301" s="8" t="str">
        <f>IF('Course 3'!$H299='tab3'!I$3,'Course 3'!$I299," ")</f>
        <v xml:space="preserve"> </v>
      </c>
      <c r="J301" s="8" t="str">
        <f>IF('Course 3'!$H299='tab3'!J$3,'Course 3'!$I299," ")</f>
        <v xml:space="preserve"> </v>
      </c>
      <c r="K301" s="8" t="str">
        <f>IF('Course 3'!$H299='tab3'!K$3,'Course 3'!$I299," ")</f>
        <v xml:space="preserve"> </v>
      </c>
      <c r="L301" s="8" t="str">
        <f>IF('Course 3'!$H299='tab3'!L$3,'Course 3'!$I299," ")</f>
        <v xml:space="preserve"> </v>
      </c>
      <c r="M301" s="8" t="str">
        <f>IF('Course 3'!$H299='tab3'!M$3,'Course 3'!$I299," ")</f>
        <v xml:space="preserve"> </v>
      </c>
      <c r="N301" s="9" t="str">
        <f>IF('Course 3'!$H299='tab3'!N$3,'Course 3'!$I299," ")</f>
        <v xml:space="preserve"> </v>
      </c>
    </row>
    <row r="302" spans="2:14">
      <c r="B302">
        <v>298</v>
      </c>
      <c r="C302" s="7" t="str">
        <f>IF('Course 3'!$H300='tab3'!C$3,'Course 3'!$I300," ")</f>
        <v xml:space="preserve"> </v>
      </c>
      <c r="D302" s="8" t="str">
        <f>IF('Course 3'!$H300='tab3'!D$3,'Course 3'!$I300," ")</f>
        <v xml:space="preserve"> </v>
      </c>
      <c r="E302" s="8" t="str">
        <f>IF('Course 3'!$H300='tab3'!E$3,'Course 3'!$I300," ")</f>
        <v xml:space="preserve"> </v>
      </c>
      <c r="F302" s="8" t="str">
        <f>IF('Course 3'!$H300='tab3'!F$3,'Course 3'!$I300," ")</f>
        <v xml:space="preserve"> </v>
      </c>
      <c r="G302" s="8" t="str">
        <f>IF('Course 3'!$H300='tab3'!G$3,'Course 3'!$I300," ")</f>
        <v xml:space="preserve"> </v>
      </c>
      <c r="H302" s="8" t="str">
        <f>IF('Course 3'!$H300='tab3'!H$3,'Course 3'!$I300," ")</f>
        <v xml:space="preserve"> </v>
      </c>
      <c r="I302" s="8" t="str">
        <f>IF('Course 3'!$H300='tab3'!I$3,'Course 3'!$I300," ")</f>
        <v xml:space="preserve"> </v>
      </c>
      <c r="J302" s="8" t="str">
        <f>IF('Course 3'!$H300='tab3'!J$3,'Course 3'!$I300," ")</f>
        <v xml:space="preserve"> </v>
      </c>
      <c r="K302" s="8" t="str">
        <f>IF('Course 3'!$H300='tab3'!K$3,'Course 3'!$I300," ")</f>
        <v xml:space="preserve"> </v>
      </c>
      <c r="L302" s="8" t="str">
        <f>IF('Course 3'!$H300='tab3'!L$3,'Course 3'!$I300," ")</f>
        <v xml:space="preserve"> </v>
      </c>
      <c r="M302" s="8" t="str">
        <f>IF('Course 3'!$H300='tab3'!M$3,'Course 3'!$I300," ")</f>
        <v xml:space="preserve"> </v>
      </c>
      <c r="N302" s="9" t="str">
        <f>IF('Course 3'!$H300='tab3'!N$3,'Course 3'!$I300," ")</f>
        <v xml:space="preserve"> </v>
      </c>
    </row>
    <row r="303" spans="2:14">
      <c r="B303">
        <v>299</v>
      </c>
      <c r="C303" s="7" t="str">
        <f>IF('Course 3'!$H301='tab3'!C$3,'Course 3'!$I301," ")</f>
        <v xml:space="preserve"> </v>
      </c>
      <c r="D303" s="8" t="str">
        <f>IF('Course 3'!$H301='tab3'!D$3,'Course 3'!$I301," ")</f>
        <v xml:space="preserve"> </v>
      </c>
      <c r="E303" s="8" t="str">
        <f>IF('Course 3'!$H301='tab3'!E$3,'Course 3'!$I301," ")</f>
        <v xml:space="preserve"> </v>
      </c>
      <c r="F303" s="8" t="str">
        <f>IF('Course 3'!$H301='tab3'!F$3,'Course 3'!$I301," ")</f>
        <v xml:space="preserve"> </v>
      </c>
      <c r="G303" s="8" t="str">
        <f>IF('Course 3'!$H301='tab3'!G$3,'Course 3'!$I301," ")</f>
        <v xml:space="preserve"> </v>
      </c>
      <c r="H303" s="8" t="str">
        <f>IF('Course 3'!$H301='tab3'!H$3,'Course 3'!$I301," ")</f>
        <v xml:space="preserve"> </v>
      </c>
      <c r="I303" s="8" t="str">
        <f>IF('Course 3'!$H301='tab3'!I$3,'Course 3'!$I301," ")</f>
        <v xml:space="preserve"> </v>
      </c>
      <c r="J303" s="8" t="str">
        <f>IF('Course 3'!$H301='tab3'!J$3,'Course 3'!$I301," ")</f>
        <v xml:space="preserve"> </v>
      </c>
      <c r="K303" s="8" t="str">
        <f>IF('Course 3'!$H301='tab3'!K$3,'Course 3'!$I301," ")</f>
        <v xml:space="preserve"> </v>
      </c>
      <c r="L303" s="8" t="str">
        <f>IF('Course 3'!$H301='tab3'!L$3,'Course 3'!$I301," ")</f>
        <v xml:space="preserve"> </v>
      </c>
      <c r="M303" s="8" t="str">
        <f>IF('Course 3'!$H301='tab3'!M$3,'Course 3'!$I301," ")</f>
        <v xml:space="preserve"> </v>
      </c>
      <c r="N303" s="9" t="str">
        <f>IF('Course 3'!$H301='tab3'!N$3,'Course 3'!$I301," ")</f>
        <v xml:space="preserve"> </v>
      </c>
    </row>
    <row r="304" spans="2:14">
      <c r="B304">
        <v>300</v>
      </c>
      <c r="C304" s="7" t="str">
        <f>IF('Course 3'!$H302='tab3'!C$3,'Course 3'!$I302," ")</f>
        <v xml:space="preserve"> </v>
      </c>
      <c r="D304" s="8" t="str">
        <f>IF('Course 3'!$H302='tab3'!D$3,'Course 3'!$I302," ")</f>
        <v xml:space="preserve"> </v>
      </c>
      <c r="E304" s="8" t="str">
        <f>IF('Course 3'!$H302='tab3'!E$3,'Course 3'!$I302," ")</f>
        <v xml:space="preserve"> </v>
      </c>
      <c r="F304" s="8" t="str">
        <f>IF('Course 3'!$H302='tab3'!F$3,'Course 3'!$I302," ")</f>
        <v xml:space="preserve"> </v>
      </c>
      <c r="G304" s="8" t="str">
        <f>IF('Course 3'!$H302='tab3'!G$3,'Course 3'!$I302," ")</f>
        <v xml:space="preserve"> </v>
      </c>
      <c r="H304" s="8" t="str">
        <f>IF('Course 3'!$H302='tab3'!H$3,'Course 3'!$I302," ")</f>
        <v xml:space="preserve"> </v>
      </c>
      <c r="I304" s="8" t="str">
        <f>IF('Course 3'!$H302='tab3'!I$3,'Course 3'!$I302," ")</f>
        <v xml:space="preserve"> </v>
      </c>
      <c r="J304" s="8" t="str">
        <f>IF('Course 3'!$H302='tab3'!J$3,'Course 3'!$I302," ")</f>
        <v xml:space="preserve"> </v>
      </c>
      <c r="K304" s="8" t="str">
        <f>IF('Course 3'!$H302='tab3'!K$3,'Course 3'!$I302," ")</f>
        <v xml:space="preserve"> </v>
      </c>
      <c r="L304" s="8" t="str">
        <f>IF('Course 3'!$H302='tab3'!L$3,'Course 3'!$I302," ")</f>
        <v xml:space="preserve"> </v>
      </c>
      <c r="M304" s="8" t="str">
        <f>IF('Course 3'!$H302='tab3'!M$3,'Course 3'!$I302," ")</f>
        <v xml:space="preserve"> </v>
      </c>
      <c r="N304" s="9" t="str">
        <f>IF('Course 3'!$H302='tab3'!N$3,'Course 3'!$I302," ")</f>
        <v xml:space="preserve"> </v>
      </c>
    </row>
  </sheetData>
  <sheetProtection password="CFA8" sheet="1" objects="1" scenarios="1"/>
  <mergeCells count="1">
    <mergeCell ref="C1:N1"/>
  </mergeCells>
  <phoneticPr fontId="0" type="noConversion"/>
  <pageMargins left="0.78740157499999996" right="0.78740157499999996" top="0.984251969" bottom="0.984251969" header="0.4921259845" footer="0.4921259845"/>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sheetPr codeName="Feuil11" enableFormatConditionsCalculation="0"/>
  <dimension ref="B1:N304"/>
  <sheetViews>
    <sheetView workbookViewId="0">
      <selection activeCell="D22" sqref="D22"/>
    </sheetView>
  </sheetViews>
  <sheetFormatPr baseColWidth="10" defaultRowHeight="12.75"/>
  <cols>
    <col min="1" max="1" width="9.85546875" customWidth="1"/>
    <col min="2" max="2" width="22" customWidth="1"/>
    <col min="3" max="14" width="11.140625" customWidth="1"/>
  </cols>
  <sheetData>
    <row r="1" spans="2:14" ht="18">
      <c r="C1" s="193" t="s">
        <v>20</v>
      </c>
      <c r="D1" s="194"/>
      <c r="E1" s="194"/>
      <c r="F1" s="194"/>
      <c r="G1" s="194"/>
      <c r="H1" s="194"/>
      <c r="I1" s="194"/>
      <c r="J1" s="194"/>
      <c r="K1" s="194"/>
      <c r="L1" s="194"/>
      <c r="M1" s="194"/>
      <c r="N1" s="194"/>
    </row>
    <row r="3" spans="2:14">
      <c r="C3" s="16" t="str">
        <f>'Règles et points'!C8</f>
        <v>A</v>
      </c>
      <c r="D3" s="16" t="s">
        <v>3</v>
      </c>
      <c r="E3" s="17" t="s">
        <v>12</v>
      </c>
      <c r="F3" s="16" t="s">
        <v>4</v>
      </c>
      <c r="G3" s="16" t="s">
        <v>5</v>
      </c>
      <c r="H3" s="16" t="s">
        <v>6</v>
      </c>
      <c r="I3" s="16" t="s">
        <v>7</v>
      </c>
      <c r="J3" s="16" t="s">
        <v>8</v>
      </c>
      <c r="K3" s="16" t="s">
        <v>9</v>
      </c>
      <c r="L3" s="16" t="s">
        <v>10</v>
      </c>
      <c r="M3" s="16" t="s">
        <v>11</v>
      </c>
      <c r="N3" s="16" t="s">
        <v>13</v>
      </c>
    </row>
    <row r="4" spans="2:14" ht="13.5" thickBot="1">
      <c r="B4" s="18" t="s">
        <v>21</v>
      </c>
      <c r="C4" s="15">
        <f>MIN(C5:C304)</f>
        <v>0</v>
      </c>
      <c r="D4" s="15">
        <f t="shared" ref="D4:N4" si="0">MIN(D5:D304)</f>
        <v>0</v>
      </c>
      <c r="E4" s="15">
        <f t="shared" si="0"/>
        <v>0</v>
      </c>
      <c r="F4" s="15">
        <f t="shared" si="0"/>
        <v>0</v>
      </c>
      <c r="G4" s="15">
        <f t="shared" si="0"/>
        <v>0</v>
      </c>
      <c r="H4" s="15">
        <f t="shared" si="0"/>
        <v>0</v>
      </c>
      <c r="I4" s="15">
        <f t="shared" si="0"/>
        <v>0</v>
      </c>
      <c r="J4" s="15">
        <f t="shared" si="0"/>
        <v>0</v>
      </c>
      <c r="K4" s="15">
        <f t="shared" si="0"/>
        <v>0</v>
      </c>
      <c r="L4" s="15">
        <f t="shared" si="0"/>
        <v>0</v>
      </c>
      <c r="M4" s="15">
        <f t="shared" si="0"/>
        <v>0</v>
      </c>
      <c r="N4" s="15">
        <f t="shared" si="0"/>
        <v>0</v>
      </c>
    </row>
    <row r="5" spans="2:14">
      <c r="B5">
        <v>1</v>
      </c>
      <c r="C5" s="4" t="str">
        <f>IF('Course 4'!$H3='tab4'!C$3,'Course 4'!$I3," ")</f>
        <v xml:space="preserve"> </v>
      </c>
      <c r="D5" s="5" t="str">
        <f>IF('Course 4'!$H3='tab4'!D$3,'Course 4'!$I3," ")</f>
        <v xml:space="preserve"> </v>
      </c>
      <c r="E5" s="5" t="str">
        <f>IF('Course 4'!$H3='tab4'!E$3,'Course 4'!$I3," ")</f>
        <v xml:space="preserve"> </v>
      </c>
      <c r="F5" s="5" t="str">
        <f>IF('Course 4'!$H3='tab4'!F$3,'Course 4'!$I3," ")</f>
        <v xml:space="preserve"> </v>
      </c>
      <c r="G5" s="5" t="str">
        <f>IF('Course 4'!$H3='tab4'!G$3,'Course 4'!$I3," ")</f>
        <v xml:space="preserve"> </v>
      </c>
      <c r="H5" s="5" t="str">
        <f>IF('Course 4'!$H3='tab4'!H$3,'Course 4'!$I3," ")</f>
        <v xml:space="preserve"> </v>
      </c>
      <c r="I5" s="5" t="str">
        <f>IF('Course 4'!$H3='tab4'!I$3,'Course 4'!$I3," ")</f>
        <v xml:space="preserve"> </v>
      </c>
      <c r="J5" s="5" t="str">
        <f>IF('Course 4'!$H3='tab4'!J$3,'Course 4'!$I3," ")</f>
        <v xml:space="preserve"> </v>
      </c>
      <c r="K5" s="5" t="str">
        <f>IF('Course 4'!$H3='tab4'!K$3,'Course 4'!$I3," ")</f>
        <v xml:space="preserve"> </v>
      </c>
      <c r="L5" s="5" t="str">
        <f>IF('Course 4'!$H3='tab4'!L$3,'Course 4'!$I3," ")</f>
        <v xml:space="preserve"> </v>
      </c>
      <c r="M5" s="5" t="str">
        <f>IF('Course 4'!$H3='tab4'!M$3,'Course 4'!$I3," ")</f>
        <v xml:space="preserve"> </v>
      </c>
      <c r="N5" s="6" t="str">
        <f>IF('Course 4'!$H3='tab4'!N$3,'Course 4'!$I3," ")</f>
        <v xml:space="preserve"> </v>
      </c>
    </row>
    <row r="6" spans="2:14">
      <c r="B6">
        <v>2</v>
      </c>
      <c r="C6" s="7" t="str">
        <f>IF('Course 4'!$H4='tab4'!C$3,'Course 4'!$I4," ")</f>
        <v xml:space="preserve"> </v>
      </c>
      <c r="D6" s="8" t="str">
        <f>IF('Course 4'!$H4='tab4'!D$3,'Course 4'!$I4," ")</f>
        <v xml:space="preserve"> </v>
      </c>
      <c r="E6" s="8" t="str">
        <f>IF('Course 4'!$H4='tab4'!E$3,'Course 4'!$I4," ")</f>
        <v xml:space="preserve"> </v>
      </c>
      <c r="F6" s="8" t="str">
        <f>IF('Course 4'!$H4='tab4'!F$3,'Course 4'!$I4," ")</f>
        <v xml:space="preserve"> </v>
      </c>
      <c r="G6" s="8" t="str">
        <f>IF('Course 4'!$H4='tab4'!G$3,'Course 4'!$I4," ")</f>
        <v xml:space="preserve"> </v>
      </c>
      <c r="H6" s="8" t="str">
        <f>IF('Course 4'!$H4='tab4'!H$3,'Course 4'!$I4," ")</f>
        <v xml:space="preserve"> </v>
      </c>
      <c r="I6" s="8" t="str">
        <f>IF('Course 4'!$H4='tab4'!I$3,'Course 4'!$I4," ")</f>
        <v xml:space="preserve"> </v>
      </c>
      <c r="J6" s="8" t="str">
        <f>IF('Course 4'!$H4='tab4'!J$3,'Course 4'!$I4," ")</f>
        <v xml:space="preserve"> </v>
      </c>
      <c r="K6" s="8" t="str">
        <f>IF('Course 4'!$H4='tab4'!K$3,'Course 4'!$I4," ")</f>
        <v xml:space="preserve"> </v>
      </c>
      <c r="L6" s="8" t="str">
        <f>IF('Course 4'!$H4='tab4'!L$3,'Course 4'!$I4," ")</f>
        <v xml:space="preserve"> </v>
      </c>
      <c r="M6" s="8" t="str">
        <f>IF('Course 4'!$H4='tab4'!M$3,'Course 4'!$I4," ")</f>
        <v xml:space="preserve"> </v>
      </c>
      <c r="N6" s="9" t="str">
        <f>IF('Course 4'!$H4='tab4'!N$3,'Course 4'!$I4," ")</f>
        <v xml:space="preserve"> </v>
      </c>
    </row>
    <row r="7" spans="2:14">
      <c r="B7">
        <v>3</v>
      </c>
      <c r="C7" s="7" t="str">
        <f>IF('Course 4'!$H5='tab4'!C$3,'Course 4'!$I5," ")</f>
        <v xml:space="preserve"> </v>
      </c>
      <c r="D7" s="8" t="str">
        <f>IF('Course 4'!$H5='tab4'!D$3,'Course 4'!$I5," ")</f>
        <v xml:space="preserve"> </v>
      </c>
      <c r="E7" s="8" t="str">
        <f>IF('Course 4'!$H5='tab4'!E$3,'Course 4'!$I5," ")</f>
        <v xml:space="preserve"> </v>
      </c>
      <c r="F7" s="8" t="str">
        <f>IF('Course 4'!$H5='tab4'!F$3,'Course 4'!$I5," ")</f>
        <v xml:space="preserve"> </v>
      </c>
      <c r="G7" s="8" t="str">
        <f>IF('Course 4'!$H5='tab4'!G$3,'Course 4'!$I5," ")</f>
        <v xml:space="preserve"> </v>
      </c>
      <c r="H7" s="8" t="str">
        <f>IF('Course 4'!$H5='tab4'!H$3,'Course 4'!$I5," ")</f>
        <v xml:space="preserve"> </v>
      </c>
      <c r="I7" s="8" t="str">
        <f>IF('Course 4'!$H5='tab4'!I$3,'Course 4'!$I5," ")</f>
        <v xml:space="preserve"> </v>
      </c>
      <c r="J7" s="8" t="str">
        <f>IF('Course 4'!$H5='tab4'!J$3,'Course 4'!$I5," ")</f>
        <v xml:space="preserve"> </v>
      </c>
      <c r="K7" s="8" t="str">
        <f>IF('Course 4'!$H5='tab4'!K$3,'Course 4'!$I5," ")</f>
        <v xml:space="preserve"> </v>
      </c>
      <c r="L7" s="8" t="str">
        <f>IF('Course 4'!$H5='tab4'!L$3,'Course 4'!$I5," ")</f>
        <v xml:space="preserve"> </v>
      </c>
      <c r="M7" s="8" t="str">
        <f>IF('Course 4'!$H5='tab4'!M$3,'Course 4'!$I5," ")</f>
        <v xml:space="preserve"> </v>
      </c>
      <c r="N7" s="9" t="str">
        <f>IF('Course 4'!$H5='tab4'!N$3,'Course 4'!$I5," ")</f>
        <v xml:space="preserve"> </v>
      </c>
    </row>
    <row r="8" spans="2:14">
      <c r="B8">
        <v>4</v>
      </c>
      <c r="C8" s="7" t="str">
        <f>IF('Course 4'!$H6='tab4'!C$3,'Course 4'!$I6," ")</f>
        <v xml:space="preserve"> </v>
      </c>
      <c r="D8" s="8" t="str">
        <f>IF('Course 4'!$H6='tab4'!D$3,'Course 4'!$I6," ")</f>
        <v xml:space="preserve"> </v>
      </c>
      <c r="E8" s="8" t="str">
        <f>IF('Course 4'!$H6='tab4'!E$3,'Course 4'!$I6," ")</f>
        <v xml:space="preserve"> </v>
      </c>
      <c r="F8" s="8" t="str">
        <f>IF('Course 4'!$H6='tab4'!F$3,'Course 4'!$I6," ")</f>
        <v xml:space="preserve"> </v>
      </c>
      <c r="G8" s="8" t="str">
        <f>IF('Course 4'!$H6='tab4'!G$3,'Course 4'!$I6," ")</f>
        <v xml:space="preserve"> </v>
      </c>
      <c r="H8" s="8" t="str">
        <f>IF('Course 4'!$H6='tab4'!H$3,'Course 4'!$I6," ")</f>
        <v xml:space="preserve"> </v>
      </c>
      <c r="I8" s="8" t="str">
        <f>IF('Course 4'!$H6='tab4'!I$3,'Course 4'!$I6," ")</f>
        <v xml:space="preserve"> </v>
      </c>
      <c r="J8" s="8" t="str">
        <f>IF('Course 4'!$H6='tab4'!J$3,'Course 4'!$I6," ")</f>
        <v xml:space="preserve"> </v>
      </c>
      <c r="K8" s="8" t="str">
        <f>IF('Course 4'!$H6='tab4'!K$3,'Course 4'!$I6," ")</f>
        <v xml:space="preserve"> </v>
      </c>
      <c r="L8" s="8" t="str">
        <f>IF('Course 4'!$H6='tab4'!L$3,'Course 4'!$I6," ")</f>
        <v xml:space="preserve"> </v>
      </c>
      <c r="M8" s="8" t="str">
        <f>IF('Course 4'!$H6='tab4'!M$3,'Course 4'!$I6," ")</f>
        <v xml:space="preserve"> </v>
      </c>
      <c r="N8" s="9" t="str">
        <f>IF('Course 4'!$H6='tab4'!N$3,'Course 4'!$I6," ")</f>
        <v xml:space="preserve"> </v>
      </c>
    </row>
    <row r="9" spans="2:14">
      <c r="B9">
        <v>5</v>
      </c>
      <c r="C9" s="7" t="str">
        <f>IF('Course 4'!$H7='tab4'!C$3,'Course 4'!$I7," ")</f>
        <v xml:space="preserve"> </v>
      </c>
      <c r="D9" s="8" t="str">
        <f>IF('Course 4'!$H7='tab4'!D$3,'Course 4'!$I7," ")</f>
        <v xml:space="preserve"> </v>
      </c>
      <c r="E9" s="8" t="str">
        <f>IF('Course 4'!$H7='tab4'!E$3,'Course 4'!$I7," ")</f>
        <v xml:space="preserve"> </v>
      </c>
      <c r="F9" s="8" t="str">
        <f>IF('Course 4'!$H7='tab4'!F$3,'Course 4'!$I7," ")</f>
        <v xml:space="preserve"> </v>
      </c>
      <c r="G9" s="8" t="str">
        <f>IF('Course 4'!$H7='tab4'!G$3,'Course 4'!$I7," ")</f>
        <v xml:space="preserve"> </v>
      </c>
      <c r="H9" s="8" t="str">
        <f>IF('Course 4'!$H7='tab4'!H$3,'Course 4'!$I7," ")</f>
        <v xml:space="preserve"> </v>
      </c>
      <c r="I9" s="8" t="str">
        <f>IF('Course 4'!$H7='tab4'!I$3,'Course 4'!$I7," ")</f>
        <v xml:space="preserve"> </v>
      </c>
      <c r="J9" s="8" t="str">
        <f>IF('Course 4'!$H7='tab4'!J$3,'Course 4'!$I7," ")</f>
        <v xml:space="preserve"> </v>
      </c>
      <c r="K9" s="8" t="str">
        <f>IF('Course 4'!$H7='tab4'!K$3,'Course 4'!$I7," ")</f>
        <v xml:space="preserve"> </v>
      </c>
      <c r="L9" s="8" t="str">
        <f>IF('Course 4'!$H7='tab4'!L$3,'Course 4'!$I7," ")</f>
        <v xml:space="preserve"> </v>
      </c>
      <c r="M9" s="8" t="str">
        <f>IF('Course 4'!$H7='tab4'!M$3,'Course 4'!$I7," ")</f>
        <v xml:space="preserve"> </v>
      </c>
      <c r="N9" s="9" t="str">
        <f>IF('Course 4'!$H7='tab4'!N$3,'Course 4'!$I7," ")</f>
        <v xml:space="preserve"> </v>
      </c>
    </row>
    <row r="10" spans="2:14">
      <c r="B10">
        <v>6</v>
      </c>
      <c r="C10" s="7" t="str">
        <f>IF('Course 4'!$H8='tab4'!C$3,'Course 4'!$I8," ")</f>
        <v xml:space="preserve"> </v>
      </c>
      <c r="D10" s="8" t="str">
        <f>IF('Course 4'!$H8='tab4'!D$3,'Course 4'!$I8," ")</f>
        <v xml:space="preserve"> </v>
      </c>
      <c r="E10" s="8" t="str">
        <f>IF('Course 4'!$H8='tab4'!E$3,'Course 4'!$I8," ")</f>
        <v xml:space="preserve"> </v>
      </c>
      <c r="F10" s="8" t="str">
        <f>IF('Course 4'!$H8='tab4'!F$3,'Course 4'!$I8," ")</f>
        <v xml:space="preserve"> </v>
      </c>
      <c r="G10" s="8" t="str">
        <f>IF('Course 4'!$H8='tab4'!G$3,'Course 4'!$I8," ")</f>
        <v xml:space="preserve"> </v>
      </c>
      <c r="H10" s="8" t="str">
        <f>IF('Course 4'!$H8='tab4'!H$3,'Course 4'!$I8," ")</f>
        <v xml:space="preserve"> </v>
      </c>
      <c r="I10" s="8" t="str">
        <f>IF('Course 4'!$H8='tab4'!I$3,'Course 4'!$I8," ")</f>
        <v xml:space="preserve"> </v>
      </c>
      <c r="J10" s="8" t="str">
        <f>IF('Course 4'!$H8='tab4'!J$3,'Course 4'!$I8," ")</f>
        <v xml:space="preserve"> </v>
      </c>
      <c r="K10" s="8" t="str">
        <f>IF('Course 4'!$H8='tab4'!K$3,'Course 4'!$I8," ")</f>
        <v xml:space="preserve"> </v>
      </c>
      <c r="L10" s="8" t="str">
        <f>IF('Course 4'!$H8='tab4'!L$3,'Course 4'!$I8," ")</f>
        <v xml:space="preserve"> </v>
      </c>
      <c r="M10" s="8" t="str">
        <f>IF('Course 4'!$H8='tab4'!M$3,'Course 4'!$I8," ")</f>
        <v xml:space="preserve"> </v>
      </c>
      <c r="N10" s="9" t="str">
        <f>IF('Course 4'!$H8='tab4'!N$3,'Course 4'!$I8," ")</f>
        <v xml:space="preserve"> </v>
      </c>
    </row>
    <row r="11" spans="2:14">
      <c r="B11">
        <v>7</v>
      </c>
      <c r="C11" s="7" t="str">
        <f>IF('Course 4'!$H9='tab4'!C$3,'Course 4'!$I9," ")</f>
        <v xml:space="preserve"> </v>
      </c>
      <c r="D11" s="8" t="str">
        <f>IF('Course 4'!$H9='tab4'!D$3,'Course 4'!$I9," ")</f>
        <v xml:space="preserve"> </v>
      </c>
      <c r="E11" s="8" t="str">
        <f>IF('Course 4'!$H9='tab4'!E$3,'Course 4'!$I9," ")</f>
        <v xml:space="preserve"> </v>
      </c>
      <c r="F11" s="8" t="str">
        <f>IF('Course 4'!$H9='tab4'!F$3,'Course 4'!$I9," ")</f>
        <v xml:space="preserve"> </v>
      </c>
      <c r="G11" s="8" t="str">
        <f>IF('Course 4'!$H9='tab4'!G$3,'Course 4'!$I9," ")</f>
        <v xml:space="preserve"> </v>
      </c>
      <c r="H11" s="8" t="str">
        <f>IF('Course 4'!$H9='tab4'!H$3,'Course 4'!$I9," ")</f>
        <v xml:space="preserve"> </v>
      </c>
      <c r="I11" s="8" t="str">
        <f>IF('Course 4'!$H9='tab4'!I$3,'Course 4'!$I9," ")</f>
        <v xml:space="preserve"> </v>
      </c>
      <c r="J11" s="8" t="str">
        <f>IF('Course 4'!$H9='tab4'!J$3,'Course 4'!$I9," ")</f>
        <v xml:space="preserve"> </v>
      </c>
      <c r="K11" s="8" t="str">
        <f>IF('Course 4'!$H9='tab4'!K$3,'Course 4'!$I9," ")</f>
        <v xml:space="preserve"> </v>
      </c>
      <c r="L11" s="8" t="str">
        <f>IF('Course 4'!$H9='tab4'!L$3,'Course 4'!$I9," ")</f>
        <v xml:space="preserve"> </v>
      </c>
      <c r="M11" s="8" t="str">
        <f>IF('Course 4'!$H9='tab4'!M$3,'Course 4'!$I9," ")</f>
        <v xml:space="preserve"> </v>
      </c>
      <c r="N11" s="9" t="str">
        <f>IF('Course 4'!$H9='tab4'!N$3,'Course 4'!$I9," ")</f>
        <v xml:space="preserve"> </v>
      </c>
    </row>
    <row r="12" spans="2:14">
      <c r="B12">
        <v>8</v>
      </c>
      <c r="C12" s="7" t="str">
        <f>IF('Course 4'!$H10='tab4'!C$3,'Course 4'!$I10," ")</f>
        <v xml:space="preserve"> </v>
      </c>
      <c r="D12" s="8" t="str">
        <f>IF('Course 4'!$H10='tab4'!D$3,'Course 4'!$I10," ")</f>
        <v xml:space="preserve"> </v>
      </c>
      <c r="E12" s="8" t="str">
        <f>IF('Course 4'!$H10='tab4'!E$3,'Course 4'!$I10," ")</f>
        <v xml:space="preserve"> </v>
      </c>
      <c r="F12" s="8" t="str">
        <f>IF('Course 4'!$H10='tab4'!F$3,'Course 4'!$I10," ")</f>
        <v xml:space="preserve"> </v>
      </c>
      <c r="G12" s="8" t="str">
        <f>IF('Course 4'!$H10='tab4'!G$3,'Course 4'!$I10," ")</f>
        <v xml:space="preserve"> </v>
      </c>
      <c r="H12" s="8" t="str">
        <f>IF('Course 4'!$H10='tab4'!H$3,'Course 4'!$I10," ")</f>
        <v xml:space="preserve"> </v>
      </c>
      <c r="I12" s="8" t="str">
        <f>IF('Course 4'!$H10='tab4'!I$3,'Course 4'!$I10," ")</f>
        <v xml:space="preserve"> </v>
      </c>
      <c r="J12" s="8" t="str">
        <f>IF('Course 4'!$H10='tab4'!J$3,'Course 4'!$I10," ")</f>
        <v xml:space="preserve"> </v>
      </c>
      <c r="K12" s="8" t="str">
        <f>IF('Course 4'!$H10='tab4'!K$3,'Course 4'!$I10," ")</f>
        <v xml:space="preserve"> </v>
      </c>
      <c r="L12" s="8" t="str">
        <f>IF('Course 4'!$H10='tab4'!L$3,'Course 4'!$I10," ")</f>
        <v xml:space="preserve"> </v>
      </c>
      <c r="M12" s="8" t="str">
        <f>IF('Course 4'!$H10='tab4'!M$3,'Course 4'!$I10," ")</f>
        <v xml:space="preserve"> </v>
      </c>
      <c r="N12" s="9" t="str">
        <f>IF('Course 4'!$H10='tab4'!N$3,'Course 4'!$I10," ")</f>
        <v xml:space="preserve"> </v>
      </c>
    </row>
    <row r="13" spans="2:14">
      <c r="B13">
        <v>9</v>
      </c>
      <c r="C13" s="7" t="str">
        <f>IF('Course 4'!$H11='tab4'!C$3,'Course 4'!$I11," ")</f>
        <v xml:space="preserve"> </v>
      </c>
      <c r="D13" s="8" t="str">
        <f>IF('Course 4'!$H11='tab4'!D$3,'Course 4'!$I11," ")</f>
        <v xml:space="preserve"> </v>
      </c>
      <c r="E13" s="8" t="str">
        <f>IF('Course 4'!$H11='tab4'!E$3,'Course 4'!$I11," ")</f>
        <v xml:space="preserve"> </v>
      </c>
      <c r="F13" s="8" t="str">
        <f>IF('Course 4'!$H11='tab4'!F$3,'Course 4'!$I11," ")</f>
        <v xml:space="preserve"> </v>
      </c>
      <c r="G13" s="8" t="str">
        <f>IF('Course 4'!$H11='tab4'!G$3,'Course 4'!$I11," ")</f>
        <v xml:space="preserve"> </v>
      </c>
      <c r="H13" s="8" t="str">
        <f>IF('Course 4'!$H11='tab4'!H$3,'Course 4'!$I11," ")</f>
        <v xml:space="preserve"> </v>
      </c>
      <c r="I13" s="8" t="str">
        <f>IF('Course 4'!$H11='tab4'!I$3,'Course 4'!$I11," ")</f>
        <v xml:space="preserve"> </v>
      </c>
      <c r="J13" s="8" t="str">
        <f>IF('Course 4'!$H11='tab4'!J$3,'Course 4'!$I11," ")</f>
        <v xml:space="preserve"> </v>
      </c>
      <c r="K13" s="8" t="str">
        <f>IF('Course 4'!$H11='tab4'!K$3,'Course 4'!$I11," ")</f>
        <v xml:space="preserve"> </v>
      </c>
      <c r="L13" s="8" t="str">
        <f>IF('Course 4'!$H11='tab4'!L$3,'Course 4'!$I11," ")</f>
        <v xml:space="preserve"> </v>
      </c>
      <c r="M13" s="8" t="str">
        <f>IF('Course 4'!$H11='tab4'!M$3,'Course 4'!$I11," ")</f>
        <v xml:space="preserve"> </v>
      </c>
      <c r="N13" s="9" t="str">
        <f>IF('Course 4'!$H11='tab4'!N$3,'Course 4'!$I11," ")</f>
        <v xml:space="preserve"> </v>
      </c>
    </row>
    <row r="14" spans="2:14">
      <c r="B14">
        <v>10</v>
      </c>
      <c r="C14" s="7" t="str">
        <f>IF('Course 4'!$H12='tab4'!C$3,'Course 4'!$I12," ")</f>
        <v xml:space="preserve"> </v>
      </c>
      <c r="D14" s="8" t="str">
        <f>IF('Course 4'!$H12='tab4'!D$3,'Course 4'!$I12," ")</f>
        <v xml:space="preserve"> </v>
      </c>
      <c r="E14" s="8" t="str">
        <f>IF('Course 4'!$H12='tab4'!E$3,'Course 4'!$I12," ")</f>
        <v xml:space="preserve"> </v>
      </c>
      <c r="F14" s="8" t="str">
        <f>IF('Course 4'!$H12='tab4'!F$3,'Course 4'!$I12," ")</f>
        <v xml:space="preserve"> </v>
      </c>
      <c r="G14" s="8" t="str">
        <f>IF('Course 4'!$H12='tab4'!G$3,'Course 4'!$I12," ")</f>
        <v xml:space="preserve"> </v>
      </c>
      <c r="H14" s="8" t="str">
        <f>IF('Course 4'!$H12='tab4'!H$3,'Course 4'!$I12," ")</f>
        <v xml:space="preserve"> </v>
      </c>
      <c r="I14" s="8" t="str">
        <f>IF('Course 4'!$H12='tab4'!I$3,'Course 4'!$I12," ")</f>
        <v xml:space="preserve"> </v>
      </c>
      <c r="J14" s="8" t="str">
        <f>IF('Course 4'!$H12='tab4'!J$3,'Course 4'!$I12," ")</f>
        <v xml:space="preserve"> </v>
      </c>
      <c r="K14" s="8" t="str">
        <f>IF('Course 4'!$H12='tab4'!K$3,'Course 4'!$I12," ")</f>
        <v xml:space="preserve"> </v>
      </c>
      <c r="L14" s="8" t="str">
        <f>IF('Course 4'!$H12='tab4'!L$3,'Course 4'!$I12," ")</f>
        <v xml:space="preserve"> </v>
      </c>
      <c r="M14" s="8" t="str">
        <f>IF('Course 4'!$H12='tab4'!M$3,'Course 4'!$I12," ")</f>
        <v xml:space="preserve"> </v>
      </c>
      <c r="N14" s="9" t="str">
        <f>IF('Course 4'!$H12='tab4'!N$3,'Course 4'!$I12," ")</f>
        <v xml:space="preserve"> </v>
      </c>
    </row>
    <row r="15" spans="2:14">
      <c r="B15">
        <v>11</v>
      </c>
      <c r="C15" s="7" t="str">
        <f>IF('Course 4'!$H13='tab4'!C$3,'Course 4'!$I13," ")</f>
        <v xml:space="preserve"> </v>
      </c>
      <c r="D15" s="8" t="str">
        <f>IF('Course 4'!$H13='tab4'!D$3,'Course 4'!$I13," ")</f>
        <v xml:space="preserve"> </v>
      </c>
      <c r="E15" s="8" t="str">
        <f>IF('Course 4'!$H13='tab4'!E$3,'Course 4'!$I13," ")</f>
        <v xml:space="preserve"> </v>
      </c>
      <c r="F15" s="8" t="str">
        <f>IF('Course 4'!$H13='tab4'!F$3,'Course 4'!$I13," ")</f>
        <v xml:space="preserve"> </v>
      </c>
      <c r="G15" s="8" t="str">
        <f>IF('Course 4'!$H13='tab4'!G$3,'Course 4'!$I13," ")</f>
        <v xml:space="preserve"> </v>
      </c>
      <c r="H15" s="8" t="str">
        <f>IF('Course 4'!$H13='tab4'!H$3,'Course 4'!$I13," ")</f>
        <v xml:space="preserve"> </v>
      </c>
      <c r="I15" s="8" t="str">
        <f>IF('Course 4'!$H13='tab4'!I$3,'Course 4'!$I13," ")</f>
        <v xml:space="preserve"> </v>
      </c>
      <c r="J15" s="8" t="str">
        <f>IF('Course 4'!$H13='tab4'!J$3,'Course 4'!$I13," ")</f>
        <v xml:space="preserve"> </v>
      </c>
      <c r="K15" s="8" t="str">
        <f>IF('Course 4'!$H13='tab4'!K$3,'Course 4'!$I13," ")</f>
        <v xml:space="preserve"> </v>
      </c>
      <c r="L15" s="8" t="str">
        <f>IF('Course 4'!$H13='tab4'!L$3,'Course 4'!$I13," ")</f>
        <v xml:space="preserve"> </v>
      </c>
      <c r="M15" s="8" t="str">
        <f>IF('Course 4'!$H13='tab4'!M$3,'Course 4'!$I13," ")</f>
        <v xml:space="preserve"> </v>
      </c>
      <c r="N15" s="9" t="str">
        <f>IF('Course 4'!$H13='tab4'!N$3,'Course 4'!$I13," ")</f>
        <v xml:space="preserve"> </v>
      </c>
    </row>
    <row r="16" spans="2:14">
      <c r="B16">
        <v>12</v>
      </c>
      <c r="C16" s="7" t="str">
        <f>IF('Course 4'!$H14='tab4'!C$3,'Course 4'!$I14," ")</f>
        <v xml:space="preserve"> </v>
      </c>
      <c r="D16" s="8" t="str">
        <f>IF('Course 4'!$H14='tab4'!D$3,'Course 4'!$I14," ")</f>
        <v xml:space="preserve"> </v>
      </c>
      <c r="E16" s="8" t="str">
        <f>IF('Course 4'!$H14='tab4'!E$3,'Course 4'!$I14," ")</f>
        <v xml:space="preserve"> </v>
      </c>
      <c r="F16" s="8" t="str">
        <f>IF('Course 4'!$H14='tab4'!F$3,'Course 4'!$I14," ")</f>
        <v xml:space="preserve"> </v>
      </c>
      <c r="G16" s="8" t="str">
        <f>IF('Course 4'!$H14='tab4'!G$3,'Course 4'!$I14," ")</f>
        <v xml:space="preserve"> </v>
      </c>
      <c r="H16" s="8" t="str">
        <f>IF('Course 4'!$H14='tab4'!H$3,'Course 4'!$I14," ")</f>
        <v xml:space="preserve"> </v>
      </c>
      <c r="I16" s="8" t="str">
        <f>IF('Course 4'!$H14='tab4'!I$3,'Course 4'!$I14," ")</f>
        <v xml:space="preserve"> </v>
      </c>
      <c r="J16" s="8" t="str">
        <f>IF('Course 4'!$H14='tab4'!J$3,'Course 4'!$I14," ")</f>
        <v xml:space="preserve"> </v>
      </c>
      <c r="K16" s="8" t="str">
        <f>IF('Course 4'!$H14='tab4'!K$3,'Course 4'!$I14," ")</f>
        <v xml:space="preserve"> </v>
      </c>
      <c r="L16" s="8" t="str">
        <f>IF('Course 4'!$H14='tab4'!L$3,'Course 4'!$I14," ")</f>
        <v xml:space="preserve"> </v>
      </c>
      <c r="M16" s="8" t="str">
        <f>IF('Course 4'!$H14='tab4'!M$3,'Course 4'!$I14," ")</f>
        <v xml:space="preserve"> </v>
      </c>
      <c r="N16" s="9" t="str">
        <f>IF('Course 4'!$H14='tab4'!N$3,'Course 4'!$I14," ")</f>
        <v xml:space="preserve"> </v>
      </c>
    </row>
    <row r="17" spans="2:14">
      <c r="B17">
        <v>13</v>
      </c>
      <c r="C17" s="7" t="str">
        <f>IF('Course 4'!$H15='tab4'!C$3,'Course 4'!$I15," ")</f>
        <v xml:space="preserve"> </v>
      </c>
      <c r="D17" s="8" t="str">
        <f>IF('Course 4'!$H15='tab4'!D$3,'Course 4'!$I15," ")</f>
        <v xml:space="preserve"> </v>
      </c>
      <c r="E17" s="8" t="str">
        <f>IF('Course 4'!$H15='tab4'!E$3,'Course 4'!$I15," ")</f>
        <v xml:space="preserve"> </v>
      </c>
      <c r="F17" s="8" t="str">
        <f>IF('Course 4'!$H15='tab4'!F$3,'Course 4'!$I15," ")</f>
        <v xml:space="preserve"> </v>
      </c>
      <c r="G17" s="8" t="str">
        <f>IF('Course 4'!$H15='tab4'!G$3,'Course 4'!$I15," ")</f>
        <v xml:space="preserve"> </v>
      </c>
      <c r="H17" s="8" t="str">
        <f>IF('Course 4'!$H15='tab4'!H$3,'Course 4'!$I15," ")</f>
        <v xml:space="preserve"> </v>
      </c>
      <c r="I17" s="8" t="str">
        <f>IF('Course 4'!$H15='tab4'!I$3,'Course 4'!$I15," ")</f>
        <v xml:space="preserve"> </v>
      </c>
      <c r="J17" s="8" t="str">
        <f>IF('Course 4'!$H15='tab4'!J$3,'Course 4'!$I15," ")</f>
        <v xml:space="preserve"> </v>
      </c>
      <c r="K17" s="8" t="str">
        <f>IF('Course 4'!$H15='tab4'!K$3,'Course 4'!$I15," ")</f>
        <v xml:space="preserve"> </v>
      </c>
      <c r="L17" s="8" t="str">
        <f>IF('Course 4'!$H15='tab4'!L$3,'Course 4'!$I15," ")</f>
        <v xml:space="preserve"> </v>
      </c>
      <c r="M17" s="8" t="str">
        <f>IF('Course 4'!$H15='tab4'!M$3,'Course 4'!$I15," ")</f>
        <v xml:space="preserve"> </v>
      </c>
      <c r="N17" s="9" t="str">
        <f>IF('Course 4'!$H15='tab4'!N$3,'Course 4'!$I15," ")</f>
        <v xml:space="preserve"> </v>
      </c>
    </row>
    <row r="18" spans="2:14">
      <c r="B18">
        <v>14</v>
      </c>
      <c r="C18" s="7" t="str">
        <f>IF('Course 4'!$H16='tab4'!C$3,'Course 4'!$I16," ")</f>
        <v xml:space="preserve"> </v>
      </c>
      <c r="D18" s="8" t="str">
        <f>IF('Course 4'!$H16='tab4'!D$3,'Course 4'!$I16," ")</f>
        <v xml:space="preserve"> </v>
      </c>
      <c r="E18" s="8" t="str">
        <f>IF('Course 4'!$H16='tab4'!E$3,'Course 4'!$I16," ")</f>
        <v xml:space="preserve"> </v>
      </c>
      <c r="F18" s="8" t="str">
        <f>IF('Course 4'!$H16='tab4'!F$3,'Course 4'!$I16," ")</f>
        <v xml:space="preserve"> </v>
      </c>
      <c r="G18" s="8" t="str">
        <f>IF('Course 4'!$H16='tab4'!G$3,'Course 4'!$I16," ")</f>
        <v xml:space="preserve"> </v>
      </c>
      <c r="H18" s="8" t="str">
        <f>IF('Course 4'!$H16='tab4'!H$3,'Course 4'!$I16," ")</f>
        <v xml:space="preserve"> </v>
      </c>
      <c r="I18" s="8" t="str">
        <f>IF('Course 4'!$H16='tab4'!I$3,'Course 4'!$I16," ")</f>
        <v xml:space="preserve"> </v>
      </c>
      <c r="J18" s="8" t="str">
        <f>IF('Course 4'!$H16='tab4'!J$3,'Course 4'!$I16," ")</f>
        <v xml:space="preserve"> </v>
      </c>
      <c r="K18" s="8" t="str">
        <f>IF('Course 4'!$H16='tab4'!K$3,'Course 4'!$I16," ")</f>
        <v xml:space="preserve"> </v>
      </c>
      <c r="L18" s="8" t="str">
        <f>IF('Course 4'!$H16='tab4'!L$3,'Course 4'!$I16," ")</f>
        <v xml:space="preserve"> </v>
      </c>
      <c r="M18" s="8" t="str">
        <f>IF('Course 4'!$H16='tab4'!M$3,'Course 4'!$I16," ")</f>
        <v xml:space="preserve"> </v>
      </c>
      <c r="N18" s="9" t="str">
        <f>IF('Course 4'!$H16='tab4'!N$3,'Course 4'!$I16," ")</f>
        <v xml:space="preserve"> </v>
      </c>
    </row>
    <row r="19" spans="2:14">
      <c r="B19">
        <v>15</v>
      </c>
      <c r="C19" s="7" t="str">
        <f>IF('Course 4'!$H17='tab4'!C$3,'Course 4'!$I17," ")</f>
        <v xml:space="preserve"> </v>
      </c>
      <c r="D19" s="8" t="str">
        <f>IF('Course 4'!$H17='tab4'!D$3,'Course 4'!$I17," ")</f>
        <v xml:space="preserve"> </v>
      </c>
      <c r="E19" s="8" t="str">
        <f>IF('Course 4'!$H17='tab4'!E$3,'Course 4'!$I17," ")</f>
        <v xml:space="preserve"> </v>
      </c>
      <c r="F19" s="8" t="str">
        <f>IF('Course 4'!$H17='tab4'!F$3,'Course 4'!$I17," ")</f>
        <v xml:space="preserve"> </v>
      </c>
      <c r="G19" s="8" t="str">
        <f>IF('Course 4'!$H17='tab4'!G$3,'Course 4'!$I17," ")</f>
        <v xml:space="preserve"> </v>
      </c>
      <c r="H19" s="8" t="str">
        <f>IF('Course 4'!$H17='tab4'!H$3,'Course 4'!$I17," ")</f>
        <v xml:space="preserve"> </v>
      </c>
      <c r="I19" s="8" t="str">
        <f>IF('Course 4'!$H17='tab4'!I$3,'Course 4'!$I17," ")</f>
        <v xml:space="preserve"> </v>
      </c>
      <c r="J19" s="8" t="str">
        <f>IF('Course 4'!$H17='tab4'!J$3,'Course 4'!$I17," ")</f>
        <v xml:space="preserve"> </v>
      </c>
      <c r="K19" s="8" t="str">
        <f>IF('Course 4'!$H17='tab4'!K$3,'Course 4'!$I17," ")</f>
        <v xml:space="preserve"> </v>
      </c>
      <c r="L19" s="8" t="str">
        <f>IF('Course 4'!$H17='tab4'!L$3,'Course 4'!$I17," ")</f>
        <v xml:space="preserve"> </v>
      </c>
      <c r="M19" s="8" t="str">
        <f>IF('Course 4'!$H17='tab4'!M$3,'Course 4'!$I17," ")</f>
        <v xml:space="preserve"> </v>
      </c>
      <c r="N19" s="9" t="str">
        <f>IF('Course 4'!$H17='tab4'!N$3,'Course 4'!$I17," ")</f>
        <v xml:space="preserve"> </v>
      </c>
    </row>
    <row r="20" spans="2:14">
      <c r="B20">
        <v>16</v>
      </c>
      <c r="C20" s="7" t="str">
        <f>IF('Course 4'!$H18='tab4'!C$3,'Course 4'!$I18," ")</f>
        <v xml:space="preserve"> </v>
      </c>
      <c r="D20" s="8" t="str">
        <f>IF('Course 4'!$H18='tab4'!D$3,'Course 4'!$I18," ")</f>
        <v xml:space="preserve"> </v>
      </c>
      <c r="E20" s="8" t="str">
        <f>IF('Course 4'!$H18='tab4'!E$3,'Course 4'!$I18," ")</f>
        <v xml:space="preserve"> </v>
      </c>
      <c r="F20" s="8" t="str">
        <f>IF('Course 4'!$H18='tab4'!F$3,'Course 4'!$I18," ")</f>
        <v xml:space="preserve"> </v>
      </c>
      <c r="G20" s="8" t="str">
        <f>IF('Course 4'!$H18='tab4'!G$3,'Course 4'!$I18," ")</f>
        <v xml:space="preserve"> </v>
      </c>
      <c r="H20" s="8" t="str">
        <f>IF('Course 4'!$H18='tab4'!H$3,'Course 4'!$I18," ")</f>
        <v xml:space="preserve"> </v>
      </c>
      <c r="I20" s="8" t="str">
        <f>IF('Course 4'!$H18='tab4'!I$3,'Course 4'!$I18," ")</f>
        <v xml:space="preserve"> </v>
      </c>
      <c r="J20" s="8" t="str">
        <f>IF('Course 4'!$H18='tab4'!J$3,'Course 4'!$I18," ")</f>
        <v xml:space="preserve"> </v>
      </c>
      <c r="K20" s="8" t="str">
        <f>IF('Course 4'!$H18='tab4'!K$3,'Course 4'!$I18," ")</f>
        <v xml:space="preserve"> </v>
      </c>
      <c r="L20" s="8" t="str">
        <f>IF('Course 4'!$H18='tab4'!L$3,'Course 4'!$I18," ")</f>
        <v xml:space="preserve"> </v>
      </c>
      <c r="M20" s="8" t="str">
        <f>IF('Course 4'!$H18='tab4'!M$3,'Course 4'!$I18," ")</f>
        <v xml:space="preserve"> </v>
      </c>
      <c r="N20" s="9" t="str">
        <f>IF('Course 4'!$H18='tab4'!N$3,'Course 4'!$I18," ")</f>
        <v xml:space="preserve"> </v>
      </c>
    </row>
    <row r="21" spans="2:14">
      <c r="B21">
        <v>17</v>
      </c>
      <c r="C21" s="7" t="str">
        <f>IF('Course 4'!$H19='tab4'!C$3,'Course 4'!$I19," ")</f>
        <v xml:space="preserve"> </v>
      </c>
      <c r="D21" s="8" t="str">
        <f>IF('Course 4'!$H19='tab4'!D$3,'Course 4'!$I19," ")</f>
        <v xml:space="preserve"> </v>
      </c>
      <c r="E21" s="8" t="str">
        <f>IF('Course 4'!$H19='tab4'!E$3,'Course 4'!$I19," ")</f>
        <v xml:space="preserve"> </v>
      </c>
      <c r="F21" s="8" t="str">
        <f>IF('Course 4'!$H19='tab4'!F$3,'Course 4'!$I19," ")</f>
        <v xml:space="preserve"> </v>
      </c>
      <c r="G21" s="8" t="str">
        <f>IF('Course 4'!$H19='tab4'!G$3,'Course 4'!$I19," ")</f>
        <v xml:space="preserve"> </v>
      </c>
      <c r="H21" s="8" t="str">
        <f>IF('Course 4'!$H19='tab4'!H$3,'Course 4'!$I19," ")</f>
        <v xml:space="preserve"> </v>
      </c>
      <c r="I21" s="8" t="str">
        <f>IF('Course 4'!$H19='tab4'!I$3,'Course 4'!$I19," ")</f>
        <v xml:space="preserve"> </v>
      </c>
      <c r="J21" s="8" t="str">
        <f>IF('Course 4'!$H19='tab4'!J$3,'Course 4'!$I19," ")</f>
        <v xml:space="preserve"> </v>
      </c>
      <c r="K21" s="8" t="str">
        <f>IF('Course 4'!$H19='tab4'!K$3,'Course 4'!$I19," ")</f>
        <v xml:space="preserve"> </v>
      </c>
      <c r="L21" s="8" t="str">
        <f>IF('Course 4'!$H19='tab4'!L$3,'Course 4'!$I19," ")</f>
        <v xml:space="preserve"> </v>
      </c>
      <c r="M21" s="8" t="str">
        <f>IF('Course 4'!$H19='tab4'!M$3,'Course 4'!$I19," ")</f>
        <v xml:space="preserve"> </v>
      </c>
      <c r="N21" s="9" t="str">
        <f>IF('Course 4'!$H19='tab4'!N$3,'Course 4'!$I19," ")</f>
        <v xml:space="preserve"> </v>
      </c>
    </row>
    <row r="22" spans="2:14">
      <c r="B22">
        <v>18</v>
      </c>
      <c r="C22" s="7" t="str">
        <f>IF('Course 4'!$H20='tab4'!C$3,'Course 4'!$I20," ")</f>
        <v xml:space="preserve"> </v>
      </c>
      <c r="D22" s="8" t="str">
        <f>IF('Course 4'!$H20='tab4'!D$3,'Course 4'!$I20," ")</f>
        <v xml:space="preserve"> </v>
      </c>
      <c r="E22" s="8" t="str">
        <f>IF('Course 4'!$H20='tab4'!E$3,'Course 4'!$I20," ")</f>
        <v xml:space="preserve"> </v>
      </c>
      <c r="F22" s="8" t="str">
        <f>IF('Course 4'!$H20='tab4'!F$3,'Course 4'!$I20," ")</f>
        <v xml:space="preserve"> </v>
      </c>
      <c r="G22" s="8" t="str">
        <f>IF('Course 4'!$H20='tab4'!G$3,'Course 4'!$I20," ")</f>
        <v xml:space="preserve"> </v>
      </c>
      <c r="H22" s="8" t="str">
        <f>IF('Course 4'!$H20='tab4'!H$3,'Course 4'!$I20," ")</f>
        <v xml:space="preserve"> </v>
      </c>
      <c r="I22" s="8" t="str">
        <f>IF('Course 4'!$H20='tab4'!I$3,'Course 4'!$I20," ")</f>
        <v xml:space="preserve"> </v>
      </c>
      <c r="J22" s="8" t="str">
        <f>IF('Course 4'!$H20='tab4'!J$3,'Course 4'!$I20," ")</f>
        <v xml:space="preserve"> </v>
      </c>
      <c r="K22" s="8" t="str">
        <f>IF('Course 4'!$H20='tab4'!K$3,'Course 4'!$I20," ")</f>
        <v xml:space="preserve"> </v>
      </c>
      <c r="L22" s="8" t="str">
        <f>IF('Course 4'!$H20='tab4'!L$3,'Course 4'!$I20," ")</f>
        <v xml:space="preserve"> </v>
      </c>
      <c r="M22" s="8" t="str">
        <f>IF('Course 4'!$H20='tab4'!M$3,'Course 4'!$I20," ")</f>
        <v xml:space="preserve"> </v>
      </c>
      <c r="N22" s="9" t="str">
        <f>IF('Course 4'!$H20='tab4'!N$3,'Course 4'!$I20," ")</f>
        <v xml:space="preserve"> </v>
      </c>
    </row>
    <row r="23" spans="2:14">
      <c r="B23">
        <v>19</v>
      </c>
      <c r="C23" s="7" t="str">
        <f>IF('Course 4'!$H21='tab4'!C$3,'Course 4'!$I21," ")</f>
        <v xml:space="preserve"> </v>
      </c>
      <c r="D23" s="8" t="str">
        <f>IF('Course 4'!$H21='tab4'!D$3,'Course 4'!$I21," ")</f>
        <v xml:space="preserve"> </v>
      </c>
      <c r="E23" s="8" t="str">
        <f>IF('Course 4'!$H21='tab4'!E$3,'Course 4'!$I21," ")</f>
        <v xml:space="preserve"> </v>
      </c>
      <c r="F23" s="8" t="str">
        <f>IF('Course 4'!$H21='tab4'!F$3,'Course 4'!$I21," ")</f>
        <v xml:space="preserve"> </v>
      </c>
      <c r="G23" s="8" t="str">
        <f>IF('Course 4'!$H21='tab4'!G$3,'Course 4'!$I21," ")</f>
        <v xml:space="preserve"> </v>
      </c>
      <c r="H23" s="8" t="str">
        <f>IF('Course 4'!$H21='tab4'!H$3,'Course 4'!$I21," ")</f>
        <v xml:space="preserve"> </v>
      </c>
      <c r="I23" s="8" t="str">
        <f>IF('Course 4'!$H21='tab4'!I$3,'Course 4'!$I21," ")</f>
        <v xml:space="preserve"> </v>
      </c>
      <c r="J23" s="8" t="str">
        <f>IF('Course 4'!$H21='tab4'!J$3,'Course 4'!$I21," ")</f>
        <v xml:space="preserve"> </v>
      </c>
      <c r="K23" s="8" t="str">
        <f>IF('Course 4'!$H21='tab4'!K$3,'Course 4'!$I21," ")</f>
        <v xml:space="preserve"> </v>
      </c>
      <c r="L23" s="8" t="str">
        <f>IF('Course 4'!$H21='tab4'!L$3,'Course 4'!$I21," ")</f>
        <v xml:space="preserve"> </v>
      </c>
      <c r="M23" s="8" t="str">
        <f>IF('Course 4'!$H21='tab4'!M$3,'Course 4'!$I21," ")</f>
        <v xml:space="preserve"> </v>
      </c>
      <c r="N23" s="9" t="str">
        <f>IF('Course 4'!$H21='tab4'!N$3,'Course 4'!$I21," ")</f>
        <v xml:space="preserve"> </v>
      </c>
    </row>
    <row r="24" spans="2:14">
      <c r="B24">
        <v>20</v>
      </c>
      <c r="C24" s="7" t="str">
        <f>IF('Course 4'!$H22='tab4'!C$3,'Course 4'!$I22," ")</f>
        <v xml:space="preserve"> </v>
      </c>
      <c r="D24" s="8" t="str">
        <f>IF('Course 4'!$H22='tab4'!D$3,'Course 4'!$I22," ")</f>
        <v xml:space="preserve"> </v>
      </c>
      <c r="E24" s="8" t="str">
        <f>IF('Course 4'!$H22='tab4'!E$3,'Course 4'!$I22," ")</f>
        <v xml:space="preserve"> </v>
      </c>
      <c r="F24" s="8" t="str">
        <f>IF('Course 4'!$H22='tab4'!F$3,'Course 4'!$I22," ")</f>
        <v xml:space="preserve"> </v>
      </c>
      <c r="G24" s="8" t="str">
        <f>IF('Course 4'!$H22='tab4'!G$3,'Course 4'!$I22," ")</f>
        <v xml:space="preserve"> </v>
      </c>
      <c r="H24" s="8" t="str">
        <f>IF('Course 4'!$H22='tab4'!H$3,'Course 4'!$I22," ")</f>
        <v xml:space="preserve"> </v>
      </c>
      <c r="I24" s="8" t="str">
        <f>IF('Course 4'!$H22='tab4'!I$3,'Course 4'!$I22," ")</f>
        <v xml:space="preserve"> </v>
      </c>
      <c r="J24" s="8" t="str">
        <f>IF('Course 4'!$H22='tab4'!J$3,'Course 4'!$I22," ")</f>
        <v xml:space="preserve"> </v>
      </c>
      <c r="K24" s="8" t="str">
        <f>IF('Course 4'!$H22='tab4'!K$3,'Course 4'!$I22," ")</f>
        <v xml:space="preserve"> </v>
      </c>
      <c r="L24" s="8" t="str">
        <f>IF('Course 4'!$H22='tab4'!L$3,'Course 4'!$I22," ")</f>
        <v xml:space="preserve"> </v>
      </c>
      <c r="M24" s="8" t="str">
        <f>IF('Course 4'!$H22='tab4'!M$3,'Course 4'!$I22," ")</f>
        <v xml:space="preserve"> </v>
      </c>
      <c r="N24" s="9" t="str">
        <f>IF('Course 4'!$H22='tab4'!N$3,'Course 4'!$I22," ")</f>
        <v xml:space="preserve"> </v>
      </c>
    </row>
    <row r="25" spans="2:14">
      <c r="B25">
        <v>21</v>
      </c>
      <c r="C25" s="7" t="str">
        <f>IF('Course 4'!$H23='tab4'!C$3,'Course 4'!$I23," ")</f>
        <v xml:space="preserve"> </v>
      </c>
      <c r="D25" s="8" t="str">
        <f>IF('Course 4'!$H23='tab4'!D$3,'Course 4'!$I23," ")</f>
        <v xml:space="preserve"> </v>
      </c>
      <c r="E25" s="8" t="str">
        <f>IF('Course 4'!$H23='tab4'!E$3,'Course 4'!$I23," ")</f>
        <v xml:space="preserve"> </v>
      </c>
      <c r="F25" s="8" t="str">
        <f>IF('Course 4'!$H23='tab4'!F$3,'Course 4'!$I23," ")</f>
        <v xml:space="preserve"> </v>
      </c>
      <c r="G25" s="8" t="str">
        <f>IF('Course 4'!$H23='tab4'!G$3,'Course 4'!$I23," ")</f>
        <v xml:space="preserve"> </v>
      </c>
      <c r="H25" s="8" t="str">
        <f>IF('Course 4'!$H23='tab4'!H$3,'Course 4'!$I23," ")</f>
        <v xml:space="preserve"> </v>
      </c>
      <c r="I25" s="8" t="str">
        <f>IF('Course 4'!$H23='tab4'!I$3,'Course 4'!$I23," ")</f>
        <v xml:space="preserve"> </v>
      </c>
      <c r="J25" s="8" t="str">
        <f>IF('Course 4'!$H23='tab4'!J$3,'Course 4'!$I23," ")</f>
        <v xml:space="preserve"> </v>
      </c>
      <c r="K25" s="8" t="str">
        <f>IF('Course 4'!$H23='tab4'!K$3,'Course 4'!$I23," ")</f>
        <v xml:space="preserve"> </v>
      </c>
      <c r="L25" s="8" t="str">
        <f>IF('Course 4'!$H23='tab4'!L$3,'Course 4'!$I23," ")</f>
        <v xml:space="preserve"> </v>
      </c>
      <c r="M25" s="8" t="str">
        <f>IF('Course 4'!$H23='tab4'!M$3,'Course 4'!$I23," ")</f>
        <v xml:space="preserve"> </v>
      </c>
      <c r="N25" s="9" t="str">
        <f>IF('Course 4'!$H23='tab4'!N$3,'Course 4'!$I23," ")</f>
        <v xml:space="preserve"> </v>
      </c>
    </row>
    <row r="26" spans="2:14">
      <c r="B26">
        <v>22</v>
      </c>
      <c r="C26" s="7" t="str">
        <f>IF('Course 4'!$H24='tab4'!C$3,'Course 4'!$I24," ")</f>
        <v xml:space="preserve"> </v>
      </c>
      <c r="D26" s="8" t="str">
        <f>IF('Course 4'!$H24='tab4'!D$3,'Course 4'!$I24," ")</f>
        <v xml:space="preserve"> </v>
      </c>
      <c r="E26" s="8" t="str">
        <f>IF('Course 4'!$H24='tab4'!E$3,'Course 4'!$I24," ")</f>
        <v xml:space="preserve"> </v>
      </c>
      <c r="F26" s="8" t="str">
        <f>IF('Course 4'!$H24='tab4'!F$3,'Course 4'!$I24," ")</f>
        <v xml:space="preserve"> </v>
      </c>
      <c r="G26" s="8" t="str">
        <f>IF('Course 4'!$H24='tab4'!G$3,'Course 4'!$I24," ")</f>
        <v xml:space="preserve"> </v>
      </c>
      <c r="H26" s="8" t="str">
        <f>IF('Course 4'!$H24='tab4'!H$3,'Course 4'!$I24," ")</f>
        <v xml:space="preserve"> </v>
      </c>
      <c r="I26" s="8" t="str">
        <f>IF('Course 4'!$H24='tab4'!I$3,'Course 4'!$I24," ")</f>
        <v xml:space="preserve"> </v>
      </c>
      <c r="J26" s="8" t="str">
        <f>IF('Course 4'!$H24='tab4'!J$3,'Course 4'!$I24," ")</f>
        <v xml:space="preserve"> </v>
      </c>
      <c r="K26" s="8" t="str">
        <f>IF('Course 4'!$H24='tab4'!K$3,'Course 4'!$I24," ")</f>
        <v xml:space="preserve"> </v>
      </c>
      <c r="L26" s="8" t="str">
        <f>IF('Course 4'!$H24='tab4'!L$3,'Course 4'!$I24," ")</f>
        <v xml:space="preserve"> </v>
      </c>
      <c r="M26" s="8" t="str">
        <f>IF('Course 4'!$H24='tab4'!M$3,'Course 4'!$I24," ")</f>
        <v xml:space="preserve"> </v>
      </c>
      <c r="N26" s="9" t="str">
        <f>IF('Course 4'!$H24='tab4'!N$3,'Course 4'!$I24," ")</f>
        <v xml:space="preserve"> </v>
      </c>
    </row>
    <row r="27" spans="2:14">
      <c r="B27">
        <v>23</v>
      </c>
      <c r="C27" s="7" t="str">
        <f>IF('Course 4'!$H25='tab4'!C$3,'Course 4'!$I25," ")</f>
        <v xml:space="preserve"> </v>
      </c>
      <c r="D27" s="8" t="str">
        <f>IF('Course 4'!$H25='tab4'!D$3,'Course 4'!$I25," ")</f>
        <v xml:space="preserve"> </v>
      </c>
      <c r="E27" s="8" t="str">
        <f>IF('Course 4'!$H25='tab4'!E$3,'Course 4'!$I25," ")</f>
        <v xml:space="preserve"> </v>
      </c>
      <c r="F27" s="8" t="str">
        <f>IF('Course 4'!$H25='tab4'!F$3,'Course 4'!$I25," ")</f>
        <v xml:space="preserve"> </v>
      </c>
      <c r="G27" s="8" t="str">
        <f>IF('Course 4'!$H25='tab4'!G$3,'Course 4'!$I25," ")</f>
        <v xml:space="preserve"> </v>
      </c>
      <c r="H27" s="8" t="str">
        <f>IF('Course 4'!$H25='tab4'!H$3,'Course 4'!$I25," ")</f>
        <v xml:space="preserve"> </v>
      </c>
      <c r="I27" s="8" t="str">
        <f>IF('Course 4'!$H25='tab4'!I$3,'Course 4'!$I25," ")</f>
        <v xml:space="preserve"> </v>
      </c>
      <c r="J27" s="8" t="str">
        <f>IF('Course 4'!$H25='tab4'!J$3,'Course 4'!$I25," ")</f>
        <v xml:space="preserve"> </v>
      </c>
      <c r="K27" s="8" t="str">
        <f>IF('Course 4'!$H25='tab4'!K$3,'Course 4'!$I25," ")</f>
        <v xml:space="preserve"> </v>
      </c>
      <c r="L27" s="8" t="str">
        <f>IF('Course 4'!$H25='tab4'!L$3,'Course 4'!$I25," ")</f>
        <v xml:space="preserve"> </v>
      </c>
      <c r="M27" s="8" t="str">
        <f>IF('Course 4'!$H25='tab4'!M$3,'Course 4'!$I25," ")</f>
        <v xml:space="preserve"> </v>
      </c>
      <c r="N27" s="9" t="str">
        <f>IF('Course 4'!$H25='tab4'!N$3,'Course 4'!$I25," ")</f>
        <v xml:space="preserve"> </v>
      </c>
    </row>
    <row r="28" spans="2:14">
      <c r="B28">
        <v>24</v>
      </c>
      <c r="C28" s="7" t="str">
        <f>IF('Course 4'!$H26='tab4'!C$3,'Course 4'!$I26," ")</f>
        <v xml:space="preserve"> </v>
      </c>
      <c r="D28" s="8" t="str">
        <f>IF('Course 4'!$H26='tab4'!D$3,'Course 4'!$I26," ")</f>
        <v xml:space="preserve"> </v>
      </c>
      <c r="E28" s="8" t="str">
        <f>IF('Course 4'!$H26='tab4'!E$3,'Course 4'!$I26," ")</f>
        <v xml:space="preserve"> </v>
      </c>
      <c r="F28" s="8" t="str">
        <f>IF('Course 4'!$H26='tab4'!F$3,'Course 4'!$I26," ")</f>
        <v xml:space="preserve"> </v>
      </c>
      <c r="G28" s="8" t="str">
        <f>IF('Course 4'!$H26='tab4'!G$3,'Course 4'!$I26," ")</f>
        <v xml:space="preserve"> </v>
      </c>
      <c r="H28" s="8" t="str">
        <f>IF('Course 4'!$H26='tab4'!H$3,'Course 4'!$I26," ")</f>
        <v xml:space="preserve"> </v>
      </c>
      <c r="I28" s="8" t="str">
        <f>IF('Course 4'!$H26='tab4'!I$3,'Course 4'!$I26," ")</f>
        <v xml:space="preserve"> </v>
      </c>
      <c r="J28" s="8" t="str">
        <f>IF('Course 4'!$H26='tab4'!J$3,'Course 4'!$I26," ")</f>
        <v xml:space="preserve"> </v>
      </c>
      <c r="K28" s="8" t="str">
        <f>IF('Course 4'!$H26='tab4'!K$3,'Course 4'!$I26," ")</f>
        <v xml:space="preserve"> </v>
      </c>
      <c r="L28" s="8" t="str">
        <f>IF('Course 4'!$H26='tab4'!L$3,'Course 4'!$I26," ")</f>
        <v xml:space="preserve"> </v>
      </c>
      <c r="M28" s="8" t="str">
        <f>IF('Course 4'!$H26='tab4'!M$3,'Course 4'!$I26," ")</f>
        <v xml:space="preserve"> </v>
      </c>
      <c r="N28" s="9" t="str">
        <f>IF('Course 4'!$H26='tab4'!N$3,'Course 4'!$I26," ")</f>
        <v xml:space="preserve"> </v>
      </c>
    </row>
    <row r="29" spans="2:14">
      <c r="B29">
        <v>25</v>
      </c>
      <c r="C29" s="7" t="str">
        <f>IF('Course 4'!$H27='tab4'!C$3,'Course 4'!$I27," ")</f>
        <v xml:space="preserve"> </v>
      </c>
      <c r="D29" s="8" t="str">
        <f>IF('Course 4'!$H27='tab4'!D$3,'Course 4'!$I27," ")</f>
        <v xml:space="preserve"> </v>
      </c>
      <c r="E29" s="8" t="str">
        <f>IF('Course 4'!$H27='tab4'!E$3,'Course 4'!$I27," ")</f>
        <v xml:space="preserve"> </v>
      </c>
      <c r="F29" s="8" t="str">
        <f>IF('Course 4'!$H27='tab4'!F$3,'Course 4'!$I27," ")</f>
        <v xml:space="preserve"> </v>
      </c>
      <c r="G29" s="8" t="str">
        <f>IF('Course 4'!$H27='tab4'!G$3,'Course 4'!$I27," ")</f>
        <v xml:space="preserve"> </v>
      </c>
      <c r="H29" s="8" t="str">
        <f>IF('Course 4'!$H27='tab4'!H$3,'Course 4'!$I27," ")</f>
        <v xml:space="preserve"> </v>
      </c>
      <c r="I29" s="8" t="str">
        <f>IF('Course 4'!$H27='tab4'!I$3,'Course 4'!$I27," ")</f>
        <v xml:space="preserve"> </v>
      </c>
      <c r="J29" s="8" t="str">
        <f>IF('Course 4'!$H27='tab4'!J$3,'Course 4'!$I27," ")</f>
        <v xml:space="preserve"> </v>
      </c>
      <c r="K29" s="8" t="str">
        <f>IF('Course 4'!$H27='tab4'!K$3,'Course 4'!$I27," ")</f>
        <v xml:space="preserve"> </v>
      </c>
      <c r="L29" s="8" t="str">
        <f>IF('Course 4'!$H27='tab4'!L$3,'Course 4'!$I27," ")</f>
        <v xml:space="preserve"> </v>
      </c>
      <c r="M29" s="8" t="str">
        <f>IF('Course 4'!$H27='tab4'!M$3,'Course 4'!$I27," ")</f>
        <v xml:space="preserve"> </v>
      </c>
      <c r="N29" s="9" t="str">
        <f>IF('Course 4'!$H27='tab4'!N$3,'Course 4'!$I27," ")</f>
        <v xml:space="preserve"> </v>
      </c>
    </row>
    <row r="30" spans="2:14">
      <c r="B30">
        <v>26</v>
      </c>
      <c r="C30" s="7" t="str">
        <f>IF('Course 4'!$H28='tab4'!C$3,'Course 4'!$I28," ")</f>
        <v xml:space="preserve"> </v>
      </c>
      <c r="D30" s="8" t="str">
        <f>IF('Course 4'!$H28='tab4'!D$3,'Course 4'!$I28," ")</f>
        <v xml:space="preserve"> </v>
      </c>
      <c r="E30" s="8" t="str">
        <f>IF('Course 4'!$H28='tab4'!E$3,'Course 4'!$I28," ")</f>
        <v xml:space="preserve"> </v>
      </c>
      <c r="F30" s="8" t="str">
        <f>IF('Course 4'!$H28='tab4'!F$3,'Course 4'!$I28," ")</f>
        <v xml:space="preserve"> </v>
      </c>
      <c r="G30" s="8" t="str">
        <f>IF('Course 4'!$H28='tab4'!G$3,'Course 4'!$I28," ")</f>
        <v xml:space="preserve"> </v>
      </c>
      <c r="H30" s="8" t="str">
        <f>IF('Course 4'!$H28='tab4'!H$3,'Course 4'!$I28," ")</f>
        <v xml:space="preserve"> </v>
      </c>
      <c r="I30" s="8" t="str">
        <f>IF('Course 4'!$H28='tab4'!I$3,'Course 4'!$I28," ")</f>
        <v xml:space="preserve"> </v>
      </c>
      <c r="J30" s="8" t="str">
        <f>IF('Course 4'!$H28='tab4'!J$3,'Course 4'!$I28," ")</f>
        <v xml:space="preserve"> </v>
      </c>
      <c r="K30" s="8" t="str">
        <f>IF('Course 4'!$H28='tab4'!K$3,'Course 4'!$I28," ")</f>
        <v xml:space="preserve"> </v>
      </c>
      <c r="L30" s="8" t="str">
        <f>IF('Course 4'!$H28='tab4'!L$3,'Course 4'!$I28," ")</f>
        <v xml:space="preserve"> </v>
      </c>
      <c r="M30" s="8" t="str">
        <f>IF('Course 4'!$H28='tab4'!M$3,'Course 4'!$I28," ")</f>
        <v xml:space="preserve"> </v>
      </c>
      <c r="N30" s="9" t="str">
        <f>IF('Course 4'!$H28='tab4'!N$3,'Course 4'!$I28," ")</f>
        <v xml:space="preserve"> </v>
      </c>
    </row>
    <row r="31" spans="2:14">
      <c r="B31">
        <v>27</v>
      </c>
      <c r="C31" s="7" t="str">
        <f>IF('Course 4'!$H29='tab4'!C$3,'Course 4'!$I29," ")</f>
        <v xml:space="preserve"> </v>
      </c>
      <c r="D31" s="8" t="str">
        <f>IF('Course 4'!$H29='tab4'!D$3,'Course 4'!$I29," ")</f>
        <v xml:space="preserve"> </v>
      </c>
      <c r="E31" s="8" t="str">
        <f>IF('Course 4'!$H29='tab4'!E$3,'Course 4'!$I29," ")</f>
        <v xml:space="preserve"> </v>
      </c>
      <c r="F31" s="8" t="str">
        <f>IF('Course 4'!$H29='tab4'!F$3,'Course 4'!$I29," ")</f>
        <v xml:space="preserve"> </v>
      </c>
      <c r="G31" s="8" t="str">
        <f>IF('Course 4'!$H29='tab4'!G$3,'Course 4'!$I29," ")</f>
        <v xml:space="preserve"> </v>
      </c>
      <c r="H31" s="8" t="str">
        <f>IF('Course 4'!$H29='tab4'!H$3,'Course 4'!$I29," ")</f>
        <v xml:space="preserve"> </v>
      </c>
      <c r="I31" s="8" t="str">
        <f>IF('Course 4'!$H29='tab4'!I$3,'Course 4'!$I29," ")</f>
        <v xml:space="preserve"> </v>
      </c>
      <c r="J31" s="8" t="str">
        <f>IF('Course 4'!$H29='tab4'!J$3,'Course 4'!$I29," ")</f>
        <v xml:space="preserve"> </v>
      </c>
      <c r="K31" s="8" t="str">
        <f>IF('Course 4'!$H29='tab4'!K$3,'Course 4'!$I29," ")</f>
        <v xml:space="preserve"> </v>
      </c>
      <c r="L31" s="8" t="str">
        <f>IF('Course 4'!$H29='tab4'!L$3,'Course 4'!$I29," ")</f>
        <v xml:space="preserve"> </v>
      </c>
      <c r="M31" s="8" t="str">
        <f>IF('Course 4'!$H29='tab4'!M$3,'Course 4'!$I29," ")</f>
        <v xml:space="preserve"> </v>
      </c>
      <c r="N31" s="9" t="str">
        <f>IF('Course 4'!$H29='tab4'!N$3,'Course 4'!$I29," ")</f>
        <v xml:space="preserve"> </v>
      </c>
    </row>
    <row r="32" spans="2:14">
      <c r="B32">
        <v>28</v>
      </c>
      <c r="C32" s="7" t="str">
        <f>IF('Course 4'!$H30='tab4'!C$3,'Course 4'!$I30," ")</f>
        <v xml:space="preserve"> </v>
      </c>
      <c r="D32" s="8" t="str">
        <f>IF('Course 4'!$H30='tab4'!D$3,'Course 4'!$I30," ")</f>
        <v xml:space="preserve"> </v>
      </c>
      <c r="E32" s="8" t="str">
        <f>IF('Course 4'!$H30='tab4'!E$3,'Course 4'!$I30," ")</f>
        <v xml:space="preserve"> </v>
      </c>
      <c r="F32" s="8" t="str">
        <f>IF('Course 4'!$H30='tab4'!F$3,'Course 4'!$I30," ")</f>
        <v xml:space="preserve"> </v>
      </c>
      <c r="G32" s="8" t="str">
        <f>IF('Course 4'!$H30='tab4'!G$3,'Course 4'!$I30," ")</f>
        <v xml:space="preserve"> </v>
      </c>
      <c r="H32" s="8" t="str">
        <f>IF('Course 4'!$H30='tab4'!H$3,'Course 4'!$I30," ")</f>
        <v xml:space="preserve"> </v>
      </c>
      <c r="I32" s="8" t="str">
        <f>IF('Course 4'!$H30='tab4'!I$3,'Course 4'!$I30," ")</f>
        <v xml:space="preserve"> </v>
      </c>
      <c r="J32" s="8" t="str">
        <f>IF('Course 4'!$H30='tab4'!J$3,'Course 4'!$I30," ")</f>
        <v xml:space="preserve"> </v>
      </c>
      <c r="K32" s="8" t="str">
        <f>IF('Course 4'!$H30='tab4'!K$3,'Course 4'!$I30," ")</f>
        <v xml:space="preserve"> </v>
      </c>
      <c r="L32" s="8" t="str">
        <f>IF('Course 4'!$H30='tab4'!L$3,'Course 4'!$I30," ")</f>
        <v xml:space="preserve"> </v>
      </c>
      <c r="M32" s="8" t="str">
        <f>IF('Course 4'!$H30='tab4'!M$3,'Course 4'!$I30," ")</f>
        <v xml:space="preserve"> </v>
      </c>
      <c r="N32" s="9" t="str">
        <f>IF('Course 4'!$H30='tab4'!N$3,'Course 4'!$I30," ")</f>
        <v xml:space="preserve"> </v>
      </c>
    </row>
    <row r="33" spans="2:14">
      <c r="B33">
        <v>29</v>
      </c>
      <c r="C33" s="7" t="str">
        <f>IF('Course 4'!$H31='tab4'!C$3,'Course 4'!$I31," ")</f>
        <v xml:space="preserve"> </v>
      </c>
      <c r="D33" s="8" t="str">
        <f>IF('Course 4'!$H31='tab4'!D$3,'Course 4'!$I31," ")</f>
        <v xml:space="preserve"> </v>
      </c>
      <c r="E33" s="8" t="str">
        <f>IF('Course 4'!$H31='tab4'!E$3,'Course 4'!$I31," ")</f>
        <v xml:space="preserve"> </v>
      </c>
      <c r="F33" s="8" t="str">
        <f>IF('Course 4'!$H31='tab4'!F$3,'Course 4'!$I31," ")</f>
        <v xml:space="preserve"> </v>
      </c>
      <c r="G33" s="8" t="str">
        <f>IF('Course 4'!$H31='tab4'!G$3,'Course 4'!$I31," ")</f>
        <v xml:space="preserve"> </v>
      </c>
      <c r="H33" s="8" t="str">
        <f>IF('Course 4'!$H31='tab4'!H$3,'Course 4'!$I31," ")</f>
        <v xml:space="preserve"> </v>
      </c>
      <c r="I33" s="8" t="str">
        <f>IF('Course 4'!$H31='tab4'!I$3,'Course 4'!$I31," ")</f>
        <v xml:space="preserve"> </v>
      </c>
      <c r="J33" s="8" t="str">
        <f>IF('Course 4'!$H31='tab4'!J$3,'Course 4'!$I31," ")</f>
        <v xml:space="preserve"> </v>
      </c>
      <c r="K33" s="8" t="str">
        <f>IF('Course 4'!$H31='tab4'!K$3,'Course 4'!$I31," ")</f>
        <v xml:space="preserve"> </v>
      </c>
      <c r="L33" s="8" t="str">
        <f>IF('Course 4'!$H31='tab4'!L$3,'Course 4'!$I31," ")</f>
        <v xml:space="preserve"> </v>
      </c>
      <c r="M33" s="8" t="str">
        <f>IF('Course 4'!$H31='tab4'!M$3,'Course 4'!$I31," ")</f>
        <v xml:space="preserve"> </v>
      </c>
      <c r="N33" s="9" t="str">
        <f>IF('Course 4'!$H31='tab4'!N$3,'Course 4'!$I31," ")</f>
        <v xml:space="preserve"> </v>
      </c>
    </row>
    <row r="34" spans="2:14">
      <c r="B34">
        <v>30</v>
      </c>
      <c r="C34" s="7" t="str">
        <f>IF('Course 4'!$H32='tab4'!C$3,'Course 4'!$I32," ")</f>
        <v xml:space="preserve"> </v>
      </c>
      <c r="D34" s="8" t="str">
        <f>IF('Course 4'!$H32='tab4'!D$3,'Course 4'!$I32," ")</f>
        <v xml:space="preserve"> </v>
      </c>
      <c r="E34" s="8" t="str">
        <f>IF('Course 4'!$H32='tab4'!E$3,'Course 4'!$I32," ")</f>
        <v xml:space="preserve"> </v>
      </c>
      <c r="F34" s="8" t="str">
        <f>IF('Course 4'!$H32='tab4'!F$3,'Course 4'!$I32," ")</f>
        <v xml:space="preserve"> </v>
      </c>
      <c r="G34" s="8" t="str">
        <f>IF('Course 4'!$H32='tab4'!G$3,'Course 4'!$I32," ")</f>
        <v xml:space="preserve"> </v>
      </c>
      <c r="H34" s="8" t="str">
        <f>IF('Course 4'!$H32='tab4'!H$3,'Course 4'!$I32," ")</f>
        <v xml:space="preserve"> </v>
      </c>
      <c r="I34" s="8" t="str">
        <f>IF('Course 4'!$H32='tab4'!I$3,'Course 4'!$I32," ")</f>
        <v xml:space="preserve"> </v>
      </c>
      <c r="J34" s="8" t="str">
        <f>IF('Course 4'!$H32='tab4'!J$3,'Course 4'!$I32," ")</f>
        <v xml:space="preserve"> </v>
      </c>
      <c r="K34" s="8" t="str">
        <f>IF('Course 4'!$H32='tab4'!K$3,'Course 4'!$I32," ")</f>
        <v xml:space="preserve"> </v>
      </c>
      <c r="L34" s="8" t="str">
        <f>IF('Course 4'!$H32='tab4'!L$3,'Course 4'!$I32," ")</f>
        <v xml:space="preserve"> </v>
      </c>
      <c r="M34" s="8" t="str">
        <f>IF('Course 4'!$H32='tab4'!M$3,'Course 4'!$I32," ")</f>
        <v xml:space="preserve"> </v>
      </c>
      <c r="N34" s="9" t="str">
        <f>IF('Course 4'!$H32='tab4'!N$3,'Course 4'!$I32," ")</f>
        <v xml:space="preserve"> </v>
      </c>
    </row>
    <row r="35" spans="2:14">
      <c r="B35">
        <v>31</v>
      </c>
      <c r="C35" s="7" t="str">
        <f>IF('Course 4'!$H33='tab4'!C$3,'Course 4'!$I33," ")</f>
        <v xml:space="preserve"> </v>
      </c>
      <c r="D35" s="8" t="str">
        <f>IF('Course 4'!$H33='tab4'!D$3,'Course 4'!$I33," ")</f>
        <v xml:space="preserve"> </v>
      </c>
      <c r="E35" s="8" t="str">
        <f>IF('Course 4'!$H33='tab4'!E$3,'Course 4'!$I33," ")</f>
        <v xml:space="preserve"> </v>
      </c>
      <c r="F35" s="8" t="str">
        <f>IF('Course 4'!$H33='tab4'!F$3,'Course 4'!$I33," ")</f>
        <v xml:space="preserve"> </v>
      </c>
      <c r="G35" s="8" t="str">
        <f>IF('Course 4'!$H33='tab4'!G$3,'Course 4'!$I33," ")</f>
        <v xml:space="preserve"> </v>
      </c>
      <c r="H35" s="8" t="str">
        <f>IF('Course 4'!$H33='tab4'!H$3,'Course 4'!$I33," ")</f>
        <v xml:space="preserve"> </v>
      </c>
      <c r="I35" s="8" t="str">
        <f>IF('Course 4'!$H33='tab4'!I$3,'Course 4'!$I33," ")</f>
        <v xml:space="preserve"> </v>
      </c>
      <c r="J35" s="8" t="str">
        <f>IF('Course 4'!$H33='tab4'!J$3,'Course 4'!$I33," ")</f>
        <v xml:space="preserve"> </v>
      </c>
      <c r="K35" s="8" t="str">
        <f>IF('Course 4'!$H33='tab4'!K$3,'Course 4'!$I33," ")</f>
        <v xml:space="preserve"> </v>
      </c>
      <c r="L35" s="8" t="str">
        <f>IF('Course 4'!$H33='tab4'!L$3,'Course 4'!$I33," ")</f>
        <v xml:space="preserve"> </v>
      </c>
      <c r="M35" s="8" t="str">
        <f>IF('Course 4'!$H33='tab4'!M$3,'Course 4'!$I33," ")</f>
        <v xml:space="preserve"> </v>
      </c>
      <c r="N35" s="9" t="str">
        <f>IF('Course 4'!$H33='tab4'!N$3,'Course 4'!$I33," ")</f>
        <v xml:space="preserve"> </v>
      </c>
    </row>
    <row r="36" spans="2:14">
      <c r="B36">
        <v>32</v>
      </c>
      <c r="C36" s="7" t="str">
        <f>IF('Course 4'!$H34='tab4'!C$3,'Course 4'!$I34," ")</f>
        <v xml:space="preserve"> </v>
      </c>
      <c r="D36" s="8" t="str">
        <f>IF('Course 4'!$H34='tab4'!D$3,'Course 4'!$I34," ")</f>
        <v xml:space="preserve"> </v>
      </c>
      <c r="E36" s="8" t="str">
        <f>IF('Course 4'!$H34='tab4'!E$3,'Course 4'!$I34," ")</f>
        <v xml:space="preserve"> </v>
      </c>
      <c r="F36" s="8" t="str">
        <f>IF('Course 4'!$H34='tab4'!F$3,'Course 4'!$I34," ")</f>
        <v xml:space="preserve"> </v>
      </c>
      <c r="G36" s="8" t="str">
        <f>IF('Course 4'!$H34='tab4'!G$3,'Course 4'!$I34," ")</f>
        <v xml:space="preserve"> </v>
      </c>
      <c r="H36" s="8" t="str">
        <f>IF('Course 4'!$H34='tab4'!H$3,'Course 4'!$I34," ")</f>
        <v xml:space="preserve"> </v>
      </c>
      <c r="I36" s="8" t="str">
        <f>IF('Course 4'!$H34='tab4'!I$3,'Course 4'!$I34," ")</f>
        <v xml:space="preserve"> </v>
      </c>
      <c r="J36" s="8" t="str">
        <f>IF('Course 4'!$H34='tab4'!J$3,'Course 4'!$I34," ")</f>
        <v xml:space="preserve"> </v>
      </c>
      <c r="K36" s="8" t="str">
        <f>IF('Course 4'!$H34='tab4'!K$3,'Course 4'!$I34," ")</f>
        <v xml:space="preserve"> </v>
      </c>
      <c r="L36" s="8" t="str">
        <f>IF('Course 4'!$H34='tab4'!L$3,'Course 4'!$I34," ")</f>
        <v xml:space="preserve"> </v>
      </c>
      <c r="M36" s="8" t="str">
        <f>IF('Course 4'!$H34='tab4'!M$3,'Course 4'!$I34," ")</f>
        <v xml:space="preserve"> </v>
      </c>
      <c r="N36" s="9" t="str">
        <f>IF('Course 4'!$H34='tab4'!N$3,'Course 4'!$I34," ")</f>
        <v xml:space="preserve"> </v>
      </c>
    </row>
    <row r="37" spans="2:14">
      <c r="B37">
        <v>33</v>
      </c>
      <c r="C37" s="7" t="str">
        <f>IF('Course 4'!$H35='tab4'!C$3,'Course 4'!$I35," ")</f>
        <v xml:space="preserve"> </v>
      </c>
      <c r="D37" s="8" t="str">
        <f>IF('Course 4'!$H35='tab4'!D$3,'Course 4'!$I35," ")</f>
        <v xml:space="preserve"> </v>
      </c>
      <c r="E37" s="8" t="str">
        <f>IF('Course 4'!$H35='tab4'!E$3,'Course 4'!$I35," ")</f>
        <v xml:space="preserve"> </v>
      </c>
      <c r="F37" s="8" t="str">
        <f>IF('Course 4'!$H35='tab4'!F$3,'Course 4'!$I35," ")</f>
        <v xml:space="preserve"> </v>
      </c>
      <c r="G37" s="8" t="str">
        <f>IF('Course 4'!$H35='tab4'!G$3,'Course 4'!$I35," ")</f>
        <v xml:space="preserve"> </v>
      </c>
      <c r="H37" s="8" t="str">
        <f>IF('Course 4'!$H35='tab4'!H$3,'Course 4'!$I35," ")</f>
        <v xml:space="preserve"> </v>
      </c>
      <c r="I37" s="8" t="str">
        <f>IF('Course 4'!$H35='tab4'!I$3,'Course 4'!$I35," ")</f>
        <v xml:space="preserve"> </v>
      </c>
      <c r="J37" s="8" t="str">
        <f>IF('Course 4'!$H35='tab4'!J$3,'Course 4'!$I35," ")</f>
        <v xml:space="preserve"> </v>
      </c>
      <c r="K37" s="8" t="str">
        <f>IF('Course 4'!$H35='tab4'!K$3,'Course 4'!$I35," ")</f>
        <v xml:space="preserve"> </v>
      </c>
      <c r="L37" s="8" t="str">
        <f>IF('Course 4'!$H35='tab4'!L$3,'Course 4'!$I35," ")</f>
        <v xml:space="preserve"> </v>
      </c>
      <c r="M37" s="8" t="str">
        <f>IF('Course 4'!$H35='tab4'!M$3,'Course 4'!$I35," ")</f>
        <v xml:space="preserve"> </v>
      </c>
      <c r="N37" s="9" t="str">
        <f>IF('Course 4'!$H35='tab4'!N$3,'Course 4'!$I35," ")</f>
        <v xml:space="preserve"> </v>
      </c>
    </row>
    <row r="38" spans="2:14">
      <c r="B38">
        <v>34</v>
      </c>
      <c r="C38" s="7" t="str">
        <f>IF('Course 4'!$H36='tab4'!C$3,'Course 4'!$I36," ")</f>
        <v xml:space="preserve"> </v>
      </c>
      <c r="D38" s="8" t="str">
        <f>IF('Course 4'!$H36='tab4'!D$3,'Course 4'!$I36," ")</f>
        <v xml:space="preserve"> </v>
      </c>
      <c r="E38" s="8" t="str">
        <f>IF('Course 4'!$H36='tab4'!E$3,'Course 4'!$I36," ")</f>
        <v xml:space="preserve"> </v>
      </c>
      <c r="F38" s="8" t="str">
        <f>IF('Course 4'!$H36='tab4'!F$3,'Course 4'!$I36," ")</f>
        <v xml:space="preserve"> </v>
      </c>
      <c r="G38" s="8" t="str">
        <f>IF('Course 4'!$H36='tab4'!G$3,'Course 4'!$I36," ")</f>
        <v xml:space="preserve"> </v>
      </c>
      <c r="H38" s="8" t="str">
        <f>IF('Course 4'!$H36='tab4'!H$3,'Course 4'!$I36," ")</f>
        <v xml:space="preserve"> </v>
      </c>
      <c r="I38" s="8" t="str">
        <f>IF('Course 4'!$H36='tab4'!I$3,'Course 4'!$I36," ")</f>
        <v xml:space="preserve"> </v>
      </c>
      <c r="J38" s="8" t="str">
        <f>IF('Course 4'!$H36='tab4'!J$3,'Course 4'!$I36," ")</f>
        <v xml:space="preserve"> </v>
      </c>
      <c r="K38" s="8" t="str">
        <f>IF('Course 4'!$H36='tab4'!K$3,'Course 4'!$I36," ")</f>
        <v xml:space="preserve"> </v>
      </c>
      <c r="L38" s="8" t="str">
        <f>IF('Course 4'!$H36='tab4'!L$3,'Course 4'!$I36," ")</f>
        <v xml:space="preserve"> </v>
      </c>
      <c r="M38" s="8" t="str">
        <f>IF('Course 4'!$H36='tab4'!M$3,'Course 4'!$I36," ")</f>
        <v xml:space="preserve"> </v>
      </c>
      <c r="N38" s="9" t="str">
        <f>IF('Course 4'!$H36='tab4'!N$3,'Course 4'!$I36," ")</f>
        <v xml:space="preserve"> </v>
      </c>
    </row>
    <row r="39" spans="2:14">
      <c r="B39">
        <v>35</v>
      </c>
      <c r="C39" s="7" t="str">
        <f>IF('Course 4'!$H37='tab4'!C$3,'Course 4'!$I37," ")</f>
        <v xml:space="preserve"> </v>
      </c>
      <c r="D39" s="8" t="str">
        <f>IF('Course 4'!$H37='tab4'!D$3,'Course 4'!$I37," ")</f>
        <v xml:space="preserve"> </v>
      </c>
      <c r="E39" s="8" t="str">
        <f>IF('Course 4'!$H37='tab4'!E$3,'Course 4'!$I37," ")</f>
        <v xml:space="preserve"> </v>
      </c>
      <c r="F39" s="8" t="str">
        <f>IF('Course 4'!$H37='tab4'!F$3,'Course 4'!$I37," ")</f>
        <v xml:space="preserve"> </v>
      </c>
      <c r="G39" s="8" t="str">
        <f>IF('Course 4'!$H37='tab4'!G$3,'Course 4'!$I37," ")</f>
        <v xml:space="preserve"> </v>
      </c>
      <c r="H39" s="8" t="str">
        <f>IF('Course 4'!$H37='tab4'!H$3,'Course 4'!$I37," ")</f>
        <v xml:space="preserve"> </v>
      </c>
      <c r="I39" s="8" t="str">
        <f>IF('Course 4'!$H37='tab4'!I$3,'Course 4'!$I37," ")</f>
        <v xml:space="preserve"> </v>
      </c>
      <c r="J39" s="8" t="str">
        <f>IF('Course 4'!$H37='tab4'!J$3,'Course 4'!$I37," ")</f>
        <v xml:space="preserve"> </v>
      </c>
      <c r="K39" s="8" t="str">
        <f>IF('Course 4'!$H37='tab4'!K$3,'Course 4'!$I37," ")</f>
        <v xml:space="preserve"> </v>
      </c>
      <c r="L39" s="8" t="str">
        <f>IF('Course 4'!$H37='tab4'!L$3,'Course 4'!$I37," ")</f>
        <v xml:space="preserve"> </v>
      </c>
      <c r="M39" s="8" t="str">
        <f>IF('Course 4'!$H37='tab4'!M$3,'Course 4'!$I37," ")</f>
        <v xml:space="preserve"> </v>
      </c>
      <c r="N39" s="9" t="str">
        <f>IF('Course 4'!$H37='tab4'!N$3,'Course 4'!$I37," ")</f>
        <v xml:space="preserve"> </v>
      </c>
    </row>
    <row r="40" spans="2:14">
      <c r="B40">
        <v>36</v>
      </c>
      <c r="C40" s="7" t="str">
        <f>IF('Course 4'!$H38='tab4'!C$3,'Course 4'!$I38," ")</f>
        <v xml:space="preserve"> </v>
      </c>
      <c r="D40" s="8" t="str">
        <f>IF('Course 4'!$H38='tab4'!D$3,'Course 4'!$I38," ")</f>
        <v xml:space="preserve"> </v>
      </c>
      <c r="E40" s="8" t="str">
        <f>IF('Course 4'!$H38='tab4'!E$3,'Course 4'!$I38," ")</f>
        <v xml:space="preserve"> </v>
      </c>
      <c r="F40" s="8" t="str">
        <f>IF('Course 4'!$H38='tab4'!F$3,'Course 4'!$I38," ")</f>
        <v xml:space="preserve"> </v>
      </c>
      <c r="G40" s="8" t="str">
        <f>IF('Course 4'!$H38='tab4'!G$3,'Course 4'!$I38," ")</f>
        <v xml:space="preserve"> </v>
      </c>
      <c r="H40" s="8" t="str">
        <f>IF('Course 4'!$H38='tab4'!H$3,'Course 4'!$I38," ")</f>
        <v xml:space="preserve"> </v>
      </c>
      <c r="I40" s="8" t="str">
        <f>IF('Course 4'!$H38='tab4'!I$3,'Course 4'!$I38," ")</f>
        <v xml:space="preserve"> </v>
      </c>
      <c r="J40" s="8" t="str">
        <f>IF('Course 4'!$H38='tab4'!J$3,'Course 4'!$I38," ")</f>
        <v xml:space="preserve"> </v>
      </c>
      <c r="K40" s="8" t="str">
        <f>IF('Course 4'!$H38='tab4'!K$3,'Course 4'!$I38," ")</f>
        <v xml:space="preserve"> </v>
      </c>
      <c r="L40" s="8" t="str">
        <f>IF('Course 4'!$H38='tab4'!L$3,'Course 4'!$I38," ")</f>
        <v xml:space="preserve"> </v>
      </c>
      <c r="M40" s="8" t="str">
        <f>IF('Course 4'!$H38='tab4'!M$3,'Course 4'!$I38," ")</f>
        <v xml:space="preserve"> </v>
      </c>
      <c r="N40" s="9" t="str">
        <f>IF('Course 4'!$H38='tab4'!N$3,'Course 4'!$I38," ")</f>
        <v xml:space="preserve"> </v>
      </c>
    </row>
    <row r="41" spans="2:14">
      <c r="B41">
        <v>37</v>
      </c>
      <c r="C41" s="7" t="str">
        <f>IF('Course 4'!$H39='tab4'!C$3,'Course 4'!$I39," ")</f>
        <v xml:space="preserve"> </v>
      </c>
      <c r="D41" s="8" t="str">
        <f>IF('Course 4'!$H39='tab4'!D$3,'Course 4'!$I39," ")</f>
        <v xml:space="preserve"> </v>
      </c>
      <c r="E41" s="8" t="str">
        <f>IF('Course 4'!$H39='tab4'!E$3,'Course 4'!$I39," ")</f>
        <v xml:space="preserve"> </v>
      </c>
      <c r="F41" s="8" t="str">
        <f>IF('Course 4'!$H39='tab4'!F$3,'Course 4'!$I39," ")</f>
        <v xml:space="preserve"> </v>
      </c>
      <c r="G41" s="8" t="str">
        <f>IF('Course 4'!$H39='tab4'!G$3,'Course 4'!$I39," ")</f>
        <v xml:space="preserve"> </v>
      </c>
      <c r="H41" s="8" t="str">
        <f>IF('Course 4'!$H39='tab4'!H$3,'Course 4'!$I39," ")</f>
        <v xml:space="preserve"> </v>
      </c>
      <c r="I41" s="8" t="str">
        <f>IF('Course 4'!$H39='tab4'!I$3,'Course 4'!$I39," ")</f>
        <v xml:space="preserve"> </v>
      </c>
      <c r="J41" s="8" t="str">
        <f>IF('Course 4'!$H39='tab4'!J$3,'Course 4'!$I39," ")</f>
        <v xml:space="preserve"> </v>
      </c>
      <c r="K41" s="8" t="str">
        <f>IF('Course 4'!$H39='tab4'!K$3,'Course 4'!$I39," ")</f>
        <v xml:space="preserve"> </v>
      </c>
      <c r="L41" s="8" t="str">
        <f>IF('Course 4'!$H39='tab4'!L$3,'Course 4'!$I39," ")</f>
        <v xml:space="preserve"> </v>
      </c>
      <c r="M41" s="8" t="str">
        <f>IF('Course 4'!$H39='tab4'!M$3,'Course 4'!$I39," ")</f>
        <v xml:space="preserve"> </v>
      </c>
      <c r="N41" s="9" t="str">
        <f>IF('Course 4'!$H39='tab4'!N$3,'Course 4'!$I39," ")</f>
        <v xml:space="preserve"> </v>
      </c>
    </row>
    <row r="42" spans="2:14">
      <c r="B42">
        <v>38</v>
      </c>
      <c r="C42" s="7" t="str">
        <f>IF('Course 4'!$H40='tab4'!C$3,'Course 4'!$I40," ")</f>
        <v xml:space="preserve"> </v>
      </c>
      <c r="D42" s="8" t="str">
        <f>IF('Course 4'!$H40='tab4'!D$3,'Course 4'!$I40," ")</f>
        <v xml:space="preserve"> </v>
      </c>
      <c r="E42" s="8" t="str">
        <f>IF('Course 4'!$H40='tab4'!E$3,'Course 4'!$I40," ")</f>
        <v xml:space="preserve"> </v>
      </c>
      <c r="F42" s="8" t="str">
        <f>IF('Course 4'!$H40='tab4'!F$3,'Course 4'!$I40," ")</f>
        <v xml:space="preserve"> </v>
      </c>
      <c r="G42" s="8" t="str">
        <f>IF('Course 4'!$H40='tab4'!G$3,'Course 4'!$I40," ")</f>
        <v xml:space="preserve"> </v>
      </c>
      <c r="H42" s="8" t="str">
        <f>IF('Course 4'!$H40='tab4'!H$3,'Course 4'!$I40," ")</f>
        <v xml:space="preserve"> </v>
      </c>
      <c r="I42" s="8" t="str">
        <f>IF('Course 4'!$H40='tab4'!I$3,'Course 4'!$I40," ")</f>
        <v xml:space="preserve"> </v>
      </c>
      <c r="J42" s="8" t="str">
        <f>IF('Course 4'!$H40='tab4'!J$3,'Course 4'!$I40," ")</f>
        <v xml:space="preserve"> </v>
      </c>
      <c r="K42" s="8" t="str">
        <f>IF('Course 4'!$H40='tab4'!K$3,'Course 4'!$I40," ")</f>
        <v xml:space="preserve"> </v>
      </c>
      <c r="L42" s="8" t="str">
        <f>IF('Course 4'!$H40='tab4'!L$3,'Course 4'!$I40," ")</f>
        <v xml:space="preserve"> </v>
      </c>
      <c r="M42" s="8" t="str">
        <f>IF('Course 4'!$H40='tab4'!M$3,'Course 4'!$I40," ")</f>
        <v xml:space="preserve"> </v>
      </c>
      <c r="N42" s="9" t="str">
        <f>IF('Course 4'!$H40='tab4'!N$3,'Course 4'!$I40," ")</f>
        <v xml:space="preserve"> </v>
      </c>
    </row>
    <row r="43" spans="2:14">
      <c r="B43">
        <v>39</v>
      </c>
      <c r="C43" s="7" t="str">
        <f>IF('Course 4'!$H41='tab4'!C$3,'Course 4'!$I41," ")</f>
        <v xml:space="preserve"> </v>
      </c>
      <c r="D43" s="8" t="str">
        <f>IF('Course 4'!$H41='tab4'!D$3,'Course 4'!$I41," ")</f>
        <v xml:space="preserve"> </v>
      </c>
      <c r="E43" s="8" t="str">
        <f>IF('Course 4'!$H41='tab4'!E$3,'Course 4'!$I41," ")</f>
        <v xml:space="preserve"> </v>
      </c>
      <c r="F43" s="8" t="str">
        <f>IF('Course 4'!$H41='tab4'!F$3,'Course 4'!$I41," ")</f>
        <v xml:space="preserve"> </v>
      </c>
      <c r="G43" s="8" t="str">
        <f>IF('Course 4'!$H41='tab4'!G$3,'Course 4'!$I41," ")</f>
        <v xml:space="preserve"> </v>
      </c>
      <c r="H43" s="8" t="str">
        <f>IF('Course 4'!$H41='tab4'!H$3,'Course 4'!$I41," ")</f>
        <v xml:space="preserve"> </v>
      </c>
      <c r="I43" s="8" t="str">
        <f>IF('Course 4'!$H41='tab4'!I$3,'Course 4'!$I41," ")</f>
        <v xml:space="preserve"> </v>
      </c>
      <c r="J43" s="8" t="str">
        <f>IF('Course 4'!$H41='tab4'!J$3,'Course 4'!$I41," ")</f>
        <v xml:space="preserve"> </v>
      </c>
      <c r="K43" s="8" t="str">
        <f>IF('Course 4'!$H41='tab4'!K$3,'Course 4'!$I41," ")</f>
        <v xml:space="preserve"> </v>
      </c>
      <c r="L43" s="8" t="str">
        <f>IF('Course 4'!$H41='tab4'!L$3,'Course 4'!$I41," ")</f>
        <v xml:space="preserve"> </v>
      </c>
      <c r="M43" s="8" t="str">
        <f>IF('Course 4'!$H41='tab4'!M$3,'Course 4'!$I41," ")</f>
        <v xml:space="preserve"> </v>
      </c>
      <c r="N43" s="9" t="str">
        <f>IF('Course 4'!$H41='tab4'!N$3,'Course 4'!$I41," ")</f>
        <v xml:space="preserve"> </v>
      </c>
    </row>
    <row r="44" spans="2:14">
      <c r="B44">
        <v>40</v>
      </c>
      <c r="C44" s="7" t="str">
        <f>IF('Course 4'!$H42='tab4'!C$3,'Course 4'!$I42," ")</f>
        <v xml:space="preserve"> </v>
      </c>
      <c r="D44" s="8" t="str">
        <f>IF('Course 4'!$H42='tab4'!D$3,'Course 4'!$I42," ")</f>
        <v xml:space="preserve"> </v>
      </c>
      <c r="E44" s="8" t="str">
        <f>IF('Course 4'!$H42='tab4'!E$3,'Course 4'!$I42," ")</f>
        <v xml:space="preserve"> </v>
      </c>
      <c r="F44" s="8" t="str">
        <f>IF('Course 4'!$H42='tab4'!F$3,'Course 4'!$I42," ")</f>
        <v xml:space="preserve"> </v>
      </c>
      <c r="G44" s="8" t="str">
        <f>IF('Course 4'!$H42='tab4'!G$3,'Course 4'!$I42," ")</f>
        <v xml:space="preserve"> </v>
      </c>
      <c r="H44" s="8" t="str">
        <f>IF('Course 4'!$H42='tab4'!H$3,'Course 4'!$I42," ")</f>
        <v xml:space="preserve"> </v>
      </c>
      <c r="I44" s="8" t="str">
        <f>IF('Course 4'!$H42='tab4'!I$3,'Course 4'!$I42," ")</f>
        <v xml:space="preserve"> </v>
      </c>
      <c r="J44" s="8" t="str">
        <f>IF('Course 4'!$H42='tab4'!J$3,'Course 4'!$I42," ")</f>
        <v xml:space="preserve"> </v>
      </c>
      <c r="K44" s="8" t="str">
        <f>IF('Course 4'!$H42='tab4'!K$3,'Course 4'!$I42," ")</f>
        <v xml:space="preserve"> </v>
      </c>
      <c r="L44" s="8" t="str">
        <f>IF('Course 4'!$H42='tab4'!L$3,'Course 4'!$I42," ")</f>
        <v xml:space="preserve"> </v>
      </c>
      <c r="M44" s="8" t="str">
        <f>IF('Course 4'!$H42='tab4'!M$3,'Course 4'!$I42," ")</f>
        <v xml:space="preserve"> </v>
      </c>
      <c r="N44" s="9" t="str">
        <f>IF('Course 4'!$H42='tab4'!N$3,'Course 4'!$I42," ")</f>
        <v xml:space="preserve"> </v>
      </c>
    </row>
    <row r="45" spans="2:14">
      <c r="B45">
        <v>41</v>
      </c>
      <c r="C45" s="7" t="str">
        <f>IF('Course 4'!$H43='tab4'!C$3,'Course 4'!$I43," ")</f>
        <v xml:space="preserve"> </v>
      </c>
      <c r="D45" s="8" t="str">
        <f>IF('Course 4'!$H43='tab4'!D$3,'Course 4'!$I43," ")</f>
        <v xml:space="preserve"> </v>
      </c>
      <c r="E45" s="8" t="str">
        <f>IF('Course 4'!$H43='tab4'!E$3,'Course 4'!$I43," ")</f>
        <v xml:space="preserve"> </v>
      </c>
      <c r="F45" s="8" t="str">
        <f>IF('Course 4'!$H43='tab4'!F$3,'Course 4'!$I43," ")</f>
        <v xml:space="preserve"> </v>
      </c>
      <c r="G45" s="8" t="str">
        <f>IF('Course 4'!$H43='tab4'!G$3,'Course 4'!$I43," ")</f>
        <v xml:space="preserve"> </v>
      </c>
      <c r="H45" s="8" t="str">
        <f>IF('Course 4'!$H43='tab4'!H$3,'Course 4'!$I43," ")</f>
        <v xml:space="preserve"> </v>
      </c>
      <c r="I45" s="8" t="str">
        <f>IF('Course 4'!$H43='tab4'!I$3,'Course 4'!$I43," ")</f>
        <v xml:space="preserve"> </v>
      </c>
      <c r="J45" s="8" t="str">
        <f>IF('Course 4'!$H43='tab4'!J$3,'Course 4'!$I43," ")</f>
        <v xml:space="preserve"> </v>
      </c>
      <c r="K45" s="8" t="str">
        <f>IF('Course 4'!$H43='tab4'!K$3,'Course 4'!$I43," ")</f>
        <v xml:space="preserve"> </v>
      </c>
      <c r="L45" s="8" t="str">
        <f>IF('Course 4'!$H43='tab4'!L$3,'Course 4'!$I43," ")</f>
        <v xml:space="preserve"> </v>
      </c>
      <c r="M45" s="8" t="str">
        <f>IF('Course 4'!$H43='tab4'!M$3,'Course 4'!$I43," ")</f>
        <v xml:space="preserve"> </v>
      </c>
      <c r="N45" s="9" t="str">
        <f>IF('Course 4'!$H43='tab4'!N$3,'Course 4'!$I43," ")</f>
        <v xml:space="preserve"> </v>
      </c>
    </row>
    <row r="46" spans="2:14">
      <c r="B46">
        <v>42</v>
      </c>
      <c r="C46" s="7" t="str">
        <f>IF('Course 4'!$H44='tab4'!C$3,'Course 4'!$I44," ")</f>
        <v xml:space="preserve"> </v>
      </c>
      <c r="D46" s="8" t="str">
        <f>IF('Course 4'!$H44='tab4'!D$3,'Course 4'!$I44," ")</f>
        <v xml:space="preserve"> </v>
      </c>
      <c r="E46" s="8" t="str">
        <f>IF('Course 4'!$H44='tab4'!E$3,'Course 4'!$I44," ")</f>
        <v xml:space="preserve"> </v>
      </c>
      <c r="F46" s="8" t="str">
        <f>IF('Course 4'!$H44='tab4'!F$3,'Course 4'!$I44," ")</f>
        <v xml:space="preserve"> </v>
      </c>
      <c r="G46" s="8" t="str">
        <f>IF('Course 4'!$H44='tab4'!G$3,'Course 4'!$I44," ")</f>
        <v xml:space="preserve"> </v>
      </c>
      <c r="H46" s="8" t="str">
        <f>IF('Course 4'!$H44='tab4'!H$3,'Course 4'!$I44," ")</f>
        <v xml:space="preserve"> </v>
      </c>
      <c r="I46" s="8" t="str">
        <f>IF('Course 4'!$H44='tab4'!I$3,'Course 4'!$I44," ")</f>
        <v xml:space="preserve"> </v>
      </c>
      <c r="J46" s="8" t="str">
        <f>IF('Course 4'!$H44='tab4'!J$3,'Course 4'!$I44," ")</f>
        <v xml:space="preserve"> </v>
      </c>
      <c r="K46" s="8" t="str">
        <f>IF('Course 4'!$H44='tab4'!K$3,'Course 4'!$I44," ")</f>
        <v xml:space="preserve"> </v>
      </c>
      <c r="L46" s="8" t="str">
        <f>IF('Course 4'!$H44='tab4'!L$3,'Course 4'!$I44," ")</f>
        <v xml:space="preserve"> </v>
      </c>
      <c r="M46" s="8" t="str">
        <f>IF('Course 4'!$H44='tab4'!M$3,'Course 4'!$I44," ")</f>
        <v xml:space="preserve"> </v>
      </c>
      <c r="N46" s="9" t="str">
        <f>IF('Course 4'!$H44='tab4'!N$3,'Course 4'!$I44," ")</f>
        <v xml:space="preserve"> </v>
      </c>
    </row>
    <row r="47" spans="2:14">
      <c r="B47">
        <v>43</v>
      </c>
      <c r="C47" s="7" t="str">
        <f>IF('Course 4'!$H45='tab4'!C$3,'Course 4'!$I45," ")</f>
        <v xml:space="preserve"> </v>
      </c>
      <c r="D47" s="8" t="str">
        <f>IF('Course 4'!$H45='tab4'!D$3,'Course 4'!$I45," ")</f>
        <v xml:space="preserve"> </v>
      </c>
      <c r="E47" s="8" t="str">
        <f>IF('Course 4'!$H45='tab4'!E$3,'Course 4'!$I45," ")</f>
        <v xml:space="preserve"> </v>
      </c>
      <c r="F47" s="8" t="str">
        <f>IF('Course 4'!$H45='tab4'!F$3,'Course 4'!$I45," ")</f>
        <v xml:space="preserve"> </v>
      </c>
      <c r="G47" s="8" t="str">
        <f>IF('Course 4'!$H45='tab4'!G$3,'Course 4'!$I45," ")</f>
        <v xml:space="preserve"> </v>
      </c>
      <c r="H47" s="8" t="str">
        <f>IF('Course 4'!$H45='tab4'!H$3,'Course 4'!$I45," ")</f>
        <v xml:space="preserve"> </v>
      </c>
      <c r="I47" s="8" t="str">
        <f>IF('Course 4'!$H45='tab4'!I$3,'Course 4'!$I45," ")</f>
        <v xml:space="preserve"> </v>
      </c>
      <c r="J47" s="8" t="str">
        <f>IF('Course 4'!$H45='tab4'!J$3,'Course 4'!$I45," ")</f>
        <v xml:space="preserve"> </v>
      </c>
      <c r="K47" s="8" t="str">
        <f>IF('Course 4'!$H45='tab4'!K$3,'Course 4'!$I45," ")</f>
        <v xml:space="preserve"> </v>
      </c>
      <c r="L47" s="8" t="str">
        <f>IF('Course 4'!$H45='tab4'!L$3,'Course 4'!$I45," ")</f>
        <v xml:space="preserve"> </v>
      </c>
      <c r="M47" s="8" t="str">
        <f>IF('Course 4'!$H45='tab4'!M$3,'Course 4'!$I45," ")</f>
        <v xml:space="preserve"> </v>
      </c>
      <c r="N47" s="9" t="str">
        <f>IF('Course 4'!$H45='tab4'!N$3,'Course 4'!$I45," ")</f>
        <v xml:space="preserve"> </v>
      </c>
    </row>
    <row r="48" spans="2:14">
      <c r="B48">
        <v>44</v>
      </c>
      <c r="C48" s="7" t="str">
        <f>IF('Course 4'!$H46='tab4'!C$3,'Course 4'!$I46," ")</f>
        <v xml:space="preserve"> </v>
      </c>
      <c r="D48" s="8" t="str">
        <f>IF('Course 4'!$H46='tab4'!D$3,'Course 4'!$I46," ")</f>
        <v xml:space="preserve"> </v>
      </c>
      <c r="E48" s="8" t="str">
        <f>IF('Course 4'!$H46='tab4'!E$3,'Course 4'!$I46," ")</f>
        <v xml:space="preserve"> </v>
      </c>
      <c r="F48" s="8" t="str">
        <f>IF('Course 4'!$H46='tab4'!F$3,'Course 4'!$I46," ")</f>
        <v xml:space="preserve"> </v>
      </c>
      <c r="G48" s="8" t="str">
        <f>IF('Course 4'!$H46='tab4'!G$3,'Course 4'!$I46," ")</f>
        <v xml:space="preserve"> </v>
      </c>
      <c r="H48" s="8" t="str">
        <f>IF('Course 4'!$H46='tab4'!H$3,'Course 4'!$I46," ")</f>
        <v xml:space="preserve"> </v>
      </c>
      <c r="I48" s="8" t="str">
        <f>IF('Course 4'!$H46='tab4'!I$3,'Course 4'!$I46," ")</f>
        <v xml:space="preserve"> </v>
      </c>
      <c r="J48" s="8" t="str">
        <f>IF('Course 4'!$H46='tab4'!J$3,'Course 4'!$I46," ")</f>
        <v xml:space="preserve"> </v>
      </c>
      <c r="K48" s="8" t="str">
        <f>IF('Course 4'!$H46='tab4'!K$3,'Course 4'!$I46," ")</f>
        <v xml:space="preserve"> </v>
      </c>
      <c r="L48" s="8" t="str">
        <f>IF('Course 4'!$H46='tab4'!L$3,'Course 4'!$I46," ")</f>
        <v xml:space="preserve"> </v>
      </c>
      <c r="M48" s="8" t="str">
        <f>IF('Course 4'!$H46='tab4'!M$3,'Course 4'!$I46," ")</f>
        <v xml:space="preserve"> </v>
      </c>
      <c r="N48" s="9" t="str">
        <f>IF('Course 4'!$H46='tab4'!N$3,'Course 4'!$I46," ")</f>
        <v xml:space="preserve"> </v>
      </c>
    </row>
    <row r="49" spans="2:14">
      <c r="B49">
        <v>45</v>
      </c>
      <c r="C49" s="7" t="str">
        <f>IF('Course 4'!$H47='tab4'!C$3,'Course 4'!$I47," ")</f>
        <v xml:space="preserve"> </v>
      </c>
      <c r="D49" s="8" t="str">
        <f>IF('Course 4'!$H47='tab4'!D$3,'Course 4'!$I47," ")</f>
        <v xml:space="preserve"> </v>
      </c>
      <c r="E49" s="8" t="str">
        <f>IF('Course 4'!$H47='tab4'!E$3,'Course 4'!$I47," ")</f>
        <v xml:space="preserve"> </v>
      </c>
      <c r="F49" s="8" t="str">
        <f>IF('Course 4'!$H47='tab4'!F$3,'Course 4'!$I47," ")</f>
        <v xml:space="preserve"> </v>
      </c>
      <c r="G49" s="8" t="str">
        <f>IF('Course 4'!$H47='tab4'!G$3,'Course 4'!$I47," ")</f>
        <v xml:space="preserve"> </v>
      </c>
      <c r="H49" s="8" t="str">
        <f>IF('Course 4'!$H47='tab4'!H$3,'Course 4'!$I47," ")</f>
        <v xml:space="preserve"> </v>
      </c>
      <c r="I49" s="8" t="str">
        <f>IF('Course 4'!$H47='tab4'!I$3,'Course 4'!$I47," ")</f>
        <v xml:space="preserve"> </v>
      </c>
      <c r="J49" s="8" t="str">
        <f>IF('Course 4'!$H47='tab4'!J$3,'Course 4'!$I47," ")</f>
        <v xml:space="preserve"> </v>
      </c>
      <c r="K49" s="8" t="str">
        <f>IF('Course 4'!$H47='tab4'!K$3,'Course 4'!$I47," ")</f>
        <v xml:space="preserve"> </v>
      </c>
      <c r="L49" s="8" t="str">
        <f>IF('Course 4'!$H47='tab4'!L$3,'Course 4'!$I47," ")</f>
        <v xml:space="preserve"> </v>
      </c>
      <c r="M49" s="8" t="str">
        <f>IF('Course 4'!$H47='tab4'!M$3,'Course 4'!$I47," ")</f>
        <v xml:space="preserve"> </v>
      </c>
      <c r="N49" s="9" t="str">
        <f>IF('Course 4'!$H47='tab4'!N$3,'Course 4'!$I47," ")</f>
        <v xml:space="preserve"> </v>
      </c>
    </row>
    <row r="50" spans="2:14">
      <c r="B50">
        <v>46</v>
      </c>
      <c r="C50" s="7" t="str">
        <f>IF('Course 4'!$H48='tab4'!C$3,'Course 4'!$I48," ")</f>
        <v xml:space="preserve"> </v>
      </c>
      <c r="D50" s="8" t="str">
        <f>IF('Course 4'!$H48='tab4'!D$3,'Course 4'!$I48," ")</f>
        <v xml:space="preserve"> </v>
      </c>
      <c r="E50" s="8" t="str">
        <f>IF('Course 4'!$H48='tab4'!E$3,'Course 4'!$I48," ")</f>
        <v xml:space="preserve"> </v>
      </c>
      <c r="F50" s="8" t="str">
        <f>IF('Course 4'!$H48='tab4'!F$3,'Course 4'!$I48," ")</f>
        <v xml:space="preserve"> </v>
      </c>
      <c r="G50" s="8" t="str">
        <f>IF('Course 4'!$H48='tab4'!G$3,'Course 4'!$I48," ")</f>
        <v xml:space="preserve"> </v>
      </c>
      <c r="H50" s="8" t="str">
        <f>IF('Course 4'!$H48='tab4'!H$3,'Course 4'!$I48," ")</f>
        <v xml:space="preserve"> </v>
      </c>
      <c r="I50" s="8" t="str">
        <f>IF('Course 4'!$H48='tab4'!I$3,'Course 4'!$I48," ")</f>
        <v xml:space="preserve"> </v>
      </c>
      <c r="J50" s="8" t="str">
        <f>IF('Course 4'!$H48='tab4'!J$3,'Course 4'!$I48," ")</f>
        <v xml:space="preserve"> </v>
      </c>
      <c r="K50" s="8" t="str">
        <f>IF('Course 4'!$H48='tab4'!K$3,'Course 4'!$I48," ")</f>
        <v xml:space="preserve"> </v>
      </c>
      <c r="L50" s="8" t="str">
        <f>IF('Course 4'!$H48='tab4'!L$3,'Course 4'!$I48," ")</f>
        <v xml:space="preserve"> </v>
      </c>
      <c r="M50" s="8" t="str">
        <f>IF('Course 4'!$H48='tab4'!M$3,'Course 4'!$I48," ")</f>
        <v xml:space="preserve"> </v>
      </c>
      <c r="N50" s="9" t="str">
        <f>IF('Course 4'!$H48='tab4'!N$3,'Course 4'!$I48," ")</f>
        <v xml:space="preserve"> </v>
      </c>
    </row>
    <row r="51" spans="2:14">
      <c r="B51">
        <v>47</v>
      </c>
      <c r="C51" s="7" t="str">
        <f>IF('Course 4'!$H49='tab4'!C$3,'Course 4'!$I49," ")</f>
        <v xml:space="preserve"> </v>
      </c>
      <c r="D51" s="8" t="str">
        <f>IF('Course 4'!$H49='tab4'!D$3,'Course 4'!$I49," ")</f>
        <v xml:space="preserve"> </v>
      </c>
      <c r="E51" s="8" t="str">
        <f>IF('Course 4'!$H49='tab4'!E$3,'Course 4'!$I49," ")</f>
        <v xml:space="preserve"> </v>
      </c>
      <c r="F51" s="8" t="str">
        <f>IF('Course 4'!$H49='tab4'!F$3,'Course 4'!$I49," ")</f>
        <v xml:space="preserve"> </v>
      </c>
      <c r="G51" s="8" t="str">
        <f>IF('Course 4'!$H49='tab4'!G$3,'Course 4'!$I49," ")</f>
        <v xml:space="preserve"> </v>
      </c>
      <c r="H51" s="8" t="str">
        <f>IF('Course 4'!$H49='tab4'!H$3,'Course 4'!$I49," ")</f>
        <v xml:space="preserve"> </v>
      </c>
      <c r="I51" s="8" t="str">
        <f>IF('Course 4'!$H49='tab4'!I$3,'Course 4'!$I49," ")</f>
        <v xml:space="preserve"> </v>
      </c>
      <c r="J51" s="8" t="str">
        <f>IF('Course 4'!$H49='tab4'!J$3,'Course 4'!$I49," ")</f>
        <v xml:space="preserve"> </v>
      </c>
      <c r="K51" s="8" t="str">
        <f>IF('Course 4'!$H49='tab4'!K$3,'Course 4'!$I49," ")</f>
        <v xml:space="preserve"> </v>
      </c>
      <c r="L51" s="8" t="str">
        <f>IF('Course 4'!$H49='tab4'!L$3,'Course 4'!$I49," ")</f>
        <v xml:space="preserve"> </v>
      </c>
      <c r="M51" s="8" t="str">
        <f>IF('Course 4'!$H49='tab4'!M$3,'Course 4'!$I49," ")</f>
        <v xml:space="preserve"> </v>
      </c>
      <c r="N51" s="9" t="str">
        <f>IF('Course 4'!$H49='tab4'!N$3,'Course 4'!$I49," ")</f>
        <v xml:space="preserve"> </v>
      </c>
    </row>
    <row r="52" spans="2:14">
      <c r="B52">
        <v>48</v>
      </c>
      <c r="C52" s="7" t="str">
        <f>IF('Course 4'!$H50='tab4'!C$3,'Course 4'!$I50," ")</f>
        <v xml:space="preserve"> </v>
      </c>
      <c r="D52" s="8" t="str">
        <f>IF('Course 4'!$H50='tab4'!D$3,'Course 4'!$I50," ")</f>
        <v xml:space="preserve"> </v>
      </c>
      <c r="E52" s="8" t="str">
        <f>IF('Course 4'!$H50='tab4'!E$3,'Course 4'!$I50," ")</f>
        <v xml:space="preserve"> </v>
      </c>
      <c r="F52" s="8" t="str">
        <f>IF('Course 4'!$H50='tab4'!F$3,'Course 4'!$I50," ")</f>
        <v xml:space="preserve"> </v>
      </c>
      <c r="G52" s="8" t="str">
        <f>IF('Course 4'!$H50='tab4'!G$3,'Course 4'!$I50," ")</f>
        <v xml:space="preserve"> </v>
      </c>
      <c r="H52" s="8" t="str">
        <f>IF('Course 4'!$H50='tab4'!H$3,'Course 4'!$I50," ")</f>
        <v xml:space="preserve"> </v>
      </c>
      <c r="I52" s="8" t="str">
        <f>IF('Course 4'!$H50='tab4'!I$3,'Course 4'!$I50," ")</f>
        <v xml:space="preserve"> </v>
      </c>
      <c r="J52" s="8" t="str">
        <f>IF('Course 4'!$H50='tab4'!J$3,'Course 4'!$I50," ")</f>
        <v xml:space="preserve"> </v>
      </c>
      <c r="K52" s="8" t="str">
        <f>IF('Course 4'!$H50='tab4'!K$3,'Course 4'!$I50," ")</f>
        <v xml:space="preserve"> </v>
      </c>
      <c r="L52" s="8" t="str">
        <f>IF('Course 4'!$H50='tab4'!L$3,'Course 4'!$I50," ")</f>
        <v xml:space="preserve"> </v>
      </c>
      <c r="M52" s="8" t="str">
        <f>IF('Course 4'!$H50='tab4'!M$3,'Course 4'!$I50," ")</f>
        <v xml:space="preserve"> </v>
      </c>
      <c r="N52" s="9" t="str">
        <f>IF('Course 4'!$H50='tab4'!N$3,'Course 4'!$I50," ")</f>
        <v xml:space="preserve"> </v>
      </c>
    </row>
    <row r="53" spans="2:14">
      <c r="B53">
        <v>49</v>
      </c>
      <c r="C53" s="7" t="str">
        <f>IF('Course 4'!$H51='tab4'!C$3,'Course 4'!$I51," ")</f>
        <v xml:space="preserve"> </v>
      </c>
      <c r="D53" s="8" t="str">
        <f>IF('Course 4'!$H51='tab4'!D$3,'Course 4'!$I51," ")</f>
        <v xml:space="preserve"> </v>
      </c>
      <c r="E53" s="8" t="str">
        <f>IF('Course 4'!$H51='tab4'!E$3,'Course 4'!$I51," ")</f>
        <v xml:space="preserve"> </v>
      </c>
      <c r="F53" s="8" t="str">
        <f>IF('Course 4'!$H51='tab4'!F$3,'Course 4'!$I51," ")</f>
        <v xml:space="preserve"> </v>
      </c>
      <c r="G53" s="8" t="str">
        <f>IF('Course 4'!$H51='tab4'!G$3,'Course 4'!$I51," ")</f>
        <v xml:space="preserve"> </v>
      </c>
      <c r="H53" s="8" t="str">
        <f>IF('Course 4'!$H51='tab4'!H$3,'Course 4'!$I51," ")</f>
        <v xml:space="preserve"> </v>
      </c>
      <c r="I53" s="8" t="str">
        <f>IF('Course 4'!$H51='tab4'!I$3,'Course 4'!$I51," ")</f>
        <v xml:space="preserve"> </v>
      </c>
      <c r="J53" s="8" t="str">
        <f>IF('Course 4'!$H51='tab4'!J$3,'Course 4'!$I51," ")</f>
        <v xml:space="preserve"> </v>
      </c>
      <c r="K53" s="8" t="str">
        <f>IF('Course 4'!$H51='tab4'!K$3,'Course 4'!$I51," ")</f>
        <v xml:space="preserve"> </v>
      </c>
      <c r="L53" s="8" t="str">
        <f>IF('Course 4'!$H51='tab4'!L$3,'Course 4'!$I51," ")</f>
        <v xml:space="preserve"> </v>
      </c>
      <c r="M53" s="8" t="str">
        <f>IF('Course 4'!$H51='tab4'!M$3,'Course 4'!$I51," ")</f>
        <v xml:space="preserve"> </v>
      </c>
      <c r="N53" s="9" t="str">
        <f>IF('Course 4'!$H51='tab4'!N$3,'Course 4'!$I51," ")</f>
        <v xml:space="preserve"> </v>
      </c>
    </row>
    <row r="54" spans="2:14">
      <c r="B54">
        <v>50</v>
      </c>
      <c r="C54" s="7" t="str">
        <f>IF('Course 4'!$H52='tab4'!C$3,'Course 4'!$I52," ")</f>
        <v xml:space="preserve"> </v>
      </c>
      <c r="D54" s="8" t="str">
        <f>IF('Course 4'!$H52='tab4'!D$3,'Course 4'!$I52," ")</f>
        <v xml:space="preserve"> </v>
      </c>
      <c r="E54" s="8" t="str">
        <f>IF('Course 4'!$H52='tab4'!E$3,'Course 4'!$I52," ")</f>
        <v xml:space="preserve"> </v>
      </c>
      <c r="F54" s="8" t="str">
        <f>IF('Course 4'!$H52='tab4'!F$3,'Course 4'!$I52," ")</f>
        <v xml:space="preserve"> </v>
      </c>
      <c r="G54" s="8" t="str">
        <f>IF('Course 4'!$H52='tab4'!G$3,'Course 4'!$I52," ")</f>
        <v xml:space="preserve"> </v>
      </c>
      <c r="H54" s="8" t="str">
        <f>IF('Course 4'!$H52='tab4'!H$3,'Course 4'!$I52," ")</f>
        <v xml:space="preserve"> </v>
      </c>
      <c r="I54" s="8" t="str">
        <f>IF('Course 4'!$H52='tab4'!I$3,'Course 4'!$I52," ")</f>
        <v xml:space="preserve"> </v>
      </c>
      <c r="J54" s="8" t="str">
        <f>IF('Course 4'!$H52='tab4'!J$3,'Course 4'!$I52," ")</f>
        <v xml:space="preserve"> </v>
      </c>
      <c r="K54" s="8" t="str">
        <f>IF('Course 4'!$H52='tab4'!K$3,'Course 4'!$I52," ")</f>
        <v xml:space="preserve"> </v>
      </c>
      <c r="L54" s="8" t="str">
        <f>IF('Course 4'!$H52='tab4'!L$3,'Course 4'!$I52," ")</f>
        <v xml:space="preserve"> </v>
      </c>
      <c r="M54" s="8" t="str">
        <f>IF('Course 4'!$H52='tab4'!M$3,'Course 4'!$I52," ")</f>
        <v xml:space="preserve"> </v>
      </c>
      <c r="N54" s="9" t="str">
        <f>IF('Course 4'!$H52='tab4'!N$3,'Course 4'!$I52," ")</f>
        <v xml:space="preserve"> </v>
      </c>
    </row>
    <row r="55" spans="2:14">
      <c r="B55">
        <v>51</v>
      </c>
      <c r="C55" s="7" t="str">
        <f>IF('Course 4'!$H53='tab4'!C$3,'Course 4'!$I53," ")</f>
        <v xml:space="preserve"> </v>
      </c>
      <c r="D55" s="8" t="str">
        <f>IF('Course 4'!$H53='tab4'!D$3,'Course 4'!$I53," ")</f>
        <v xml:space="preserve"> </v>
      </c>
      <c r="E55" s="8" t="str">
        <f>IF('Course 4'!$H53='tab4'!E$3,'Course 4'!$I53," ")</f>
        <v xml:space="preserve"> </v>
      </c>
      <c r="F55" s="8" t="str">
        <f>IF('Course 4'!$H53='tab4'!F$3,'Course 4'!$I53," ")</f>
        <v xml:space="preserve"> </v>
      </c>
      <c r="G55" s="8" t="str">
        <f>IF('Course 4'!$H53='tab4'!G$3,'Course 4'!$I53," ")</f>
        <v xml:space="preserve"> </v>
      </c>
      <c r="H55" s="8" t="str">
        <f>IF('Course 4'!$H53='tab4'!H$3,'Course 4'!$I53," ")</f>
        <v xml:space="preserve"> </v>
      </c>
      <c r="I55" s="8" t="str">
        <f>IF('Course 4'!$H53='tab4'!I$3,'Course 4'!$I53," ")</f>
        <v xml:space="preserve"> </v>
      </c>
      <c r="J55" s="8" t="str">
        <f>IF('Course 4'!$H53='tab4'!J$3,'Course 4'!$I53," ")</f>
        <v xml:space="preserve"> </v>
      </c>
      <c r="K55" s="8" t="str">
        <f>IF('Course 4'!$H53='tab4'!K$3,'Course 4'!$I53," ")</f>
        <v xml:space="preserve"> </v>
      </c>
      <c r="L55" s="8" t="str">
        <f>IF('Course 4'!$H53='tab4'!L$3,'Course 4'!$I53," ")</f>
        <v xml:space="preserve"> </v>
      </c>
      <c r="M55" s="8" t="str">
        <f>IF('Course 4'!$H53='tab4'!M$3,'Course 4'!$I53," ")</f>
        <v xml:space="preserve"> </v>
      </c>
      <c r="N55" s="9" t="str">
        <f>IF('Course 4'!$H53='tab4'!N$3,'Course 4'!$I53," ")</f>
        <v xml:space="preserve"> </v>
      </c>
    </row>
    <row r="56" spans="2:14">
      <c r="B56">
        <v>52</v>
      </c>
      <c r="C56" s="7" t="str">
        <f>IF('Course 4'!$H54='tab4'!C$3,'Course 4'!$I54," ")</f>
        <v xml:space="preserve"> </v>
      </c>
      <c r="D56" s="8" t="str">
        <f>IF('Course 4'!$H54='tab4'!D$3,'Course 4'!$I54," ")</f>
        <v xml:space="preserve"> </v>
      </c>
      <c r="E56" s="8" t="str">
        <f>IF('Course 4'!$H54='tab4'!E$3,'Course 4'!$I54," ")</f>
        <v xml:space="preserve"> </v>
      </c>
      <c r="F56" s="8" t="str">
        <f>IF('Course 4'!$H54='tab4'!F$3,'Course 4'!$I54," ")</f>
        <v xml:space="preserve"> </v>
      </c>
      <c r="G56" s="8" t="str">
        <f>IF('Course 4'!$H54='tab4'!G$3,'Course 4'!$I54," ")</f>
        <v xml:space="preserve"> </v>
      </c>
      <c r="H56" s="8" t="str">
        <f>IF('Course 4'!$H54='tab4'!H$3,'Course 4'!$I54," ")</f>
        <v xml:space="preserve"> </v>
      </c>
      <c r="I56" s="8" t="str">
        <f>IF('Course 4'!$H54='tab4'!I$3,'Course 4'!$I54," ")</f>
        <v xml:space="preserve"> </v>
      </c>
      <c r="J56" s="8" t="str">
        <f>IF('Course 4'!$H54='tab4'!J$3,'Course 4'!$I54," ")</f>
        <v xml:space="preserve"> </v>
      </c>
      <c r="K56" s="8" t="str">
        <f>IF('Course 4'!$H54='tab4'!K$3,'Course 4'!$I54," ")</f>
        <v xml:space="preserve"> </v>
      </c>
      <c r="L56" s="8" t="str">
        <f>IF('Course 4'!$H54='tab4'!L$3,'Course 4'!$I54," ")</f>
        <v xml:space="preserve"> </v>
      </c>
      <c r="M56" s="8" t="str">
        <f>IF('Course 4'!$H54='tab4'!M$3,'Course 4'!$I54," ")</f>
        <v xml:space="preserve"> </v>
      </c>
      <c r="N56" s="9" t="str">
        <f>IF('Course 4'!$H54='tab4'!N$3,'Course 4'!$I54," ")</f>
        <v xml:space="preserve"> </v>
      </c>
    </row>
    <row r="57" spans="2:14">
      <c r="B57">
        <v>53</v>
      </c>
      <c r="C57" s="7" t="str">
        <f>IF('Course 4'!$H55='tab4'!C$3,'Course 4'!$I55," ")</f>
        <v xml:space="preserve"> </v>
      </c>
      <c r="D57" s="8" t="str">
        <f>IF('Course 4'!$H55='tab4'!D$3,'Course 4'!$I55," ")</f>
        <v xml:space="preserve"> </v>
      </c>
      <c r="E57" s="8" t="str">
        <f>IF('Course 4'!$H55='tab4'!E$3,'Course 4'!$I55," ")</f>
        <v xml:space="preserve"> </v>
      </c>
      <c r="F57" s="8" t="str">
        <f>IF('Course 4'!$H55='tab4'!F$3,'Course 4'!$I55," ")</f>
        <v xml:space="preserve"> </v>
      </c>
      <c r="G57" s="8" t="str">
        <f>IF('Course 4'!$H55='tab4'!G$3,'Course 4'!$I55," ")</f>
        <v xml:space="preserve"> </v>
      </c>
      <c r="H57" s="8" t="str">
        <f>IF('Course 4'!$H55='tab4'!H$3,'Course 4'!$I55," ")</f>
        <v xml:space="preserve"> </v>
      </c>
      <c r="I57" s="8" t="str">
        <f>IF('Course 4'!$H55='tab4'!I$3,'Course 4'!$I55," ")</f>
        <v xml:space="preserve"> </v>
      </c>
      <c r="J57" s="8" t="str">
        <f>IF('Course 4'!$H55='tab4'!J$3,'Course 4'!$I55," ")</f>
        <v xml:space="preserve"> </v>
      </c>
      <c r="K57" s="8" t="str">
        <f>IF('Course 4'!$H55='tab4'!K$3,'Course 4'!$I55," ")</f>
        <v xml:space="preserve"> </v>
      </c>
      <c r="L57" s="8" t="str">
        <f>IF('Course 4'!$H55='tab4'!L$3,'Course 4'!$I55," ")</f>
        <v xml:space="preserve"> </v>
      </c>
      <c r="M57" s="8" t="str">
        <f>IF('Course 4'!$H55='tab4'!M$3,'Course 4'!$I55," ")</f>
        <v xml:space="preserve"> </v>
      </c>
      <c r="N57" s="9" t="str">
        <f>IF('Course 4'!$H55='tab4'!N$3,'Course 4'!$I55," ")</f>
        <v xml:space="preserve"> </v>
      </c>
    </row>
    <row r="58" spans="2:14">
      <c r="B58">
        <v>54</v>
      </c>
      <c r="C58" s="7" t="str">
        <f>IF('Course 4'!$H56='tab4'!C$3,'Course 4'!$I56," ")</f>
        <v xml:space="preserve"> </v>
      </c>
      <c r="D58" s="8" t="str">
        <f>IF('Course 4'!$H56='tab4'!D$3,'Course 4'!$I56," ")</f>
        <v xml:space="preserve"> </v>
      </c>
      <c r="E58" s="8" t="str">
        <f>IF('Course 4'!$H56='tab4'!E$3,'Course 4'!$I56," ")</f>
        <v xml:space="preserve"> </v>
      </c>
      <c r="F58" s="8" t="str">
        <f>IF('Course 4'!$H56='tab4'!F$3,'Course 4'!$I56," ")</f>
        <v xml:space="preserve"> </v>
      </c>
      <c r="G58" s="8" t="str">
        <f>IF('Course 4'!$H56='tab4'!G$3,'Course 4'!$I56," ")</f>
        <v xml:space="preserve"> </v>
      </c>
      <c r="H58" s="8" t="str">
        <f>IF('Course 4'!$H56='tab4'!H$3,'Course 4'!$I56," ")</f>
        <v xml:space="preserve"> </v>
      </c>
      <c r="I58" s="8" t="str">
        <f>IF('Course 4'!$H56='tab4'!I$3,'Course 4'!$I56," ")</f>
        <v xml:space="preserve"> </v>
      </c>
      <c r="J58" s="8" t="str">
        <f>IF('Course 4'!$H56='tab4'!J$3,'Course 4'!$I56," ")</f>
        <v xml:space="preserve"> </v>
      </c>
      <c r="K58" s="8" t="str">
        <f>IF('Course 4'!$H56='tab4'!K$3,'Course 4'!$I56," ")</f>
        <v xml:space="preserve"> </v>
      </c>
      <c r="L58" s="8" t="str">
        <f>IF('Course 4'!$H56='tab4'!L$3,'Course 4'!$I56," ")</f>
        <v xml:space="preserve"> </v>
      </c>
      <c r="M58" s="8" t="str">
        <f>IF('Course 4'!$H56='tab4'!M$3,'Course 4'!$I56," ")</f>
        <v xml:space="preserve"> </v>
      </c>
      <c r="N58" s="9" t="str">
        <f>IF('Course 4'!$H56='tab4'!N$3,'Course 4'!$I56," ")</f>
        <v xml:space="preserve"> </v>
      </c>
    </row>
    <row r="59" spans="2:14">
      <c r="B59">
        <v>55</v>
      </c>
      <c r="C59" s="7" t="str">
        <f>IF('Course 4'!$H57='tab4'!C$3,'Course 4'!$I57," ")</f>
        <v xml:space="preserve"> </v>
      </c>
      <c r="D59" s="8" t="str">
        <f>IF('Course 4'!$H57='tab4'!D$3,'Course 4'!$I57," ")</f>
        <v xml:space="preserve"> </v>
      </c>
      <c r="E59" s="8" t="str">
        <f>IF('Course 4'!$H57='tab4'!E$3,'Course 4'!$I57," ")</f>
        <v xml:space="preserve"> </v>
      </c>
      <c r="F59" s="8" t="str">
        <f>IF('Course 4'!$H57='tab4'!F$3,'Course 4'!$I57," ")</f>
        <v xml:space="preserve"> </v>
      </c>
      <c r="G59" s="8" t="str">
        <f>IF('Course 4'!$H57='tab4'!G$3,'Course 4'!$I57," ")</f>
        <v xml:space="preserve"> </v>
      </c>
      <c r="H59" s="8" t="str">
        <f>IF('Course 4'!$H57='tab4'!H$3,'Course 4'!$I57," ")</f>
        <v xml:space="preserve"> </v>
      </c>
      <c r="I59" s="8" t="str">
        <f>IF('Course 4'!$H57='tab4'!I$3,'Course 4'!$I57," ")</f>
        <v xml:space="preserve"> </v>
      </c>
      <c r="J59" s="8" t="str">
        <f>IF('Course 4'!$H57='tab4'!J$3,'Course 4'!$I57," ")</f>
        <v xml:space="preserve"> </v>
      </c>
      <c r="K59" s="8" t="str">
        <f>IF('Course 4'!$H57='tab4'!K$3,'Course 4'!$I57," ")</f>
        <v xml:space="preserve"> </v>
      </c>
      <c r="L59" s="8" t="str">
        <f>IF('Course 4'!$H57='tab4'!L$3,'Course 4'!$I57," ")</f>
        <v xml:space="preserve"> </v>
      </c>
      <c r="M59" s="8" t="str">
        <f>IF('Course 4'!$H57='tab4'!M$3,'Course 4'!$I57," ")</f>
        <v xml:space="preserve"> </v>
      </c>
      <c r="N59" s="9" t="str">
        <f>IF('Course 4'!$H57='tab4'!N$3,'Course 4'!$I57," ")</f>
        <v xml:space="preserve"> </v>
      </c>
    </row>
    <row r="60" spans="2:14">
      <c r="B60">
        <v>56</v>
      </c>
      <c r="C60" s="7" t="str">
        <f>IF('Course 4'!$H58='tab4'!C$3,'Course 4'!$I58," ")</f>
        <v xml:space="preserve"> </v>
      </c>
      <c r="D60" s="8" t="str">
        <f>IF('Course 4'!$H58='tab4'!D$3,'Course 4'!$I58," ")</f>
        <v xml:space="preserve"> </v>
      </c>
      <c r="E60" s="8" t="str">
        <f>IF('Course 4'!$H58='tab4'!E$3,'Course 4'!$I58," ")</f>
        <v xml:space="preserve"> </v>
      </c>
      <c r="F60" s="8" t="str">
        <f>IF('Course 4'!$H58='tab4'!F$3,'Course 4'!$I58," ")</f>
        <v xml:space="preserve"> </v>
      </c>
      <c r="G60" s="8" t="str">
        <f>IF('Course 4'!$H58='tab4'!G$3,'Course 4'!$I58," ")</f>
        <v xml:space="preserve"> </v>
      </c>
      <c r="H60" s="8" t="str">
        <f>IF('Course 4'!$H58='tab4'!H$3,'Course 4'!$I58," ")</f>
        <v xml:space="preserve"> </v>
      </c>
      <c r="I60" s="8" t="str">
        <f>IF('Course 4'!$H58='tab4'!I$3,'Course 4'!$I58," ")</f>
        <v xml:space="preserve"> </v>
      </c>
      <c r="J60" s="8" t="str">
        <f>IF('Course 4'!$H58='tab4'!J$3,'Course 4'!$I58," ")</f>
        <v xml:space="preserve"> </v>
      </c>
      <c r="K60" s="8" t="str">
        <f>IF('Course 4'!$H58='tab4'!K$3,'Course 4'!$I58," ")</f>
        <v xml:space="preserve"> </v>
      </c>
      <c r="L60" s="8" t="str">
        <f>IF('Course 4'!$H58='tab4'!L$3,'Course 4'!$I58," ")</f>
        <v xml:space="preserve"> </v>
      </c>
      <c r="M60" s="8" t="str">
        <f>IF('Course 4'!$H58='tab4'!M$3,'Course 4'!$I58," ")</f>
        <v xml:space="preserve"> </v>
      </c>
      <c r="N60" s="9" t="str">
        <f>IF('Course 4'!$H58='tab4'!N$3,'Course 4'!$I58," ")</f>
        <v xml:space="preserve"> </v>
      </c>
    </row>
    <row r="61" spans="2:14">
      <c r="B61">
        <v>57</v>
      </c>
      <c r="C61" s="7" t="str">
        <f>IF('Course 4'!$H59='tab4'!C$3,'Course 4'!$I59," ")</f>
        <v xml:space="preserve"> </v>
      </c>
      <c r="D61" s="8" t="str">
        <f>IF('Course 4'!$H59='tab4'!D$3,'Course 4'!$I59," ")</f>
        <v xml:space="preserve"> </v>
      </c>
      <c r="E61" s="8" t="str">
        <f>IF('Course 4'!$H59='tab4'!E$3,'Course 4'!$I59," ")</f>
        <v xml:space="preserve"> </v>
      </c>
      <c r="F61" s="8" t="str">
        <f>IF('Course 4'!$H59='tab4'!F$3,'Course 4'!$I59," ")</f>
        <v xml:space="preserve"> </v>
      </c>
      <c r="G61" s="8" t="str">
        <f>IF('Course 4'!$H59='tab4'!G$3,'Course 4'!$I59," ")</f>
        <v xml:space="preserve"> </v>
      </c>
      <c r="H61" s="8" t="str">
        <f>IF('Course 4'!$H59='tab4'!H$3,'Course 4'!$I59," ")</f>
        <v xml:space="preserve"> </v>
      </c>
      <c r="I61" s="8" t="str">
        <f>IF('Course 4'!$H59='tab4'!I$3,'Course 4'!$I59," ")</f>
        <v xml:space="preserve"> </v>
      </c>
      <c r="J61" s="8" t="str">
        <f>IF('Course 4'!$H59='tab4'!J$3,'Course 4'!$I59," ")</f>
        <v xml:space="preserve"> </v>
      </c>
      <c r="K61" s="8" t="str">
        <f>IF('Course 4'!$H59='tab4'!K$3,'Course 4'!$I59," ")</f>
        <v xml:space="preserve"> </v>
      </c>
      <c r="L61" s="8" t="str">
        <f>IF('Course 4'!$H59='tab4'!L$3,'Course 4'!$I59," ")</f>
        <v xml:space="preserve"> </v>
      </c>
      <c r="M61" s="8" t="str">
        <f>IF('Course 4'!$H59='tab4'!M$3,'Course 4'!$I59," ")</f>
        <v xml:space="preserve"> </v>
      </c>
      <c r="N61" s="9" t="str">
        <f>IF('Course 4'!$H59='tab4'!N$3,'Course 4'!$I59," ")</f>
        <v xml:space="preserve"> </v>
      </c>
    </row>
    <row r="62" spans="2:14">
      <c r="B62">
        <v>58</v>
      </c>
      <c r="C62" s="7" t="str">
        <f>IF('Course 4'!$H60='tab4'!C$3,'Course 4'!$I60," ")</f>
        <v xml:space="preserve"> </v>
      </c>
      <c r="D62" s="8" t="str">
        <f>IF('Course 4'!$H60='tab4'!D$3,'Course 4'!$I60," ")</f>
        <v xml:space="preserve"> </v>
      </c>
      <c r="E62" s="8" t="str">
        <f>IF('Course 4'!$H60='tab4'!E$3,'Course 4'!$I60," ")</f>
        <v xml:space="preserve"> </v>
      </c>
      <c r="F62" s="8" t="str">
        <f>IF('Course 4'!$H60='tab4'!F$3,'Course 4'!$I60," ")</f>
        <v xml:space="preserve"> </v>
      </c>
      <c r="G62" s="8" t="str">
        <f>IF('Course 4'!$H60='tab4'!G$3,'Course 4'!$I60," ")</f>
        <v xml:space="preserve"> </v>
      </c>
      <c r="H62" s="8" t="str">
        <f>IF('Course 4'!$H60='tab4'!H$3,'Course 4'!$I60," ")</f>
        <v xml:space="preserve"> </v>
      </c>
      <c r="I62" s="8" t="str">
        <f>IF('Course 4'!$H60='tab4'!I$3,'Course 4'!$I60," ")</f>
        <v xml:space="preserve"> </v>
      </c>
      <c r="J62" s="8" t="str">
        <f>IF('Course 4'!$H60='tab4'!J$3,'Course 4'!$I60," ")</f>
        <v xml:space="preserve"> </v>
      </c>
      <c r="K62" s="8" t="str">
        <f>IF('Course 4'!$H60='tab4'!K$3,'Course 4'!$I60," ")</f>
        <v xml:space="preserve"> </v>
      </c>
      <c r="L62" s="8" t="str">
        <f>IF('Course 4'!$H60='tab4'!L$3,'Course 4'!$I60," ")</f>
        <v xml:space="preserve"> </v>
      </c>
      <c r="M62" s="8" t="str">
        <f>IF('Course 4'!$H60='tab4'!M$3,'Course 4'!$I60," ")</f>
        <v xml:space="preserve"> </v>
      </c>
      <c r="N62" s="9" t="str">
        <f>IF('Course 4'!$H60='tab4'!N$3,'Course 4'!$I60," ")</f>
        <v xml:space="preserve"> </v>
      </c>
    </row>
    <row r="63" spans="2:14">
      <c r="B63">
        <v>59</v>
      </c>
      <c r="C63" s="7" t="str">
        <f>IF('Course 4'!$H61='tab4'!C$3,'Course 4'!$I61," ")</f>
        <v xml:space="preserve"> </v>
      </c>
      <c r="D63" s="8" t="str">
        <f>IF('Course 4'!$H61='tab4'!D$3,'Course 4'!$I61," ")</f>
        <v xml:space="preserve"> </v>
      </c>
      <c r="E63" s="8" t="str">
        <f>IF('Course 4'!$H61='tab4'!E$3,'Course 4'!$I61," ")</f>
        <v xml:space="preserve"> </v>
      </c>
      <c r="F63" s="8" t="str">
        <f>IF('Course 4'!$H61='tab4'!F$3,'Course 4'!$I61," ")</f>
        <v xml:space="preserve"> </v>
      </c>
      <c r="G63" s="8" t="str">
        <f>IF('Course 4'!$H61='tab4'!G$3,'Course 4'!$I61," ")</f>
        <v xml:space="preserve"> </v>
      </c>
      <c r="H63" s="8" t="str">
        <f>IF('Course 4'!$H61='tab4'!H$3,'Course 4'!$I61," ")</f>
        <v xml:space="preserve"> </v>
      </c>
      <c r="I63" s="8" t="str">
        <f>IF('Course 4'!$H61='tab4'!I$3,'Course 4'!$I61," ")</f>
        <v xml:space="preserve"> </v>
      </c>
      <c r="J63" s="8" t="str">
        <f>IF('Course 4'!$H61='tab4'!J$3,'Course 4'!$I61," ")</f>
        <v xml:space="preserve"> </v>
      </c>
      <c r="K63" s="8" t="str">
        <f>IF('Course 4'!$H61='tab4'!K$3,'Course 4'!$I61," ")</f>
        <v xml:space="preserve"> </v>
      </c>
      <c r="L63" s="8" t="str">
        <f>IF('Course 4'!$H61='tab4'!L$3,'Course 4'!$I61," ")</f>
        <v xml:space="preserve"> </v>
      </c>
      <c r="M63" s="8" t="str">
        <f>IF('Course 4'!$H61='tab4'!M$3,'Course 4'!$I61," ")</f>
        <v xml:space="preserve"> </v>
      </c>
      <c r="N63" s="9" t="str">
        <f>IF('Course 4'!$H61='tab4'!N$3,'Course 4'!$I61," ")</f>
        <v xml:space="preserve"> </v>
      </c>
    </row>
    <row r="64" spans="2:14">
      <c r="B64">
        <v>60</v>
      </c>
      <c r="C64" s="7" t="str">
        <f>IF('Course 4'!$H62='tab4'!C$3,'Course 4'!$I62," ")</f>
        <v xml:space="preserve"> </v>
      </c>
      <c r="D64" s="8" t="str">
        <f>IF('Course 4'!$H62='tab4'!D$3,'Course 4'!$I62," ")</f>
        <v xml:space="preserve"> </v>
      </c>
      <c r="E64" s="8" t="str">
        <f>IF('Course 4'!$H62='tab4'!E$3,'Course 4'!$I62," ")</f>
        <v xml:space="preserve"> </v>
      </c>
      <c r="F64" s="8" t="str">
        <f>IF('Course 4'!$H62='tab4'!F$3,'Course 4'!$I62," ")</f>
        <v xml:space="preserve"> </v>
      </c>
      <c r="G64" s="8" t="str">
        <f>IF('Course 4'!$H62='tab4'!G$3,'Course 4'!$I62," ")</f>
        <v xml:space="preserve"> </v>
      </c>
      <c r="H64" s="8" t="str">
        <f>IF('Course 4'!$H62='tab4'!H$3,'Course 4'!$I62," ")</f>
        <v xml:space="preserve"> </v>
      </c>
      <c r="I64" s="8" t="str">
        <f>IF('Course 4'!$H62='tab4'!I$3,'Course 4'!$I62," ")</f>
        <v xml:space="preserve"> </v>
      </c>
      <c r="J64" s="8" t="str">
        <f>IF('Course 4'!$H62='tab4'!J$3,'Course 4'!$I62," ")</f>
        <v xml:space="preserve"> </v>
      </c>
      <c r="K64" s="8" t="str">
        <f>IF('Course 4'!$H62='tab4'!K$3,'Course 4'!$I62," ")</f>
        <v xml:space="preserve"> </v>
      </c>
      <c r="L64" s="8" t="str">
        <f>IF('Course 4'!$H62='tab4'!L$3,'Course 4'!$I62," ")</f>
        <v xml:space="preserve"> </v>
      </c>
      <c r="M64" s="8" t="str">
        <f>IF('Course 4'!$H62='tab4'!M$3,'Course 4'!$I62," ")</f>
        <v xml:space="preserve"> </v>
      </c>
      <c r="N64" s="9" t="str">
        <f>IF('Course 4'!$H62='tab4'!N$3,'Course 4'!$I62," ")</f>
        <v xml:space="preserve"> </v>
      </c>
    </row>
    <row r="65" spans="2:14">
      <c r="B65">
        <v>61</v>
      </c>
      <c r="C65" s="7" t="str">
        <f>IF('Course 4'!$H63='tab4'!C$3,'Course 4'!$I63," ")</f>
        <v xml:space="preserve"> </v>
      </c>
      <c r="D65" s="8" t="str">
        <f>IF('Course 4'!$H63='tab4'!D$3,'Course 4'!$I63," ")</f>
        <v xml:space="preserve"> </v>
      </c>
      <c r="E65" s="8" t="str">
        <f>IF('Course 4'!$H63='tab4'!E$3,'Course 4'!$I63," ")</f>
        <v xml:space="preserve"> </v>
      </c>
      <c r="F65" s="8" t="str">
        <f>IF('Course 4'!$H63='tab4'!F$3,'Course 4'!$I63," ")</f>
        <v xml:space="preserve"> </v>
      </c>
      <c r="G65" s="8" t="str">
        <f>IF('Course 4'!$H63='tab4'!G$3,'Course 4'!$I63," ")</f>
        <v xml:space="preserve"> </v>
      </c>
      <c r="H65" s="8" t="str">
        <f>IF('Course 4'!$H63='tab4'!H$3,'Course 4'!$I63," ")</f>
        <v xml:space="preserve"> </v>
      </c>
      <c r="I65" s="8" t="str">
        <f>IF('Course 4'!$H63='tab4'!I$3,'Course 4'!$I63," ")</f>
        <v xml:space="preserve"> </v>
      </c>
      <c r="J65" s="8" t="str">
        <f>IF('Course 4'!$H63='tab4'!J$3,'Course 4'!$I63," ")</f>
        <v xml:space="preserve"> </v>
      </c>
      <c r="K65" s="8" t="str">
        <f>IF('Course 4'!$H63='tab4'!K$3,'Course 4'!$I63," ")</f>
        <v xml:space="preserve"> </v>
      </c>
      <c r="L65" s="8" t="str">
        <f>IF('Course 4'!$H63='tab4'!L$3,'Course 4'!$I63," ")</f>
        <v xml:space="preserve"> </v>
      </c>
      <c r="M65" s="8" t="str">
        <f>IF('Course 4'!$H63='tab4'!M$3,'Course 4'!$I63," ")</f>
        <v xml:space="preserve"> </v>
      </c>
      <c r="N65" s="9" t="str">
        <f>IF('Course 4'!$H63='tab4'!N$3,'Course 4'!$I63," ")</f>
        <v xml:space="preserve"> </v>
      </c>
    </row>
    <row r="66" spans="2:14">
      <c r="B66">
        <v>62</v>
      </c>
      <c r="C66" s="7" t="str">
        <f>IF('Course 4'!$H64='tab4'!C$3,'Course 4'!$I64," ")</f>
        <v xml:space="preserve"> </v>
      </c>
      <c r="D66" s="8" t="str">
        <f>IF('Course 4'!$H64='tab4'!D$3,'Course 4'!$I64," ")</f>
        <v xml:space="preserve"> </v>
      </c>
      <c r="E66" s="8" t="str">
        <f>IF('Course 4'!$H64='tab4'!E$3,'Course 4'!$I64," ")</f>
        <v xml:space="preserve"> </v>
      </c>
      <c r="F66" s="8" t="str">
        <f>IF('Course 4'!$H64='tab4'!F$3,'Course 4'!$I64," ")</f>
        <v xml:space="preserve"> </v>
      </c>
      <c r="G66" s="8" t="str">
        <f>IF('Course 4'!$H64='tab4'!G$3,'Course 4'!$I64," ")</f>
        <v xml:space="preserve"> </v>
      </c>
      <c r="H66" s="8" t="str">
        <f>IF('Course 4'!$H64='tab4'!H$3,'Course 4'!$I64," ")</f>
        <v xml:space="preserve"> </v>
      </c>
      <c r="I66" s="8" t="str">
        <f>IF('Course 4'!$H64='tab4'!I$3,'Course 4'!$I64," ")</f>
        <v xml:space="preserve"> </v>
      </c>
      <c r="J66" s="8" t="str">
        <f>IF('Course 4'!$H64='tab4'!J$3,'Course 4'!$I64," ")</f>
        <v xml:space="preserve"> </v>
      </c>
      <c r="K66" s="8" t="str">
        <f>IF('Course 4'!$H64='tab4'!K$3,'Course 4'!$I64," ")</f>
        <v xml:space="preserve"> </v>
      </c>
      <c r="L66" s="8" t="str">
        <f>IF('Course 4'!$H64='tab4'!L$3,'Course 4'!$I64," ")</f>
        <v xml:space="preserve"> </v>
      </c>
      <c r="M66" s="8" t="str">
        <f>IF('Course 4'!$H64='tab4'!M$3,'Course 4'!$I64," ")</f>
        <v xml:space="preserve"> </v>
      </c>
      <c r="N66" s="9" t="str">
        <f>IF('Course 4'!$H64='tab4'!N$3,'Course 4'!$I64," ")</f>
        <v xml:space="preserve"> </v>
      </c>
    </row>
    <row r="67" spans="2:14">
      <c r="B67">
        <v>63</v>
      </c>
      <c r="C67" s="7" t="str">
        <f>IF('Course 4'!$H65='tab4'!C$3,'Course 4'!$I65," ")</f>
        <v xml:space="preserve"> </v>
      </c>
      <c r="D67" s="8" t="str">
        <f>IF('Course 4'!$H65='tab4'!D$3,'Course 4'!$I65," ")</f>
        <v xml:space="preserve"> </v>
      </c>
      <c r="E67" s="8" t="str">
        <f>IF('Course 4'!$H65='tab4'!E$3,'Course 4'!$I65," ")</f>
        <v xml:space="preserve"> </v>
      </c>
      <c r="F67" s="8" t="str">
        <f>IF('Course 4'!$H65='tab4'!F$3,'Course 4'!$I65," ")</f>
        <v xml:space="preserve"> </v>
      </c>
      <c r="G67" s="8" t="str">
        <f>IF('Course 4'!$H65='tab4'!G$3,'Course 4'!$I65," ")</f>
        <v xml:space="preserve"> </v>
      </c>
      <c r="H67" s="8" t="str">
        <f>IF('Course 4'!$H65='tab4'!H$3,'Course 4'!$I65," ")</f>
        <v xml:space="preserve"> </v>
      </c>
      <c r="I67" s="8" t="str">
        <f>IF('Course 4'!$H65='tab4'!I$3,'Course 4'!$I65," ")</f>
        <v xml:space="preserve"> </v>
      </c>
      <c r="J67" s="8" t="str">
        <f>IF('Course 4'!$H65='tab4'!J$3,'Course 4'!$I65," ")</f>
        <v xml:space="preserve"> </v>
      </c>
      <c r="K67" s="8" t="str">
        <f>IF('Course 4'!$H65='tab4'!K$3,'Course 4'!$I65," ")</f>
        <v xml:space="preserve"> </v>
      </c>
      <c r="L67" s="8" t="str">
        <f>IF('Course 4'!$H65='tab4'!L$3,'Course 4'!$I65," ")</f>
        <v xml:space="preserve"> </v>
      </c>
      <c r="M67" s="8" t="str">
        <f>IF('Course 4'!$H65='tab4'!M$3,'Course 4'!$I65," ")</f>
        <v xml:space="preserve"> </v>
      </c>
      <c r="N67" s="9" t="str">
        <f>IF('Course 4'!$H65='tab4'!N$3,'Course 4'!$I65," ")</f>
        <v xml:space="preserve"> </v>
      </c>
    </row>
    <row r="68" spans="2:14">
      <c r="B68">
        <v>64</v>
      </c>
      <c r="C68" s="7" t="str">
        <f>IF('Course 4'!$H66='tab4'!C$3,'Course 4'!$I66," ")</f>
        <v xml:space="preserve"> </v>
      </c>
      <c r="D68" s="8" t="str">
        <f>IF('Course 4'!$H66='tab4'!D$3,'Course 4'!$I66," ")</f>
        <v xml:space="preserve"> </v>
      </c>
      <c r="E68" s="8" t="str">
        <f>IF('Course 4'!$H66='tab4'!E$3,'Course 4'!$I66," ")</f>
        <v xml:space="preserve"> </v>
      </c>
      <c r="F68" s="8" t="str">
        <f>IF('Course 4'!$H66='tab4'!F$3,'Course 4'!$I66," ")</f>
        <v xml:space="preserve"> </v>
      </c>
      <c r="G68" s="8" t="str">
        <f>IF('Course 4'!$H66='tab4'!G$3,'Course 4'!$I66," ")</f>
        <v xml:space="preserve"> </v>
      </c>
      <c r="H68" s="8" t="str">
        <f>IF('Course 4'!$H66='tab4'!H$3,'Course 4'!$I66," ")</f>
        <v xml:space="preserve"> </v>
      </c>
      <c r="I68" s="8" t="str">
        <f>IF('Course 4'!$H66='tab4'!I$3,'Course 4'!$I66," ")</f>
        <v xml:space="preserve"> </v>
      </c>
      <c r="J68" s="8" t="str">
        <f>IF('Course 4'!$H66='tab4'!J$3,'Course 4'!$I66," ")</f>
        <v xml:space="preserve"> </v>
      </c>
      <c r="K68" s="8" t="str">
        <f>IF('Course 4'!$H66='tab4'!K$3,'Course 4'!$I66," ")</f>
        <v xml:space="preserve"> </v>
      </c>
      <c r="L68" s="8" t="str">
        <f>IF('Course 4'!$H66='tab4'!L$3,'Course 4'!$I66," ")</f>
        <v xml:space="preserve"> </v>
      </c>
      <c r="M68" s="8" t="str">
        <f>IF('Course 4'!$H66='tab4'!M$3,'Course 4'!$I66," ")</f>
        <v xml:space="preserve"> </v>
      </c>
      <c r="N68" s="9" t="str">
        <f>IF('Course 4'!$H66='tab4'!N$3,'Course 4'!$I66," ")</f>
        <v xml:space="preserve"> </v>
      </c>
    </row>
    <row r="69" spans="2:14">
      <c r="B69">
        <v>65</v>
      </c>
      <c r="C69" s="7" t="str">
        <f>IF('Course 4'!$H67='tab4'!C$3,'Course 4'!$I67," ")</f>
        <v xml:space="preserve"> </v>
      </c>
      <c r="D69" s="8" t="str">
        <f>IF('Course 4'!$H67='tab4'!D$3,'Course 4'!$I67," ")</f>
        <v xml:space="preserve"> </v>
      </c>
      <c r="E69" s="8" t="str">
        <f>IF('Course 4'!$H67='tab4'!E$3,'Course 4'!$I67," ")</f>
        <v xml:space="preserve"> </v>
      </c>
      <c r="F69" s="8" t="str">
        <f>IF('Course 4'!$H67='tab4'!F$3,'Course 4'!$I67," ")</f>
        <v xml:space="preserve"> </v>
      </c>
      <c r="G69" s="8" t="str">
        <f>IF('Course 4'!$H67='tab4'!G$3,'Course 4'!$I67," ")</f>
        <v xml:space="preserve"> </v>
      </c>
      <c r="H69" s="8" t="str">
        <f>IF('Course 4'!$H67='tab4'!H$3,'Course 4'!$I67," ")</f>
        <v xml:space="preserve"> </v>
      </c>
      <c r="I69" s="8" t="str">
        <f>IF('Course 4'!$H67='tab4'!I$3,'Course 4'!$I67," ")</f>
        <v xml:space="preserve"> </v>
      </c>
      <c r="J69" s="8" t="str">
        <f>IF('Course 4'!$H67='tab4'!J$3,'Course 4'!$I67," ")</f>
        <v xml:space="preserve"> </v>
      </c>
      <c r="K69" s="8" t="str">
        <f>IF('Course 4'!$H67='tab4'!K$3,'Course 4'!$I67," ")</f>
        <v xml:space="preserve"> </v>
      </c>
      <c r="L69" s="8" t="str">
        <f>IF('Course 4'!$H67='tab4'!L$3,'Course 4'!$I67," ")</f>
        <v xml:space="preserve"> </v>
      </c>
      <c r="M69" s="8" t="str">
        <f>IF('Course 4'!$H67='tab4'!M$3,'Course 4'!$I67," ")</f>
        <v xml:space="preserve"> </v>
      </c>
      <c r="N69" s="9" t="str">
        <f>IF('Course 4'!$H67='tab4'!N$3,'Course 4'!$I67," ")</f>
        <v xml:space="preserve"> </v>
      </c>
    </row>
    <row r="70" spans="2:14">
      <c r="B70">
        <v>66</v>
      </c>
      <c r="C70" s="7" t="str">
        <f>IF('Course 4'!$H68='tab4'!C$3,'Course 4'!$I68," ")</f>
        <v xml:space="preserve"> </v>
      </c>
      <c r="D70" s="8" t="str">
        <f>IF('Course 4'!$H68='tab4'!D$3,'Course 4'!$I68," ")</f>
        <v xml:space="preserve"> </v>
      </c>
      <c r="E70" s="8" t="str">
        <f>IF('Course 4'!$H68='tab4'!E$3,'Course 4'!$I68," ")</f>
        <v xml:space="preserve"> </v>
      </c>
      <c r="F70" s="8" t="str">
        <f>IF('Course 4'!$H68='tab4'!F$3,'Course 4'!$I68," ")</f>
        <v xml:space="preserve"> </v>
      </c>
      <c r="G70" s="8" t="str">
        <f>IF('Course 4'!$H68='tab4'!G$3,'Course 4'!$I68," ")</f>
        <v xml:space="preserve"> </v>
      </c>
      <c r="H70" s="8" t="str">
        <f>IF('Course 4'!$H68='tab4'!H$3,'Course 4'!$I68," ")</f>
        <v xml:space="preserve"> </v>
      </c>
      <c r="I70" s="8" t="str">
        <f>IF('Course 4'!$H68='tab4'!I$3,'Course 4'!$I68," ")</f>
        <v xml:space="preserve"> </v>
      </c>
      <c r="J70" s="8" t="str">
        <f>IF('Course 4'!$H68='tab4'!J$3,'Course 4'!$I68," ")</f>
        <v xml:space="preserve"> </v>
      </c>
      <c r="K70" s="8" t="str">
        <f>IF('Course 4'!$H68='tab4'!K$3,'Course 4'!$I68," ")</f>
        <v xml:space="preserve"> </v>
      </c>
      <c r="L70" s="8" t="str">
        <f>IF('Course 4'!$H68='tab4'!L$3,'Course 4'!$I68," ")</f>
        <v xml:space="preserve"> </v>
      </c>
      <c r="M70" s="8" t="str">
        <f>IF('Course 4'!$H68='tab4'!M$3,'Course 4'!$I68," ")</f>
        <v xml:space="preserve"> </v>
      </c>
      <c r="N70" s="9" t="str">
        <f>IF('Course 4'!$H68='tab4'!N$3,'Course 4'!$I68," ")</f>
        <v xml:space="preserve"> </v>
      </c>
    </row>
    <row r="71" spans="2:14">
      <c r="B71">
        <v>67</v>
      </c>
      <c r="C71" s="7" t="str">
        <f>IF('Course 4'!$H69='tab4'!C$3,'Course 4'!$I69," ")</f>
        <v xml:space="preserve"> </v>
      </c>
      <c r="D71" s="8" t="str">
        <f>IF('Course 4'!$H69='tab4'!D$3,'Course 4'!$I69," ")</f>
        <v xml:space="preserve"> </v>
      </c>
      <c r="E71" s="8" t="str">
        <f>IF('Course 4'!$H69='tab4'!E$3,'Course 4'!$I69," ")</f>
        <v xml:space="preserve"> </v>
      </c>
      <c r="F71" s="8" t="str">
        <f>IF('Course 4'!$H69='tab4'!F$3,'Course 4'!$I69," ")</f>
        <v xml:space="preserve"> </v>
      </c>
      <c r="G71" s="8" t="str">
        <f>IF('Course 4'!$H69='tab4'!G$3,'Course 4'!$I69," ")</f>
        <v xml:space="preserve"> </v>
      </c>
      <c r="H71" s="8" t="str">
        <f>IF('Course 4'!$H69='tab4'!H$3,'Course 4'!$I69," ")</f>
        <v xml:space="preserve"> </v>
      </c>
      <c r="I71" s="8" t="str">
        <f>IF('Course 4'!$H69='tab4'!I$3,'Course 4'!$I69," ")</f>
        <v xml:space="preserve"> </v>
      </c>
      <c r="J71" s="8" t="str">
        <f>IF('Course 4'!$H69='tab4'!J$3,'Course 4'!$I69," ")</f>
        <v xml:space="preserve"> </v>
      </c>
      <c r="K71" s="8" t="str">
        <f>IF('Course 4'!$H69='tab4'!K$3,'Course 4'!$I69," ")</f>
        <v xml:space="preserve"> </v>
      </c>
      <c r="L71" s="8" t="str">
        <f>IF('Course 4'!$H69='tab4'!L$3,'Course 4'!$I69," ")</f>
        <v xml:space="preserve"> </v>
      </c>
      <c r="M71" s="8" t="str">
        <f>IF('Course 4'!$H69='tab4'!M$3,'Course 4'!$I69," ")</f>
        <v xml:space="preserve"> </v>
      </c>
      <c r="N71" s="9" t="str">
        <f>IF('Course 4'!$H69='tab4'!N$3,'Course 4'!$I69," ")</f>
        <v xml:space="preserve"> </v>
      </c>
    </row>
    <row r="72" spans="2:14">
      <c r="B72">
        <v>68</v>
      </c>
      <c r="C72" s="7" t="str">
        <f>IF('Course 4'!$H70='tab4'!C$3,'Course 4'!$I70," ")</f>
        <v xml:space="preserve"> </v>
      </c>
      <c r="D72" s="8" t="str">
        <f>IF('Course 4'!$H70='tab4'!D$3,'Course 4'!$I70," ")</f>
        <v xml:space="preserve"> </v>
      </c>
      <c r="E72" s="8" t="str">
        <f>IF('Course 4'!$H70='tab4'!E$3,'Course 4'!$I70," ")</f>
        <v xml:space="preserve"> </v>
      </c>
      <c r="F72" s="8" t="str">
        <f>IF('Course 4'!$H70='tab4'!F$3,'Course 4'!$I70," ")</f>
        <v xml:space="preserve"> </v>
      </c>
      <c r="G72" s="8" t="str">
        <f>IF('Course 4'!$H70='tab4'!G$3,'Course 4'!$I70," ")</f>
        <v xml:space="preserve"> </v>
      </c>
      <c r="H72" s="8" t="str">
        <f>IF('Course 4'!$H70='tab4'!H$3,'Course 4'!$I70," ")</f>
        <v xml:space="preserve"> </v>
      </c>
      <c r="I72" s="8" t="str">
        <f>IF('Course 4'!$H70='tab4'!I$3,'Course 4'!$I70," ")</f>
        <v xml:space="preserve"> </v>
      </c>
      <c r="J72" s="8" t="str">
        <f>IF('Course 4'!$H70='tab4'!J$3,'Course 4'!$I70," ")</f>
        <v xml:space="preserve"> </v>
      </c>
      <c r="K72" s="8" t="str">
        <f>IF('Course 4'!$H70='tab4'!K$3,'Course 4'!$I70," ")</f>
        <v xml:space="preserve"> </v>
      </c>
      <c r="L72" s="8" t="str">
        <f>IF('Course 4'!$H70='tab4'!L$3,'Course 4'!$I70," ")</f>
        <v xml:space="preserve"> </v>
      </c>
      <c r="M72" s="8" t="str">
        <f>IF('Course 4'!$H70='tab4'!M$3,'Course 4'!$I70," ")</f>
        <v xml:space="preserve"> </v>
      </c>
      <c r="N72" s="9" t="str">
        <f>IF('Course 4'!$H70='tab4'!N$3,'Course 4'!$I70," ")</f>
        <v xml:space="preserve"> </v>
      </c>
    </row>
    <row r="73" spans="2:14">
      <c r="B73">
        <v>69</v>
      </c>
      <c r="C73" s="7" t="str">
        <f>IF('Course 4'!$H71='tab4'!C$3,'Course 4'!$I71," ")</f>
        <v xml:space="preserve"> </v>
      </c>
      <c r="D73" s="8" t="str">
        <f>IF('Course 4'!$H71='tab4'!D$3,'Course 4'!$I71," ")</f>
        <v xml:space="preserve"> </v>
      </c>
      <c r="E73" s="8" t="str">
        <f>IF('Course 4'!$H71='tab4'!E$3,'Course 4'!$I71," ")</f>
        <v xml:space="preserve"> </v>
      </c>
      <c r="F73" s="8" t="str">
        <f>IF('Course 4'!$H71='tab4'!F$3,'Course 4'!$I71," ")</f>
        <v xml:space="preserve"> </v>
      </c>
      <c r="G73" s="8" t="str">
        <f>IF('Course 4'!$H71='tab4'!G$3,'Course 4'!$I71," ")</f>
        <v xml:space="preserve"> </v>
      </c>
      <c r="H73" s="8" t="str">
        <f>IF('Course 4'!$H71='tab4'!H$3,'Course 4'!$I71," ")</f>
        <v xml:space="preserve"> </v>
      </c>
      <c r="I73" s="8" t="str">
        <f>IF('Course 4'!$H71='tab4'!I$3,'Course 4'!$I71," ")</f>
        <v xml:space="preserve"> </v>
      </c>
      <c r="J73" s="8" t="str">
        <f>IF('Course 4'!$H71='tab4'!J$3,'Course 4'!$I71," ")</f>
        <v xml:space="preserve"> </v>
      </c>
      <c r="K73" s="8" t="str">
        <f>IF('Course 4'!$H71='tab4'!K$3,'Course 4'!$I71," ")</f>
        <v xml:space="preserve"> </v>
      </c>
      <c r="L73" s="8" t="str">
        <f>IF('Course 4'!$H71='tab4'!L$3,'Course 4'!$I71," ")</f>
        <v xml:space="preserve"> </v>
      </c>
      <c r="M73" s="8" t="str">
        <f>IF('Course 4'!$H71='tab4'!M$3,'Course 4'!$I71," ")</f>
        <v xml:space="preserve"> </v>
      </c>
      <c r="N73" s="9" t="str">
        <f>IF('Course 4'!$H71='tab4'!N$3,'Course 4'!$I71," ")</f>
        <v xml:space="preserve"> </v>
      </c>
    </row>
    <row r="74" spans="2:14">
      <c r="B74">
        <v>70</v>
      </c>
      <c r="C74" s="7" t="str">
        <f>IF('Course 4'!$H72='tab4'!C$3,'Course 4'!$I72," ")</f>
        <v xml:space="preserve"> </v>
      </c>
      <c r="D74" s="8" t="str">
        <f>IF('Course 4'!$H72='tab4'!D$3,'Course 4'!$I72," ")</f>
        <v xml:space="preserve"> </v>
      </c>
      <c r="E74" s="8" t="str">
        <f>IF('Course 4'!$H72='tab4'!E$3,'Course 4'!$I72," ")</f>
        <v xml:space="preserve"> </v>
      </c>
      <c r="F74" s="8" t="str">
        <f>IF('Course 4'!$H72='tab4'!F$3,'Course 4'!$I72," ")</f>
        <v xml:space="preserve"> </v>
      </c>
      <c r="G74" s="8" t="str">
        <f>IF('Course 4'!$H72='tab4'!G$3,'Course 4'!$I72," ")</f>
        <v xml:space="preserve"> </v>
      </c>
      <c r="H74" s="8" t="str">
        <f>IF('Course 4'!$H72='tab4'!H$3,'Course 4'!$I72," ")</f>
        <v xml:space="preserve"> </v>
      </c>
      <c r="I74" s="8" t="str">
        <f>IF('Course 4'!$H72='tab4'!I$3,'Course 4'!$I72," ")</f>
        <v xml:space="preserve"> </v>
      </c>
      <c r="J74" s="8" t="str">
        <f>IF('Course 4'!$H72='tab4'!J$3,'Course 4'!$I72," ")</f>
        <v xml:space="preserve"> </v>
      </c>
      <c r="K74" s="8" t="str">
        <f>IF('Course 4'!$H72='tab4'!K$3,'Course 4'!$I72," ")</f>
        <v xml:space="preserve"> </v>
      </c>
      <c r="L74" s="8" t="str">
        <f>IF('Course 4'!$H72='tab4'!L$3,'Course 4'!$I72," ")</f>
        <v xml:space="preserve"> </v>
      </c>
      <c r="M74" s="8" t="str">
        <f>IF('Course 4'!$H72='tab4'!M$3,'Course 4'!$I72," ")</f>
        <v xml:space="preserve"> </v>
      </c>
      <c r="N74" s="9" t="str">
        <f>IF('Course 4'!$H72='tab4'!N$3,'Course 4'!$I72," ")</f>
        <v xml:space="preserve"> </v>
      </c>
    </row>
    <row r="75" spans="2:14">
      <c r="B75">
        <v>71</v>
      </c>
      <c r="C75" s="7" t="str">
        <f>IF('Course 4'!$H73='tab4'!C$3,'Course 4'!$I73," ")</f>
        <v xml:space="preserve"> </v>
      </c>
      <c r="D75" s="8" t="str">
        <f>IF('Course 4'!$H73='tab4'!D$3,'Course 4'!$I73," ")</f>
        <v xml:space="preserve"> </v>
      </c>
      <c r="E75" s="8" t="str">
        <f>IF('Course 4'!$H73='tab4'!E$3,'Course 4'!$I73," ")</f>
        <v xml:space="preserve"> </v>
      </c>
      <c r="F75" s="8" t="str">
        <f>IF('Course 4'!$H73='tab4'!F$3,'Course 4'!$I73," ")</f>
        <v xml:space="preserve"> </v>
      </c>
      <c r="G75" s="8" t="str">
        <f>IF('Course 4'!$H73='tab4'!G$3,'Course 4'!$I73," ")</f>
        <v xml:space="preserve"> </v>
      </c>
      <c r="H75" s="8" t="str">
        <f>IF('Course 4'!$H73='tab4'!H$3,'Course 4'!$I73," ")</f>
        <v xml:space="preserve"> </v>
      </c>
      <c r="I75" s="8" t="str">
        <f>IF('Course 4'!$H73='tab4'!I$3,'Course 4'!$I73," ")</f>
        <v xml:space="preserve"> </v>
      </c>
      <c r="J75" s="8" t="str">
        <f>IF('Course 4'!$H73='tab4'!J$3,'Course 4'!$I73," ")</f>
        <v xml:space="preserve"> </v>
      </c>
      <c r="K75" s="8" t="str">
        <f>IF('Course 4'!$H73='tab4'!K$3,'Course 4'!$I73," ")</f>
        <v xml:space="preserve"> </v>
      </c>
      <c r="L75" s="8" t="str">
        <f>IF('Course 4'!$H73='tab4'!L$3,'Course 4'!$I73," ")</f>
        <v xml:space="preserve"> </v>
      </c>
      <c r="M75" s="8" t="str">
        <f>IF('Course 4'!$H73='tab4'!M$3,'Course 4'!$I73," ")</f>
        <v xml:space="preserve"> </v>
      </c>
      <c r="N75" s="9" t="str">
        <f>IF('Course 4'!$H73='tab4'!N$3,'Course 4'!$I73," ")</f>
        <v xml:space="preserve"> </v>
      </c>
    </row>
    <row r="76" spans="2:14">
      <c r="B76">
        <v>72</v>
      </c>
      <c r="C76" s="7" t="str">
        <f>IF('Course 4'!$H74='tab4'!C$3,'Course 4'!$I74," ")</f>
        <v xml:space="preserve"> </v>
      </c>
      <c r="D76" s="8" t="str">
        <f>IF('Course 4'!$H74='tab4'!D$3,'Course 4'!$I74," ")</f>
        <v xml:space="preserve"> </v>
      </c>
      <c r="E76" s="8" t="str">
        <f>IF('Course 4'!$H74='tab4'!E$3,'Course 4'!$I74," ")</f>
        <v xml:space="preserve"> </v>
      </c>
      <c r="F76" s="8" t="str">
        <f>IF('Course 4'!$H74='tab4'!F$3,'Course 4'!$I74," ")</f>
        <v xml:space="preserve"> </v>
      </c>
      <c r="G76" s="8" t="str">
        <f>IF('Course 4'!$H74='tab4'!G$3,'Course 4'!$I74," ")</f>
        <v xml:space="preserve"> </v>
      </c>
      <c r="H76" s="8" t="str">
        <f>IF('Course 4'!$H74='tab4'!H$3,'Course 4'!$I74," ")</f>
        <v xml:space="preserve"> </v>
      </c>
      <c r="I76" s="8" t="str">
        <f>IF('Course 4'!$H74='tab4'!I$3,'Course 4'!$I74," ")</f>
        <v xml:space="preserve"> </v>
      </c>
      <c r="J76" s="8" t="str">
        <f>IF('Course 4'!$H74='tab4'!J$3,'Course 4'!$I74," ")</f>
        <v xml:space="preserve"> </v>
      </c>
      <c r="K76" s="8" t="str">
        <f>IF('Course 4'!$H74='tab4'!K$3,'Course 4'!$I74," ")</f>
        <v xml:space="preserve"> </v>
      </c>
      <c r="L76" s="8" t="str">
        <f>IF('Course 4'!$H74='tab4'!L$3,'Course 4'!$I74," ")</f>
        <v xml:space="preserve"> </v>
      </c>
      <c r="M76" s="8" t="str">
        <f>IF('Course 4'!$H74='tab4'!M$3,'Course 4'!$I74," ")</f>
        <v xml:space="preserve"> </v>
      </c>
      <c r="N76" s="9" t="str">
        <f>IF('Course 4'!$H74='tab4'!N$3,'Course 4'!$I74," ")</f>
        <v xml:space="preserve"> </v>
      </c>
    </row>
    <row r="77" spans="2:14">
      <c r="B77">
        <v>73</v>
      </c>
      <c r="C77" s="7" t="str">
        <f>IF('Course 4'!$H75='tab4'!C$3,'Course 4'!$I75," ")</f>
        <v xml:space="preserve"> </v>
      </c>
      <c r="D77" s="8" t="str">
        <f>IF('Course 4'!$H75='tab4'!D$3,'Course 4'!$I75," ")</f>
        <v xml:space="preserve"> </v>
      </c>
      <c r="E77" s="8" t="str">
        <f>IF('Course 4'!$H75='tab4'!E$3,'Course 4'!$I75," ")</f>
        <v xml:space="preserve"> </v>
      </c>
      <c r="F77" s="8" t="str">
        <f>IF('Course 4'!$H75='tab4'!F$3,'Course 4'!$I75," ")</f>
        <v xml:space="preserve"> </v>
      </c>
      <c r="G77" s="8" t="str">
        <f>IF('Course 4'!$H75='tab4'!G$3,'Course 4'!$I75," ")</f>
        <v xml:space="preserve"> </v>
      </c>
      <c r="H77" s="8" t="str">
        <f>IF('Course 4'!$H75='tab4'!H$3,'Course 4'!$I75," ")</f>
        <v xml:space="preserve"> </v>
      </c>
      <c r="I77" s="8" t="str">
        <f>IF('Course 4'!$H75='tab4'!I$3,'Course 4'!$I75," ")</f>
        <v xml:space="preserve"> </v>
      </c>
      <c r="J77" s="8" t="str">
        <f>IF('Course 4'!$H75='tab4'!J$3,'Course 4'!$I75," ")</f>
        <v xml:space="preserve"> </v>
      </c>
      <c r="K77" s="8" t="str">
        <f>IF('Course 4'!$H75='tab4'!K$3,'Course 4'!$I75," ")</f>
        <v xml:space="preserve"> </v>
      </c>
      <c r="L77" s="8" t="str">
        <f>IF('Course 4'!$H75='tab4'!L$3,'Course 4'!$I75," ")</f>
        <v xml:space="preserve"> </v>
      </c>
      <c r="M77" s="8" t="str">
        <f>IF('Course 4'!$H75='tab4'!M$3,'Course 4'!$I75," ")</f>
        <v xml:space="preserve"> </v>
      </c>
      <c r="N77" s="9" t="str">
        <f>IF('Course 4'!$H75='tab4'!N$3,'Course 4'!$I75," ")</f>
        <v xml:space="preserve"> </v>
      </c>
    </row>
    <row r="78" spans="2:14">
      <c r="B78">
        <v>74</v>
      </c>
      <c r="C78" s="7" t="str">
        <f>IF('Course 4'!$H76='tab4'!C$3,'Course 4'!$I76," ")</f>
        <v xml:space="preserve"> </v>
      </c>
      <c r="D78" s="8" t="str">
        <f>IF('Course 4'!$H76='tab4'!D$3,'Course 4'!$I76," ")</f>
        <v xml:space="preserve"> </v>
      </c>
      <c r="E78" s="8" t="str">
        <f>IF('Course 4'!$H76='tab4'!E$3,'Course 4'!$I76," ")</f>
        <v xml:space="preserve"> </v>
      </c>
      <c r="F78" s="8" t="str">
        <f>IF('Course 4'!$H76='tab4'!F$3,'Course 4'!$I76," ")</f>
        <v xml:space="preserve"> </v>
      </c>
      <c r="G78" s="8" t="str">
        <f>IF('Course 4'!$H76='tab4'!G$3,'Course 4'!$I76," ")</f>
        <v xml:space="preserve"> </v>
      </c>
      <c r="H78" s="8" t="str">
        <f>IF('Course 4'!$H76='tab4'!H$3,'Course 4'!$I76," ")</f>
        <v xml:space="preserve"> </v>
      </c>
      <c r="I78" s="8" t="str">
        <f>IF('Course 4'!$H76='tab4'!I$3,'Course 4'!$I76," ")</f>
        <v xml:space="preserve"> </v>
      </c>
      <c r="J78" s="8" t="str">
        <f>IF('Course 4'!$H76='tab4'!J$3,'Course 4'!$I76," ")</f>
        <v xml:space="preserve"> </v>
      </c>
      <c r="K78" s="8" t="str">
        <f>IF('Course 4'!$H76='tab4'!K$3,'Course 4'!$I76," ")</f>
        <v xml:space="preserve"> </v>
      </c>
      <c r="L78" s="8" t="str">
        <f>IF('Course 4'!$H76='tab4'!L$3,'Course 4'!$I76," ")</f>
        <v xml:space="preserve"> </v>
      </c>
      <c r="M78" s="8" t="str">
        <f>IF('Course 4'!$H76='tab4'!M$3,'Course 4'!$I76," ")</f>
        <v xml:space="preserve"> </v>
      </c>
      <c r="N78" s="9" t="str">
        <f>IF('Course 4'!$H76='tab4'!N$3,'Course 4'!$I76," ")</f>
        <v xml:space="preserve"> </v>
      </c>
    </row>
    <row r="79" spans="2:14">
      <c r="B79">
        <v>75</v>
      </c>
      <c r="C79" s="7" t="str">
        <f>IF('Course 4'!$H77='tab4'!C$3,'Course 4'!$I77," ")</f>
        <v xml:space="preserve"> </v>
      </c>
      <c r="D79" s="8" t="str">
        <f>IF('Course 4'!$H77='tab4'!D$3,'Course 4'!$I77," ")</f>
        <v xml:space="preserve"> </v>
      </c>
      <c r="E79" s="8" t="str">
        <f>IF('Course 4'!$H77='tab4'!E$3,'Course 4'!$I77," ")</f>
        <v xml:space="preserve"> </v>
      </c>
      <c r="F79" s="8" t="str">
        <f>IF('Course 4'!$H77='tab4'!F$3,'Course 4'!$I77," ")</f>
        <v xml:space="preserve"> </v>
      </c>
      <c r="G79" s="8" t="str">
        <f>IF('Course 4'!$H77='tab4'!G$3,'Course 4'!$I77," ")</f>
        <v xml:space="preserve"> </v>
      </c>
      <c r="H79" s="8" t="str">
        <f>IF('Course 4'!$H77='tab4'!H$3,'Course 4'!$I77," ")</f>
        <v xml:space="preserve"> </v>
      </c>
      <c r="I79" s="8" t="str">
        <f>IF('Course 4'!$H77='tab4'!I$3,'Course 4'!$I77," ")</f>
        <v xml:space="preserve"> </v>
      </c>
      <c r="J79" s="8" t="str">
        <f>IF('Course 4'!$H77='tab4'!J$3,'Course 4'!$I77," ")</f>
        <v xml:space="preserve"> </v>
      </c>
      <c r="K79" s="8" t="str">
        <f>IF('Course 4'!$H77='tab4'!K$3,'Course 4'!$I77," ")</f>
        <v xml:space="preserve"> </v>
      </c>
      <c r="L79" s="8" t="str">
        <f>IF('Course 4'!$H77='tab4'!L$3,'Course 4'!$I77," ")</f>
        <v xml:space="preserve"> </v>
      </c>
      <c r="M79" s="8" t="str">
        <f>IF('Course 4'!$H77='tab4'!M$3,'Course 4'!$I77," ")</f>
        <v xml:space="preserve"> </v>
      </c>
      <c r="N79" s="9" t="str">
        <f>IF('Course 4'!$H77='tab4'!N$3,'Course 4'!$I77," ")</f>
        <v xml:space="preserve"> </v>
      </c>
    </row>
    <row r="80" spans="2:14">
      <c r="B80">
        <v>76</v>
      </c>
      <c r="C80" s="7" t="str">
        <f>IF('Course 4'!$H78='tab4'!C$3,'Course 4'!$I78," ")</f>
        <v xml:space="preserve"> </v>
      </c>
      <c r="D80" s="8" t="str">
        <f>IF('Course 4'!$H78='tab4'!D$3,'Course 4'!$I78," ")</f>
        <v xml:space="preserve"> </v>
      </c>
      <c r="E80" s="8" t="str">
        <f>IF('Course 4'!$H78='tab4'!E$3,'Course 4'!$I78," ")</f>
        <v xml:space="preserve"> </v>
      </c>
      <c r="F80" s="8" t="str">
        <f>IF('Course 4'!$H78='tab4'!F$3,'Course 4'!$I78," ")</f>
        <v xml:space="preserve"> </v>
      </c>
      <c r="G80" s="8" t="str">
        <f>IF('Course 4'!$H78='tab4'!G$3,'Course 4'!$I78," ")</f>
        <v xml:space="preserve"> </v>
      </c>
      <c r="H80" s="8" t="str">
        <f>IF('Course 4'!$H78='tab4'!H$3,'Course 4'!$I78," ")</f>
        <v xml:space="preserve"> </v>
      </c>
      <c r="I80" s="8" t="str">
        <f>IF('Course 4'!$H78='tab4'!I$3,'Course 4'!$I78," ")</f>
        <v xml:space="preserve"> </v>
      </c>
      <c r="J80" s="8" t="str">
        <f>IF('Course 4'!$H78='tab4'!J$3,'Course 4'!$I78," ")</f>
        <v xml:space="preserve"> </v>
      </c>
      <c r="K80" s="8" t="str">
        <f>IF('Course 4'!$H78='tab4'!K$3,'Course 4'!$I78," ")</f>
        <v xml:space="preserve"> </v>
      </c>
      <c r="L80" s="8" t="str">
        <f>IF('Course 4'!$H78='tab4'!L$3,'Course 4'!$I78," ")</f>
        <v xml:space="preserve"> </v>
      </c>
      <c r="M80" s="8" t="str">
        <f>IF('Course 4'!$H78='tab4'!M$3,'Course 4'!$I78," ")</f>
        <v xml:space="preserve"> </v>
      </c>
      <c r="N80" s="9" t="str">
        <f>IF('Course 4'!$H78='tab4'!N$3,'Course 4'!$I78," ")</f>
        <v xml:space="preserve"> </v>
      </c>
    </row>
    <row r="81" spans="2:14">
      <c r="B81">
        <v>77</v>
      </c>
      <c r="C81" s="7" t="str">
        <f>IF('Course 4'!$H79='tab4'!C$3,'Course 4'!$I79," ")</f>
        <v xml:space="preserve"> </v>
      </c>
      <c r="D81" s="8" t="str">
        <f>IF('Course 4'!$H79='tab4'!D$3,'Course 4'!$I79," ")</f>
        <v xml:space="preserve"> </v>
      </c>
      <c r="E81" s="8" t="str">
        <f>IF('Course 4'!$H79='tab4'!E$3,'Course 4'!$I79," ")</f>
        <v xml:space="preserve"> </v>
      </c>
      <c r="F81" s="8" t="str">
        <f>IF('Course 4'!$H79='tab4'!F$3,'Course 4'!$I79," ")</f>
        <v xml:space="preserve"> </v>
      </c>
      <c r="G81" s="8" t="str">
        <f>IF('Course 4'!$H79='tab4'!G$3,'Course 4'!$I79," ")</f>
        <v xml:space="preserve"> </v>
      </c>
      <c r="H81" s="8" t="str">
        <f>IF('Course 4'!$H79='tab4'!H$3,'Course 4'!$I79," ")</f>
        <v xml:space="preserve"> </v>
      </c>
      <c r="I81" s="8" t="str">
        <f>IF('Course 4'!$H79='tab4'!I$3,'Course 4'!$I79," ")</f>
        <v xml:space="preserve"> </v>
      </c>
      <c r="J81" s="8" t="str">
        <f>IF('Course 4'!$H79='tab4'!J$3,'Course 4'!$I79," ")</f>
        <v xml:space="preserve"> </v>
      </c>
      <c r="K81" s="8" t="str">
        <f>IF('Course 4'!$H79='tab4'!K$3,'Course 4'!$I79," ")</f>
        <v xml:space="preserve"> </v>
      </c>
      <c r="L81" s="8" t="str">
        <f>IF('Course 4'!$H79='tab4'!L$3,'Course 4'!$I79," ")</f>
        <v xml:space="preserve"> </v>
      </c>
      <c r="M81" s="8" t="str">
        <f>IF('Course 4'!$H79='tab4'!M$3,'Course 4'!$I79," ")</f>
        <v xml:space="preserve"> </v>
      </c>
      <c r="N81" s="9" t="str">
        <f>IF('Course 4'!$H79='tab4'!N$3,'Course 4'!$I79," ")</f>
        <v xml:space="preserve"> </v>
      </c>
    </row>
    <row r="82" spans="2:14">
      <c r="B82">
        <v>78</v>
      </c>
      <c r="C82" s="7" t="str">
        <f>IF('Course 4'!$H80='tab4'!C$3,'Course 4'!$I80," ")</f>
        <v xml:space="preserve"> </v>
      </c>
      <c r="D82" s="8" t="str">
        <f>IF('Course 4'!$H80='tab4'!D$3,'Course 4'!$I80," ")</f>
        <v xml:space="preserve"> </v>
      </c>
      <c r="E82" s="8" t="str">
        <f>IF('Course 4'!$H80='tab4'!E$3,'Course 4'!$I80," ")</f>
        <v xml:space="preserve"> </v>
      </c>
      <c r="F82" s="8" t="str">
        <f>IF('Course 4'!$H80='tab4'!F$3,'Course 4'!$I80," ")</f>
        <v xml:space="preserve"> </v>
      </c>
      <c r="G82" s="8" t="str">
        <f>IF('Course 4'!$H80='tab4'!G$3,'Course 4'!$I80," ")</f>
        <v xml:space="preserve"> </v>
      </c>
      <c r="H82" s="8" t="str">
        <f>IF('Course 4'!$H80='tab4'!H$3,'Course 4'!$I80," ")</f>
        <v xml:space="preserve"> </v>
      </c>
      <c r="I82" s="8" t="str">
        <f>IF('Course 4'!$H80='tab4'!I$3,'Course 4'!$I80," ")</f>
        <v xml:space="preserve"> </v>
      </c>
      <c r="J82" s="8" t="str">
        <f>IF('Course 4'!$H80='tab4'!J$3,'Course 4'!$I80," ")</f>
        <v xml:space="preserve"> </v>
      </c>
      <c r="K82" s="8" t="str">
        <f>IF('Course 4'!$H80='tab4'!K$3,'Course 4'!$I80," ")</f>
        <v xml:space="preserve"> </v>
      </c>
      <c r="L82" s="8" t="str">
        <f>IF('Course 4'!$H80='tab4'!L$3,'Course 4'!$I80," ")</f>
        <v xml:space="preserve"> </v>
      </c>
      <c r="M82" s="8" t="str">
        <f>IF('Course 4'!$H80='tab4'!M$3,'Course 4'!$I80," ")</f>
        <v xml:space="preserve"> </v>
      </c>
      <c r="N82" s="9" t="str">
        <f>IF('Course 4'!$H80='tab4'!N$3,'Course 4'!$I80," ")</f>
        <v xml:space="preserve"> </v>
      </c>
    </row>
    <row r="83" spans="2:14">
      <c r="B83">
        <v>79</v>
      </c>
      <c r="C83" s="7" t="str">
        <f>IF('Course 4'!$H81='tab4'!C$3,'Course 4'!$I81," ")</f>
        <v xml:space="preserve"> </v>
      </c>
      <c r="D83" s="8" t="str">
        <f>IF('Course 4'!$H81='tab4'!D$3,'Course 4'!$I81," ")</f>
        <v xml:space="preserve"> </v>
      </c>
      <c r="E83" s="8" t="str">
        <f>IF('Course 4'!$H81='tab4'!E$3,'Course 4'!$I81," ")</f>
        <v xml:space="preserve"> </v>
      </c>
      <c r="F83" s="8" t="str">
        <f>IF('Course 4'!$H81='tab4'!F$3,'Course 4'!$I81," ")</f>
        <v xml:space="preserve"> </v>
      </c>
      <c r="G83" s="8" t="str">
        <f>IF('Course 4'!$H81='tab4'!G$3,'Course 4'!$I81," ")</f>
        <v xml:space="preserve"> </v>
      </c>
      <c r="H83" s="8" t="str">
        <f>IF('Course 4'!$H81='tab4'!H$3,'Course 4'!$I81," ")</f>
        <v xml:space="preserve"> </v>
      </c>
      <c r="I83" s="8" t="str">
        <f>IF('Course 4'!$H81='tab4'!I$3,'Course 4'!$I81," ")</f>
        <v xml:space="preserve"> </v>
      </c>
      <c r="J83" s="8" t="str">
        <f>IF('Course 4'!$H81='tab4'!J$3,'Course 4'!$I81," ")</f>
        <v xml:space="preserve"> </v>
      </c>
      <c r="K83" s="8" t="str">
        <f>IF('Course 4'!$H81='tab4'!K$3,'Course 4'!$I81," ")</f>
        <v xml:space="preserve"> </v>
      </c>
      <c r="L83" s="8" t="str">
        <f>IF('Course 4'!$H81='tab4'!L$3,'Course 4'!$I81," ")</f>
        <v xml:space="preserve"> </v>
      </c>
      <c r="M83" s="8" t="str">
        <f>IF('Course 4'!$H81='tab4'!M$3,'Course 4'!$I81," ")</f>
        <v xml:space="preserve"> </v>
      </c>
      <c r="N83" s="9" t="str">
        <f>IF('Course 4'!$H81='tab4'!N$3,'Course 4'!$I81," ")</f>
        <v xml:space="preserve"> </v>
      </c>
    </row>
    <row r="84" spans="2:14">
      <c r="B84">
        <v>80</v>
      </c>
      <c r="C84" s="7" t="str">
        <f>IF('Course 4'!$H82='tab4'!C$3,'Course 4'!$I82," ")</f>
        <v xml:space="preserve"> </v>
      </c>
      <c r="D84" s="8" t="str">
        <f>IF('Course 4'!$H82='tab4'!D$3,'Course 4'!$I82," ")</f>
        <v xml:space="preserve"> </v>
      </c>
      <c r="E84" s="8" t="str">
        <f>IF('Course 4'!$H82='tab4'!E$3,'Course 4'!$I82," ")</f>
        <v xml:space="preserve"> </v>
      </c>
      <c r="F84" s="8" t="str">
        <f>IF('Course 4'!$H82='tab4'!F$3,'Course 4'!$I82," ")</f>
        <v xml:space="preserve"> </v>
      </c>
      <c r="G84" s="8" t="str">
        <f>IF('Course 4'!$H82='tab4'!G$3,'Course 4'!$I82," ")</f>
        <v xml:space="preserve"> </v>
      </c>
      <c r="H84" s="8" t="str">
        <f>IF('Course 4'!$H82='tab4'!H$3,'Course 4'!$I82," ")</f>
        <v xml:space="preserve"> </v>
      </c>
      <c r="I84" s="8" t="str">
        <f>IF('Course 4'!$H82='tab4'!I$3,'Course 4'!$I82," ")</f>
        <v xml:space="preserve"> </v>
      </c>
      <c r="J84" s="8" t="str">
        <f>IF('Course 4'!$H82='tab4'!J$3,'Course 4'!$I82," ")</f>
        <v xml:space="preserve"> </v>
      </c>
      <c r="K84" s="8" t="str">
        <f>IF('Course 4'!$H82='tab4'!K$3,'Course 4'!$I82," ")</f>
        <v xml:space="preserve"> </v>
      </c>
      <c r="L84" s="8" t="str">
        <f>IF('Course 4'!$H82='tab4'!L$3,'Course 4'!$I82," ")</f>
        <v xml:space="preserve"> </v>
      </c>
      <c r="M84" s="8" t="str">
        <f>IF('Course 4'!$H82='tab4'!M$3,'Course 4'!$I82," ")</f>
        <v xml:space="preserve"> </v>
      </c>
      <c r="N84" s="9" t="str">
        <f>IF('Course 4'!$H82='tab4'!N$3,'Course 4'!$I82," ")</f>
        <v xml:space="preserve"> </v>
      </c>
    </row>
    <row r="85" spans="2:14">
      <c r="B85">
        <v>81</v>
      </c>
      <c r="C85" s="7" t="str">
        <f>IF('Course 4'!$H83='tab4'!C$3,'Course 4'!$I83," ")</f>
        <v xml:space="preserve"> </v>
      </c>
      <c r="D85" s="8" t="str">
        <f>IF('Course 4'!$H83='tab4'!D$3,'Course 4'!$I83," ")</f>
        <v xml:space="preserve"> </v>
      </c>
      <c r="E85" s="8" t="str">
        <f>IF('Course 4'!$H83='tab4'!E$3,'Course 4'!$I83," ")</f>
        <v xml:space="preserve"> </v>
      </c>
      <c r="F85" s="8" t="str">
        <f>IF('Course 4'!$H83='tab4'!F$3,'Course 4'!$I83," ")</f>
        <v xml:space="preserve"> </v>
      </c>
      <c r="G85" s="8" t="str">
        <f>IF('Course 4'!$H83='tab4'!G$3,'Course 4'!$I83," ")</f>
        <v xml:space="preserve"> </v>
      </c>
      <c r="H85" s="8" t="str">
        <f>IF('Course 4'!$H83='tab4'!H$3,'Course 4'!$I83," ")</f>
        <v xml:space="preserve"> </v>
      </c>
      <c r="I85" s="8" t="str">
        <f>IF('Course 4'!$H83='tab4'!I$3,'Course 4'!$I83," ")</f>
        <v xml:space="preserve"> </v>
      </c>
      <c r="J85" s="8" t="str">
        <f>IF('Course 4'!$H83='tab4'!J$3,'Course 4'!$I83," ")</f>
        <v xml:space="preserve"> </v>
      </c>
      <c r="K85" s="8" t="str">
        <f>IF('Course 4'!$H83='tab4'!K$3,'Course 4'!$I83," ")</f>
        <v xml:space="preserve"> </v>
      </c>
      <c r="L85" s="8" t="str">
        <f>IF('Course 4'!$H83='tab4'!L$3,'Course 4'!$I83," ")</f>
        <v xml:space="preserve"> </v>
      </c>
      <c r="M85" s="8" t="str">
        <f>IF('Course 4'!$H83='tab4'!M$3,'Course 4'!$I83," ")</f>
        <v xml:space="preserve"> </v>
      </c>
      <c r="N85" s="9" t="str">
        <f>IF('Course 4'!$H83='tab4'!N$3,'Course 4'!$I83," ")</f>
        <v xml:space="preserve"> </v>
      </c>
    </row>
    <row r="86" spans="2:14">
      <c r="B86">
        <v>82</v>
      </c>
      <c r="C86" s="7" t="str">
        <f>IF('Course 4'!$H84='tab4'!C$3,'Course 4'!$I84," ")</f>
        <v xml:space="preserve"> </v>
      </c>
      <c r="D86" s="8" t="str">
        <f>IF('Course 4'!$H84='tab4'!D$3,'Course 4'!$I84," ")</f>
        <v xml:space="preserve"> </v>
      </c>
      <c r="E86" s="8" t="str">
        <f>IF('Course 4'!$H84='tab4'!E$3,'Course 4'!$I84," ")</f>
        <v xml:space="preserve"> </v>
      </c>
      <c r="F86" s="8" t="str">
        <f>IF('Course 4'!$H84='tab4'!F$3,'Course 4'!$I84," ")</f>
        <v xml:space="preserve"> </v>
      </c>
      <c r="G86" s="8" t="str">
        <f>IF('Course 4'!$H84='tab4'!G$3,'Course 4'!$I84," ")</f>
        <v xml:space="preserve"> </v>
      </c>
      <c r="H86" s="8" t="str">
        <f>IF('Course 4'!$H84='tab4'!H$3,'Course 4'!$I84," ")</f>
        <v xml:space="preserve"> </v>
      </c>
      <c r="I86" s="8" t="str">
        <f>IF('Course 4'!$H84='tab4'!I$3,'Course 4'!$I84," ")</f>
        <v xml:space="preserve"> </v>
      </c>
      <c r="J86" s="8" t="str">
        <f>IF('Course 4'!$H84='tab4'!J$3,'Course 4'!$I84," ")</f>
        <v xml:space="preserve"> </v>
      </c>
      <c r="K86" s="8" t="str">
        <f>IF('Course 4'!$H84='tab4'!K$3,'Course 4'!$I84," ")</f>
        <v xml:space="preserve"> </v>
      </c>
      <c r="L86" s="8" t="str">
        <f>IF('Course 4'!$H84='tab4'!L$3,'Course 4'!$I84," ")</f>
        <v xml:space="preserve"> </v>
      </c>
      <c r="M86" s="8" t="str">
        <f>IF('Course 4'!$H84='tab4'!M$3,'Course 4'!$I84," ")</f>
        <v xml:space="preserve"> </v>
      </c>
      <c r="N86" s="9" t="str">
        <f>IF('Course 4'!$H84='tab4'!N$3,'Course 4'!$I84," ")</f>
        <v xml:space="preserve"> </v>
      </c>
    </row>
    <row r="87" spans="2:14">
      <c r="B87">
        <v>83</v>
      </c>
      <c r="C87" s="7" t="str">
        <f>IF('Course 4'!$H85='tab4'!C$3,'Course 4'!$I85," ")</f>
        <v xml:space="preserve"> </v>
      </c>
      <c r="D87" s="8" t="str">
        <f>IF('Course 4'!$H85='tab4'!D$3,'Course 4'!$I85," ")</f>
        <v xml:space="preserve"> </v>
      </c>
      <c r="E87" s="8" t="str">
        <f>IF('Course 4'!$H85='tab4'!E$3,'Course 4'!$I85," ")</f>
        <v xml:space="preserve"> </v>
      </c>
      <c r="F87" s="8" t="str">
        <f>IF('Course 4'!$H85='tab4'!F$3,'Course 4'!$I85," ")</f>
        <v xml:space="preserve"> </v>
      </c>
      <c r="G87" s="8" t="str">
        <f>IF('Course 4'!$H85='tab4'!G$3,'Course 4'!$I85," ")</f>
        <v xml:space="preserve"> </v>
      </c>
      <c r="H87" s="8" t="str">
        <f>IF('Course 4'!$H85='tab4'!H$3,'Course 4'!$I85," ")</f>
        <v xml:space="preserve"> </v>
      </c>
      <c r="I87" s="8" t="str">
        <f>IF('Course 4'!$H85='tab4'!I$3,'Course 4'!$I85," ")</f>
        <v xml:space="preserve"> </v>
      </c>
      <c r="J87" s="8" t="str">
        <f>IF('Course 4'!$H85='tab4'!J$3,'Course 4'!$I85," ")</f>
        <v xml:space="preserve"> </v>
      </c>
      <c r="K87" s="8" t="str">
        <f>IF('Course 4'!$H85='tab4'!K$3,'Course 4'!$I85," ")</f>
        <v xml:space="preserve"> </v>
      </c>
      <c r="L87" s="8" t="str">
        <f>IF('Course 4'!$H85='tab4'!L$3,'Course 4'!$I85," ")</f>
        <v xml:space="preserve"> </v>
      </c>
      <c r="M87" s="8" t="str">
        <f>IF('Course 4'!$H85='tab4'!M$3,'Course 4'!$I85," ")</f>
        <v xml:space="preserve"> </v>
      </c>
      <c r="N87" s="9" t="str">
        <f>IF('Course 4'!$H85='tab4'!N$3,'Course 4'!$I85," ")</f>
        <v xml:space="preserve"> </v>
      </c>
    </row>
    <row r="88" spans="2:14">
      <c r="B88">
        <v>84</v>
      </c>
      <c r="C88" s="7" t="str">
        <f>IF('Course 4'!$H86='tab4'!C$3,'Course 4'!$I86," ")</f>
        <v xml:space="preserve"> </v>
      </c>
      <c r="D88" s="8" t="str">
        <f>IF('Course 4'!$H86='tab4'!D$3,'Course 4'!$I86," ")</f>
        <v xml:space="preserve"> </v>
      </c>
      <c r="E88" s="8" t="str">
        <f>IF('Course 4'!$H86='tab4'!E$3,'Course 4'!$I86," ")</f>
        <v xml:space="preserve"> </v>
      </c>
      <c r="F88" s="8" t="str">
        <f>IF('Course 4'!$H86='tab4'!F$3,'Course 4'!$I86," ")</f>
        <v xml:space="preserve"> </v>
      </c>
      <c r="G88" s="8" t="str">
        <f>IF('Course 4'!$H86='tab4'!G$3,'Course 4'!$I86," ")</f>
        <v xml:space="preserve"> </v>
      </c>
      <c r="H88" s="8" t="str">
        <f>IF('Course 4'!$H86='tab4'!H$3,'Course 4'!$I86," ")</f>
        <v xml:space="preserve"> </v>
      </c>
      <c r="I88" s="8" t="str">
        <f>IF('Course 4'!$H86='tab4'!I$3,'Course 4'!$I86," ")</f>
        <v xml:space="preserve"> </v>
      </c>
      <c r="J88" s="8" t="str">
        <f>IF('Course 4'!$H86='tab4'!J$3,'Course 4'!$I86," ")</f>
        <v xml:space="preserve"> </v>
      </c>
      <c r="K88" s="8" t="str">
        <f>IF('Course 4'!$H86='tab4'!K$3,'Course 4'!$I86," ")</f>
        <v xml:space="preserve"> </v>
      </c>
      <c r="L88" s="8" t="str">
        <f>IF('Course 4'!$H86='tab4'!L$3,'Course 4'!$I86," ")</f>
        <v xml:space="preserve"> </v>
      </c>
      <c r="M88" s="8" t="str">
        <f>IF('Course 4'!$H86='tab4'!M$3,'Course 4'!$I86," ")</f>
        <v xml:space="preserve"> </v>
      </c>
      <c r="N88" s="9" t="str">
        <f>IF('Course 4'!$H86='tab4'!N$3,'Course 4'!$I86," ")</f>
        <v xml:space="preserve"> </v>
      </c>
    </row>
    <row r="89" spans="2:14">
      <c r="B89">
        <v>85</v>
      </c>
      <c r="C89" s="7" t="str">
        <f>IF('Course 4'!$H87='tab4'!C$3,'Course 4'!$I87," ")</f>
        <v xml:space="preserve"> </v>
      </c>
      <c r="D89" s="8" t="str">
        <f>IF('Course 4'!$H87='tab4'!D$3,'Course 4'!$I87," ")</f>
        <v xml:space="preserve"> </v>
      </c>
      <c r="E89" s="8" t="str">
        <f>IF('Course 4'!$H87='tab4'!E$3,'Course 4'!$I87," ")</f>
        <v xml:space="preserve"> </v>
      </c>
      <c r="F89" s="8" t="str">
        <f>IF('Course 4'!$H87='tab4'!F$3,'Course 4'!$I87," ")</f>
        <v xml:space="preserve"> </v>
      </c>
      <c r="G89" s="8" t="str">
        <f>IF('Course 4'!$H87='tab4'!G$3,'Course 4'!$I87," ")</f>
        <v xml:space="preserve"> </v>
      </c>
      <c r="H89" s="8" t="str">
        <f>IF('Course 4'!$H87='tab4'!H$3,'Course 4'!$I87," ")</f>
        <v xml:space="preserve"> </v>
      </c>
      <c r="I89" s="8" t="str">
        <f>IF('Course 4'!$H87='tab4'!I$3,'Course 4'!$I87," ")</f>
        <v xml:space="preserve"> </v>
      </c>
      <c r="J89" s="8" t="str">
        <f>IF('Course 4'!$H87='tab4'!J$3,'Course 4'!$I87," ")</f>
        <v xml:space="preserve"> </v>
      </c>
      <c r="K89" s="8" t="str">
        <f>IF('Course 4'!$H87='tab4'!K$3,'Course 4'!$I87," ")</f>
        <v xml:space="preserve"> </v>
      </c>
      <c r="L89" s="8" t="str">
        <f>IF('Course 4'!$H87='tab4'!L$3,'Course 4'!$I87," ")</f>
        <v xml:space="preserve"> </v>
      </c>
      <c r="M89" s="8" t="str">
        <f>IF('Course 4'!$H87='tab4'!M$3,'Course 4'!$I87," ")</f>
        <v xml:space="preserve"> </v>
      </c>
      <c r="N89" s="9" t="str">
        <f>IF('Course 4'!$H87='tab4'!N$3,'Course 4'!$I87," ")</f>
        <v xml:space="preserve"> </v>
      </c>
    </row>
    <row r="90" spans="2:14">
      <c r="B90">
        <v>86</v>
      </c>
      <c r="C90" s="7" t="str">
        <f>IF('Course 4'!$H88='tab4'!C$3,'Course 4'!$I88," ")</f>
        <v xml:space="preserve"> </v>
      </c>
      <c r="D90" s="8" t="str">
        <f>IF('Course 4'!$H88='tab4'!D$3,'Course 4'!$I88," ")</f>
        <v xml:space="preserve"> </v>
      </c>
      <c r="E90" s="8" t="str">
        <f>IF('Course 4'!$H88='tab4'!E$3,'Course 4'!$I88," ")</f>
        <v xml:space="preserve"> </v>
      </c>
      <c r="F90" s="8" t="str">
        <f>IF('Course 4'!$H88='tab4'!F$3,'Course 4'!$I88," ")</f>
        <v xml:space="preserve"> </v>
      </c>
      <c r="G90" s="8" t="str">
        <f>IF('Course 4'!$H88='tab4'!G$3,'Course 4'!$I88," ")</f>
        <v xml:space="preserve"> </v>
      </c>
      <c r="H90" s="8" t="str">
        <f>IF('Course 4'!$H88='tab4'!H$3,'Course 4'!$I88," ")</f>
        <v xml:space="preserve"> </v>
      </c>
      <c r="I90" s="8" t="str">
        <f>IF('Course 4'!$H88='tab4'!I$3,'Course 4'!$I88," ")</f>
        <v xml:space="preserve"> </v>
      </c>
      <c r="J90" s="8" t="str">
        <f>IF('Course 4'!$H88='tab4'!J$3,'Course 4'!$I88," ")</f>
        <v xml:space="preserve"> </v>
      </c>
      <c r="K90" s="8" t="str">
        <f>IF('Course 4'!$H88='tab4'!K$3,'Course 4'!$I88," ")</f>
        <v xml:space="preserve"> </v>
      </c>
      <c r="L90" s="8" t="str">
        <f>IF('Course 4'!$H88='tab4'!L$3,'Course 4'!$I88," ")</f>
        <v xml:space="preserve"> </v>
      </c>
      <c r="M90" s="8" t="str">
        <f>IF('Course 4'!$H88='tab4'!M$3,'Course 4'!$I88," ")</f>
        <v xml:space="preserve"> </v>
      </c>
      <c r="N90" s="9" t="str">
        <f>IF('Course 4'!$H88='tab4'!N$3,'Course 4'!$I88," ")</f>
        <v xml:space="preserve"> </v>
      </c>
    </row>
    <row r="91" spans="2:14">
      <c r="B91">
        <v>87</v>
      </c>
      <c r="C91" s="7" t="str">
        <f>IF('Course 4'!$H89='tab4'!C$3,'Course 4'!$I89," ")</f>
        <v xml:space="preserve"> </v>
      </c>
      <c r="D91" s="8" t="str">
        <f>IF('Course 4'!$H89='tab4'!D$3,'Course 4'!$I89," ")</f>
        <v xml:space="preserve"> </v>
      </c>
      <c r="E91" s="8" t="str">
        <f>IF('Course 4'!$H89='tab4'!E$3,'Course 4'!$I89," ")</f>
        <v xml:space="preserve"> </v>
      </c>
      <c r="F91" s="8" t="str">
        <f>IF('Course 4'!$H89='tab4'!F$3,'Course 4'!$I89," ")</f>
        <v xml:space="preserve"> </v>
      </c>
      <c r="G91" s="8" t="str">
        <f>IF('Course 4'!$H89='tab4'!G$3,'Course 4'!$I89," ")</f>
        <v xml:space="preserve"> </v>
      </c>
      <c r="H91" s="8" t="str">
        <f>IF('Course 4'!$H89='tab4'!H$3,'Course 4'!$I89," ")</f>
        <v xml:space="preserve"> </v>
      </c>
      <c r="I91" s="8" t="str">
        <f>IF('Course 4'!$H89='tab4'!I$3,'Course 4'!$I89," ")</f>
        <v xml:space="preserve"> </v>
      </c>
      <c r="J91" s="8" t="str">
        <f>IF('Course 4'!$H89='tab4'!J$3,'Course 4'!$I89," ")</f>
        <v xml:space="preserve"> </v>
      </c>
      <c r="K91" s="8" t="str">
        <f>IF('Course 4'!$H89='tab4'!K$3,'Course 4'!$I89," ")</f>
        <v xml:space="preserve"> </v>
      </c>
      <c r="L91" s="8" t="str">
        <f>IF('Course 4'!$H89='tab4'!L$3,'Course 4'!$I89," ")</f>
        <v xml:space="preserve"> </v>
      </c>
      <c r="M91" s="8" t="str">
        <f>IF('Course 4'!$H89='tab4'!M$3,'Course 4'!$I89," ")</f>
        <v xml:space="preserve"> </v>
      </c>
      <c r="N91" s="9" t="str">
        <f>IF('Course 4'!$H89='tab4'!N$3,'Course 4'!$I89," ")</f>
        <v xml:space="preserve"> </v>
      </c>
    </row>
    <row r="92" spans="2:14">
      <c r="B92">
        <v>88</v>
      </c>
      <c r="C92" s="7" t="str">
        <f>IF('Course 4'!$H90='tab4'!C$3,'Course 4'!$I90," ")</f>
        <v xml:space="preserve"> </v>
      </c>
      <c r="D92" s="8" t="str">
        <f>IF('Course 4'!$H90='tab4'!D$3,'Course 4'!$I90," ")</f>
        <v xml:space="preserve"> </v>
      </c>
      <c r="E92" s="8" t="str">
        <f>IF('Course 4'!$H90='tab4'!E$3,'Course 4'!$I90," ")</f>
        <v xml:space="preserve"> </v>
      </c>
      <c r="F92" s="8" t="str">
        <f>IF('Course 4'!$H90='tab4'!F$3,'Course 4'!$I90," ")</f>
        <v xml:space="preserve"> </v>
      </c>
      <c r="G92" s="8" t="str">
        <f>IF('Course 4'!$H90='tab4'!G$3,'Course 4'!$I90," ")</f>
        <v xml:space="preserve"> </v>
      </c>
      <c r="H92" s="8" t="str">
        <f>IF('Course 4'!$H90='tab4'!H$3,'Course 4'!$I90," ")</f>
        <v xml:space="preserve"> </v>
      </c>
      <c r="I92" s="8" t="str">
        <f>IF('Course 4'!$H90='tab4'!I$3,'Course 4'!$I90," ")</f>
        <v xml:space="preserve"> </v>
      </c>
      <c r="J92" s="8" t="str">
        <f>IF('Course 4'!$H90='tab4'!J$3,'Course 4'!$I90," ")</f>
        <v xml:space="preserve"> </v>
      </c>
      <c r="K92" s="8" t="str">
        <f>IF('Course 4'!$H90='tab4'!K$3,'Course 4'!$I90," ")</f>
        <v xml:space="preserve"> </v>
      </c>
      <c r="L92" s="8" t="str">
        <f>IF('Course 4'!$H90='tab4'!L$3,'Course 4'!$I90," ")</f>
        <v xml:space="preserve"> </v>
      </c>
      <c r="M92" s="8" t="str">
        <f>IF('Course 4'!$H90='tab4'!M$3,'Course 4'!$I90," ")</f>
        <v xml:space="preserve"> </v>
      </c>
      <c r="N92" s="9" t="str">
        <f>IF('Course 4'!$H90='tab4'!N$3,'Course 4'!$I90," ")</f>
        <v xml:space="preserve"> </v>
      </c>
    </row>
    <row r="93" spans="2:14">
      <c r="B93">
        <v>89</v>
      </c>
      <c r="C93" s="7" t="str">
        <f>IF('Course 4'!$H91='tab4'!C$3,'Course 4'!$I91," ")</f>
        <v xml:space="preserve"> </v>
      </c>
      <c r="D93" s="8" t="str">
        <f>IF('Course 4'!$H91='tab4'!D$3,'Course 4'!$I91," ")</f>
        <v xml:space="preserve"> </v>
      </c>
      <c r="E93" s="8" t="str">
        <f>IF('Course 4'!$H91='tab4'!E$3,'Course 4'!$I91," ")</f>
        <v xml:space="preserve"> </v>
      </c>
      <c r="F93" s="8" t="str">
        <f>IF('Course 4'!$H91='tab4'!F$3,'Course 4'!$I91," ")</f>
        <v xml:space="preserve"> </v>
      </c>
      <c r="G93" s="8" t="str">
        <f>IF('Course 4'!$H91='tab4'!G$3,'Course 4'!$I91," ")</f>
        <v xml:space="preserve"> </v>
      </c>
      <c r="H93" s="8" t="str">
        <f>IF('Course 4'!$H91='tab4'!H$3,'Course 4'!$I91," ")</f>
        <v xml:space="preserve"> </v>
      </c>
      <c r="I93" s="8" t="str">
        <f>IF('Course 4'!$H91='tab4'!I$3,'Course 4'!$I91," ")</f>
        <v xml:space="preserve"> </v>
      </c>
      <c r="J93" s="8" t="str">
        <f>IF('Course 4'!$H91='tab4'!J$3,'Course 4'!$I91," ")</f>
        <v xml:space="preserve"> </v>
      </c>
      <c r="K93" s="8" t="str">
        <f>IF('Course 4'!$H91='tab4'!K$3,'Course 4'!$I91," ")</f>
        <v xml:space="preserve"> </v>
      </c>
      <c r="L93" s="8" t="str">
        <f>IF('Course 4'!$H91='tab4'!L$3,'Course 4'!$I91," ")</f>
        <v xml:space="preserve"> </v>
      </c>
      <c r="M93" s="8" t="str">
        <f>IF('Course 4'!$H91='tab4'!M$3,'Course 4'!$I91," ")</f>
        <v xml:space="preserve"> </v>
      </c>
      <c r="N93" s="9" t="str">
        <f>IF('Course 4'!$H91='tab4'!N$3,'Course 4'!$I91," ")</f>
        <v xml:space="preserve"> </v>
      </c>
    </row>
    <row r="94" spans="2:14">
      <c r="B94">
        <v>90</v>
      </c>
      <c r="C94" s="7" t="str">
        <f>IF('Course 4'!$H92='tab4'!C$3,'Course 4'!$I92," ")</f>
        <v xml:space="preserve"> </v>
      </c>
      <c r="D94" s="8" t="str">
        <f>IF('Course 4'!$H92='tab4'!D$3,'Course 4'!$I92," ")</f>
        <v xml:space="preserve"> </v>
      </c>
      <c r="E94" s="8" t="str">
        <f>IF('Course 4'!$H92='tab4'!E$3,'Course 4'!$I92," ")</f>
        <v xml:space="preserve"> </v>
      </c>
      <c r="F94" s="8" t="str">
        <f>IF('Course 4'!$H92='tab4'!F$3,'Course 4'!$I92," ")</f>
        <v xml:space="preserve"> </v>
      </c>
      <c r="G94" s="8" t="str">
        <f>IF('Course 4'!$H92='tab4'!G$3,'Course 4'!$I92," ")</f>
        <v xml:space="preserve"> </v>
      </c>
      <c r="H94" s="8" t="str">
        <f>IF('Course 4'!$H92='tab4'!H$3,'Course 4'!$I92," ")</f>
        <v xml:space="preserve"> </v>
      </c>
      <c r="I94" s="8" t="str">
        <f>IF('Course 4'!$H92='tab4'!I$3,'Course 4'!$I92," ")</f>
        <v xml:space="preserve"> </v>
      </c>
      <c r="J94" s="8" t="str">
        <f>IF('Course 4'!$H92='tab4'!J$3,'Course 4'!$I92," ")</f>
        <v xml:space="preserve"> </v>
      </c>
      <c r="K94" s="8" t="str">
        <f>IF('Course 4'!$H92='tab4'!K$3,'Course 4'!$I92," ")</f>
        <v xml:space="preserve"> </v>
      </c>
      <c r="L94" s="8" t="str">
        <f>IF('Course 4'!$H92='tab4'!L$3,'Course 4'!$I92," ")</f>
        <v xml:space="preserve"> </v>
      </c>
      <c r="M94" s="8" t="str">
        <f>IF('Course 4'!$H92='tab4'!M$3,'Course 4'!$I92," ")</f>
        <v xml:space="preserve"> </v>
      </c>
      <c r="N94" s="9" t="str">
        <f>IF('Course 4'!$H92='tab4'!N$3,'Course 4'!$I92," ")</f>
        <v xml:space="preserve"> </v>
      </c>
    </row>
    <row r="95" spans="2:14">
      <c r="B95">
        <v>91</v>
      </c>
      <c r="C95" s="7" t="str">
        <f>IF('Course 4'!$H93='tab4'!C$3,'Course 4'!$I93," ")</f>
        <v xml:space="preserve"> </v>
      </c>
      <c r="D95" s="8" t="str">
        <f>IF('Course 4'!$H93='tab4'!D$3,'Course 4'!$I93," ")</f>
        <v xml:space="preserve"> </v>
      </c>
      <c r="E95" s="8" t="str">
        <f>IF('Course 4'!$H93='tab4'!E$3,'Course 4'!$I93," ")</f>
        <v xml:space="preserve"> </v>
      </c>
      <c r="F95" s="8" t="str">
        <f>IF('Course 4'!$H93='tab4'!F$3,'Course 4'!$I93," ")</f>
        <v xml:space="preserve"> </v>
      </c>
      <c r="G95" s="8" t="str">
        <f>IF('Course 4'!$H93='tab4'!G$3,'Course 4'!$I93," ")</f>
        <v xml:space="preserve"> </v>
      </c>
      <c r="H95" s="8" t="str">
        <f>IF('Course 4'!$H93='tab4'!H$3,'Course 4'!$I93," ")</f>
        <v xml:space="preserve"> </v>
      </c>
      <c r="I95" s="8" t="str">
        <f>IF('Course 4'!$H93='tab4'!I$3,'Course 4'!$I93," ")</f>
        <v xml:space="preserve"> </v>
      </c>
      <c r="J95" s="8" t="str">
        <f>IF('Course 4'!$H93='tab4'!J$3,'Course 4'!$I93," ")</f>
        <v xml:space="preserve"> </v>
      </c>
      <c r="K95" s="8" t="str">
        <f>IF('Course 4'!$H93='tab4'!K$3,'Course 4'!$I93," ")</f>
        <v xml:space="preserve"> </v>
      </c>
      <c r="L95" s="8" t="str">
        <f>IF('Course 4'!$H93='tab4'!L$3,'Course 4'!$I93," ")</f>
        <v xml:space="preserve"> </v>
      </c>
      <c r="M95" s="8" t="str">
        <f>IF('Course 4'!$H93='tab4'!M$3,'Course 4'!$I93," ")</f>
        <v xml:space="preserve"> </v>
      </c>
      <c r="N95" s="9" t="str">
        <f>IF('Course 4'!$H93='tab4'!N$3,'Course 4'!$I93," ")</f>
        <v xml:space="preserve"> </v>
      </c>
    </row>
    <row r="96" spans="2:14">
      <c r="B96">
        <v>92</v>
      </c>
      <c r="C96" s="7" t="str">
        <f>IF('Course 4'!$H94='tab4'!C$3,'Course 4'!$I94," ")</f>
        <v xml:space="preserve"> </v>
      </c>
      <c r="D96" s="8" t="str">
        <f>IF('Course 4'!$H94='tab4'!D$3,'Course 4'!$I94," ")</f>
        <v xml:space="preserve"> </v>
      </c>
      <c r="E96" s="8" t="str">
        <f>IF('Course 4'!$H94='tab4'!E$3,'Course 4'!$I94," ")</f>
        <v xml:space="preserve"> </v>
      </c>
      <c r="F96" s="8" t="str">
        <f>IF('Course 4'!$H94='tab4'!F$3,'Course 4'!$I94," ")</f>
        <v xml:space="preserve"> </v>
      </c>
      <c r="G96" s="8" t="str">
        <f>IF('Course 4'!$H94='tab4'!G$3,'Course 4'!$I94," ")</f>
        <v xml:space="preserve"> </v>
      </c>
      <c r="H96" s="8" t="str">
        <f>IF('Course 4'!$H94='tab4'!H$3,'Course 4'!$I94," ")</f>
        <v xml:space="preserve"> </v>
      </c>
      <c r="I96" s="8" t="str">
        <f>IF('Course 4'!$H94='tab4'!I$3,'Course 4'!$I94," ")</f>
        <v xml:space="preserve"> </v>
      </c>
      <c r="J96" s="8" t="str">
        <f>IF('Course 4'!$H94='tab4'!J$3,'Course 4'!$I94," ")</f>
        <v xml:space="preserve"> </v>
      </c>
      <c r="K96" s="8" t="str">
        <f>IF('Course 4'!$H94='tab4'!K$3,'Course 4'!$I94," ")</f>
        <v xml:space="preserve"> </v>
      </c>
      <c r="L96" s="8" t="str">
        <f>IF('Course 4'!$H94='tab4'!L$3,'Course 4'!$I94," ")</f>
        <v xml:space="preserve"> </v>
      </c>
      <c r="M96" s="8" t="str">
        <f>IF('Course 4'!$H94='tab4'!M$3,'Course 4'!$I94," ")</f>
        <v xml:space="preserve"> </v>
      </c>
      <c r="N96" s="9" t="str">
        <f>IF('Course 4'!$H94='tab4'!N$3,'Course 4'!$I94," ")</f>
        <v xml:space="preserve"> </v>
      </c>
    </row>
    <row r="97" spans="2:14">
      <c r="B97">
        <v>93</v>
      </c>
      <c r="C97" s="7" t="str">
        <f>IF('Course 4'!$H95='tab4'!C$3,'Course 4'!$I95," ")</f>
        <v xml:space="preserve"> </v>
      </c>
      <c r="D97" s="8" t="str">
        <f>IF('Course 4'!$H95='tab4'!D$3,'Course 4'!$I95," ")</f>
        <v xml:space="preserve"> </v>
      </c>
      <c r="E97" s="8" t="str">
        <f>IF('Course 4'!$H95='tab4'!E$3,'Course 4'!$I95," ")</f>
        <v xml:space="preserve"> </v>
      </c>
      <c r="F97" s="8" t="str">
        <f>IF('Course 4'!$H95='tab4'!F$3,'Course 4'!$I95," ")</f>
        <v xml:space="preserve"> </v>
      </c>
      <c r="G97" s="8" t="str">
        <f>IF('Course 4'!$H95='tab4'!G$3,'Course 4'!$I95," ")</f>
        <v xml:space="preserve"> </v>
      </c>
      <c r="H97" s="8" t="str">
        <f>IF('Course 4'!$H95='tab4'!H$3,'Course 4'!$I95," ")</f>
        <v xml:space="preserve"> </v>
      </c>
      <c r="I97" s="8" t="str">
        <f>IF('Course 4'!$H95='tab4'!I$3,'Course 4'!$I95," ")</f>
        <v xml:space="preserve"> </v>
      </c>
      <c r="J97" s="8" t="str">
        <f>IF('Course 4'!$H95='tab4'!J$3,'Course 4'!$I95," ")</f>
        <v xml:space="preserve"> </v>
      </c>
      <c r="K97" s="8" t="str">
        <f>IF('Course 4'!$H95='tab4'!K$3,'Course 4'!$I95," ")</f>
        <v xml:space="preserve"> </v>
      </c>
      <c r="L97" s="8" t="str">
        <f>IF('Course 4'!$H95='tab4'!L$3,'Course 4'!$I95," ")</f>
        <v xml:space="preserve"> </v>
      </c>
      <c r="M97" s="8" t="str">
        <f>IF('Course 4'!$H95='tab4'!M$3,'Course 4'!$I95," ")</f>
        <v xml:space="preserve"> </v>
      </c>
      <c r="N97" s="9" t="str">
        <f>IF('Course 4'!$H95='tab4'!N$3,'Course 4'!$I95," ")</f>
        <v xml:space="preserve"> </v>
      </c>
    </row>
    <row r="98" spans="2:14">
      <c r="B98">
        <v>94</v>
      </c>
      <c r="C98" s="7" t="str">
        <f>IF('Course 4'!$H96='tab4'!C$3,'Course 4'!$I96," ")</f>
        <v xml:space="preserve"> </v>
      </c>
      <c r="D98" s="8" t="str">
        <f>IF('Course 4'!$H96='tab4'!D$3,'Course 4'!$I96," ")</f>
        <v xml:space="preserve"> </v>
      </c>
      <c r="E98" s="8" t="str">
        <f>IF('Course 4'!$H96='tab4'!E$3,'Course 4'!$I96," ")</f>
        <v xml:space="preserve"> </v>
      </c>
      <c r="F98" s="8" t="str">
        <f>IF('Course 4'!$H96='tab4'!F$3,'Course 4'!$I96," ")</f>
        <v xml:space="preserve"> </v>
      </c>
      <c r="G98" s="8" t="str">
        <f>IF('Course 4'!$H96='tab4'!G$3,'Course 4'!$I96," ")</f>
        <v xml:space="preserve"> </v>
      </c>
      <c r="H98" s="8" t="str">
        <f>IF('Course 4'!$H96='tab4'!H$3,'Course 4'!$I96," ")</f>
        <v xml:space="preserve"> </v>
      </c>
      <c r="I98" s="8" t="str">
        <f>IF('Course 4'!$H96='tab4'!I$3,'Course 4'!$I96," ")</f>
        <v xml:space="preserve"> </v>
      </c>
      <c r="J98" s="8" t="str">
        <f>IF('Course 4'!$H96='tab4'!J$3,'Course 4'!$I96," ")</f>
        <v xml:space="preserve"> </v>
      </c>
      <c r="K98" s="8" t="str">
        <f>IF('Course 4'!$H96='tab4'!K$3,'Course 4'!$I96," ")</f>
        <v xml:space="preserve"> </v>
      </c>
      <c r="L98" s="8" t="str">
        <f>IF('Course 4'!$H96='tab4'!L$3,'Course 4'!$I96," ")</f>
        <v xml:space="preserve"> </v>
      </c>
      <c r="M98" s="8" t="str">
        <f>IF('Course 4'!$H96='tab4'!M$3,'Course 4'!$I96," ")</f>
        <v xml:space="preserve"> </v>
      </c>
      <c r="N98" s="9" t="str">
        <f>IF('Course 4'!$H96='tab4'!N$3,'Course 4'!$I96," ")</f>
        <v xml:space="preserve"> </v>
      </c>
    </row>
    <row r="99" spans="2:14">
      <c r="B99">
        <v>95</v>
      </c>
      <c r="C99" s="7" t="str">
        <f>IF('Course 4'!$H97='tab4'!C$3,'Course 4'!$I97," ")</f>
        <v xml:space="preserve"> </v>
      </c>
      <c r="D99" s="8" t="str">
        <f>IF('Course 4'!$H97='tab4'!D$3,'Course 4'!$I97," ")</f>
        <v xml:space="preserve"> </v>
      </c>
      <c r="E99" s="8" t="str">
        <f>IF('Course 4'!$H97='tab4'!E$3,'Course 4'!$I97," ")</f>
        <v xml:space="preserve"> </v>
      </c>
      <c r="F99" s="8" t="str">
        <f>IF('Course 4'!$H97='tab4'!F$3,'Course 4'!$I97," ")</f>
        <v xml:space="preserve"> </v>
      </c>
      <c r="G99" s="8" t="str">
        <f>IF('Course 4'!$H97='tab4'!G$3,'Course 4'!$I97," ")</f>
        <v xml:space="preserve"> </v>
      </c>
      <c r="H99" s="8" t="str">
        <f>IF('Course 4'!$H97='tab4'!H$3,'Course 4'!$I97," ")</f>
        <v xml:space="preserve"> </v>
      </c>
      <c r="I99" s="8" t="str">
        <f>IF('Course 4'!$H97='tab4'!I$3,'Course 4'!$I97," ")</f>
        <v xml:space="preserve"> </v>
      </c>
      <c r="J99" s="8" t="str">
        <f>IF('Course 4'!$H97='tab4'!J$3,'Course 4'!$I97," ")</f>
        <v xml:space="preserve"> </v>
      </c>
      <c r="K99" s="8" t="str">
        <f>IF('Course 4'!$H97='tab4'!K$3,'Course 4'!$I97," ")</f>
        <v xml:space="preserve"> </v>
      </c>
      <c r="L99" s="8" t="str">
        <f>IF('Course 4'!$H97='tab4'!L$3,'Course 4'!$I97," ")</f>
        <v xml:space="preserve"> </v>
      </c>
      <c r="M99" s="8" t="str">
        <f>IF('Course 4'!$H97='tab4'!M$3,'Course 4'!$I97," ")</f>
        <v xml:space="preserve"> </v>
      </c>
      <c r="N99" s="9" t="str">
        <f>IF('Course 4'!$H97='tab4'!N$3,'Course 4'!$I97," ")</f>
        <v xml:space="preserve"> </v>
      </c>
    </row>
    <row r="100" spans="2:14">
      <c r="B100">
        <v>96</v>
      </c>
      <c r="C100" s="7" t="str">
        <f>IF('Course 4'!$H98='tab4'!C$3,'Course 4'!$I98," ")</f>
        <v xml:space="preserve"> </v>
      </c>
      <c r="D100" s="8" t="str">
        <f>IF('Course 4'!$H98='tab4'!D$3,'Course 4'!$I98," ")</f>
        <v xml:space="preserve"> </v>
      </c>
      <c r="E100" s="8" t="str">
        <f>IF('Course 4'!$H98='tab4'!E$3,'Course 4'!$I98," ")</f>
        <v xml:space="preserve"> </v>
      </c>
      <c r="F100" s="8" t="str">
        <f>IF('Course 4'!$H98='tab4'!F$3,'Course 4'!$I98," ")</f>
        <v xml:space="preserve"> </v>
      </c>
      <c r="G100" s="8" t="str">
        <f>IF('Course 4'!$H98='tab4'!G$3,'Course 4'!$I98," ")</f>
        <v xml:space="preserve"> </v>
      </c>
      <c r="H100" s="8" t="str">
        <f>IF('Course 4'!$H98='tab4'!H$3,'Course 4'!$I98," ")</f>
        <v xml:space="preserve"> </v>
      </c>
      <c r="I100" s="8" t="str">
        <f>IF('Course 4'!$H98='tab4'!I$3,'Course 4'!$I98," ")</f>
        <v xml:space="preserve"> </v>
      </c>
      <c r="J100" s="8" t="str">
        <f>IF('Course 4'!$H98='tab4'!J$3,'Course 4'!$I98," ")</f>
        <v xml:space="preserve"> </v>
      </c>
      <c r="K100" s="8" t="str">
        <f>IF('Course 4'!$H98='tab4'!K$3,'Course 4'!$I98," ")</f>
        <v xml:space="preserve"> </v>
      </c>
      <c r="L100" s="8" t="str">
        <f>IF('Course 4'!$H98='tab4'!L$3,'Course 4'!$I98," ")</f>
        <v xml:space="preserve"> </v>
      </c>
      <c r="M100" s="8" t="str">
        <f>IF('Course 4'!$H98='tab4'!M$3,'Course 4'!$I98," ")</f>
        <v xml:space="preserve"> </v>
      </c>
      <c r="N100" s="9" t="str">
        <f>IF('Course 4'!$H98='tab4'!N$3,'Course 4'!$I98," ")</f>
        <v xml:space="preserve"> </v>
      </c>
    </row>
    <row r="101" spans="2:14">
      <c r="B101">
        <v>97</v>
      </c>
      <c r="C101" s="7" t="str">
        <f>IF('Course 4'!$H99='tab4'!C$3,'Course 4'!$I99," ")</f>
        <v xml:space="preserve"> </v>
      </c>
      <c r="D101" s="8" t="str">
        <f>IF('Course 4'!$H99='tab4'!D$3,'Course 4'!$I99," ")</f>
        <v xml:space="preserve"> </v>
      </c>
      <c r="E101" s="8" t="str">
        <f>IF('Course 4'!$H99='tab4'!E$3,'Course 4'!$I99," ")</f>
        <v xml:space="preserve"> </v>
      </c>
      <c r="F101" s="8" t="str">
        <f>IF('Course 4'!$H99='tab4'!F$3,'Course 4'!$I99," ")</f>
        <v xml:space="preserve"> </v>
      </c>
      <c r="G101" s="8" t="str">
        <f>IF('Course 4'!$H99='tab4'!G$3,'Course 4'!$I99," ")</f>
        <v xml:space="preserve"> </v>
      </c>
      <c r="H101" s="8" t="str">
        <f>IF('Course 4'!$H99='tab4'!H$3,'Course 4'!$I99," ")</f>
        <v xml:space="preserve"> </v>
      </c>
      <c r="I101" s="8" t="str">
        <f>IF('Course 4'!$H99='tab4'!I$3,'Course 4'!$I99," ")</f>
        <v xml:space="preserve"> </v>
      </c>
      <c r="J101" s="8" t="str">
        <f>IF('Course 4'!$H99='tab4'!J$3,'Course 4'!$I99," ")</f>
        <v xml:space="preserve"> </v>
      </c>
      <c r="K101" s="8" t="str">
        <f>IF('Course 4'!$H99='tab4'!K$3,'Course 4'!$I99," ")</f>
        <v xml:space="preserve"> </v>
      </c>
      <c r="L101" s="8" t="str">
        <f>IF('Course 4'!$H99='tab4'!L$3,'Course 4'!$I99," ")</f>
        <v xml:space="preserve"> </v>
      </c>
      <c r="M101" s="8" t="str">
        <f>IF('Course 4'!$H99='tab4'!M$3,'Course 4'!$I99," ")</f>
        <v xml:space="preserve"> </v>
      </c>
      <c r="N101" s="9" t="str">
        <f>IF('Course 4'!$H99='tab4'!N$3,'Course 4'!$I99," ")</f>
        <v xml:space="preserve"> </v>
      </c>
    </row>
    <row r="102" spans="2:14">
      <c r="B102">
        <v>98</v>
      </c>
      <c r="C102" s="7" t="str">
        <f>IF('Course 4'!$H100='tab4'!C$3,'Course 4'!$I100," ")</f>
        <v xml:space="preserve"> </v>
      </c>
      <c r="D102" s="8" t="str">
        <f>IF('Course 4'!$H100='tab4'!D$3,'Course 4'!$I100," ")</f>
        <v xml:space="preserve"> </v>
      </c>
      <c r="E102" s="8" t="str">
        <f>IF('Course 4'!$H100='tab4'!E$3,'Course 4'!$I100," ")</f>
        <v xml:space="preserve"> </v>
      </c>
      <c r="F102" s="8" t="str">
        <f>IF('Course 4'!$H100='tab4'!F$3,'Course 4'!$I100," ")</f>
        <v xml:space="preserve"> </v>
      </c>
      <c r="G102" s="8" t="str">
        <f>IF('Course 4'!$H100='tab4'!G$3,'Course 4'!$I100," ")</f>
        <v xml:space="preserve"> </v>
      </c>
      <c r="H102" s="8" t="str">
        <f>IF('Course 4'!$H100='tab4'!H$3,'Course 4'!$I100," ")</f>
        <v xml:space="preserve"> </v>
      </c>
      <c r="I102" s="8" t="str">
        <f>IF('Course 4'!$H100='tab4'!I$3,'Course 4'!$I100," ")</f>
        <v xml:space="preserve"> </v>
      </c>
      <c r="J102" s="8" t="str">
        <f>IF('Course 4'!$H100='tab4'!J$3,'Course 4'!$I100," ")</f>
        <v xml:space="preserve"> </v>
      </c>
      <c r="K102" s="8" t="str">
        <f>IF('Course 4'!$H100='tab4'!K$3,'Course 4'!$I100," ")</f>
        <v xml:space="preserve"> </v>
      </c>
      <c r="L102" s="8" t="str">
        <f>IF('Course 4'!$H100='tab4'!L$3,'Course 4'!$I100," ")</f>
        <v xml:space="preserve"> </v>
      </c>
      <c r="M102" s="8" t="str">
        <f>IF('Course 4'!$H100='tab4'!M$3,'Course 4'!$I100," ")</f>
        <v xml:space="preserve"> </v>
      </c>
      <c r="N102" s="9" t="str">
        <f>IF('Course 4'!$H100='tab4'!N$3,'Course 4'!$I100," ")</f>
        <v xml:space="preserve"> </v>
      </c>
    </row>
    <row r="103" spans="2:14">
      <c r="B103">
        <v>99</v>
      </c>
      <c r="C103" s="7" t="str">
        <f>IF('Course 4'!$H101='tab4'!C$3,'Course 4'!$I101," ")</f>
        <v xml:space="preserve"> </v>
      </c>
      <c r="D103" s="8" t="str">
        <f>IF('Course 4'!$H101='tab4'!D$3,'Course 4'!$I101," ")</f>
        <v xml:space="preserve"> </v>
      </c>
      <c r="E103" s="8" t="str">
        <f>IF('Course 4'!$H101='tab4'!E$3,'Course 4'!$I101," ")</f>
        <v xml:space="preserve"> </v>
      </c>
      <c r="F103" s="8" t="str">
        <f>IF('Course 4'!$H101='tab4'!F$3,'Course 4'!$I101," ")</f>
        <v xml:space="preserve"> </v>
      </c>
      <c r="G103" s="8" t="str">
        <f>IF('Course 4'!$H101='tab4'!G$3,'Course 4'!$I101," ")</f>
        <v xml:space="preserve"> </v>
      </c>
      <c r="H103" s="8" t="str">
        <f>IF('Course 4'!$H101='tab4'!H$3,'Course 4'!$I101," ")</f>
        <v xml:space="preserve"> </v>
      </c>
      <c r="I103" s="8" t="str">
        <f>IF('Course 4'!$H101='tab4'!I$3,'Course 4'!$I101," ")</f>
        <v xml:space="preserve"> </v>
      </c>
      <c r="J103" s="8" t="str">
        <f>IF('Course 4'!$H101='tab4'!J$3,'Course 4'!$I101," ")</f>
        <v xml:space="preserve"> </v>
      </c>
      <c r="K103" s="8" t="str">
        <f>IF('Course 4'!$H101='tab4'!K$3,'Course 4'!$I101," ")</f>
        <v xml:space="preserve"> </v>
      </c>
      <c r="L103" s="8" t="str">
        <f>IF('Course 4'!$H101='tab4'!L$3,'Course 4'!$I101," ")</f>
        <v xml:space="preserve"> </v>
      </c>
      <c r="M103" s="8" t="str">
        <f>IF('Course 4'!$H101='tab4'!M$3,'Course 4'!$I101," ")</f>
        <v xml:space="preserve"> </v>
      </c>
      <c r="N103" s="9" t="str">
        <f>IF('Course 4'!$H101='tab4'!N$3,'Course 4'!$I101," ")</f>
        <v xml:space="preserve"> </v>
      </c>
    </row>
    <row r="104" spans="2:14">
      <c r="B104">
        <v>100</v>
      </c>
      <c r="C104" s="7" t="str">
        <f>IF('Course 4'!$H102='tab4'!C$3,'Course 4'!$I102," ")</f>
        <v xml:space="preserve"> </v>
      </c>
      <c r="D104" s="8" t="str">
        <f>IF('Course 4'!$H102='tab4'!D$3,'Course 4'!$I102," ")</f>
        <v xml:space="preserve"> </v>
      </c>
      <c r="E104" s="8" t="str">
        <f>IF('Course 4'!$H102='tab4'!E$3,'Course 4'!$I102," ")</f>
        <v xml:space="preserve"> </v>
      </c>
      <c r="F104" s="8" t="str">
        <f>IF('Course 4'!$H102='tab4'!F$3,'Course 4'!$I102," ")</f>
        <v xml:space="preserve"> </v>
      </c>
      <c r="G104" s="8" t="str">
        <f>IF('Course 4'!$H102='tab4'!G$3,'Course 4'!$I102," ")</f>
        <v xml:space="preserve"> </v>
      </c>
      <c r="H104" s="8" t="str">
        <f>IF('Course 4'!$H102='tab4'!H$3,'Course 4'!$I102," ")</f>
        <v xml:space="preserve"> </v>
      </c>
      <c r="I104" s="8" t="str">
        <f>IF('Course 4'!$H102='tab4'!I$3,'Course 4'!$I102," ")</f>
        <v xml:space="preserve"> </v>
      </c>
      <c r="J104" s="8" t="str">
        <f>IF('Course 4'!$H102='tab4'!J$3,'Course 4'!$I102," ")</f>
        <v xml:space="preserve"> </v>
      </c>
      <c r="K104" s="8" t="str">
        <f>IF('Course 4'!$H102='tab4'!K$3,'Course 4'!$I102," ")</f>
        <v xml:space="preserve"> </v>
      </c>
      <c r="L104" s="8" t="str">
        <f>IF('Course 4'!$H102='tab4'!L$3,'Course 4'!$I102," ")</f>
        <v xml:space="preserve"> </v>
      </c>
      <c r="M104" s="8" t="str">
        <f>IF('Course 4'!$H102='tab4'!M$3,'Course 4'!$I102," ")</f>
        <v xml:space="preserve"> </v>
      </c>
      <c r="N104" s="9" t="str">
        <f>IF('Course 4'!$H102='tab4'!N$3,'Course 4'!$I102," ")</f>
        <v xml:space="preserve"> </v>
      </c>
    </row>
    <row r="105" spans="2:14">
      <c r="B105">
        <v>101</v>
      </c>
      <c r="C105" s="7" t="str">
        <f>IF('Course 4'!$H103='tab4'!C$3,'Course 4'!$I103," ")</f>
        <v xml:space="preserve"> </v>
      </c>
      <c r="D105" s="8" t="str">
        <f>IF('Course 4'!$H103='tab4'!D$3,'Course 4'!$I103," ")</f>
        <v xml:space="preserve"> </v>
      </c>
      <c r="E105" s="8" t="str">
        <f>IF('Course 4'!$H103='tab4'!E$3,'Course 4'!$I103," ")</f>
        <v xml:space="preserve"> </v>
      </c>
      <c r="F105" s="8" t="str">
        <f>IF('Course 4'!$H103='tab4'!F$3,'Course 4'!$I103," ")</f>
        <v xml:space="preserve"> </v>
      </c>
      <c r="G105" s="8" t="str">
        <f>IF('Course 4'!$H103='tab4'!G$3,'Course 4'!$I103," ")</f>
        <v xml:space="preserve"> </v>
      </c>
      <c r="H105" s="8" t="str">
        <f>IF('Course 4'!$H103='tab4'!H$3,'Course 4'!$I103," ")</f>
        <v xml:space="preserve"> </v>
      </c>
      <c r="I105" s="8" t="str">
        <f>IF('Course 4'!$H103='tab4'!I$3,'Course 4'!$I103," ")</f>
        <v xml:space="preserve"> </v>
      </c>
      <c r="J105" s="8" t="str">
        <f>IF('Course 4'!$H103='tab4'!J$3,'Course 4'!$I103," ")</f>
        <v xml:space="preserve"> </v>
      </c>
      <c r="K105" s="8" t="str">
        <f>IF('Course 4'!$H103='tab4'!K$3,'Course 4'!$I103," ")</f>
        <v xml:space="preserve"> </v>
      </c>
      <c r="L105" s="8" t="str">
        <f>IF('Course 4'!$H103='tab4'!L$3,'Course 4'!$I103," ")</f>
        <v xml:space="preserve"> </v>
      </c>
      <c r="M105" s="8" t="str">
        <f>IF('Course 4'!$H103='tab4'!M$3,'Course 4'!$I103," ")</f>
        <v xml:space="preserve"> </v>
      </c>
      <c r="N105" s="9" t="str">
        <f>IF('Course 4'!$H103='tab4'!N$3,'Course 4'!$I103," ")</f>
        <v xml:space="preserve"> </v>
      </c>
    </row>
    <row r="106" spans="2:14">
      <c r="B106">
        <v>102</v>
      </c>
      <c r="C106" s="7" t="str">
        <f>IF('Course 4'!$H104='tab4'!C$3,'Course 4'!$I104," ")</f>
        <v xml:space="preserve"> </v>
      </c>
      <c r="D106" s="8" t="str">
        <f>IF('Course 4'!$H104='tab4'!D$3,'Course 4'!$I104," ")</f>
        <v xml:space="preserve"> </v>
      </c>
      <c r="E106" s="8" t="str">
        <f>IF('Course 4'!$H104='tab4'!E$3,'Course 4'!$I104," ")</f>
        <v xml:space="preserve"> </v>
      </c>
      <c r="F106" s="8" t="str">
        <f>IF('Course 4'!$H104='tab4'!F$3,'Course 4'!$I104," ")</f>
        <v xml:space="preserve"> </v>
      </c>
      <c r="G106" s="8" t="str">
        <f>IF('Course 4'!$H104='tab4'!G$3,'Course 4'!$I104," ")</f>
        <v xml:space="preserve"> </v>
      </c>
      <c r="H106" s="8" t="str">
        <f>IF('Course 4'!$H104='tab4'!H$3,'Course 4'!$I104," ")</f>
        <v xml:space="preserve"> </v>
      </c>
      <c r="I106" s="8" t="str">
        <f>IF('Course 4'!$H104='tab4'!I$3,'Course 4'!$I104," ")</f>
        <v xml:space="preserve"> </v>
      </c>
      <c r="J106" s="8" t="str">
        <f>IF('Course 4'!$H104='tab4'!J$3,'Course 4'!$I104," ")</f>
        <v xml:space="preserve"> </v>
      </c>
      <c r="K106" s="8" t="str">
        <f>IF('Course 4'!$H104='tab4'!K$3,'Course 4'!$I104," ")</f>
        <v xml:space="preserve"> </v>
      </c>
      <c r="L106" s="8" t="str">
        <f>IF('Course 4'!$H104='tab4'!L$3,'Course 4'!$I104," ")</f>
        <v xml:space="preserve"> </v>
      </c>
      <c r="M106" s="8" t="str">
        <f>IF('Course 4'!$H104='tab4'!M$3,'Course 4'!$I104," ")</f>
        <v xml:space="preserve"> </v>
      </c>
      <c r="N106" s="9" t="str">
        <f>IF('Course 4'!$H104='tab4'!N$3,'Course 4'!$I104," ")</f>
        <v xml:space="preserve"> </v>
      </c>
    </row>
    <row r="107" spans="2:14">
      <c r="B107">
        <v>103</v>
      </c>
      <c r="C107" s="7" t="str">
        <f>IF('Course 4'!$H105='tab4'!C$3,'Course 4'!$I105," ")</f>
        <v xml:space="preserve"> </v>
      </c>
      <c r="D107" s="8" t="str">
        <f>IF('Course 4'!$H105='tab4'!D$3,'Course 4'!$I105," ")</f>
        <v xml:space="preserve"> </v>
      </c>
      <c r="E107" s="8" t="str">
        <f>IF('Course 4'!$H105='tab4'!E$3,'Course 4'!$I105," ")</f>
        <v xml:space="preserve"> </v>
      </c>
      <c r="F107" s="8" t="str">
        <f>IF('Course 4'!$H105='tab4'!F$3,'Course 4'!$I105," ")</f>
        <v xml:space="preserve"> </v>
      </c>
      <c r="G107" s="8" t="str">
        <f>IF('Course 4'!$H105='tab4'!G$3,'Course 4'!$I105," ")</f>
        <v xml:space="preserve"> </v>
      </c>
      <c r="H107" s="8" t="str">
        <f>IF('Course 4'!$H105='tab4'!H$3,'Course 4'!$I105," ")</f>
        <v xml:space="preserve"> </v>
      </c>
      <c r="I107" s="8" t="str">
        <f>IF('Course 4'!$H105='tab4'!I$3,'Course 4'!$I105," ")</f>
        <v xml:space="preserve"> </v>
      </c>
      <c r="J107" s="8" t="str">
        <f>IF('Course 4'!$H105='tab4'!J$3,'Course 4'!$I105," ")</f>
        <v xml:space="preserve"> </v>
      </c>
      <c r="K107" s="8" t="str">
        <f>IF('Course 4'!$H105='tab4'!K$3,'Course 4'!$I105," ")</f>
        <v xml:space="preserve"> </v>
      </c>
      <c r="L107" s="8" t="str">
        <f>IF('Course 4'!$H105='tab4'!L$3,'Course 4'!$I105," ")</f>
        <v xml:space="preserve"> </v>
      </c>
      <c r="M107" s="8" t="str">
        <f>IF('Course 4'!$H105='tab4'!M$3,'Course 4'!$I105," ")</f>
        <v xml:space="preserve"> </v>
      </c>
      <c r="N107" s="9" t="str">
        <f>IF('Course 4'!$H105='tab4'!N$3,'Course 4'!$I105," ")</f>
        <v xml:space="preserve"> </v>
      </c>
    </row>
    <row r="108" spans="2:14">
      <c r="B108">
        <v>104</v>
      </c>
      <c r="C108" s="7" t="str">
        <f>IF('Course 4'!$H106='tab4'!C$3,'Course 4'!$I106," ")</f>
        <v xml:space="preserve"> </v>
      </c>
      <c r="D108" s="8" t="str">
        <f>IF('Course 4'!$H106='tab4'!D$3,'Course 4'!$I106," ")</f>
        <v xml:space="preserve"> </v>
      </c>
      <c r="E108" s="8" t="str">
        <f>IF('Course 4'!$H106='tab4'!E$3,'Course 4'!$I106," ")</f>
        <v xml:space="preserve"> </v>
      </c>
      <c r="F108" s="8" t="str">
        <f>IF('Course 4'!$H106='tab4'!F$3,'Course 4'!$I106," ")</f>
        <v xml:space="preserve"> </v>
      </c>
      <c r="G108" s="8" t="str">
        <f>IF('Course 4'!$H106='tab4'!G$3,'Course 4'!$I106," ")</f>
        <v xml:space="preserve"> </v>
      </c>
      <c r="H108" s="8" t="str">
        <f>IF('Course 4'!$H106='tab4'!H$3,'Course 4'!$I106," ")</f>
        <v xml:space="preserve"> </v>
      </c>
      <c r="I108" s="8" t="str">
        <f>IF('Course 4'!$H106='tab4'!I$3,'Course 4'!$I106," ")</f>
        <v xml:space="preserve"> </v>
      </c>
      <c r="J108" s="8" t="str">
        <f>IF('Course 4'!$H106='tab4'!J$3,'Course 4'!$I106," ")</f>
        <v xml:space="preserve"> </v>
      </c>
      <c r="K108" s="8" t="str">
        <f>IF('Course 4'!$H106='tab4'!K$3,'Course 4'!$I106," ")</f>
        <v xml:space="preserve"> </v>
      </c>
      <c r="L108" s="8" t="str">
        <f>IF('Course 4'!$H106='tab4'!L$3,'Course 4'!$I106," ")</f>
        <v xml:space="preserve"> </v>
      </c>
      <c r="M108" s="8" t="str">
        <f>IF('Course 4'!$H106='tab4'!M$3,'Course 4'!$I106," ")</f>
        <v xml:space="preserve"> </v>
      </c>
      <c r="N108" s="9" t="str">
        <f>IF('Course 4'!$H106='tab4'!N$3,'Course 4'!$I106," ")</f>
        <v xml:space="preserve"> </v>
      </c>
    </row>
    <row r="109" spans="2:14">
      <c r="B109">
        <v>105</v>
      </c>
      <c r="C109" s="7" t="str">
        <f>IF('Course 4'!$H107='tab4'!C$3,'Course 4'!$I107," ")</f>
        <v xml:space="preserve"> </v>
      </c>
      <c r="D109" s="8" t="str">
        <f>IF('Course 4'!$H107='tab4'!D$3,'Course 4'!$I107," ")</f>
        <v xml:space="preserve"> </v>
      </c>
      <c r="E109" s="8" t="str">
        <f>IF('Course 4'!$H107='tab4'!E$3,'Course 4'!$I107," ")</f>
        <v xml:space="preserve"> </v>
      </c>
      <c r="F109" s="8" t="str">
        <f>IF('Course 4'!$H107='tab4'!F$3,'Course 4'!$I107," ")</f>
        <v xml:space="preserve"> </v>
      </c>
      <c r="G109" s="8" t="str">
        <f>IF('Course 4'!$H107='tab4'!G$3,'Course 4'!$I107," ")</f>
        <v xml:space="preserve"> </v>
      </c>
      <c r="H109" s="8" t="str">
        <f>IF('Course 4'!$H107='tab4'!H$3,'Course 4'!$I107," ")</f>
        <v xml:space="preserve"> </v>
      </c>
      <c r="I109" s="8" t="str">
        <f>IF('Course 4'!$H107='tab4'!I$3,'Course 4'!$I107," ")</f>
        <v xml:space="preserve"> </v>
      </c>
      <c r="J109" s="8" t="str">
        <f>IF('Course 4'!$H107='tab4'!J$3,'Course 4'!$I107," ")</f>
        <v xml:space="preserve"> </v>
      </c>
      <c r="K109" s="8" t="str">
        <f>IF('Course 4'!$H107='tab4'!K$3,'Course 4'!$I107," ")</f>
        <v xml:space="preserve"> </v>
      </c>
      <c r="L109" s="8" t="str">
        <f>IF('Course 4'!$H107='tab4'!L$3,'Course 4'!$I107," ")</f>
        <v xml:space="preserve"> </v>
      </c>
      <c r="M109" s="8" t="str">
        <f>IF('Course 4'!$H107='tab4'!M$3,'Course 4'!$I107," ")</f>
        <v xml:space="preserve"> </v>
      </c>
      <c r="N109" s="9" t="str">
        <f>IF('Course 4'!$H107='tab4'!N$3,'Course 4'!$I107," ")</f>
        <v xml:space="preserve"> </v>
      </c>
    </row>
    <row r="110" spans="2:14">
      <c r="B110">
        <v>106</v>
      </c>
      <c r="C110" s="7" t="str">
        <f>IF('Course 4'!$H108='tab4'!C$3,'Course 4'!$I108," ")</f>
        <v xml:space="preserve"> </v>
      </c>
      <c r="D110" s="8" t="str">
        <f>IF('Course 4'!$H108='tab4'!D$3,'Course 4'!$I108," ")</f>
        <v xml:space="preserve"> </v>
      </c>
      <c r="E110" s="8" t="str">
        <f>IF('Course 4'!$H108='tab4'!E$3,'Course 4'!$I108," ")</f>
        <v xml:space="preserve"> </v>
      </c>
      <c r="F110" s="8" t="str">
        <f>IF('Course 4'!$H108='tab4'!F$3,'Course 4'!$I108," ")</f>
        <v xml:space="preserve"> </v>
      </c>
      <c r="G110" s="8" t="str">
        <f>IF('Course 4'!$H108='tab4'!G$3,'Course 4'!$I108," ")</f>
        <v xml:space="preserve"> </v>
      </c>
      <c r="H110" s="8" t="str">
        <f>IF('Course 4'!$H108='tab4'!H$3,'Course 4'!$I108," ")</f>
        <v xml:space="preserve"> </v>
      </c>
      <c r="I110" s="8" t="str">
        <f>IF('Course 4'!$H108='tab4'!I$3,'Course 4'!$I108," ")</f>
        <v xml:space="preserve"> </v>
      </c>
      <c r="J110" s="8" t="str">
        <f>IF('Course 4'!$H108='tab4'!J$3,'Course 4'!$I108," ")</f>
        <v xml:space="preserve"> </v>
      </c>
      <c r="K110" s="8" t="str">
        <f>IF('Course 4'!$H108='tab4'!K$3,'Course 4'!$I108," ")</f>
        <v xml:space="preserve"> </v>
      </c>
      <c r="L110" s="8" t="str">
        <f>IF('Course 4'!$H108='tab4'!L$3,'Course 4'!$I108," ")</f>
        <v xml:space="preserve"> </v>
      </c>
      <c r="M110" s="8" t="str">
        <f>IF('Course 4'!$H108='tab4'!M$3,'Course 4'!$I108," ")</f>
        <v xml:space="preserve"> </v>
      </c>
      <c r="N110" s="9" t="str">
        <f>IF('Course 4'!$H108='tab4'!N$3,'Course 4'!$I108," ")</f>
        <v xml:space="preserve"> </v>
      </c>
    </row>
    <row r="111" spans="2:14">
      <c r="B111">
        <v>107</v>
      </c>
      <c r="C111" s="7" t="str">
        <f>IF('Course 4'!$H109='tab4'!C$3,'Course 4'!$I109," ")</f>
        <v xml:space="preserve"> </v>
      </c>
      <c r="D111" s="8" t="str">
        <f>IF('Course 4'!$H109='tab4'!D$3,'Course 4'!$I109," ")</f>
        <v xml:space="preserve"> </v>
      </c>
      <c r="E111" s="8" t="str">
        <f>IF('Course 4'!$H109='tab4'!E$3,'Course 4'!$I109," ")</f>
        <v xml:space="preserve"> </v>
      </c>
      <c r="F111" s="8" t="str">
        <f>IF('Course 4'!$H109='tab4'!F$3,'Course 4'!$I109," ")</f>
        <v xml:space="preserve"> </v>
      </c>
      <c r="G111" s="8" t="str">
        <f>IF('Course 4'!$H109='tab4'!G$3,'Course 4'!$I109," ")</f>
        <v xml:space="preserve"> </v>
      </c>
      <c r="H111" s="8" t="str">
        <f>IF('Course 4'!$H109='tab4'!H$3,'Course 4'!$I109," ")</f>
        <v xml:space="preserve"> </v>
      </c>
      <c r="I111" s="8" t="str">
        <f>IF('Course 4'!$H109='tab4'!I$3,'Course 4'!$I109," ")</f>
        <v xml:space="preserve"> </v>
      </c>
      <c r="J111" s="8" t="str">
        <f>IF('Course 4'!$H109='tab4'!J$3,'Course 4'!$I109," ")</f>
        <v xml:space="preserve"> </v>
      </c>
      <c r="K111" s="8" t="str">
        <f>IF('Course 4'!$H109='tab4'!K$3,'Course 4'!$I109," ")</f>
        <v xml:space="preserve"> </v>
      </c>
      <c r="L111" s="8" t="str">
        <f>IF('Course 4'!$H109='tab4'!L$3,'Course 4'!$I109," ")</f>
        <v xml:space="preserve"> </v>
      </c>
      <c r="M111" s="8" t="str">
        <f>IF('Course 4'!$H109='tab4'!M$3,'Course 4'!$I109," ")</f>
        <v xml:space="preserve"> </v>
      </c>
      <c r="N111" s="9" t="str">
        <f>IF('Course 4'!$H109='tab4'!N$3,'Course 4'!$I109," ")</f>
        <v xml:space="preserve"> </v>
      </c>
    </row>
    <row r="112" spans="2:14">
      <c r="B112">
        <v>108</v>
      </c>
      <c r="C112" s="7" t="str">
        <f>IF('Course 4'!$H110='tab4'!C$3,'Course 4'!$I110," ")</f>
        <v xml:space="preserve"> </v>
      </c>
      <c r="D112" s="8" t="str">
        <f>IF('Course 4'!$H110='tab4'!D$3,'Course 4'!$I110," ")</f>
        <v xml:space="preserve"> </v>
      </c>
      <c r="E112" s="8" t="str">
        <f>IF('Course 4'!$H110='tab4'!E$3,'Course 4'!$I110," ")</f>
        <v xml:space="preserve"> </v>
      </c>
      <c r="F112" s="8" t="str">
        <f>IF('Course 4'!$H110='tab4'!F$3,'Course 4'!$I110," ")</f>
        <v xml:space="preserve"> </v>
      </c>
      <c r="G112" s="8" t="str">
        <f>IF('Course 4'!$H110='tab4'!G$3,'Course 4'!$I110," ")</f>
        <v xml:space="preserve"> </v>
      </c>
      <c r="H112" s="8" t="str">
        <f>IF('Course 4'!$H110='tab4'!H$3,'Course 4'!$I110," ")</f>
        <v xml:space="preserve"> </v>
      </c>
      <c r="I112" s="8" t="str">
        <f>IF('Course 4'!$H110='tab4'!I$3,'Course 4'!$I110," ")</f>
        <v xml:space="preserve"> </v>
      </c>
      <c r="J112" s="8" t="str">
        <f>IF('Course 4'!$H110='tab4'!J$3,'Course 4'!$I110," ")</f>
        <v xml:space="preserve"> </v>
      </c>
      <c r="K112" s="8" t="str">
        <f>IF('Course 4'!$H110='tab4'!K$3,'Course 4'!$I110," ")</f>
        <v xml:space="preserve"> </v>
      </c>
      <c r="L112" s="8" t="str">
        <f>IF('Course 4'!$H110='tab4'!L$3,'Course 4'!$I110," ")</f>
        <v xml:space="preserve"> </v>
      </c>
      <c r="M112" s="8" t="str">
        <f>IF('Course 4'!$H110='tab4'!M$3,'Course 4'!$I110," ")</f>
        <v xml:space="preserve"> </v>
      </c>
      <c r="N112" s="9" t="str">
        <f>IF('Course 4'!$H110='tab4'!N$3,'Course 4'!$I110," ")</f>
        <v xml:space="preserve"> </v>
      </c>
    </row>
    <row r="113" spans="2:14">
      <c r="B113">
        <v>109</v>
      </c>
      <c r="C113" s="7" t="str">
        <f>IF('Course 4'!$H111='tab4'!C$3,'Course 4'!$I111," ")</f>
        <v xml:space="preserve"> </v>
      </c>
      <c r="D113" s="8" t="str">
        <f>IF('Course 4'!$H111='tab4'!D$3,'Course 4'!$I111," ")</f>
        <v xml:space="preserve"> </v>
      </c>
      <c r="E113" s="8" t="str">
        <f>IF('Course 4'!$H111='tab4'!E$3,'Course 4'!$I111," ")</f>
        <v xml:space="preserve"> </v>
      </c>
      <c r="F113" s="8" t="str">
        <f>IF('Course 4'!$H111='tab4'!F$3,'Course 4'!$I111," ")</f>
        <v xml:space="preserve"> </v>
      </c>
      <c r="G113" s="8" t="str">
        <f>IF('Course 4'!$H111='tab4'!G$3,'Course 4'!$I111," ")</f>
        <v xml:space="preserve"> </v>
      </c>
      <c r="H113" s="8" t="str">
        <f>IF('Course 4'!$H111='tab4'!H$3,'Course 4'!$I111," ")</f>
        <v xml:space="preserve"> </v>
      </c>
      <c r="I113" s="8" t="str">
        <f>IF('Course 4'!$H111='tab4'!I$3,'Course 4'!$I111," ")</f>
        <v xml:space="preserve"> </v>
      </c>
      <c r="J113" s="8" t="str">
        <f>IF('Course 4'!$H111='tab4'!J$3,'Course 4'!$I111," ")</f>
        <v xml:space="preserve"> </v>
      </c>
      <c r="K113" s="8" t="str">
        <f>IF('Course 4'!$H111='tab4'!K$3,'Course 4'!$I111," ")</f>
        <v xml:space="preserve"> </v>
      </c>
      <c r="L113" s="8" t="str">
        <f>IF('Course 4'!$H111='tab4'!L$3,'Course 4'!$I111," ")</f>
        <v xml:space="preserve"> </v>
      </c>
      <c r="M113" s="8" t="str">
        <f>IF('Course 4'!$H111='tab4'!M$3,'Course 4'!$I111," ")</f>
        <v xml:space="preserve"> </v>
      </c>
      <c r="N113" s="9" t="str">
        <f>IF('Course 4'!$H111='tab4'!N$3,'Course 4'!$I111," ")</f>
        <v xml:space="preserve"> </v>
      </c>
    </row>
    <row r="114" spans="2:14">
      <c r="B114">
        <v>110</v>
      </c>
      <c r="C114" s="7" t="str">
        <f>IF('Course 4'!$H112='tab4'!C$3,'Course 4'!$I112," ")</f>
        <v xml:space="preserve"> </v>
      </c>
      <c r="D114" s="8" t="str">
        <f>IF('Course 4'!$H112='tab4'!D$3,'Course 4'!$I112," ")</f>
        <v xml:space="preserve"> </v>
      </c>
      <c r="E114" s="8" t="str">
        <f>IF('Course 4'!$H112='tab4'!E$3,'Course 4'!$I112," ")</f>
        <v xml:space="preserve"> </v>
      </c>
      <c r="F114" s="8" t="str">
        <f>IF('Course 4'!$H112='tab4'!F$3,'Course 4'!$I112," ")</f>
        <v xml:space="preserve"> </v>
      </c>
      <c r="G114" s="8" t="str">
        <f>IF('Course 4'!$H112='tab4'!G$3,'Course 4'!$I112," ")</f>
        <v xml:space="preserve"> </v>
      </c>
      <c r="H114" s="8" t="str">
        <f>IF('Course 4'!$H112='tab4'!H$3,'Course 4'!$I112," ")</f>
        <v xml:space="preserve"> </v>
      </c>
      <c r="I114" s="8" t="str">
        <f>IF('Course 4'!$H112='tab4'!I$3,'Course 4'!$I112," ")</f>
        <v xml:space="preserve"> </v>
      </c>
      <c r="J114" s="8" t="str">
        <f>IF('Course 4'!$H112='tab4'!J$3,'Course 4'!$I112," ")</f>
        <v xml:space="preserve"> </v>
      </c>
      <c r="K114" s="8" t="str">
        <f>IF('Course 4'!$H112='tab4'!K$3,'Course 4'!$I112," ")</f>
        <v xml:space="preserve"> </v>
      </c>
      <c r="L114" s="8" t="str">
        <f>IF('Course 4'!$H112='tab4'!L$3,'Course 4'!$I112," ")</f>
        <v xml:space="preserve"> </v>
      </c>
      <c r="M114" s="8" t="str">
        <f>IF('Course 4'!$H112='tab4'!M$3,'Course 4'!$I112," ")</f>
        <v xml:space="preserve"> </v>
      </c>
      <c r="N114" s="9" t="str">
        <f>IF('Course 4'!$H112='tab4'!N$3,'Course 4'!$I112," ")</f>
        <v xml:space="preserve"> </v>
      </c>
    </row>
    <row r="115" spans="2:14">
      <c r="B115">
        <v>111</v>
      </c>
      <c r="C115" s="7" t="str">
        <f>IF('Course 4'!$H113='tab4'!C$3,'Course 4'!$I113," ")</f>
        <v xml:space="preserve"> </v>
      </c>
      <c r="D115" s="8" t="str">
        <f>IF('Course 4'!$H113='tab4'!D$3,'Course 4'!$I113," ")</f>
        <v xml:space="preserve"> </v>
      </c>
      <c r="E115" s="8" t="str">
        <f>IF('Course 4'!$H113='tab4'!E$3,'Course 4'!$I113," ")</f>
        <v xml:space="preserve"> </v>
      </c>
      <c r="F115" s="8" t="str">
        <f>IF('Course 4'!$H113='tab4'!F$3,'Course 4'!$I113," ")</f>
        <v xml:space="preserve"> </v>
      </c>
      <c r="G115" s="8" t="str">
        <f>IF('Course 4'!$H113='tab4'!G$3,'Course 4'!$I113," ")</f>
        <v xml:space="preserve"> </v>
      </c>
      <c r="H115" s="8" t="str">
        <f>IF('Course 4'!$H113='tab4'!H$3,'Course 4'!$I113," ")</f>
        <v xml:space="preserve"> </v>
      </c>
      <c r="I115" s="8" t="str">
        <f>IF('Course 4'!$H113='tab4'!I$3,'Course 4'!$I113," ")</f>
        <v xml:space="preserve"> </v>
      </c>
      <c r="J115" s="8" t="str">
        <f>IF('Course 4'!$H113='tab4'!J$3,'Course 4'!$I113," ")</f>
        <v xml:space="preserve"> </v>
      </c>
      <c r="K115" s="8" t="str">
        <f>IF('Course 4'!$H113='tab4'!K$3,'Course 4'!$I113," ")</f>
        <v xml:space="preserve"> </v>
      </c>
      <c r="L115" s="8" t="str">
        <f>IF('Course 4'!$H113='tab4'!L$3,'Course 4'!$I113," ")</f>
        <v xml:space="preserve"> </v>
      </c>
      <c r="M115" s="8" t="str">
        <f>IF('Course 4'!$H113='tab4'!M$3,'Course 4'!$I113," ")</f>
        <v xml:space="preserve"> </v>
      </c>
      <c r="N115" s="9" t="str">
        <f>IF('Course 4'!$H113='tab4'!N$3,'Course 4'!$I113," ")</f>
        <v xml:space="preserve"> </v>
      </c>
    </row>
    <row r="116" spans="2:14">
      <c r="B116">
        <v>112</v>
      </c>
      <c r="C116" s="7" t="str">
        <f>IF('Course 4'!$H114='tab4'!C$3,'Course 4'!$I114," ")</f>
        <v xml:space="preserve"> </v>
      </c>
      <c r="D116" s="8" t="str">
        <f>IF('Course 4'!$H114='tab4'!D$3,'Course 4'!$I114," ")</f>
        <v xml:space="preserve"> </v>
      </c>
      <c r="E116" s="8" t="str">
        <f>IF('Course 4'!$H114='tab4'!E$3,'Course 4'!$I114," ")</f>
        <v xml:space="preserve"> </v>
      </c>
      <c r="F116" s="8" t="str">
        <f>IF('Course 4'!$H114='tab4'!F$3,'Course 4'!$I114," ")</f>
        <v xml:space="preserve"> </v>
      </c>
      <c r="G116" s="8" t="str">
        <f>IF('Course 4'!$H114='tab4'!G$3,'Course 4'!$I114," ")</f>
        <v xml:space="preserve"> </v>
      </c>
      <c r="H116" s="8" t="str">
        <f>IF('Course 4'!$H114='tab4'!H$3,'Course 4'!$I114," ")</f>
        <v xml:space="preserve"> </v>
      </c>
      <c r="I116" s="8" t="str">
        <f>IF('Course 4'!$H114='tab4'!I$3,'Course 4'!$I114," ")</f>
        <v xml:space="preserve"> </v>
      </c>
      <c r="J116" s="8" t="str">
        <f>IF('Course 4'!$H114='tab4'!J$3,'Course 4'!$I114," ")</f>
        <v xml:space="preserve"> </v>
      </c>
      <c r="K116" s="8" t="str">
        <f>IF('Course 4'!$H114='tab4'!K$3,'Course 4'!$I114," ")</f>
        <v xml:space="preserve"> </v>
      </c>
      <c r="L116" s="8" t="str">
        <f>IF('Course 4'!$H114='tab4'!L$3,'Course 4'!$I114," ")</f>
        <v xml:space="preserve"> </v>
      </c>
      <c r="M116" s="8" t="str">
        <f>IF('Course 4'!$H114='tab4'!M$3,'Course 4'!$I114," ")</f>
        <v xml:space="preserve"> </v>
      </c>
      <c r="N116" s="9" t="str">
        <f>IF('Course 4'!$H114='tab4'!N$3,'Course 4'!$I114," ")</f>
        <v xml:space="preserve"> </v>
      </c>
    </row>
    <row r="117" spans="2:14">
      <c r="B117">
        <v>113</v>
      </c>
      <c r="C117" s="7" t="str">
        <f>IF('Course 4'!$H115='tab4'!C$3,'Course 4'!$I115," ")</f>
        <v xml:space="preserve"> </v>
      </c>
      <c r="D117" s="8" t="str">
        <f>IF('Course 4'!$H115='tab4'!D$3,'Course 4'!$I115," ")</f>
        <v xml:space="preserve"> </v>
      </c>
      <c r="E117" s="8" t="str">
        <f>IF('Course 4'!$H115='tab4'!E$3,'Course 4'!$I115," ")</f>
        <v xml:space="preserve"> </v>
      </c>
      <c r="F117" s="8" t="str">
        <f>IF('Course 4'!$H115='tab4'!F$3,'Course 4'!$I115," ")</f>
        <v xml:space="preserve"> </v>
      </c>
      <c r="G117" s="8" t="str">
        <f>IF('Course 4'!$H115='tab4'!G$3,'Course 4'!$I115," ")</f>
        <v xml:space="preserve"> </v>
      </c>
      <c r="H117" s="8" t="str">
        <f>IF('Course 4'!$H115='tab4'!H$3,'Course 4'!$I115," ")</f>
        <v xml:space="preserve"> </v>
      </c>
      <c r="I117" s="8" t="str">
        <f>IF('Course 4'!$H115='tab4'!I$3,'Course 4'!$I115," ")</f>
        <v xml:space="preserve"> </v>
      </c>
      <c r="J117" s="8" t="str">
        <f>IF('Course 4'!$H115='tab4'!J$3,'Course 4'!$I115," ")</f>
        <v xml:space="preserve"> </v>
      </c>
      <c r="K117" s="8" t="str">
        <f>IF('Course 4'!$H115='tab4'!K$3,'Course 4'!$I115," ")</f>
        <v xml:space="preserve"> </v>
      </c>
      <c r="L117" s="8" t="str">
        <f>IF('Course 4'!$H115='tab4'!L$3,'Course 4'!$I115," ")</f>
        <v xml:space="preserve"> </v>
      </c>
      <c r="M117" s="8" t="str">
        <f>IF('Course 4'!$H115='tab4'!M$3,'Course 4'!$I115," ")</f>
        <v xml:space="preserve"> </v>
      </c>
      <c r="N117" s="9" t="str">
        <f>IF('Course 4'!$H115='tab4'!N$3,'Course 4'!$I115," ")</f>
        <v xml:space="preserve"> </v>
      </c>
    </row>
    <row r="118" spans="2:14">
      <c r="B118">
        <v>114</v>
      </c>
      <c r="C118" s="7" t="str">
        <f>IF('Course 4'!$H116='tab4'!C$3,'Course 4'!$I116," ")</f>
        <v xml:space="preserve"> </v>
      </c>
      <c r="D118" s="8" t="str">
        <f>IF('Course 4'!$H116='tab4'!D$3,'Course 4'!$I116," ")</f>
        <v xml:space="preserve"> </v>
      </c>
      <c r="E118" s="8" t="str">
        <f>IF('Course 4'!$H116='tab4'!E$3,'Course 4'!$I116," ")</f>
        <v xml:space="preserve"> </v>
      </c>
      <c r="F118" s="8" t="str">
        <f>IF('Course 4'!$H116='tab4'!F$3,'Course 4'!$I116," ")</f>
        <v xml:space="preserve"> </v>
      </c>
      <c r="G118" s="8" t="str">
        <f>IF('Course 4'!$H116='tab4'!G$3,'Course 4'!$I116," ")</f>
        <v xml:space="preserve"> </v>
      </c>
      <c r="H118" s="8" t="str">
        <f>IF('Course 4'!$H116='tab4'!H$3,'Course 4'!$I116," ")</f>
        <v xml:space="preserve"> </v>
      </c>
      <c r="I118" s="8" t="str">
        <f>IF('Course 4'!$H116='tab4'!I$3,'Course 4'!$I116," ")</f>
        <v xml:space="preserve"> </v>
      </c>
      <c r="J118" s="8" t="str">
        <f>IF('Course 4'!$H116='tab4'!J$3,'Course 4'!$I116," ")</f>
        <v xml:space="preserve"> </v>
      </c>
      <c r="K118" s="8" t="str">
        <f>IF('Course 4'!$H116='tab4'!K$3,'Course 4'!$I116," ")</f>
        <v xml:space="preserve"> </v>
      </c>
      <c r="L118" s="8" t="str">
        <f>IF('Course 4'!$H116='tab4'!L$3,'Course 4'!$I116," ")</f>
        <v xml:space="preserve"> </v>
      </c>
      <c r="M118" s="8" t="str">
        <f>IF('Course 4'!$H116='tab4'!M$3,'Course 4'!$I116," ")</f>
        <v xml:space="preserve"> </v>
      </c>
      <c r="N118" s="9" t="str">
        <f>IF('Course 4'!$H116='tab4'!N$3,'Course 4'!$I116," ")</f>
        <v xml:space="preserve"> </v>
      </c>
    </row>
    <row r="119" spans="2:14">
      <c r="B119">
        <v>115</v>
      </c>
      <c r="C119" s="7" t="str">
        <f>IF('Course 4'!$H117='tab4'!C$3,'Course 4'!$I117," ")</f>
        <v xml:space="preserve"> </v>
      </c>
      <c r="D119" s="8" t="str">
        <f>IF('Course 4'!$H117='tab4'!D$3,'Course 4'!$I117," ")</f>
        <v xml:space="preserve"> </v>
      </c>
      <c r="E119" s="8" t="str">
        <f>IF('Course 4'!$H117='tab4'!E$3,'Course 4'!$I117," ")</f>
        <v xml:space="preserve"> </v>
      </c>
      <c r="F119" s="8" t="str">
        <f>IF('Course 4'!$H117='tab4'!F$3,'Course 4'!$I117," ")</f>
        <v xml:space="preserve"> </v>
      </c>
      <c r="G119" s="8" t="str">
        <f>IF('Course 4'!$H117='tab4'!G$3,'Course 4'!$I117," ")</f>
        <v xml:space="preserve"> </v>
      </c>
      <c r="H119" s="8" t="str">
        <f>IF('Course 4'!$H117='tab4'!H$3,'Course 4'!$I117," ")</f>
        <v xml:space="preserve"> </v>
      </c>
      <c r="I119" s="8" t="str">
        <f>IF('Course 4'!$H117='tab4'!I$3,'Course 4'!$I117," ")</f>
        <v xml:space="preserve"> </v>
      </c>
      <c r="J119" s="8" t="str">
        <f>IF('Course 4'!$H117='tab4'!J$3,'Course 4'!$I117," ")</f>
        <v xml:space="preserve"> </v>
      </c>
      <c r="K119" s="8" t="str">
        <f>IF('Course 4'!$H117='tab4'!K$3,'Course 4'!$I117," ")</f>
        <v xml:space="preserve"> </v>
      </c>
      <c r="L119" s="8" t="str">
        <f>IF('Course 4'!$H117='tab4'!L$3,'Course 4'!$I117," ")</f>
        <v xml:space="preserve"> </v>
      </c>
      <c r="M119" s="8" t="str">
        <f>IF('Course 4'!$H117='tab4'!M$3,'Course 4'!$I117," ")</f>
        <v xml:space="preserve"> </v>
      </c>
      <c r="N119" s="9" t="str">
        <f>IF('Course 4'!$H117='tab4'!N$3,'Course 4'!$I117," ")</f>
        <v xml:space="preserve"> </v>
      </c>
    </row>
    <row r="120" spans="2:14">
      <c r="B120">
        <v>116</v>
      </c>
      <c r="C120" s="7" t="str">
        <f>IF('Course 4'!$H118='tab4'!C$3,'Course 4'!$I118," ")</f>
        <v xml:space="preserve"> </v>
      </c>
      <c r="D120" s="8" t="str">
        <f>IF('Course 4'!$H118='tab4'!D$3,'Course 4'!$I118," ")</f>
        <v xml:space="preserve"> </v>
      </c>
      <c r="E120" s="8" t="str">
        <f>IF('Course 4'!$H118='tab4'!E$3,'Course 4'!$I118," ")</f>
        <v xml:space="preserve"> </v>
      </c>
      <c r="F120" s="8" t="str">
        <f>IF('Course 4'!$H118='tab4'!F$3,'Course 4'!$I118," ")</f>
        <v xml:space="preserve"> </v>
      </c>
      <c r="G120" s="8" t="str">
        <f>IF('Course 4'!$H118='tab4'!G$3,'Course 4'!$I118," ")</f>
        <v xml:space="preserve"> </v>
      </c>
      <c r="H120" s="8" t="str">
        <f>IF('Course 4'!$H118='tab4'!H$3,'Course 4'!$I118," ")</f>
        <v xml:space="preserve"> </v>
      </c>
      <c r="I120" s="8" t="str">
        <f>IF('Course 4'!$H118='tab4'!I$3,'Course 4'!$I118," ")</f>
        <v xml:space="preserve"> </v>
      </c>
      <c r="J120" s="8" t="str">
        <f>IF('Course 4'!$H118='tab4'!J$3,'Course 4'!$I118," ")</f>
        <v xml:space="preserve"> </v>
      </c>
      <c r="K120" s="8" t="str">
        <f>IF('Course 4'!$H118='tab4'!K$3,'Course 4'!$I118," ")</f>
        <v xml:space="preserve"> </v>
      </c>
      <c r="L120" s="8" t="str">
        <f>IF('Course 4'!$H118='tab4'!L$3,'Course 4'!$I118," ")</f>
        <v xml:space="preserve"> </v>
      </c>
      <c r="M120" s="8" t="str">
        <f>IF('Course 4'!$H118='tab4'!M$3,'Course 4'!$I118," ")</f>
        <v xml:space="preserve"> </v>
      </c>
      <c r="N120" s="9" t="str">
        <f>IF('Course 4'!$H118='tab4'!N$3,'Course 4'!$I118," ")</f>
        <v xml:space="preserve"> </v>
      </c>
    </row>
    <row r="121" spans="2:14">
      <c r="B121">
        <v>117</v>
      </c>
      <c r="C121" s="7" t="str">
        <f>IF('Course 4'!$H119='tab4'!C$3,'Course 4'!$I119," ")</f>
        <v xml:space="preserve"> </v>
      </c>
      <c r="D121" s="8" t="str">
        <f>IF('Course 4'!$H119='tab4'!D$3,'Course 4'!$I119," ")</f>
        <v xml:space="preserve"> </v>
      </c>
      <c r="E121" s="8" t="str">
        <f>IF('Course 4'!$H119='tab4'!E$3,'Course 4'!$I119," ")</f>
        <v xml:space="preserve"> </v>
      </c>
      <c r="F121" s="8" t="str">
        <f>IF('Course 4'!$H119='tab4'!F$3,'Course 4'!$I119," ")</f>
        <v xml:space="preserve"> </v>
      </c>
      <c r="G121" s="8" t="str">
        <f>IF('Course 4'!$H119='tab4'!G$3,'Course 4'!$I119," ")</f>
        <v xml:space="preserve"> </v>
      </c>
      <c r="H121" s="8" t="str">
        <f>IF('Course 4'!$H119='tab4'!H$3,'Course 4'!$I119," ")</f>
        <v xml:space="preserve"> </v>
      </c>
      <c r="I121" s="8" t="str">
        <f>IF('Course 4'!$H119='tab4'!I$3,'Course 4'!$I119," ")</f>
        <v xml:space="preserve"> </v>
      </c>
      <c r="J121" s="8" t="str">
        <f>IF('Course 4'!$H119='tab4'!J$3,'Course 4'!$I119," ")</f>
        <v xml:space="preserve"> </v>
      </c>
      <c r="K121" s="8" t="str">
        <f>IF('Course 4'!$H119='tab4'!K$3,'Course 4'!$I119," ")</f>
        <v xml:space="preserve"> </v>
      </c>
      <c r="L121" s="8" t="str">
        <f>IF('Course 4'!$H119='tab4'!L$3,'Course 4'!$I119," ")</f>
        <v xml:space="preserve"> </v>
      </c>
      <c r="M121" s="8" t="str">
        <f>IF('Course 4'!$H119='tab4'!M$3,'Course 4'!$I119," ")</f>
        <v xml:space="preserve"> </v>
      </c>
      <c r="N121" s="9" t="str">
        <f>IF('Course 4'!$H119='tab4'!N$3,'Course 4'!$I119," ")</f>
        <v xml:space="preserve"> </v>
      </c>
    </row>
    <row r="122" spans="2:14">
      <c r="B122">
        <v>118</v>
      </c>
      <c r="C122" s="7" t="str">
        <f>IF('Course 4'!$H120='tab4'!C$3,'Course 4'!$I120," ")</f>
        <v xml:space="preserve"> </v>
      </c>
      <c r="D122" s="8" t="str">
        <f>IF('Course 4'!$H120='tab4'!D$3,'Course 4'!$I120," ")</f>
        <v xml:space="preserve"> </v>
      </c>
      <c r="E122" s="8" t="str">
        <f>IF('Course 4'!$H120='tab4'!E$3,'Course 4'!$I120," ")</f>
        <v xml:space="preserve"> </v>
      </c>
      <c r="F122" s="8" t="str">
        <f>IF('Course 4'!$H120='tab4'!F$3,'Course 4'!$I120," ")</f>
        <v xml:space="preserve"> </v>
      </c>
      <c r="G122" s="8" t="str">
        <f>IF('Course 4'!$H120='tab4'!G$3,'Course 4'!$I120," ")</f>
        <v xml:space="preserve"> </v>
      </c>
      <c r="H122" s="8" t="str">
        <f>IF('Course 4'!$H120='tab4'!H$3,'Course 4'!$I120," ")</f>
        <v xml:space="preserve"> </v>
      </c>
      <c r="I122" s="8" t="str">
        <f>IF('Course 4'!$H120='tab4'!I$3,'Course 4'!$I120," ")</f>
        <v xml:space="preserve"> </v>
      </c>
      <c r="J122" s="8" t="str">
        <f>IF('Course 4'!$H120='tab4'!J$3,'Course 4'!$I120," ")</f>
        <v xml:space="preserve"> </v>
      </c>
      <c r="K122" s="8" t="str">
        <f>IF('Course 4'!$H120='tab4'!K$3,'Course 4'!$I120," ")</f>
        <v xml:space="preserve"> </v>
      </c>
      <c r="L122" s="8" t="str">
        <f>IF('Course 4'!$H120='tab4'!L$3,'Course 4'!$I120," ")</f>
        <v xml:space="preserve"> </v>
      </c>
      <c r="M122" s="8" t="str">
        <f>IF('Course 4'!$H120='tab4'!M$3,'Course 4'!$I120," ")</f>
        <v xml:space="preserve"> </v>
      </c>
      <c r="N122" s="9" t="str">
        <f>IF('Course 4'!$H120='tab4'!N$3,'Course 4'!$I120," ")</f>
        <v xml:space="preserve"> </v>
      </c>
    </row>
    <row r="123" spans="2:14">
      <c r="B123">
        <v>119</v>
      </c>
      <c r="C123" s="7" t="str">
        <f>IF('Course 4'!$H121='tab4'!C$3,'Course 4'!$I121," ")</f>
        <v xml:space="preserve"> </v>
      </c>
      <c r="D123" s="8" t="str">
        <f>IF('Course 4'!$H121='tab4'!D$3,'Course 4'!$I121," ")</f>
        <v xml:space="preserve"> </v>
      </c>
      <c r="E123" s="8" t="str">
        <f>IF('Course 4'!$H121='tab4'!E$3,'Course 4'!$I121," ")</f>
        <v xml:space="preserve"> </v>
      </c>
      <c r="F123" s="8" t="str">
        <f>IF('Course 4'!$H121='tab4'!F$3,'Course 4'!$I121," ")</f>
        <v xml:space="preserve"> </v>
      </c>
      <c r="G123" s="8" t="str">
        <f>IF('Course 4'!$H121='tab4'!G$3,'Course 4'!$I121," ")</f>
        <v xml:space="preserve"> </v>
      </c>
      <c r="H123" s="8" t="str">
        <f>IF('Course 4'!$H121='tab4'!H$3,'Course 4'!$I121," ")</f>
        <v xml:space="preserve"> </v>
      </c>
      <c r="I123" s="8" t="str">
        <f>IF('Course 4'!$H121='tab4'!I$3,'Course 4'!$I121," ")</f>
        <v xml:space="preserve"> </v>
      </c>
      <c r="J123" s="8" t="str">
        <f>IF('Course 4'!$H121='tab4'!J$3,'Course 4'!$I121," ")</f>
        <v xml:space="preserve"> </v>
      </c>
      <c r="K123" s="8" t="str">
        <f>IF('Course 4'!$H121='tab4'!K$3,'Course 4'!$I121," ")</f>
        <v xml:space="preserve"> </v>
      </c>
      <c r="L123" s="8" t="str">
        <f>IF('Course 4'!$H121='tab4'!L$3,'Course 4'!$I121," ")</f>
        <v xml:space="preserve"> </v>
      </c>
      <c r="M123" s="8" t="str">
        <f>IF('Course 4'!$H121='tab4'!M$3,'Course 4'!$I121," ")</f>
        <v xml:space="preserve"> </v>
      </c>
      <c r="N123" s="9" t="str">
        <f>IF('Course 4'!$H121='tab4'!N$3,'Course 4'!$I121," ")</f>
        <v xml:space="preserve"> </v>
      </c>
    </row>
    <row r="124" spans="2:14">
      <c r="B124">
        <v>120</v>
      </c>
      <c r="C124" s="7" t="str">
        <f>IF('Course 4'!$H122='tab4'!C$3,'Course 4'!$I122," ")</f>
        <v xml:space="preserve"> </v>
      </c>
      <c r="D124" s="8" t="str">
        <f>IF('Course 4'!$H122='tab4'!D$3,'Course 4'!$I122," ")</f>
        <v xml:space="preserve"> </v>
      </c>
      <c r="E124" s="8" t="str">
        <f>IF('Course 4'!$H122='tab4'!E$3,'Course 4'!$I122," ")</f>
        <v xml:space="preserve"> </v>
      </c>
      <c r="F124" s="8" t="str">
        <f>IF('Course 4'!$H122='tab4'!F$3,'Course 4'!$I122," ")</f>
        <v xml:space="preserve"> </v>
      </c>
      <c r="G124" s="8" t="str">
        <f>IF('Course 4'!$H122='tab4'!G$3,'Course 4'!$I122," ")</f>
        <v xml:space="preserve"> </v>
      </c>
      <c r="H124" s="8" t="str">
        <f>IF('Course 4'!$H122='tab4'!H$3,'Course 4'!$I122," ")</f>
        <v xml:space="preserve"> </v>
      </c>
      <c r="I124" s="8" t="str">
        <f>IF('Course 4'!$H122='tab4'!I$3,'Course 4'!$I122," ")</f>
        <v xml:space="preserve"> </v>
      </c>
      <c r="J124" s="8" t="str">
        <f>IF('Course 4'!$H122='tab4'!J$3,'Course 4'!$I122," ")</f>
        <v xml:space="preserve"> </v>
      </c>
      <c r="K124" s="8" t="str">
        <f>IF('Course 4'!$H122='tab4'!K$3,'Course 4'!$I122," ")</f>
        <v xml:space="preserve"> </v>
      </c>
      <c r="L124" s="8" t="str">
        <f>IF('Course 4'!$H122='tab4'!L$3,'Course 4'!$I122," ")</f>
        <v xml:space="preserve"> </v>
      </c>
      <c r="M124" s="8" t="str">
        <f>IF('Course 4'!$H122='tab4'!M$3,'Course 4'!$I122," ")</f>
        <v xml:space="preserve"> </v>
      </c>
      <c r="N124" s="9" t="str">
        <f>IF('Course 4'!$H122='tab4'!N$3,'Course 4'!$I122," ")</f>
        <v xml:space="preserve"> </v>
      </c>
    </row>
    <row r="125" spans="2:14">
      <c r="B125">
        <v>121</v>
      </c>
      <c r="C125" s="7" t="str">
        <f>IF('Course 4'!$H123='tab4'!C$3,'Course 4'!$I123," ")</f>
        <v xml:space="preserve"> </v>
      </c>
      <c r="D125" s="8" t="str">
        <f>IF('Course 4'!$H123='tab4'!D$3,'Course 4'!$I123," ")</f>
        <v xml:space="preserve"> </v>
      </c>
      <c r="E125" s="8" t="str">
        <f>IF('Course 4'!$H123='tab4'!E$3,'Course 4'!$I123," ")</f>
        <v xml:space="preserve"> </v>
      </c>
      <c r="F125" s="8" t="str">
        <f>IF('Course 4'!$H123='tab4'!F$3,'Course 4'!$I123," ")</f>
        <v xml:space="preserve"> </v>
      </c>
      <c r="G125" s="8" t="str">
        <f>IF('Course 4'!$H123='tab4'!G$3,'Course 4'!$I123," ")</f>
        <v xml:space="preserve"> </v>
      </c>
      <c r="H125" s="8" t="str">
        <f>IF('Course 4'!$H123='tab4'!H$3,'Course 4'!$I123," ")</f>
        <v xml:space="preserve"> </v>
      </c>
      <c r="I125" s="8" t="str">
        <f>IF('Course 4'!$H123='tab4'!I$3,'Course 4'!$I123," ")</f>
        <v xml:space="preserve"> </v>
      </c>
      <c r="J125" s="8" t="str">
        <f>IF('Course 4'!$H123='tab4'!J$3,'Course 4'!$I123," ")</f>
        <v xml:space="preserve"> </v>
      </c>
      <c r="K125" s="8" t="str">
        <f>IF('Course 4'!$H123='tab4'!K$3,'Course 4'!$I123," ")</f>
        <v xml:space="preserve"> </v>
      </c>
      <c r="L125" s="8" t="str">
        <f>IF('Course 4'!$H123='tab4'!L$3,'Course 4'!$I123," ")</f>
        <v xml:space="preserve"> </v>
      </c>
      <c r="M125" s="8" t="str">
        <f>IF('Course 4'!$H123='tab4'!M$3,'Course 4'!$I123," ")</f>
        <v xml:space="preserve"> </v>
      </c>
      <c r="N125" s="9" t="str">
        <f>IF('Course 4'!$H123='tab4'!N$3,'Course 4'!$I123," ")</f>
        <v xml:space="preserve"> </v>
      </c>
    </row>
    <row r="126" spans="2:14">
      <c r="B126">
        <v>122</v>
      </c>
      <c r="C126" s="7" t="str">
        <f>IF('Course 4'!$H124='tab4'!C$3,'Course 4'!$I124," ")</f>
        <v xml:space="preserve"> </v>
      </c>
      <c r="D126" s="8" t="str">
        <f>IF('Course 4'!$H124='tab4'!D$3,'Course 4'!$I124," ")</f>
        <v xml:space="preserve"> </v>
      </c>
      <c r="E126" s="8" t="str">
        <f>IF('Course 4'!$H124='tab4'!E$3,'Course 4'!$I124," ")</f>
        <v xml:space="preserve"> </v>
      </c>
      <c r="F126" s="8" t="str">
        <f>IF('Course 4'!$H124='tab4'!F$3,'Course 4'!$I124," ")</f>
        <v xml:space="preserve"> </v>
      </c>
      <c r="G126" s="8" t="str">
        <f>IF('Course 4'!$H124='tab4'!G$3,'Course 4'!$I124," ")</f>
        <v xml:space="preserve"> </v>
      </c>
      <c r="H126" s="8" t="str">
        <f>IF('Course 4'!$H124='tab4'!H$3,'Course 4'!$I124," ")</f>
        <v xml:space="preserve"> </v>
      </c>
      <c r="I126" s="8" t="str">
        <f>IF('Course 4'!$H124='tab4'!I$3,'Course 4'!$I124," ")</f>
        <v xml:space="preserve"> </v>
      </c>
      <c r="J126" s="8" t="str">
        <f>IF('Course 4'!$H124='tab4'!J$3,'Course 4'!$I124," ")</f>
        <v xml:space="preserve"> </v>
      </c>
      <c r="K126" s="8" t="str">
        <f>IF('Course 4'!$H124='tab4'!K$3,'Course 4'!$I124," ")</f>
        <v xml:space="preserve"> </v>
      </c>
      <c r="L126" s="8" t="str">
        <f>IF('Course 4'!$H124='tab4'!L$3,'Course 4'!$I124," ")</f>
        <v xml:space="preserve"> </v>
      </c>
      <c r="M126" s="8" t="str">
        <f>IF('Course 4'!$H124='tab4'!M$3,'Course 4'!$I124," ")</f>
        <v xml:space="preserve"> </v>
      </c>
      <c r="N126" s="9" t="str">
        <f>IF('Course 4'!$H124='tab4'!N$3,'Course 4'!$I124," ")</f>
        <v xml:space="preserve"> </v>
      </c>
    </row>
    <row r="127" spans="2:14">
      <c r="B127">
        <v>123</v>
      </c>
      <c r="C127" s="7" t="str">
        <f>IF('Course 4'!$H125='tab4'!C$3,'Course 4'!$I125," ")</f>
        <v xml:space="preserve"> </v>
      </c>
      <c r="D127" s="8" t="str">
        <f>IF('Course 4'!$H125='tab4'!D$3,'Course 4'!$I125," ")</f>
        <v xml:space="preserve"> </v>
      </c>
      <c r="E127" s="8" t="str">
        <f>IF('Course 4'!$H125='tab4'!E$3,'Course 4'!$I125," ")</f>
        <v xml:space="preserve"> </v>
      </c>
      <c r="F127" s="8" t="str">
        <f>IF('Course 4'!$H125='tab4'!F$3,'Course 4'!$I125," ")</f>
        <v xml:space="preserve"> </v>
      </c>
      <c r="G127" s="8" t="str">
        <f>IF('Course 4'!$H125='tab4'!G$3,'Course 4'!$I125," ")</f>
        <v xml:space="preserve"> </v>
      </c>
      <c r="H127" s="8" t="str">
        <f>IF('Course 4'!$H125='tab4'!H$3,'Course 4'!$I125," ")</f>
        <v xml:space="preserve"> </v>
      </c>
      <c r="I127" s="8" t="str">
        <f>IF('Course 4'!$H125='tab4'!I$3,'Course 4'!$I125," ")</f>
        <v xml:space="preserve"> </v>
      </c>
      <c r="J127" s="8" t="str">
        <f>IF('Course 4'!$H125='tab4'!J$3,'Course 4'!$I125," ")</f>
        <v xml:space="preserve"> </v>
      </c>
      <c r="K127" s="8" t="str">
        <f>IF('Course 4'!$H125='tab4'!K$3,'Course 4'!$I125," ")</f>
        <v xml:space="preserve"> </v>
      </c>
      <c r="L127" s="8" t="str">
        <f>IF('Course 4'!$H125='tab4'!L$3,'Course 4'!$I125," ")</f>
        <v xml:space="preserve"> </v>
      </c>
      <c r="M127" s="8" t="str">
        <f>IF('Course 4'!$H125='tab4'!M$3,'Course 4'!$I125," ")</f>
        <v xml:space="preserve"> </v>
      </c>
      <c r="N127" s="9" t="str">
        <f>IF('Course 4'!$H125='tab4'!N$3,'Course 4'!$I125," ")</f>
        <v xml:space="preserve"> </v>
      </c>
    </row>
    <row r="128" spans="2:14">
      <c r="B128">
        <v>124</v>
      </c>
      <c r="C128" s="7" t="str">
        <f>IF('Course 4'!$H126='tab4'!C$3,'Course 4'!$I126," ")</f>
        <v xml:space="preserve"> </v>
      </c>
      <c r="D128" s="8" t="str">
        <f>IF('Course 4'!$H126='tab4'!D$3,'Course 4'!$I126," ")</f>
        <v xml:space="preserve"> </v>
      </c>
      <c r="E128" s="8" t="str">
        <f>IF('Course 4'!$H126='tab4'!E$3,'Course 4'!$I126," ")</f>
        <v xml:space="preserve"> </v>
      </c>
      <c r="F128" s="8" t="str">
        <f>IF('Course 4'!$H126='tab4'!F$3,'Course 4'!$I126," ")</f>
        <v xml:space="preserve"> </v>
      </c>
      <c r="G128" s="8" t="str">
        <f>IF('Course 4'!$H126='tab4'!G$3,'Course 4'!$I126," ")</f>
        <v xml:space="preserve"> </v>
      </c>
      <c r="H128" s="8" t="str">
        <f>IF('Course 4'!$H126='tab4'!H$3,'Course 4'!$I126," ")</f>
        <v xml:space="preserve"> </v>
      </c>
      <c r="I128" s="8" t="str">
        <f>IF('Course 4'!$H126='tab4'!I$3,'Course 4'!$I126," ")</f>
        <v xml:space="preserve"> </v>
      </c>
      <c r="J128" s="8" t="str">
        <f>IF('Course 4'!$H126='tab4'!J$3,'Course 4'!$I126," ")</f>
        <v xml:space="preserve"> </v>
      </c>
      <c r="K128" s="8" t="str">
        <f>IF('Course 4'!$H126='tab4'!K$3,'Course 4'!$I126," ")</f>
        <v xml:space="preserve"> </v>
      </c>
      <c r="L128" s="8" t="str">
        <f>IF('Course 4'!$H126='tab4'!L$3,'Course 4'!$I126," ")</f>
        <v xml:space="preserve"> </v>
      </c>
      <c r="M128" s="8" t="str">
        <f>IF('Course 4'!$H126='tab4'!M$3,'Course 4'!$I126," ")</f>
        <v xml:space="preserve"> </v>
      </c>
      <c r="N128" s="9" t="str">
        <f>IF('Course 4'!$H126='tab4'!N$3,'Course 4'!$I126," ")</f>
        <v xml:space="preserve"> </v>
      </c>
    </row>
    <row r="129" spans="2:14">
      <c r="B129">
        <v>125</v>
      </c>
      <c r="C129" s="7" t="str">
        <f>IF('Course 4'!$H127='tab4'!C$3,'Course 4'!$I127," ")</f>
        <v xml:space="preserve"> </v>
      </c>
      <c r="D129" s="8" t="str">
        <f>IF('Course 4'!$H127='tab4'!D$3,'Course 4'!$I127," ")</f>
        <v xml:space="preserve"> </v>
      </c>
      <c r="E129" s="8" t="str">
        <f>IF('Course 4'!$H127='tab4'!E$3,'Course 4'!$I127," ")</f>
        <v xml:space="preserve"> </v>
      </c>
      <c r="F129" s="8" t="str">
        <f>IF('Course 4'!$H127='tab4'!F$3,'Course 4'!$I127," ")</f>
        <v xml:space="preserve"> </v>
      </c>
      <c r="G129" s="8" t="str">
        <f>IF('Course 4'!$H127='tab4'!G$3,'Course 4'!$I127," ")</f>
        <v xml:space="preserve"> </v>
      </c>
      <c r="H129" s="8" t="str">
        <f>IF('Course 4'!$H127='tab4'!H$3,'Course 4'!$I127," ")</f>
        <v xml:space="preserve"> </v>
      </c>
      <c r="I129" s="8" t="str">
        <f>IF('Course 4'!$H127='tab4'!I$3,'Course 4'!$I127," ")</f>
        <v xml:space="preserve"> </v>
      </c>
      <c r="J129" s="8" t="str">
        <f>IF('Course 4'!$H127='tab4'!J$3,'Course 4'!$I127," ")</f>
        <v xml:space="preserve"> </v>
      </c>
      <c r="K129" s="8" t="str">
        <f>IF('Course 4'!$H127='tab4'!K$3,'Course 4'!$I127," ")</f>
        <v xml:space="preserve"> </v>
      </c>
      <c r="L129" s="8" t="str">
        <f>IF('Course 4'!$H127='tab4'!L$3,'Course 4'!$I127," ")</f>
        <v xml:space="preserve"> </v>
      </c>
      <c r="M129" s="8" t="str">
        <f>IF('Course 4'!$H127='tab4'!M$3,'Course 4'!$I127," ")</f>
        <v xml:space="preserve"> </v>
      </c>
      <c r="N129" s="9" t="str">
        <f>IF('Course 4'!$H127='tab4'!N$3,'Course 4'!$I127," ")</f>
        <v xml:space="preserve"> </v>
      </c>
    </row>
    <row r="130" spans="2:14">
      <c r="B130">
        <v>126</v>
      </c>
      <c r="C130" s="7" t="str">
        <f>IF('Course 4'!$H128='tab4'!C$3,'Course 4'!$I128," ")</f>
        <v xml:space="preserve"> </v>
      </c>
      <c r="D130" s="8" t="str">
        <f>IF('Course 4'!$H128='tab4'!D$3,'Course 4'!$I128," ")</f>
        <v xml:space="preserve"> </v>
      </c>
      <c r="E130" s="8" t="str">
        <f>IF('Course 4'!$H128='tab4'!E$3,'Course 4'!$I128," ")</f>
        <v xml:space="preserve"> </v>
      </c>
      <c r="F130" s="8" t="str">
        <f>IF('Course 4'!$H128='tab4'!F$3,'Course 4'!$I128," ")</f>
        <v xml:space="preserve"> </v>
      </c>
      <c r="G130" s="8" t="str">
        <f>IF('Course 4'!$H128='tab4'!G$3,'Course 4'!$I128," ")</f>
        <v xml:space="preserve"> </v>
      </c>
      <c r="H130" s="8" t="str">
        <f>IF('Course 4'!$H128='tab4'!H$3,'Course 4'!$I128," ")</f>
        <v xml:space="preserve"> </v>
      </c>
      <c r="I130" s="8" t="str">
        <f>IF('Course 4'!$H128='tab4'!I$3,'Course 4'!$I128," ")</f>
        <v xml:space="preserve"> </v>
      </c>
      <c r="J130" s="8" t="str">
        <f>IF('Course 4'!$H128='tab4'!J$3,'Course 4'!$I128," ")</f>
        <v xml:space="preserve"> </v>
      </c>
      <c r="K130" s="8" t="str">
        <f>IF('Course 4'!$H128='tab4'!K$3,'Course 4'!$I128," ")</f>
        <v xml:space="preserve"> </v>
      </c>
      <c r="L130" s="8" t="str">
        <f>IF('Course 4'!$H128='tab4'!L$3,'Course 4'!$I128," ")</f>
        <v xml:space="preserve"> </v>
      </c>
      <c r="M130" s="8" t="str">
        <f>IF('Course 4'!$H128='tab4'!M$3,'Course 4'!$I128," ")</f>
        <v xml:space="preserve"> </v>
      </c>
      <c r="N130" s="9" t="str">
        <f>IF('Course 4'!$H128='tab4'!N$3,'Course 4'!$I128," ")</f>
        <v xml:space="preserve"> </v>
      </c>
    </row>
    <row r="131" spans="2:14">
      <c r="B131">
        <v>127</v>
      </c>
      <c r="C131" s="7" t="str">
        <f>IF('Course 4'!$H129='tab4'!C$3,'Course 4'!$I129," ")</f>
        <v xml:space="preserve"> </v>
      </c>
      <c r="D131" s="8" t="str">
        <f>IF('Course 4'!$H129='tab4'!D$3,'Course 4'!$I129," ")</f>
        <v xml:space="preserve"> </v>
      </c>
      <c r="E131" s="8" t="str">
        <f>IF('Course 4'!$H129='tab4'!E$3,'Course 4'!$I129," ")</f>
        <v xml:space="preserve"> </v>
      </c>
      <c r="F131" s="8" t="str">
        <f>IF('Course 4'!$H129='tab4'!F$3,'Course 4'!$I129," ")</f>
        <v xml:space="preserve"> </v>
      </c>
      <c r="G131" s="8" t="str">
        <f>IF('Course 4'!$H129='tab4'!G$3,'Course 4'!$I129," ")</f>
        <v xml:space="preserve"> </v>
      </c>
      <c r="H131" s="8" t="str">
        <f>IF('Course 4'!$H129='tab4'!H$3,'Course 4'!$I129," ")</f>
        <v xml:space="preserve"> </v>
      </c>
      <c r="I131" s="8" t="str">
        <f>IF('Course 4'!$H129='tab4'!I$3,'Course 4'!$I129," ")</f>
        <v xml:space="preserve"> </v>
      </c>
      <c r="J131" s="8" t="str">
        <f>IF('Course 4'!$H129='tab4'!J$3,'Course 4'!$I129," ")</f>
        <v xml:space="preserve"> </v>
      </c>
      <c r="K131" s="8" t="str">
        <f>IF('Course 4'!$H129='tab4'!K$3,'Course 4'!$I129," ")</f>
        <v xml:space="preserve"> </v>
      </c>
      <c r="L131" s="8" t="str">
        <f>IF('Course 4'!$H129='tab4'!L$3,'Course 4'!$I129," ")</f>
        <v xml:space="preserve"> </v>
      </c>
      <c r="M131" s="8" t="str">
        <f>IF('Course 4'!$H129='tab4'!M$3,'Course 4'!$I129," ")</f>
        <v xml:space="preserve"> </v>
      </c>
      <c r="N131" s="9" t="str">
        <f>IF('Course 4'!$H129='tab4'!N$3,'Course 4'!$I129," ")</f>
        <v xml:space="preserve"> </v>
      </c>
    </row>
    <row r="132" spans="2:14">
      <c r="B132">
        <v>128</v>
      </c>
      <c r="C132" s="7" t="str">
        <f>IF('Course 4'!$H130='tab4'!C$3,'Course 4'!$I130," ")</f>
        <v xml:space="preserve"> </v>
      </c>
      <c r="D132" s="8" t="str">
        <f>IF('Course 4'!$H130='tab4'!D$3,'Course 4'!$I130," ")</f>
        <v xml:space="preserve"> </v>
      </c>
      <c r="E132" s="8" t="str">
        <f>IF('Course 4'!$H130='tab4'!E$3,'Course 4'!$I130," ")</f>
        <v xml:space="preserve"> </v>
      </c>
      <c r="F132" s="8" t="str">
        <f>IF('Course 4'!$H130='tab4'!F$3,'Course 4'!$I130," ")</f>
        <v xml:space="preserve"> </v>
      </c>
      <c r="G132" s="8" t="str">
        <f>IF('Course 4'!$H130='tab4'!G$3,'Course 4'!$I130," ")</f>
        <v xml:space="preserve"> </v>
      </c>
      <c r="H132" s="8" t="str">
        <f>IF('Course 4'!$H130='tab4'!H$3,'Course 4'!$I130," ")</f>
        <v xml:space="preserve"> </v>
      </c>
      <c r="I132" s="8" t="str">
        <f>IF('Course 4'!$H130='tab4'!I$3,'Course 4'!$I130," ")</f>
        <v xml:space="preserve"> </v>
      </c>
      <c r="J132" s="8" t="str">
        <f>IF('Course 4'!$H130='tab4'!J$3,'Course 4'!$I130," ")</f>
        <v xml:space="preserve"> </v>
      </c>
      <c r="K132" s="8" t="str">
        <f>IF('Course 4'!$H130='tab4'!K$3,'Course 4'!$I130," ")</f>
        <v xml:space="preserve"> </v>
      </c>
      <c r="L132" s="8" t="str">
        <f>IF('Course 4'!$H130='tab4'!L$3,'Course 4'!$I130," ")</f>
        <v xml:space="preserve"> </v>
      </c>
      <c r="M132" s="8" t="str">
        <f>IF('Course 4'!$H130='tab4'!M$3,'Course 4'!$I130," ")</f>
        <v xml:space="preserve"> </v>
      </c>
      <c r="N132" s="9" t="str">
        <f>IF('Course 4'!$H130='tab4'!N$3,'Course 4'!$I130," ")</f>
        <v xml:space="preserve"> </v>
      </c>
    </row>
    <row r="133" spans="2:14">
      <c r="B133">
        <v>129</v>
      </c>
      <c r="C133" s="7" t="str">
        <f>IF('Course 4'!$H131='tab4'!C$3,'Course 4'!$I131," ")</f>
        <v xml:space="preserve"> </v>
      </c>
      <c r="D133" s="8" t="str">
        <f>IF('Course 4'!$H131='tab4'!D$3,'Course 4'!$I131," ")</f>
        <v xml:space="preserve"> </v>
      </c>
      <c r="E133" s="8" t="str">
        <f>IF('Course 4'!$H131='tab4'!E$3,'Course 4'!$I131," ")</f>
        <v xml:space="preserve"> </v>
      </c>
      <c r="F133" s="8" t="str">
        <f>IF('Course 4'!$H131='tab4'!F$3,'Course 4'!$I131," ")</f>
        <v xml:space="preserve"> </v>
      </c>
      <c r="G133" s="8" t="str">
        <f>IF('Course 4'!$H131='tab4'!G$3,'Course 4'!$I131," ")</f>
        <v xml:space="preserve"> </v>
      </c>
      <c r="H133" s="8" t="str">
        <f>IF('Course 4'!$H131='tab4'!H$3,'Course 4'!$I131," ")</f>
        <v xml:space="preserve"> </v>
      </c>
      <c r="I133" s="8" t="str">
        <f>IF('Course 4'!$H131='tab4'!I$3,'Course 4'!$I131," ")</f>
        <v xml:space="preserve"> </v>
      </c>
      <c r="J133" s="8" t="str">
        <f>IF('Course 4'!$H131='tab4'!J$3,'Course 4'!$I131," ")</f>
        <v xml:space="preserve"> </v>
      </c>
      <c r="K133" s="8" t="str">
        <f>IF('Course 4'!$H131='tab4'!K$3,'Course 4'!$I131," ")</f>
        <v xml:space="preserve"> </v>
      </c>
      <c r="L133" s="8" t="str">
        <f>IF('Course 4'!$H131='tab4'!L$3,'Course 4'!$I131," ")</f>
        <v xml:space="preserve"> </v>
      </c>
      <c r="M133" s="8" t="str">
        <f>IF('Course 4'!$H131='tab4'!M$3,'Course 4'!$I131," ")</f>
        <v xml:space="preserve"> </v>
      </c>
      <c r="N133" s="9" t="str">
        <f>IF('Course 4'!$H131='tab4'!N$3,'Course 4'!$I131," ")</f>
        <v xml:space="preserve"> </v>
      </c>
    </row>
    <row r="134" spans="2:14">
      <c r="B134">
        <v>130</v>
      </c>
      <c r="C134" s="7" t="str">
        <f>IF('Course 4'!$H132='tab4'!C$3,'Course 4'!$I132," ")</f>
        <v xml:space="preserve"> </v>
      </c>
      <c r="D134" s="8" t="str">
        <f>IF('Course 4'!$H132='tab4'!D$3,'Course 4'!$I132," ")</f>
        <v xml:space="preserve"> </v>
      </c>
      <c r="E134" s="8" t="str">
        <f>IF('Course 4'!$H132='tab4'!E$3,'Course 4'!$I132," ")</f>
        <v xml:space="preserve"> </v>
      </c>
      <c r="F134" s="8" t="str">
        <f>IF('Course 4'!$H132='tab4'!F$3,'Course 4'!$I132," ")</f>
        <v xml:space="preserve"> </v>
      </c>
      <c r="G134" s="8" t="str">
        <f>IF('Course 4'!$H132='tab4'!G$3,'Course 4'!$I132," ")</f>
        <v xml:space="preserve"> </v>
      </c>
      <c r="H134" s="8" t="str">
        <f>IF('Course 4'!$H132='tab4'!H$3,'Course 4'!$I132," ")</f>
        <v xml:space="preserve"> </v>
      </c>
      <c r="I134" s="8" t="str">
        <f>IF('Course 4'!$H132='tab4'!I$3,'Course 4'!$I132," ")</f>
        <v xml:space="preserve"> </v>
      </c>
      <c r="J134" s="8" t="str">
        <f>IF('Course 4'!$H132='tab4'!J$3,'Course 4'!$I132," ")</f>
        <v xml:space="preserve"> </v>
      </c>
      <c r="K134" s="8" t="str">
        <f>IF('Course 4'!$H132='tab4'!K$3,'Course 4'!$I132," ")</f>
        <v xml:space="preserve"> </v>
      </c>
      <c r="L134" s="8" t="str">
        <f>IF('Course 4'!$H132='tab4'!L$3,'Course 4'!$I132," ")</f>
        <v xml:space="preserve"> </v>
      </c>
      <c r="M134" s="8" t="str">
        <f>IF('Course 4'!$H132='tab4'!M$3,'Course 4'!$I132," ")</f>
        <v xml:space="preserve"> </v>
      </c>
      <c r="N134" s="9" t="str">
        <f>IF('Course 4'!$H132='tab4'!N$3,'Course 4'!$I132," ")</f>
        <v xml:space="preserve"> </v>
      </c>
    </row>
    <row r="135" spans="2:14">
      <c r="B135">
        <v>131</v>
      </c>
      <c r="C135" s="7" t="str">
        <f>IF('Course 4'!$H133='tab4'!C$3,'Course 4'!$I133," ")</f>
        <v xml:space="preserve"> </v>
      </c>
      <c r="D135" s="8" t="str">
        <f>IF('Course 4'!$H133='tab4'!D$3,'Course 4'!$I133," ")</f>
        <v xml:space="preserve"> </v>
      </c>
      <c r="E135" s="8" t="str">
        <f>IF('Course 4'!$H133='tab4'!E$3,'Course 4'!$I133," ")</f>
        <v xml:space="preserve"> </v>
      </c>
      <c r="F135" s="8" t="str">
        <f>IF('Course 4'!$H133='tab4'!F$3,'Course 4'!$I133," ")</f>
        <v xml:space="preserve"> </v>
      </c>
      <c r="G135" s="8" t="str">
        <f>IF('Course 4'!$H133='tab4'!G$3,'Course 4'!$I133," ")</f>
        <v xml:space="preserve"> </v>
      </c>
      <c r="H135" s="8" t="str">
        <f>IF('Course 4'!$H133='tab4'!H$3,'Course 4'!$I133," ")</f>
        <v xml:space="preserve"> </v>
      </c>
      <c r="I135" s="8" t="str">
        <f>IF('Course 4'!$H133='tab4'!I$3,'Course 4'!$I133," ")</f>
        <v xml:space="preserve"> </v>
      </c>
      <c r="J135" s="8" t="str">
        <f>IF('Course 4'!$H133='tab4'!J$3,'Course 4'!$I133," ")</f>
        <v xml:space="preserve"> </v>
      </c>
      <c r="K135" s="8" t="str">
        <f>IF('Course 4'!$H133='tab4'!K$3,'Course 4'!$I133," ")</f>
        <v xml:space="preserve"> </v>
      </c>
      <c r="L135" s="8" t="str">
        <f>IF('Course 4'!$H133='tab4'!L$3,'Course 4'!$I133," ")</f>
        <v xml:space="preserve"> </v>
      </c>
      <c r="M135" s="8" t="str">
        <f>IF('Course 4'!$H133='tab4'!M$3,'Course 4'!$I133," ")</f>
        <v xml:space="preserve"> </v>
      </c>
      <c r="N135" s="9" t="str">
        <f>IF('Course 4'!$H133='tab4'!N$3,'Course 4'!$I133," ")</f>
        <v xml:space="preserve"> </v>
      </c>
    </row>
    <row r="136" spans="2:14">
      <c r="B136">
        <v>132</v>
      </c>
      <c r="C136" s="7" t="str">
        <f>IF('Course 4'!$H134='tab4'!C$3,'Course 4'!$I134," ")</f>
        <v xml:space="preserve"> </v>
      </c>
      <c r="D136" s="8" t="str">
        <f>IF('Course 4'!$H134='tab4'!D$3,'Course 4'!$I134," ")</f>
        <v xml:space="preserve"> </v>
      </c>
      <c r="E136" s="8" t="str">
        <f>IF('Course 4'!$H134='tab4'!E$3,'Course 4'!$I134," ")</f>
        <v xml:space="preserve"> </v>
      </c>
      <c r="F136" s="8" t="str">
        <f>IF('Course 4'!$H134='tab4'!F$3,'Course 4'!$I134," ")</f>
        <v xml:space="preserve"> </v>
      </c>
      <c r="G136" s="8" t="str">
        <f>IF('Course 4'!$H134='tab4'!G$3,'Course 4'!$I134," ")</f>
        <v xml:space="preserve"> </v>
      </c>
      <c r="H136" s="8" t="str">
        <f>IF('Course 4'!$H134='tab4'!H$3,'Course 4'!$I134," ")</f>
        <v xml:space="preserve"> </v>
      </c>
      <c r="I136" s="8" t="str">
        <f>IF('Course 4'!$H134='tab4'!I$3,'Course 4'!$I134," ")</f>
        <v xml:space="preserve"> </v>
      </c>
      <c r="J136" s="8" t="str">
        <f>IF('Course 4'!$H134='tab4'!J$3,'Course 4'!$I134," ")</f>
        <v xml:space="preserve"> </v>
      </c>
      <c r="K136" s="8" t="str">
        <f>IF('Course 4'!$H134='tab4'!K$3,'Course 4'!$I134," ")</f>
        <v xml:space="preserve"> </v>
      </c>
      <c r="L136" s="8" t="str">
        <f>IF('Course 4'!$H134='tab4'!L$3,'Course 4'!$I134," ")</f>
        <v xml:space="preserve"> </v>
      </c>
      <c r="M136" s="8" t="str">
        <f>IF('Course 4'!$H134='tab4'!M$3,'Course 4'!$I134," ")</f>
        <v xml:space="preserve"> </v>
      </c>
      <c r="N136" s="9" t="str">
        <f>IF('Course 4'!$H134='tab4'!N$3,'Course 4'!$I134," ")</f>
        <v xml:space="preserve"> </v>
      </c>
    </row>
    <row r="137" spans="2:14">
      <c r="B137">
        <v>133</v>
      </c>
      <c r="C137" s="7" t="str">
        <f>IF('Course 4'!$H135='tab4'!C$3,'Course 4'!$I135," ")</f>
        <v xml:space="preserve"> </v>
      </c>
      <c r="D137" s="8" t="str">
        <f>IF('Course 4'!$H135='tab4'!D$3,'Course 4'!$I135," ")</f>
        <v xml:space="preserve"> </v>
      </c>
      <c r="E137" s="8" t="str">
        <f>IF('Course 4'!$H135='tab4'!E$3,'Course 4'!$I135," ")</f>
        <v xml:space="preserve"> </v>
      </c>
      <c r="F137" s="8" t="str">
        <f>IF('Course 4'!$H135='tab4'!F$3,'Course 4'!$I135," ")</f>
        <v xml:space="preserve"> </v>
      </c>
      <c r="G137" s="8" t="str">
        <f>IF('Course 4'!$H135='tab4'!G$3,'Course 4'!$I135," ")</f>
        <v xml:space="preserve"> </v>
      </c>
      <c r="H137" s="8" t="str">
        <f>IF('Course 4'!$H135='tab4'!H$3,'Course 4'!$I135," ")</f>
        <v xml:space="preserve"> </v>
      </c>
      <c r="I137" s="8" t="str">
        <f>IF('Course 4'!$H135='tab4'!I$3,'Course 4'!$I135," ")</f>
        <v xml:space="preserve"> </v>
      </c>
      <c r="J137" s="8" t="str">
        <f>IF('Course 4'!$H135='tab4'!J$3,'Course 4'!$I135," ")</f>
        <v xml:space="preserve"> </v>
      </c>
      <c r="K137" s="8" t="str">
        <f>IF('Course 4'!$H135='tab4'!K$3,'Course 4'!$I135," ")</f>
        <v xml:space="preserve"> </v>
      </c>
      <c r="L137" s="8" t="str">
        <f>IF('Course 4'!$H135='tab4'!L$3,'Course 4'!$I135," ")</f>
        <v xml:space="preserve"> </v>
      </c>
      <c r="M137" s="8" t="str">
        <f>IF('Course 4'!$H135='tab4'!M$3,'Course 4'!$I135," ")</f>
        <v xml:space="preserve"> </v>
      </c>
      <c r="N137" s="9" t="str">
        <f>IF('Course 4'!$H135='tab4'!N$3,'Course 4'!$I135," ")</f>
        <v xml:space="preserve"> </v>
      </c>
    </row>
    <row r="138" spans="2:14">
      <c r="B138">
        <v>134</v>
      </c>
      <c r="C138" s="7" t="str">
        <f>IF('Course 4'!$H136='tab4'!C$3,'Course 4'!$I136," ")</f>
        <v xml:space="preserve"> </v>
      </c>
      <c r="D138" s="8" t="str">
        <f>IF('Course 4'!$H136='tab4'!D$3,'Course 4'!$I136," ")</f>
        <v xml:space="preserve"> </v>
      </c>
      <c r="E138" s="8" t="str">
        <f>IF('Course 4'!$H136='tab4'!E$3,'Course 4'!$I136," ")</f>
        <v xml:space="preserve"> </v>
      </c>
      <c r="F138" s="8" t="str">
        <f>IF('Course 4'!$H136='tab4'!F$3,'Course 4'!$I136," ")</f>
        <v xml:space="preserve"> </v>
      </c>
      <c r="G138" s="8" t="str">
        <f>IF('Course 4'!$H136='tab4'!G$3,'Course 4'!$I136," ")</f>
        <v xml:space="preserve"> </v>
      </c>
      <c r="H138" s="8" t="str">
        <f>IF('Course 4'!$H136='tab4'!H$3,'Course 4'!$I136," ")</f>
        <v xml:space="preserve"> </v>
      </c>
      <c r="I138" s="8" t="str">
        <f>IF('Course 4'!$H136='tab4'!I$3,'Course 4'!$I136," ")</f>
        <v xml:space="preserve"> </v>
      </c>
      <c r="J138" s="8" t="str">
        <f>IF('Course 4'!$H136='tab4'!J$3,'Course 4'!$I136," ")</f>
        <v xml:space="preserve"> </v>
      </c>
      <c r="K138" s="8" t="str">
        <f>IF('Course 4'!$H136='tab4'!K$3,'Course 4'!$I136," ")</f>
        <v xml:space="preserve"> </v>
      </c>
      <c r="L138" s="8" t="str">
        <f>IF('Course 4'!$H136='tab4'!L$3,'Course 4'!$I136," ")</f>
        <v xml:space="preserve"> </v>
      </c>
      <c r="M138" s="8" t="str">
        <f>IF('Course 4'!$H136='tab4'!M$3,'Course 4'!$I136," ")</f>
        <v xml:space="preserve"> </v>
      </c>
      <c r="N138" s="9" t="str">
        <f>IF('Course 4'!$H136='tab4'!N$3,'Course 4'!$I136," ")</f>
        <v xml:space="preserve"> </v>
      </c>
    </row>
    <row r="139" spans="2:14">
      <c r="B139">
        <v>135</v>
      </c>
      <c r="C139" s="7" t="str">
        <f>IF('Course 4'!$H137='tab4'!C$3,'Course 4'!$I137," ")</f>
        <v xml:space="preserve"> </v>
      </c>
      <c r="D139" s="8" t="str">
        <f>IF('Course 4'!$H137='tab4'!D$3,'Course 4'!$I137," ")</f>
        <v xml:space="preserve"> </v>
      </c>
      <c r="E139" s="8" t="str">
        <f>IF('Course 4'!$H137='tab4'!E$3,'Course 4'!$I137," ")</f>
        <v xml:space="preserve"> </v>
      </c>
      <c r="F139" s="8" t="str">
        <f>IF('Course 4'!$H137='tab4'!F$3,'Course 4'!$I137," ")</f>
        <v xml:space="preserve"> </v>
      </c>
      <c r="G139" s="8" t="str">
        <f>IF('Course 4'!$H137='tab4'!G$3,'Course 4'!$I137," ")</f>
        <v xml:space="preserve"> </v>
      </c>
      <c r="H139" s="8" t="str">
        <f>IF('Course 4'!$H137='tab4'!H$3,'Course 4'!$I137," ")</f>
        <v xml:space="preserve"> </v>
      </c>
      <c r="I139" s="8" t="str">
        <f>IF('Course 4'!$H137='tab4'!I$3,'Course 4'!$I137," ")</f>
        <v xml:space="preserve"> </v>
      </c>
      <c r="J139" s="8" t="str">
        <f>IF('Course 4'!$H137='tab4'!J$3,'Course 4'!$I137," ")</f>
        <v xml:space="preserve"> </v>
      </c>
      <c r="K139" s="8" t="str">
        <f>IF('Course 4'!$H137='tab4'!K$3,'Course 4'!$I137," ")</f>
        <v xml:space="preserve"> </v>
      </c>
      <c r="L139" s="8" t="str">
        <f>IF('Course 4'!$H137='tab4'!L$3,'Course 4'!$I137," ")</f>
        <v xml:space="preserve"> </v>
      </c>
      <c r="M139" s="8" t="str">
        <f>IF('Course 4'!$H137='tab4'!M$3,'Course 4'!$I137," ")</f>
        <v xml:space="preserve"> </v>
      </c>
      <c r="N139" s="9" t="str">
        <f>IF('Course 4'!$H137='tab4'!N$3,'Course 4'!$I137," ")</f>
        <v xml:space="preserve"> </v>
      </c>
    </row>
    <row r="140" spans="2:14">
      <c r="B140">
        <v>136</v>
      </c>
      <c r="C140" s="7" t="str">
        <f>IF('Course 4'!$H138='tab4'!C$3,'Course 4'!$I138," ")</f>
        <v xml:space="preserve"> </v>
      </c>
      <c r="D140" s="8" t="str">
        <f>IF('Course 4'!$H138='tab4'!D$3,'Course 4'!$I138," ")</f>
        <v xml:space="preserve"> </v>
      </c>
      <c r="E140" s="8" t="str">
        <f>IF('Course 4'!$H138='tab4'!E$3,'Course 4'!$I138," ")</f>
        <v xml:space="preserve"> </v>
      </c>
      <c r="F140" s="8" t="str">
        <f>IF('Course 4'!$H138='tab4'!F$3,'Course 4'!$I138," ")</f>
        <v xml:space="preserve"> </v>
      </c>
      <c r="G140" s="8" t="str">
        <f>IF('Course 4'!$H138='tab4'!G$3,'Course 4'!$I138," ")</f>
        <v xml:space="preserve"> </v>
      </c>
      <c r="H140" s="8" t="str">
        <f>IF('Course 4'!$H138='tab4'!H$3,'Course 4'!$I138," ")</f>
        <v xml:space="preserve"> </v>
      </c>
      <c r="I140" s="8" t="str">
        <f>IF('Course 4'!$H138='tab4'!I$3,'Course 4'!$I138," ")</f>
        <v xml:space="preserve"> </v>
      </c>
      <c r="J140" s="8" t="str">
        <f>IF('Course 4'!$H138='tab4'!J$3,'Course 4'!$I138," ")</f>
        <v xml:space="preserve"> </v>
      </c>
      <c r="K140" s="8" t="str">
        <f>IF('Course 4'!$H138='tab4'!K$3,'Course 4'!$I138," ")</f>
        <v xml:space="preserve"> </v>
      </c>
      <c r="L140" s="8" t="str">
        <f>IF('Course 4'!$H138='tab4'!L$3,'Course 4'!$I138," ")</f>
        <v xml:space="preserve"> </v>
      </c>
      <c r="M140" s="8" t="str">
        <f>IF('Course 4'!$H138='tab4'!M$3,'Course 4'!$I138," ")</f>
        <v xml:space="preserve"> </v>
      </c>
      <c r="N140" s="9" t="str">
        <f>IF('Course 4'!$H138='tab4'!N$3,'Course 4'!$I138," ")</f>
        <v xml:space="preserve"> </v>
      </c>
    </row>
    <row r="141" spans="2:14">
      <c r="B141">
        <v>137</v>
      </c>
      <c r="C141" s="7" t="str">
        <f>IF('Course 4'!$H139='tab4'!C$3,'Course 4'!$I139," ")</f>
        <v xml:space="preserve"> </v>
      </c>
      <c r="D141" s="8" t="str">
        <f>IF('Course 4'!$H139='tab4'!D$3,'Course 4'!$I139," ")</f>
        <v xml:space="preserve"> </v>
      </c>
      <c r="E141" s="8" t="str">
        <f>IF('Course 4'!$H139='tab4'!E$3,'Course 4'!$I139," ")</f>
        <v xml:space="preserve"> </v>
      </c>
      <c r="F141" s="8" t="str">
        <f>IF('Course 4'!$H139='tab4'!F$3,'Course 4'!$I139," ")</f>
        <v xml:space="preserve"> </v>
      </c>
      <c r="G141" s="8" t="str">
        <f>IF('Course 4'!$H139='tab4'!G$3,'Course 4'!$I139," ")</f>
        <v xml:space="preserve"> </v>
      </c>
      <c r="H141" s="8" t="str">
        <f>IF('Course 4'!$H139='tab4'!H$3,'Course 4'!$I139," ")</f>
        <v xml:space="preserve"> </v>
      </c>
      <c r="I141" s="8" t="str">
        <f>IF('Course 4'!$H139='tab4'!I$3,'Course 4'!$I139," ")</f>
        <v xml:space="preserve"> </v>
      </c>
      <c r="J141" s="8" t="str">
        <f>IF('Course 4'!$H139='tab4'!J$3,'Course 4'!$I139," ")</f>
        <v xml:space="preserve"> </v>
      </c>
      <c r="K141" s="8" t="str">
        <f>IF('Course 4'!$H139='tab4'!K$3,'Course 4'!$I139," ")</f>
        <v xml:space="preserve"> </v>
      </c>
      <c r="L141" s="8" t="str">
        <f>IF('Course 4'!$H139='tab4'!L$3,'Course 4'!$I139," ")</f>
        <v xml:space="preserve"> </v>
      </c>
      <c r="M141" s="8" t="str">
        <f>IF('Course 4'!$H139='tab4'!M$3,'Course 4'!$I139," ")</f>
        <v xml:space="preserve"> </v>
      </c>
      <c r="N141" s="9" t="str">
        <f>IF('Course 4'!$H139='tab4'!N$3,'Course 4'!$I139," ")</f>
        <v xml:space="preserve"> </v>
      </c>
    </row>
    <row r="142" spans="2:14">
      <c r="B142">
        <v>138</v>
      </c>
      <c r="C142" s="7" t="str">
        <f>IF('Course 4'!$H140='tab4'!C$3,'Course 4'!$I140," ")</f>
        <v xml:space="preserve"> </v>
      </c>
      <c r="D142" s="8" t="str">
        <f>IF('Course 4'!$H140='tab4'!D$3,'Course 4'!$I140," ")</f>
        <v xml:space="preserve"> </v>
      </c>
      <c r="E142" s="8" t="str">
        <f>IF('Course 4'!$H140='tab4'!E$3,'Course 4'!$I140," ")</f>
        <v xml:space="preserve"> </v>
      </c>
      <c r="F142" s="8" t="str">
        <f>IF('Course 4'!$H140='tab4'!F$3,'Course 4'!$I140," ")</f>
        <v xml:space="preserve"> </v>
      </c>
      <c r="G142" s="8" t="str">
        <f>IF('Course 4'!$H140='tab4'!G$3,'Course 4'!$I140," ")</f>
        <v xml:space="preserve"> </v>
      </c>
      <c r="H142" s="8" t="str">
        <f>IF('Course 4'!$H140='tab4'!H$3,'Course 4'!$I140," ")</f>
        <v xml:space="preserve"> </v>
      </c>
      <c r="I142" s="8" t="str">
        <f>IF('Course 4'!$H140='tab4'!I$3,'Course 4'!$I140," ")</f>
        <v xml:space="preserve"> </v>
      </c>
      <c r="J142" s="8" t="str">
        <f>IF('Course 4'!$H140='tab4'!J$3,'Course 4'!$I140," ")</f>
        <v xml:space="preserve"> </v>
      </c>
      <c r="K142" s="8" t="str">
        <f>IF('Course 4'!$H140='tab4'!K$3,'Course 4'!$I140," ")</f>
        <v xml:space="preserve"> </v>
      </c>
      <c r="L142" s="8" t="str">
        <f>IF('Course 4'!$H140='tab4'!L$3,'Course 4'!$I140," ")</f>
        <v xml:space="preserve"> </v>
      </c>
      <c r="M142" s="8" t="str">
        <f>IF('Course 4'!$H140='tab4'!M$3,'Course 4'!$I140," ")</f>
        <v xml:space="preserve"> </v>
      </c>
      <c r="N142" s="9" t="str">
        <f>IF('Course 4'!$H140='tab4'!N$3,'Course 4'!$I140," ")</f>
        <v xml:space="preserve"> </v>
      </c>
    </row>
    <row r="143" spans="2:14">
      <c r="B143">
        <v>139</v>
      </c>
      <c r="C143" s="7" t="str">
        <f>IF('Course 4'!$H141='tab4'!C$3,'Course 4'!$I141," ")</f>
        <v xml:space="preserve"> </v>
      </c>
      <c r="D143" s="8" t="str">
        <f>IF('Course 4'!$H141='tab4'!D$3,'Course 4'!$I141," ")</f>
        <v xml:space="preserve"> </v>
      </c>
      <c r="E143" s="8" t="str">
        <f>IF('Course 4'!$H141='tab4'!E$3,'Course 4'!$I141," ")</f>
        <v xml:space="preserve"> </v>
      </c>
      <c r="F143" s="8" t="str">
        <f>IF('Course 4'!$H141='tab4'!F$3,'Course 4'!$I141," ")</f>
        <v xml:space="preserve"> </v>
      </c>
      <c r="G143" s="8" t="str">
        <f>IF('Course 4'!$H141='tab4'!G$3,'Course 4'!$I141," ")</f>
        <v xml:space="preserve"> </v>
      </c>
      <c r="H143" s="8" t="str">
        <f>IF('Course 4'!$H141='tab4'!H$3,'Course 4'!$I141," ")</f>
        <v xml:space="preserve"> </v>
      </c>
      <c r="I143" s="8" t="str">
        <f>IF('Course 4'!$H141='tab4'!I$3,'Course 4'!$I141," ")</f>
        <v xml:space="preserve"> </v>
      </c>
      <c r="J143" s="8" t="str">
        <f>IF('Course 4'!$H141='tab4'!J$3,'Course 4'!$I141," ")</f>
        <v xml:space="preserve"> </v>
      </c>
      <c r="K143" s="8" t="str">
        <f>IF('Course 4'!$H141='tab4'!K$3,'Course 4'!$I141," ")</f>
        <v xml:space="preserve"> </v>
      </c>
      <c r="L143" s="8" t="str">
        <f>IF('Course 4'!$H141='tab4'!L$3,'Course 4'!$I141," ")</f>
        <v xml:space="preserve"> </v>
      </c>
      <c r="M143" s="8" t="str">
        <f>IF('Course 4'!$H141='tab4'!M$3,'Course 4'!$I141," ")</f>
        <v xml:space="preserve"> </v>
      </c>
      <c r="N143" s="9" t="str">
        <f>IF('Course 4'!$H141='tab4'!N$3,'Course 4'!$I141," ")</f>
        <v xml:space="preserve"> </v>
      </c>
    </row>
    <row r="144" spans="2:14">
      <c r="B144">
        <v>140</v>
      </c>
      <c r="C144" s="7" t="str">
        <f>IF('Course 4'!$H142='tab4'!C$3,'Course 4'!$I142," ")</f>
        <v xml:space="preserve"> </v>
      </c>
      <c r="D144" s="8" t="str">
        <f>IF('Course 4'!$H142='tab4'!D$3,'Course 4'!$I142," ")</f>
        <v xml:space="preserve"> </v>
      </c>
      <c r="E144" s="8" t="str">
        <f>IF('Course 4'!$H142='tab4'!E$3,'Course 4'!$I142," ")</f>
        <v xml:space="preserve"> </v>
      </c>
      <c r="F144" s="8" t="str">
        <f>IF('Course 4'!$H142='tab4'!F$3,'Course 4'!$I142," ")</f>
        <v xml:space="preserve"> </v>
      </c>
      <c r="G144" s="8" t="str">
        <f>IF('Course 4'!$H142='tab4'!G$3,'Course 4'!$I142," ")</f>
        <v xml:space="preserve"> </v>
      </c>
      <c r="H144" s="8" t="str">
        <f>IF('Course 4'!$H142='tab4'!H$3,'Course 4'!$I142," ")</f>
        <v xml:space="preserve"> </v>
      </c>
      <c r="I144" s="8" t="str">
        <f>IF('Course 4'!$H142='tab4'!I$3,'Course 4'!$I142," ")</f>
        <v xml:space="preserve"> </v>
      </c>
      <c r="J144" s="8" t="str">
        <f>IF('Course 4'!$H142='tab4'!J$3,'Course 4'!$I142," ")</f>
        <v xml:space="preserve"> </v>
      </c>
      <c r="K144" s="8" t="str">
        <f>IF('Course 4'!$H142='tab4'!K$3,'Course 4'!$I142," ")</f>
        <v xml:space="preserve"> </v>
      </c>
      <c r="L144" s="8" t="str">
        <f>IF('Course 4'!$H142='tab4'!L$3,'Course 4'!$I142," ")</f>
        <v xml:space="preserve"> </v>
      </c>
      <c r="M144" s="8" t="str">
        <f>IF('Course 4'!$H142='tab4'!M$3,'Course 4'!$I142," ")</f>
        <v xml:space="preserve"> </v>
      </c>
      <c r="N144" s="9" t="str">
        <f>IF('Course 4'!$H142='tab4'!N$3,'Course 4'!$I142," ")</f>
        <v xml:space="preserve"> </v>
      </c>
    </row>
    <row r="145" spans="2:14">
      <c r="B145">
        <v>141</v>
      </c>
      <c r="C145" s="7" t="str">
        <f>IF('Course 4'!$H143='tab4'!C$3,'Course 4'!$I143," ")</f>
        <v xml:space="preserve"> </v>
      </c>
      <c r="D145" s="8" t="str">
        <f>IF('Course 4'!$H143='tab4'!D$3,'Course 4'!$I143," ")</f>
        <v xml:space="preserve"> </v>
      </c>
      <c r="E145" s="8" t="str">
        <f>IF('Course 4'!$H143='tab4'!E$3,'Course 4'!$I143," ")</f>
        <v xml:space="preserve"> </v>
      </c>
      <c r="F145" s="8" t="str">
        <f>IF('Course 4'!$H143='tab4'!F$3,'Course 4'!$I143," ")</f>
        <v xml:space="preserve"> </v>
      </c>
      <c r="G145" s="8" t="str">
        <f>IF('Course 4'!$H143='tab4'!G$3,'Course 4'!$I143," ")</f>
        <v xml:space="preserve"> </v>
      </c>
      <c r="H145" s="8" t="str">
        <f>IF('Course 4'!$H143='tab4'!H$3,'Course 4'!$I143," ")</f>
        <v xml:space="preserve"> </v>
      </c>
      <c r="I145" s="8" t="str">
        <f>IF('Course 4'!$H143='tab4'!I$3,'Course 4'!$I143," ")</f>
        <v xml:space="preserve"> </v>
      </c>
      <c r="J145" s="8" t="str">
        <f>IF('Course 4'!$H143='tab4'!J$3,'Course 4'!$I143," ")</f>
        <v xml:space="preserve"> </v>
      </c>
      <c r="K145" s="8" t="str">
        <f>IF('Course 4'!$H143='tab4'!K$3,'Course 4'!$I143," ")</f>
        <v xml:space="preserve"> </v>
      </c>
      <c r="L145" s="8" t="str">
        <f>IF('Course 4'!$H143='tab4'!L$3,'Course 4'!$I143," ")</f>
        <v xml:space="preserve"> </v>
      </c>
      <c r="M145" s="8" t="str">
        <f>IF('Course 4'!$H143='tab4'!M$3,'Course 4'!$I143," ")</f>
        <v xml:space="preserve"> </v>
      </c>
      <c r="N145" s="9" t="str">
        <f>IF('Course 4'!$H143='tab4'!N$3,'Course 4'!$I143," ")</f>
        <v xml:space="preserve"> </v>
      </c>
    </row>
    <row r="146" spans="2:14">
      <c r="B146">
        <v>142</v>
      </c>
      <c r="C146" s="7" t="str">
        <f>IF('Course 4'!$H144='tab4'!C$3,'Course 4'!$I144," ")</f>
        <v xml:space="preserve"> </v>
      </c>
      <c r="D146" s="8" t="str">
        <f>IF('Course 4'!$H144='tab4'!D$3,'Course 4'!$I144," ")</f>
        <v xml:space="preserve"> </v>
      </c>
      <c r="E146" s="8" t="str">
        <f>IF('Course 4'!$H144='tab4'!E$3,'Course 4'!$I144," ")</f>
        <v xml:space="preserve"> </v>
      </c>
      <c r="F146" s="8" t="str">
        <f>IF('Course 4'!$H144='tab4'!F$3,'Course 4'!$I144," ")</f>
        <v xml:space="preserve"> </v>
      </c>
      <c r="G146" s="8" t="str">
        <f>IF('Course 4'!$H144='tab4'!G$3,'Course 4'!$I144," ")</f>
        <v xml:space="preserve"> </v>
      </c>
      <c r="H146" s="8" t="str">
        <f>IF('Course 4'!$H144='tab4'!H$3,'Course 4'!$I144," ")</f>
        <v xml:space="preserve"> </v>
      </c>
      <c r="I146" s="8" t="str">
        <f>IF('Course 4'!$H144='tab4'!I$3,'Course 4'!$I144," ")</f>
        <v xml:space="preserve"> </v>
      </c>
      <c r="J146" s="8" t="str">
        <f>IF('Course 4'!$H144='tab4'!J$3,'Course 4'!$I144," ")</f>
        <v xml:space="preserve"> </v>
      </c>
      <c r="K146" s="8" t="str">
        <f>IF('Course 4'!$H144='tab4'!K$3,'Course 4'!$I144," ")</f>
        <v xml:space="preserve"> </v>
      </c>
      <c r="L146" s="8" t="str">
        <f>IF('Course 4'!$H144='tab4'!L$3,'Course 4'!$I144," ")</f>
        <v xml:space="preserve"> </v>
      </c>
      <c r="M146" s="8" t="str">
        <f>IF('Course 4'!$H144='tab4'!M$3,'Course 4'!$I144," ")</f>
        <v xml:space="preserve"> </v>
      </c>
      <c r="N146" s="9" t="str">
        <f>IF('Course 4'!$H144='tab4'!N$3,'Course 4'!$I144," ")</f>
        <v xml:space="preserve"> </v>
      </c>
    </row>
    <row r="147" spans="2:14">
      <c r="B147">
        <v>143</v>
      </c>
      <c r="C147" s="7" t="str">
        <f>IF('Course 4'!$H145='tab4'!C$3,'Course 4'!$I145," ")</f>
        <v xml:space="preserve"> </v>
      </c>
      <c r="D147" s="8" t="str">
        <f>IF('Course 4'!$H145='tab4'!D$3,'Course 4'!$I145," ")</f>
        <v xml:space="preserve"> </v>
      </c>
      <c r="E147" s="8" t="str">
        <f>IF('Course 4'!$H145='tab4'!E$3,'Course 4'!$I145," ")</f>
        <v xml:space="preserve"> </v>
      </c>
      <c r="F147" s="8" t="str">
        <f>IF('Course 4'!$H145='tab4'!F$3,'Course 4'!$I145," ")</f>
        <v xml:space="preserve"> </v>
      </c>
      <c r="G147" s="8" t="str">
        <f>IF('Course 4'!$H145='tab4'!G$3,'Course 4'!$I145," ")</f>
        <v xml:space="preserve"> </v>
      </c>
      <c r="H147" s="8" t="str">
        <f>IF('Course 4'!$H145='tab4'!H$3,'Course 4'!$I145," ")</f>
        <v xml:space="preserve"> </v>
      </c>
      <c r="I147" s="8" t="str">
        <f>IF('Course 4'!$H145='tab4'!I$3,'Course 4'!$I145," ")</f>
        <v xml:space="preserve"> </v>
      </c>
      <c r="J147" s="8" t="str">
        <f>IF('Course 4'!$H145='tab4'!J$3,'Course 4'!$I145," ")</f>
        <v xml:space="preserve"> </v>
      </c>
      <c r="K147" s="8" t="str">
        <f>IF('Course 4'!$H145='tab4'!K$3,'Course 4'!$I145," ")</f>
        <v xml:space="preserve"> </v>
      </c>
      <c r="L147" s="8" t="str">
        <f>IF('Course 4'!$H145='tab4'!L$3,'Course 4'!$I145," ")</f>
        <v xml:space="preserve"> </v>
      </c>
      <c r="M147" s="8" t="str">
        <f>IF('Course 4'!$H145='tab4'!M$3,'Course 4'!$I145," ")</f>
        <v xml:space="preserve"> </v>
      </c>
      <c r="N147" s="9" t="str">
        <f>IF('Course 4'!$H145='tab4'!N$3,'Course 4'!$I145," ")</f>
        <v xml:space="preserve"> </v>
      </c>
    </row>
    <row r="148" spans="2:14">
      <c r="B148">
        <v>144</v>
      </c>
      <c r="C148" s="7" t="str">
        <f>IF('Course 4'!$H146='tab4'!C$3,'Course 4'!$I146," ")</f>
        <v xml:space="preserve"> </v>
      </c>
      <c r="D148" s="8" t="str">
        <f>IF('Course 4'!$H146='tab4'!D$3,'Course 4'!$I146," ")</f>
        <v xml:space="preserve"> </v>
      </c>
      <c r="E148" s="8" t="str">
        <f>IF('Course 4'!$H146='tab4'!E$3,'Course 4'!$I146," ")</f>
        <v xml:space="preserve"> </v>
      </c>
      <c r="F148" s="8" t="str">
        <f>IF('Course 4'!$H146='tab4'!F$3,'Course 4'!$I146," ")</f>
        <v xml:space="preserve"> </v>
      </c>
      <c r="G148" s="8" t="str">
        <f>IF('Course 4'!$H146='tab4'!G$3,'Course 4'!$I146," ")</f>
        <v xml:space="preserve"> </v>
      </c>
      <c r="H148" s="8" t="str">
        <f>IF('Course 4'!$H146='tab4'!H$3,'Course 4'!$I146," ")</f>
        <v xml:space="preserve"> </v>
      </c>
      <c r="I148" s="8" t="str">
        <f>IF('Course 4'!$H146='tab4'!I$3,'Course 4'!$I146," ")</f>
        <v xml:space="preserve"> </v>
      </c>
      <c r="J148" s="8" t="str">
        <f>IF('Course 4'!$H146='tab4'!J$3,'Course 4'!$I146," ")</f>
        <v xml:space="preserve"> </v>
      </c>
      <c r="K148" s="8" t="str">
        <f>IF('Course 4'!$H146='tab4'!K$3,'Course 4'!$I146," ")</f>
        <v xml:space="preserve"> </v>
      </c>
      <c r="L148" s="8" t="str">
        <f>IF('Course 4'!$H146='tab4'!L$3,'Course 4'!$I146," ")</f>
        <v xml:space="preserve"> </v>
      </c>
      <c r="M148" s="8" t="str">
        <f>IF('Course 4'!$H146='tab4'!M$3,'Course 4'!$I146," ")</f>
        <v xml:space="preserve"> </v>
      </c>
      <c r="N148" s="9" t="str">
        <f>IF('Course 4'!$H146='tab4'!N$3,'Course 4'!$I146," ")</f>
        <v xml:space="preserve"> </v>
      </c>
    </row>
    <row r="149" spans="2:14">
      <c r="B149">
        <v>145</v>
      </c>
      <c r="C149" s="7" t="str">
        <f>IF('Course 4'!$H147='tab4'!C$3,'Course 4'!$I147," ")</f>
        <v xml:space="preserve"> </v>
      </c>
      <c r="D149" s="8" t="str">
        <f>IF('Course 4'!$H147='tab4'!D$3,'Course 4'!$I147," ")</f>
        <v xml:space="preserve"> </v>
      </c>
      <c r="E149" s="8" t="str">
        <f>IF('Course 4'!$H147='tab4'!E$3,'Course 4'!$I147," ")</f>
        <v xml:space="preserve"> </v>
      </c>
      <c r="F149" s="8" t="str">
        <f>IF('Course 4'!$H147='tab4'!F$3,'Course 4'!$I147," ")</f>
        <v xml:space="preserve"> </v>
      </c>
      <c r="G149" s="8" t="str">
        <f>IF('Course 4'!$H147='tab4'!G$3,'Course 4'!$I147," ")</f>
        <v xml:space="preserve"> </v>
      </c>
      <c r="H149" s="8" t="str">
        <f>IF('Course 4'!$H147='tab4'!H$3,'Course 4'!$I147," ")</f>
        <v xml:space="preserve"> </v>
      </c>
      <c r="I149" s="8" t="str">
        <f>IF('Course 4'!$H147='tab4'!I$3,'Course 4'!$I147," ")</f>
        <v xml:space="preserve"> </v>
      </c>
      <c r="J149" s="8" t="str">
        <f>IF('Course 4'!$H147='tab4'!J$3,'Course 4'!$I147," ")</f>
        <v xml:space="preserve"> </v>
      </c>
      <c r="K149" s="8" t="str">
        <f>IF('Course 4'!$H147='tab4'!K$3,'Course 4'!$I147," ")</f>
        <v xml:space="preserve"> </v>
      </c>
      <c r="L149" s="8" t="str">
        <f>IF('Course 4'!$H147='tab4'!L$3,'Course 4'!$I147," ")</f>
        <v xml:space="preserve"> </v>
      </c>
      <c r="M149" s="8" t="str">
        <f>IF('Course 4'!$H147='tab4'!M$3,'Course 4'!$I147," ")</f>
        <v xml:space="preserve"> </v>
      </c>
      <c r="N149" s="9" t="str">
        <f>IF('Course 4'!$H147='tab4'!N$3,'Course 4'!$I147," ")</f>
        <v xml:space="preserve"> </v>
      </c>
    </row>
    <row r="150" spans="2:14">
      <c r="B150">
        <v>146</v>
      </c>
      <c r="C150" s="7" t="str">
        <f>IF('Course 4'!$H148='tab4'!C$3,'Course 4'!$I148," ")</f>
        <v xml:space="preserve"> </v>
      </c>
      <c r="D150" s="8" t="str">
        <f>IF('Course 4'!$H148='tab4'!D$3,'Course 4'!$I148," ")</f>
        <v xml:space="preserve"> </v>
      </c>
      <c r="E150" s="8" t="str">
        <f>IF('Course 4'!$H148='tab4'!E$3,'Course 4'!$I148," ")</f>
        <v xml:space="preserve"> </v>
      </c>
      <c r="F150" s="8" t="str">
        <f>IF('Course 4'!$H148='tab4'!F$3,'Course 4'!$I148," ")</f>
        <v xml:space="preserve"> </v>
      </c>
      <c r="G150" s="8" t="str">
        <f>IF('Course 4'!$H148='tab4'!G$3,'Course 4'!$I148," ")</f>
        <v xml:space="preserve"> </v>
      </c>
      <c r="H150" s="8" t="str">
        <f>IF('Course 4'!$H148='tab4'!H$3,'Course 4'!$I148," ")</f>
        <v xml:space="preserve"> </v>
      </c>
      <c r="I150" s="8" t="str">
        <f>IF('Course 4'!$H148='tab4'!I$3,'Course 4'!$I148," ")</f>
        <v xml:space="preserve"> </v>
      </c>
      <c r="J150" s="8" t="str">
        <f>IF('Course 4'!$H148='tab4'!J$3,'Course 4'!$I148," ")</f>
        <v xml:space="preserve"> </v>
      </c>
      <c r="K150" s="8" t="str">
        <f>IF('Course 4'!$H148='tab4'!K$3,'Course 4'!$I148," ")</f>
        <v xml:space="preserve"> </v>
      </c>
      <c r="L150" s="8" t="str">
        <f>IF('Course 4'!$H148='tab4'!L$3,'Course 4'!$I148," ")</f>
        <v xml:space="preserve"> </v>
      </c>
      <c r="M150" s="8" t="str">
        <f>IF('Course 4'!$H148='tab4'!M$3,'Course 4'!$I148," ")</f>
        <v xml:space="preserve"> </v>
      </c>
      <c r="N150" s="9" t="str">
        <f>IF('Course 4'!$H148='tab4'!N$3,'Course 4'!$I148," ")</f>
        <v xml:space="preserve"> </v>
      </c>
    </row>
    <row r="151" spans="2:14">
      <c r="B151">
        <v>147</v>
      </c>
      <c r="C151" s="7" t="str">
        <f>IF('Course 4'!$H149='tab4'!C$3,'Course 4'!$I149," ")</f>
        <v xml:space="preserve"> </v>
      </c>
      <c r="D151" s="8" t="str">
        <f>IF('Course 4'!$H149='tab4'!D$3,'Course 4'!$I149," ")</f>
        <v xml:space="preserve"> </v>
      </c>
      <c r="E151" s="8" t="str">
        <f>IF('Course 4'!$H149='tab4'!E$3,'Course 4'!$I149," ")</f>
        <v xml:space="preserve"> </v>
      </c>
      <c r="F151" s="8" t="str">
        <f>IF('Course 4'!$H149='tab4'!F$3,'Course 4'!$I149," ")</f>
        <v xml:space="preserve"> </v>
      </c>
      <c r="G151" s="8" t="str">
        <f>IF('Course 4'!$H149='tab4'!G$3,'Course 4'!$I149," ")</f>
        <v xml:space="preserve"> </v>
      </c>
      <c r="H151" s="8" t="str">
        <f>IF('Course 4'!$H149='tab4'!H$3,'Course 4'!$I149," ")</f>
        <v xml:space="preserve"> </v>
      </c>
      <c r="I151" s="8" t="str">
        <f>IF('Course 4'!$H149='tab4'!I$3,'Course 4'!$I149," ")</f>
        <v xml:space="preserve"> </v>
      </c>
      <c r="J151" s="8" t="str">
        <f>IF('Course 4'!$H149='tab4'!J$3,'Course 4'!$I149," ")</f>
        <v xml:space="preserve"> </v>
      </c>
      <c r="K151" s="8" t="str">
        <f>IF('Course 4'!$H149='tab4'!K$3,'Course 4'!$I149," ")</f>
        <v xml:space="preserve"> </v>
      </c>
      <c r="L151" s="8" t="str">
        <f>IF('Course 4'!$H149='tab4'!L$3,'Course 4'!$I149," ")</f>
        <v xml:space="preserve"> </v>
      </c>
      <c r="M151" s="8" t="str">
        <f>IF('Course 4'!$H149='tab4'!M$3,'Course 4'!$I149," ")</f>
        <v xml:space="preserve"> </v>
      </c>
      <c r="N151" s="9" t="str">
        <f>IF('Course 4'!$H149='tab4'!N$3,'Course 4'!$I149," ")</f>
        <v xml:space="preserve"> </v>
      </c>
    </row>
    <row r="152" spans="2:14">
      <c r="B152">
        <v>148</v>
      </c>
      <c r="C152" s="7" t="str">
        <f>IF('Course 4'!$H150='tab4'!C$3,'Course 4'!$I150," ")</f>
        <v xml:space="preserve"> </v>
      </c>
      <c r="D152" s="8" t="str">
        <f>IF('Course 4'!$H150='tab4'!D$3,'Course 4'!$I150," ")</f>
        <v xml:space="preserve"> </v>
      </c>
      <c r="E152" s="8" t="str">
        <f>IF('Course 4'!$H150='tab4'!E$3,'Course 4'!$I150," ")</f>
        <v xml:space="preserve"> </v>
      </c>
      <c r="F152" s="8" t="str">
        <f>IF('Course 4'!$H150='tab4'!F$3,'Course 4'!$I150," ")</f>
        <v xml:space="preserve"> </v>
      </c>
      <c r="G152" s="8" t="str">
        <f>IF('Course 4'!$H150='tab4'!G$3,'Course 4'!$I150," ")</f>
        <v xml:space="preserve"> </v>
      </c>
      <c r="H152" s="8" t="str">
        <f>IF('Course 4'!$H150='tab4'!H$3,'Course 4'!$I150," ")</f>
        <v xml:space="preserve"> </v>
      </c>
      <c r="I152" s="8" t="str">
        <f>IF('Course 4'!$H150='tab4'!I$3,'Course 4'!$I150," ")</f>
        <v xml:space="preserve"> </v>
      </c>
      <c r="J152" s="8" t="str">
        <f>IF('Course 4'!$H150='tab4'!J$3,'Course 4'!$I150," ")</f>
        <v xml:space="preserve"> </v>
      </c>
      <c r="K152" s="8" t="str">
        <f>IF('Course 4'!$H150='tab4'!K$3,'Course 4'!$I150," ")</f>
        <v xml:space="preserve"> </v>
      </c>
      <c r="L152" s="8" t="str">
        <f>IF('Course 4'!$H150='tab4'!L$3,'Course 4'!$I150," ")</f>
        <v xml:space="preserve"> </v>
      </c>
      <c r="M152" s="8" t="str">
        <f>IF('Course 4'!$H150='tab4'!M$3,'Course 4'!$I150," ")</f>
        <v xml:space="preserve"> </v>
      </c>
      <c r="N152" s="9" t="str">
        <f>IF('Course 4'!$H150='tab4'!N$3,'Course 4'!$I150," ")</f>
        <v xml:space="preserve"> </v>
      </c>
    </row>
    <row r="153" spans="2:14">
      <c r="B153">
        <v>149</v>
      </c>
      <c r="C153" s="7" t="str">
        <f>IF('Course 4'!$H151='tab4'!C$3,'Course 4'!$I151," ")</f>
        <v xml:space="preserve"> </v>
      </c>
      <c r="D153" s="8" t="str">
        <f>IF('Course 4'!$H151='tab4'!D$3,'Course 4'!$I151," ")</f>
        <v xml:space="preserve"> </v>
      </c>
      <c r="E153" s="8" t="str">
        <f>IF('Course 4'!$H151='tab4'!E$3,'Course 4'!$I151," ")</f>
        <v xml:space="preserve"> </v>
      </c>
      <c r="F153" s="8" t="str">
        <f>IF('Course 4'!$H151='tab4'!F$3,'Course 4'!$I151," ")</f>
        <v xml:space="preserve"> </v>
      </c>
      <c r="G153" s="8" t="str">
        <f>IF('Course 4'!$H151='tab4'!G$3,'Course 4'!$I151," ")</f>
        <v xml:space="preserve"> </v>
      </c>
      <c r="H153" s="8" t="str">
        <f>IF('Course 4'!$H151='tab4'!H$3,'Course 4'!$I151," ")</f>
        <v xml:space="preserve"> </v>
      </c>
      <c r="I153" s="8" t="str">
        <f>IF('Course 4'!$H151='tab4'!I$3,'Course 4'!$I151," ")</f>
        <v xml:space="preserve"> </v>
      </c>
      <c r="J153" s="8" t="str">
        <f>IF('Course 4'!$H151='tab4'!J$3,'Course 4'!$I151," ")</f>
        <v xml:space="preserve"> </v>
      </c>
      <c r="K153" s="8" t="str">
        <f>IF('Course 4'!$H151='tab4'!K$3,'Course 4'!$I151," ")</f>
        <v xml:space="preserve"> </v>
      </c>
      <c r="L153" s="8" t="str">
        <f>IF('Course 4'!$H151='tab4'!L$3,'Course 4'!$I151," ")</f>
        <v xml:space="preserve"> </v>
      </c>
      <c r="M153" s="8" t="str">
        <f>IF('Course 4'!$H151='tab4'!M$3,'Course 4'!$I151," ")</f>
        <v xml:space="preserve"> </v>
      </c>
      <c r="N153" s="9" t="str">
        <f>IF('Course 4'!$H151='tab4'!N$3,'Course 4'!$I151," ")</f>
        <v xml:space="preserve"> </v>
      </c>
    </row>
    <row r="154" spans="2:14">
      <c r="B154">
        <v>150</v>
      </c>
      <c r="C154" s="7" t="str">
        <f>IF('Course 4'!$H152='tab4'!C$3,'Course 4'!$I152," ")</f>
        <v xml:space="preserve"> </v>
      </c>
      <c r="D154" s="8" t="str">
        <f>IF('Course 4'!$H152='tab4'!D$3,'Course 4'!$I152," ")</f>
        <v xml:space="preserve"> </v>
      </c>
      <c r="E154" s="8" t="str">
        <f>IF('Course 4'!$H152='tab4'!E$3,'Course 4'!$I152," ")</f>
        <v xml:space="preserve"> </v>
      </c>
      <c r="F154" s="8" t="str">
        <f>IF('Course 4'!$H152='tab4'!F$3,'Course 4'!$I152," ")</f>
        <v xml:space="preserve"> </v>
      </c>
      <c r="G154" s="8" t="str">
        <f>IF('Course 4'!$H152='tab4'!G$3,'Course 4'!$I152," ")</f>
        <v xml:space="preserve"> </v>
      </c>
      <c r="H154" s="8" t="str">
        <f>IF('Course 4'!$H152='tab4'!H$3,'Course 4'!$I152," ")</f>
        <v xml:space="preserve"> </v>
      </c>
      <c r="I154" s="8" t="str">
        <f>IF('Course 4'!$H152='tab4'!I$3,'Course 4'!$I152," ")</f>
        <v xml:space="preserve"> </v>
      </c>
      <c r="J154" s="8" t="str">
        <f>IF('Course 4'!$H152='tab4'!J$3,'Course 4'!$I152," ")</f>
        <v xml:space="preserve"> </v>
      </c>
      <c r="K154" s="8" t="str">
        <f>IF('Course 4'!$H152='tab4'!K$3,'Course 4'!$I152," ")</f>
        <v xml:space="preserve"> </v>
      </c>
      <c r="L154" s="8" t="str">
        <f>IF('Course 4'!$H152='tab4'!L$3,'Course 4'!$I152," ")</f>
        <v xml:space="preserve"> </v>
      </c>
      <c r="M154" s="8" t="str">
        <f>IF('Course 4'!$H152='tab4'!M$3,'Course 4'!$I152," ")</f>
        <v xml:space="preserve"> </v>
      </c>
      <c r="N154" s="9" t="str">
        <f>IF('Course 4'!$H152='tab4'!N$3,'Course 4'!$I152," ")</f>
        <v xml:space="preserve"> </v>
      </c>
    </row>
    <row r="155" spans="2:14">
      <c r="B155">
        <v>151</v>
      </c>
      <c r="C155" s="7" t="str">
        <f>IF('Course 4'!$H153='tab4'!C$3,'Course 4'!$I153," ")</f>
        <v xml:space="preserve"> </v>
      </c>
      <c r="D155" s="8" t="str">
        <f>IF('Course 4'!$H153='tab4'!D$3,'Course 4'!$I153," ")</f>
        <v xml:space="preserve"> </v>
      </c>
      <c r="E155" s="8" t="str">
        <f>IF('Course 4'!$H153='tab4'!E$3,'Course 4'!$I153," ")</f>
        <v xml:space="preserve"> </v>
      </c>
      <c r="F155" s="8" t="str">
        <f>IF('Course 4'!$H153='tab4'!F$3,'Course 4'!$I153," ")</f>
        <v xml:space="preserve"> </v>
      </c>
      <c r="G155" s="8" t="str">
        <f>IF('Course 4'!$H153='tab4'!G$3,'Course 4'!$I153," ")</f>
        <v xml:space="preserve"> </v>
      </c>
      <c r="H155" s="8" t="str">
        <f>IF('Course 4'!$H153='tab4'!H$3,'Course 4'!$I153," ")</f>
        <v xml:space="preserve"> </v>
      </c>
      <c r="I155" s="8" t="str">
        <f>IF('Course 4'!$H153='tab4'!I$3,'Course 4'!$I153," ")</f>
        <v xml:space="preserve"> </v>
      </c>
      <c r="J155" s="8" t="str">
        <f>IF('Course 4'!$H153='tab4'!J$3,'Course 4'!$I153," ")</f>
        <v xml:space="preserve"> </v>
      </c>
      <c r="K155" s="8" t="str">
        <f>IF('Course 4'!$H153='tab4'!K$3,'Course 4'!$I153," ")</f>
        <v xml:space="preserve"> </v>
      </c>
      <c r="L155" s="8" t="str">
        <f>IF('Course 4'!$H153='tab4'!L$3,'Course 4'!$I153," ")</f>
        <v xml:space="preserve"> </v>
      </c>
      <c r="M155" s="8" t="str">
        <f>IF('Course 4'!$H153='tab4'!M$3,'Course 4'!$I153," ")</f>
        <v xml:space="preserve"> </v>
      </c>
      <c r="N155" s="9" t="str">
        <f>IF('Course 4'!$H153='tab4'!N$3,'Course 4'!$I153," ")</f>
        <v xml:space="preserve"> </v>
      </c>
    </row>
    <row r="156" spans="2:14">
      <c r="B156">
        <v>152</v>
      </c>
      <c r="C156" s="7" t="str">
        <f>IF('Course 4'!$H154='tab4'!C$3,'Course 4'!$I154," ")</f>
        <v xml:space="preserve"> </v>
      </c>
      <c r="D156" s="8" t="str">
        <f>IF('Course 4'!$H154='tab4'!D$3,'Course 4'!$I154," ")</f>
        <v xml:space="preserve"> </v>
      </c>
      <c r="E156" s="8" t="str">
        <f>IF('Course 4'!$H154='tab4'!E$3,'Course 4'!$I154," ")</f>
        <v xml:space="preserve"> </v>
      </c>
      <c r="F156" s="8" t="str">
        <f>IF('Course 4'!$H154='tab4'!F$3,'Course 4'!$I154," ")</f>
        <v xml:space="preserve"> </v>
      </c>
      <c r="G156" s="8" t="str">
        <f>IF('Course 4'!$H154='tab4'!G$3,'Course 4'!$I154," ")</f>
        <v xml:space="preserve"> </v>
      </c>
      <c r="H156" s="8" t="str">
        <f>IF('Course 4'!$H154='tab4'!H$3,'Course 4'!$I154," ")</f>
        <v xml:space="preserve"> </v>
      </c>
      <c r="I156" s="8" t="str">
        <f>IF('Course 4'!$H154='tab4'!I$3,'Course 4'!$I154," ")</f>
        <v xml:space="preserve"> </v>
      </c>
      <c r="J156" s="8" t="str">
        <f>IF('Course 4'!$H154='tab4'!J$3,'Course 4'!$I154," ")</f>
        <v xml:space="preserve"> </v>
      </c>
      <c r="K156" s="8" t="str">
        <f>IF('Course 4'!$H154='tab4'!K$3,'Course 4'!$I154," ")</f>
        <v xml:space="preserve"> </v>
      </c>
      <c r="L156" s="8" t="str">
        <f>IF('Course 4'!$H154='tab4'!L$3,'Course 4'!$I154," ")</f>
        <v xml:space="preserve"> </v>
      </c>
      <c r="M156" s="8" t="str">
        <f>IF('Course 4'!$H154='tab4'!M$3,'Course 4'!$I154," ")</f>
        <v xml:space="preserve"> </v>
      </c>
      <c r="N156" s="9" t="str">
        <f>IF('Course 4'!$H154='tab4'!N$3,'Course 4'!$I154," ")</f>
        <v xml:space="preserve"> </v>
      </c>
    </row>
    <row r="157" spans="2:14">
      <c r="B157">
        <v>153</v>
      </c>
      <c r="C157" s="7" t="str">
        <f>IF('Course 4'!$H155='tab4'!C$3,'Course 4'!$I155," ")</f>
        <v xml:space="preserve"> </v>
      </c>
      <c r="D157" s="8" t="str">
        <f>IF('Course 4'!$H155='tab4'!D$3,'Course 4'!$I155," ")</f>
        <v xml:space="preserve"> </v>
      </c>
      <c r="E157" s="8" t="str">
        <f>IF('Course 4'!$H155='tab4'!E$3,'Course 4'!$I155," ")</f>
        <v xml:space="preserve"> </v>
      </c>
      <c r="F157" s="8" t="str">
        <f>IF('Course 4'!$H155='tab4'!F$3,'Course 4'!$I155," ")</f>
        <v xml:space="preserve"> </v>
      </c>
      <c r="G157" s="8" t="str">
        <f>IF('Course 4'!$H155='tab4'!G$3,'Course 4'!$I155," ")</f>
        <v xml:space="preserve"> </v>
      </c>
      <c r="H157" s="8" t="str">
        <f>IF('Course 4'!$H155='tab4'!H$3,'Course 4'!$I155," ")</f>
        <v xml:space="preserve"> </v>
      </c>
      <c r="I157" s="8" t="str">
        <f>IF('Course 4'!$H155='tab4'!I$3,'Course 4'!$I155," ")</f>
        <v xml:space="preserve"> </v>
      </c>
      <c r="J157" s="8" t="str">
        <f>IF('Course 4'!$H155='tab4'!J$3,'Course 4'!$I155," ")</f>
        <v xml:space="preserve"> </v>
      </c>
      <c r="K157" s="8" t="str">
        <f>IF('Course 4'!$H155='tab4'!K$3,'Course 4'!$I155," ")</f>
        <v xml:space="preserve"> </v>
      </c>
      <c r="L157" s="8" t="str">
        <f>IF('Course 4'!$H155='tab4'!L$3,'Course 4'!$I155," ")</f>
        <v xml:space="preserve"> </v>
      </c>
      <c r="M157" s="8" t="str">
        <f>IF('Course 4'!$H155='tab4'!M$3,'Course 4'!$I155," ")</f>
        <v xml:space="preserve"> </v>
      </c>
      <c r="N157" s="9" t="str">
        <f>IF('Course 4'!$H155='tab4'!N$3,'Course 4'!$I155," ")</f>
        <v xml:space="preserve"> </v>
      </c>
    </row>
    <row r="158" spans="2:14">
      <c r="B158">
        <v>154</v>
      </c>
      <c r="C158" s="7" t="str">
        <f>IF('Course 4'!$H156='tab4'!C$3,'Course 4'!$I156," ")</f>
        <v xml:space="preserve"> </v>
      </c>
      <c r="D158" s="8" t="str">
        <f>IF('Course 4'!$H156='tab4'!D$3,'Course 4'!$I156," ")</f>
        <v xml:space="preserve"> </v>
      </c>
      <c r="E158" s="8" t="str">
        <f>IF('Course 4'!$H156='tab4'!E$3,'Course 4'!$I156," ")</f>
        <v xml:space="preserve"> </v>
      </c>
      <c r="F158" s="8" t="str">
        <f>IF('Course 4'!$H156='tab4'!F$3,'Course 4'!$I156," ")</f>
        <v xml:space="preserve"> </v>
      </c>
      <c r="G158" s="8" t="str">
        <f>IF('Course 4'!$H156='tab4'!G$3,'Course 4'!$I156," ")</f>
        <v xml:space="preserve"> </v>
      </c>
      <c r="H158" s="8" t="str">
        <f>IF('Course 4'!$H156='tab4'!H$3,'Course 4'!$I156," ")</f>
        <v xml:space="preserve"> </v>
      </c>
      <c r="I158" s="8" t="str">
        <f>IF('Course 4'!$H156='tab4'!I$3,'Course 4'!$I156," ")</f>
        <v xml:space="preserve"> </v>
      </c>
      <c r="J158" s="8" t="str">
        <f>IF('Course 4'!$H156='tab4'!J$3,'Course 4'!$I156," ")</f>
        <v xml:space="preserve"> </v>
      </c>
      <c r="K158" s="8" t="str">
        <f>IF('Course 4'!$H156='tab4'!K$3,'Course 4'!$I156," ")</f>
        <v xml:space="preserve"> </v>
      </c>
      <c r="L158" s="8" t="str">
        <f>IF('Course 4'!$H156='tab4'!L$3,'Course 4'!$I156," ")</f>
        <v xml:space="preserve"> </v>
      </c>
      <c r="M158" s="8" t="str">
        <f>IF('Course 4'!$H156='tab4'!M$3,'Course 4'!$I156," ")</f>
        <v xml:space="preserve"> </v>
      </c>
      <c r="N158" s="9" t="str">
        <f>IF('Course 4'!$H156='tab4'!N$3,'Course 4'!$I156," ")</f>
        <v xml:space="preserve"> </v>
      </c>
    </row>
    <row r="159" spans="2:14">
      <c r="B159">
        <v>155</v>
      </c>
      <c r="C159" s="7" t="str">
        <f>IF('Course 4'!$H157='tab4'!C$3,'Course 4'!$I157," ")</f>
        <v xml:space="preserve"> </v>
      </c>
      <c r="D159" s="8" t="str">
        <f>IF('Course 4'!$H157='tab4'!D$3,'Course 4'!$I157," ")</f>
        <v xml:space="preserve"> </v>
      </c>
      <c r="E159" s="8" t="str">
        <f>IF('Course 4'!$H157='tab4'!E$3,'Course 4'!$I157," ")</f>
        <v xml:space="preserve"> </v>
      </c>
      <c r="F159" s="8" t="str">
        <f>IF('Course 4'!$H157='tab4'!F$3,'Course 4'!$I157," ")</f>
        <v xml:space="preserve"> </v>
      </c>
      <c r="G159" s="8" t="str">
        <f>IF('Course 4'!$H157='tab4'!G$3,'Course 4'!$I157," ")</f>
        <v xml:space="preserve"> </v>
      </c>
      <c r="H159" s="8" t="str">
        <f>IF('Course 4'!$H157='tab4'!H$3,'Course 4'!$I157," ")</f>
        <v xml:space="preserve"> </v>
      </c>
      <c r="I159" s="8" t="str">
        <f>IF('Course 4'!$H157='tab4'!I$3,'Course 4'!$I157," ")</f>
        <v xml:space="preserve"> </v>
      </c>
      <c r="J159" s="8" t="str">
        <f>IF('Course 4'!$H157='tab4'!J$3,'Course 4'!$I157," ")</f>
        <v xml:space="preserve"> </v>
      </c>
      <c r="K159" s="8" t="str">
        <f>IF('Course 4'!$H157='tab4'!K$3,'Course 4'!$I157," ")</f>
        <v xml:space="preserve"> </v>
      </c>
      <c r="L159" s="8" t="str">
        <f>IF('Course 4'!$H157='tab4'!L$3,'Course 4'!$I157," ")</f>
        <v xml:space="preserve"> </v>
      </c>
      <c r="M159" s="8" t="str">
        <f>IF('Course 4'!$H157='tab4'!M$3,'Course 4'!$I157," ")</f>
        <v xml:space="preserve"> </v>
      </c>
      <c r="N159" s="9" t="str">
        <f>IF('Course 4'!$H157='tab4'!N$3,'Course 4'!$I157," ")</f>
        <v xml:space="preserve"> </v>
      </c>
    </row>
    <row r="160" spans="2:14">
      <c r="B160">
        <v>156</v>
      </c>
      <c r="C160" s="7" t="str">
        <f>IF('Course 4'!$H158='tab4'!C$3,'Course 4'!$I158," ")</f>
        <v xml:space="preserve"> </v>
      </c>
      <c r="D160" s="8" t="str">
        <f>IF('Course 4'!$H158='tab4'!D$3,'Course 4'!$I158," ")</f>
        <v xml:space="preserve"> </v>
      </c>
      <c r="E160" s="8" t="str">
        <f>IF('Course 4'!$H158='tab4'!E$3,'Course 4'!$I158," ")</f>
        <v xml:space="preserve"> </v>
      </c>
      <c r="F160" s="8" t="str">
        <f>IF('Course 4'!$H158='tab4'!F$3,'Course 4'!$I158," ")</f>
        <v xml:space="preserve"> </v>
      </c>
      <c r="G160" s="8" t="str">
        <f>IF('Course 4'!$H158='tab4'!G$3,'Course 4'!$I158," ")</f>
        <v xml:space="preserve"> </v>
      </c>
      <c r="H160" s="8" t="str">
        <f>IF('Course 4'!$H158='tab4'!H$3,'Course 4'!$I158," ")</f>
        <v xml:space="preserve"> </v>
      </c>
      <c r="I160" s="8" t="str">
        <f>IF('Course 4'!$H158='tab4'!I$3,'Course 4'!$I158," ")</f>
        <v xml:space="preserve"> </v>
      </c>
      <c r="J160" s="8" t="str">
        <f>IF('Course 4'!$H158='tab4'!J$3,'Course 4'!$I158," ")</f>
        <v xml:space="preserve"> </v>
      </c>
      <c r="K160" s="8" t="str">
        <f>IF('Course 4'!$H158='tab4'!K$3,'Course 4'!$I158," ")</f>
        <v xml:space="preserve"> </v>
      </c>
      <c r="L160" s="8" t="str">
        <f>IF('Course 4'!$H158='tab4'!L$3,'Course 4'!$I158," ")</f>
        <v xml:space="preserve"> </v>
      </c>
      <c r="M160" s="8" t="str">
        <f>IF('Course 4'!$H158='tab4'!M$3,'Course 4'!$I158," ")</f>
        <v xml:space="preserve"> </v>
      </c>
      <c r="N160" s="9" t="str">
        <f>IF('Course 4'!$H158='tab4'!N$3,'Course 4'!$I158," ")</f>
        <v xml:space="preserve"> </v>
      </c>
    </row>
    <row r="161" spans="2:14">
      <c r="B161">
        <v>157</v>
      </c>
      <c r="C161" s="7" t="str">
        <f>IF('Course 4'!$H159='tab4'!C$3,'Course 4'!$I159," ")</f>
        <v xml:space="preserve"> </v>
      </c>
      <c r="D161" s="8" t="str">
        <f>IF('Course 4'!$H159='tab4'!D$3,'Course 4'!$I159," ")</f>
        <v xml:space="preserve"> </v>
      </c>
      <c r="E161" s="8" t="str">
        <f>IF('Course 4'!$H159='tab4'!E$3,'Course 4'!$I159," ")</f>
        <v xml:space="preserve"> </v>
      </c>
      <c r="F161" s="8" t="str">
        <f>IF('Course 4'!$H159='tab4'!F$3,'Course 4'!$I159," ")</f>
        <v xml:space="preserve"> </v>
      </c>
      <c r="G161" s="8" t="str">
        <f>IF('Course 4'!$H159='tab4'!G$3,'Course 4'!$I159," ")</f>
        <v xml:space="preserve"> </v>
      </c>
      <c r="H161" s="8" t="str">
        <f>IF('Course 4'!$H159='tab4'!H$3,'Course 4'!$I159," ")</f>
        <v xml:space="preserve"> </v>
      </c>
      <c r="I161" s="8" t="str">
        <f>IF('Course 4'!$H159='tab4'!I$3,'Course 4'!$I159," ")</f>
        <v xml:space="preserve"> </v>
      </c>
      <c r="J161" s="8" t="str">
        <f>IF('Course 4'!$H159='tab4'!J$3,'Course 4'!$I159," ")</f>
        <v xml:space="preserve"> </v>
      </c>
      <c r="K161" s="8" t="str">
        <f>IF('Course 4'!$H159='tab4'!K$3,'Course 4'!$I159," ")</f>
        <v xml:space="preserve"> </v>
      </c>
      <c r="L161" s="8" t="str">
        <f>IF('Course 4'!$H159='tab4'!L$3,'Course 4'!$I159," ")</f>
        <v xml:space="preserve"> </v>
      </c>
      <c r="M161" s="8" t="str">
        <f>IF('Course 4'!$H159='tab4'!M$3,'Course 4'!$I159," ")</f>
        <v xml:space="preserve"> </v>
      </c>
      <c r="N161" s="9" t="str">
        <f>IF('Course 4'!$H159='tab4'!N$3,'Course 4'!$I159," ")</f>
        <v xml:space="preserve"> </v>
      </c>
    </row>
    <row r="162" spans="2:14">
      <c r="B162">
        <v>158</v>
      </c>
      <c r="C162" s="7" t="str">
        <f>IF('Course 4'!$H160='tab4'!C$3,'Course 4'!$I160," ")</f>
        <v xml:space="preserve"> </v>
      </c>
      <c r="D162" s="8" t="str">
        <f>IF('Course 4'!$H160='tab4'!D$3,'Course 4'!$I160," ")</f>
        <v xml:space="preserve"> </v>
      </c>
      <c r="E162" s="8" t="str">
        <f>IF('Course 4'!$H160='tab4'!E$3,'Course 4'!$I160," ")</f>
        <v xml:space="preserve"> </v>
      </c>
      <c r="F162" s="8" t="str">
        <f>IF('Course 4'!$H160='tab4'!F$3,'Course 4'!$I160," ")</f>
        <v xml:space="preserve"> </v>
      </c>
      <c r="G162" s="8" t="str">
        <f>IF('Course 4'!$H160='tab4'!G$3,'Course 4'!$I160," ")</f>
        <v xml:space="preserve"> </v>
      </c>
      <c r="H162" s="8" t="str">
        <f>IF('Course 4'!$H160='tab4'!H$3,'Course 4'!$I160," ")</f>
        <v xml:space="preserve"> </v>
      </c>
      <c r="I162" s="8" t="str">
        <f>IF('Course 4'!$H160='tab4'!I$3,'Course 4'!$I160," ")</f>
        <v xml:space="preserve"> </v>
      </c>
      <c r="J162" s="8" t="str">
        <f>IF('Course 4'!$H160='tab4'!J$3,'Course 4'!$I160," ")</f>
        <v xml:space="preserve"> </v>
      </c>
      <c r="K162" s="8" t="str">
        <f>IF('Course 4'!$H160='tab4'!K$3,'Course 4'!$I160," ")</f>
        <v xml:space="preserve"> </v>
      </c>
      <c r="L162" s="8" t="str">
        <f>IF('Course 4'!$H160='tab4'!L$3,'Course 4'!$I160," ")</f>
        <v xml:space="preserve"> </v>
      </c>
      <c r="M162" s="8" t="str">
        <f>IF('Course 4'!$H160='tab4'!M$3,'Course 4'!$I160," ")</f>
        <v xml:space="preserve"> </v>
      </c>
      <c r="N162" s="9" t="str">
        <f>IF('Course 4'!$H160='tab4'!N$3,'Course 4'!$I160," ")</f>
        <v xml:space="preserve"> </v>
      </c>
    </row>
    <row r="163" spans="2:14">
      <c r="B163">
        <v>159</v>
      </c>
      <c r="C163" s="7" t="str">
        <f>IF('Course 4'!$H161='tab4'!C$3,'Course 4'!$I161," ")</f>
        <v xml:space="preserve"> </v>
      </c>
      <c r="D163" s="8" t="str">
        <f>IF('Course 4'!$H161='tab4'!D$3,'Course 4'!$I161," ")</f>
        <v xml:space="preserve"> </v>
      </c>
      <c r="E163" s="8" t="str">
        <f>IF('Course 4'!$H161='tab4'!E$3,'Course 4'!$I161," ")</f>
        <v xml:space="preserve"> </v>
      </c>
      <c r="F163" s="8" t="str">
        <f>IF('Course 4'!$H161='tab4'!F$3,'Course 4'!$I161," ")</f>
        <v xml:space="preserve"> </v>
      </c>
      <c r="G163" s="8" t="str">
        <f>IF('Course 4'!$H161='tab4'!G$3,'Course 4'!$I161," ")</f>
        <v xml:space="preserve"> </v>
      </c>
      <c r="H163" s="8" t="str">
        <f>IF('Course 4'!$H161='tab4'!H$3,'Course 4'!$I161," ")</f>
        <v xml:space="preserve"> </v>
      </c>
      <c r="I163" s="8" t="str">
        <f>IF('Course 4'!$H161='tab4'!I$3,'Course 4'!$I161," ")</f>
        <v xml:space="preserve"> </v>
      </c>
      <c r="J163" s="8" t="str">
        <f>IF('Course 4'!$H161='tab4'!J$3,'Course 4'!$I161," ")</f>
        <v xml:space="preserve"> </v>
      </c>
      <c r="K163" s="8" t="str">
        <f>IF('Course 4'!$H161='tab4'!K$3,'Course 4'!$I161," ")</f>
        <v xml:space="preserve"> </v>
      </c>
      <c r="L163" s="8" t="str">
        <f>IF('Course 4'!$H161='tab4'!L$3,'Course 4'!$I161," ")</f>
        <v xml:space="preserve"> </v>
      </c>
      <c r="M163" s="8" t="str">
        <f>IF('Course 4'!$H161='tab4'!M$3,'Course 4'!$I161," ")</f>
        <v xml:space="preserve"> </v>
      </c>
      <c r="N163" s="9" t="str">
        <f>IF('Course 4'!$H161='tab4'!N$3,'Course 4'!$I161," ")</f>
        <v xml:space="preserve"> </v>
      </c>
    </row>
    <row r="164" spans="2:14">
      <c r="B164">
        <v>160</v>
      </c>
      <c r="C164" s="7" t="str">
        <f>IF('Course 4'!$H162='tab4'!C$3,'Course 4'!$I162," ")</f>
        <v xml:space="preserve"> </v>
      </c>
      <c r="D164" s="8" t="str">
        <f>IF('Course 4'!$H162='tab4'!D$3,'Course 4'!$I162," ")</f>
        <v xml:space="preserve"> </v>
      </c>
      <c r="E164" s="8" t="str">
        <f>IF('Course 4'!$H162='tab4'!E$3,'Course 4'!$I162," ")</f>
        <v xml:space="preserve"> </v>
      </c>
      <c r="F164" s="8" t="str">
        <f>IF('Course 4'!$H162='tab4'!F$3,'Course 4'!$I162," ")</f>
        <v xml:space="preserve"> </v>
      </c>
      <c r="G164" s="8" t="str">
        <f>IF('Course 4'!$H162='tab4'!G$3,'Course 4'!$I162," ")</f>
        <v xml:space="preserve"> </v>
      </c>
      <c r="H164" s="8" t="str">
        <f>IF('Course 4'!$H162='tab4'!H$3,'Course 4'!$I162," ")</f>
        <v xml:space="preserve"> </v>
      </c>
      <c r="I164" s="8" t="str">
        <f>IF('Course 4'!$H162='tab4'!I$3,'Course 4'!$I162," ")</f>
        <v xml:space="preserve"> </v>
      </c>
      <c r="J164" s="8" t="str">
        <f>IF('Course 4'!$H162='tab4'!J$3,'Course 4'!$I162," ")</f>
        <v xml:space="preserve"> </v>
      </c>
      <c r="K164" s="8" t="str">
        <f>IF('Course 4'!$H162='tab4'!K$3,'Course 4'!$I162," ")</f>
        <v xml:space="preserve"> </v>
      </c>
      <c r="L164" s="8" t="str">
        <f>IF('Course 4'!$H162='tab4'!L$3,'Course 4'!$I162," ")</f>
        <v xml:space="preserve"> </v>
      </c>
      <c r="M164" s="8" t="str">
        <f>IF('Course 4'!$H162='tab4'!M$3,'Course 4'!$I162," ")</f>
        <v xml:space="preserve"> </v>
      </c>
      <c r="N164" s="9" t="str">
        <f>IF('Course 4'!$H162='tab4'!N$3,'Course 4'!$I162," ")</f>
        <v xml:space="preserve"> </v>
      </c>
    </row>
    <row r="165" spans="2:14">
      <c r="B165">
        <v>161</v>
      </c>
      <c r="C165" s="7" t="str">
        <f>IF('Course 4'!$H163='tab4'!C$3,'Course 4'!$I163," ")</f>
        <v xml:space="preserve"> </v>
      </c>
      <c r="D165" s="8" t="str">
        <f>IF('Course 4'!$H163='tab4'!D$3,'Course 4'!$I163," ")</f>
        <v xml:space="preserve"> </v>
      </c>
      <c r="E165" s="8" t="str">
        <f>IF('Course 4'!$H163='tab4'!E$3,'Course 4'!$I163," ")</f>
        <v xml:space="preserve"> </v>
      </c>
      <c r="F165" s="8" t="str">
        <f>IF('Course 4'!$H163='tab4'!F$3,'Course 4'!$I163," ")</f>
        <v xml:space="preserve"> </v>
      </c>
      <c r="G165" s="8" t="str">
        <f>IF('Course 4'!$H163='tab4'!G$3,'Course 4'!$I163," ")</f>
        <v xml:space="preserve"> </v>
      </c>
      <c r="H165" s="8" t="str">
        <f>IF('Course 4'!$H163='tab4'!H$3,'Course 4'!$I163," ")</f>
        <v xml:space="preserve"> </v>
      </c>
      <c r="I165" s="8" t="str">
        <f>IF('Course 4'!$H163='tab4'!I$3,'Course 4'!$I163," ")</f>
        <v xml:space="preserve"> </v>
      </c>
      <c r="J165" s="8" t="str">
        <f>IF('Course 4'!$H163='tab4'!J$3,'Course 4'!$I163," ")</f>
        <v xml:space="preserve"> </v>
      </c>
      <c r="K165" s="8" t="str">
        <f>IF('Course 4'!$H163='tab4'!K$3,'Course 4'!$I163," ")</f>
        <v xml:space="preserve"> </v>
      </c>
      <c r="L165" s="8" t="str">
        <f>IF('Course 4'!$H163='tab4'!L$3,'Course 4'!$I163," ")</f>
        <v xml:space="preserve"> </v>
      </c>
      <c r="M165" s="8" t="str">
        <f>IF('Course 4'!$H163='tab4'!M$3,'Course 4'!$I163," ")</f>
        <v xml:space="preserve"> </v>
      </c>
      <c r="N165" s="9" t="str">
        <f>IF('Course 4'!$H163='tab4'!N$3,'Course 4'!$I163," ")</f>
        <v xml:space="preserve"> </v>
      </c>
    </row>
    <row r="166" spans="2:14">
      <c r="B166">
        <v>162</v>
      </c>
      <c r="C166" s="7" t="str">
        <f>IF('Course 4'!$H164='tab4'!C$3,'Course 4'!$I164," ")</f>
        <v xml:space="preserve"> </v>
      </c>
      <c r="D166" s="8" t="str">
        <f>IF('Course 4'!$H164='tab4'!D$3,'Course 4'!$I164," ")</f>
        <v xml:space="preserve"> </v>
      </c>
      <c r="E166" s="8" t="str">
        <f>IF('Course 4'!$H164='tab4'!E$3,'Course 4'!$I164," ")</f>
        <v xml:space="preserve"> </v>
      </c>
      <c r="F166" s="8" t="str">
        <f>IF('Course 4'!$H164='tab4'!F$3,'Course 4'!$I164," ")</f>
        <v xml:space="preserve"> </v>
      </c>
      <c r="G166" s="8" t="str">
        <f>IF('Course 4'!$H164='tab4'!G$3,'Course 4'!$I164," ")</f>
        <v xml:space="preserve"> </v>
      </c>
      <c r="H166" s="8" t="str">
        <f>IF('Course 4'!$H164='tab4'!H$3,'Course 4'!$I164," ")</f>
        <v xml:space="preserve"> </v>
      </c>
      <c r="I166" s="8" t="str">
        <f>IF('Course 4'!$H164='tab4'!I$3,'Course 4'!$I164," ")</f>
        <v xml:space="preserve"> </v>
      </c>
      <c r="J166" s="8" t="str">
        <f>IF('Course 4'!$H164='tab4'!J$3,'Course 4'!$I164," ")</f>
        <v xml:space="preserve"> </v>
      </c>
      <c r="K166" s="8" t="str">
        <f>IF('Course 4'!$H164='tab4'!K$3,'Course 4'!$I164," ")</f>
        <v xml:space="preserve"> </v>
      </c>
      <c r="L166" s="8" t="str">
        <f>IF('Course 4'!$H164='tab4'!L$3,'Course 4'!$I164," ")</f>
        <v xml:space="preserve"> </v>
      </c>
      <c r="M166" s="8" t="str">
        <f>IF('Course 4'!$H164='tab4'!M$3,'Course 4'!$I164," ")</f>
        <v xml:space="preserve"> </v>
      </c>
      <c r="N166" s="9" t="str">
        <f>IF('Course 4'!$H164='tab4'!N$3,'Course 4'!$I164," ")</f>
        <v xml:space="preserve"> </v>
      </c>
    </row>
    <row r="167" spans="2:14">
      <c r="B167">
        <v>163</v>
      </c>
      <c r="C167" s="7" t="str">
        <f>IF('Course 4'!$H165='tab4'!C$3,'Course 4'!$I165," ")</f>
        <v xml:space="preserve"> </v>
      </c>
      <c r="D167" s="8" t="str">
        <f>IF('Course 4'!$H165='tab4'!D$3,'Course 4'!$I165," ")</f>
        <v xml:space="preserve"> </v>
      </c>
      <c r="E167" s="8" t="str">
        <f>IF('Course 4'!$H165='tab4'!E$3,'Course 4'!$I165," ")</f>
        <v xml:space="preserve"> </v>
      </c>
      <c r="F167" s="8" t="str">
        <f>IF('Course 4'!$H165='tab4'!F$3,'Course 4'!$I165," ")</f>
        <v xml:space="preserve"> </v>
      </c>
      <c r="G167" s="8" t="str">
        <f>IF('Course 4'!$H165='tab4'!G$3,'Course 4'!$I165," ")</f>
        <v xml:space="preserve"> </v>
      </c>
      <c r="H167" s="8" t="str">
        <f>IF('Course 4'!$H165='tab4'!H$3,'Course 4'!$I165," ")</f>
        <v xml:space="preserve"> </v>
      </c>
      <c r="I167" s="8" t="str">
        <f>IF('Course 4'!$H165='tab4'!I$3,'Course 4'!$I165," ")</f>
        <v xml:space="preserve"> </v>
      </c>
      <c r="J167" s="8" t="str">
        <f>IF('Course 4'!$H165='tab4'!J$3,'Course 4'!$I165," ")</f>
        <v xml:space="preserve"> </v>
      </c>
      <c r="K167" s="8" t="str">
        <f>IF('Course 4'!$H165='tab4'!K$3,'Course 4'!$I165," ")</f>
        <v xml:space="preserve"> </v>
      </c>
      <c r="L167" s="8" t="str">
        <f>IF('Course 4'!$H165='tab4'!L$3,'Course 4'!$I165," ")</f>
        <v xml:space="preserve"> </v>
      </c>
      <c r="M167" s="8" t="str">
        <f>IF('Course 4'!$H165='tab4'!M$3,'Course 4'!$I165," ")</f>
        <v xml:space="preserve"> </v>
      </c>
      <c r="N167" s="9" t="str">
        <f>IF('Course 4'!$H165='tab4'!N$3,'Course 4'!$I165," ")</f>
        <v xml:space="preserve"> </v>
      </c>
    </row>
    <row r="168" spans="2:14">
      <c r="B168">
        <v>164</v>
      </c>
      <c r="C168" s="7" t="str">
        <f>IF('Course 4'!$H166='tab4'!C$3,'Course 4'!$I166," ")</f>
        <v xml:space="preserve"> </v>
      </c>
      <c r="D168" s="8" t="str">
        <f>IF('Course 4'!$H166='tab4'!D$3,'Course 4'!$I166," ")</f>
        <v xml:space="preserve"> </v>
      </c>
      <c r="E168" s="8" t="str">
        <f>IF('Course 4'!$H166='tab4'!E$3,'Course 4'!$I166," ")</f>
        <v xml:space="preserve"> </v>
      </c>
      <c r="F168" s="8" t="str">
        <f>IF('Course 4'!$H166='tab4'!F$3,'Course 4'!$I166," ")</f>
        <v xml:space="preserve"> </v>
      </c>
      <c r="G168" s="8" t="str">
        <f>IF('Course 4'!$H166='tab4'!G$3,'Course 4'!$I166," ")</f>
        <v xml:space="preserve"> </v>
      </c>
      <c r="H168" s="8" t="str">
        <f>IF('Course 4'!$H166='tab4'!H$3,'Course 4'!$I166," ")</f>
        <v xml:space="preserve"> </v>
      </c>
      <c r="I168" s="8" t="str">
        <f>IF('Course 4'!$H166='tab4'!I$3,'Course 4'!$I166," ")</f>
        <v xml:space="preserve"> </v>
      </c>
      <c r="J168" s="8" t="str">
        <f>IF('Course 4'!$H166='tab4'!J$3,'Course 4'!$I166," ")</f>
        <v xml:space="preserve"> </v>
      </c>
      <c r="K168" s="8" t="str">
        <f>IF('Course 4'!$H166='tab4'!K$3,'Course 4'!$I166," ")</f>
        <v xml:space="preserve"> </v>
      </c>
      <c r="L168" s="8" t="str">
        <f>IF('Course 4'!$H166='tab4'!L$3,'Course 4'!$I166," ")</f>
        <v xml:space="preserve"> </v>
      </c>
      <c r="M168" s="8" t="str">
        <f>IF('Course 4'!$H166='tab4'!M$3,'Course 4'!$I166," ")</f>
        <v xml:space="preserve"> </v>
      </c>
      <c r="N168" s="9" t="str">
        <f>IF('Course 4'!$H166='tab4'!N$3,'Course 4'!$I166," ")</f>
        <v xml:space="preserve"> </v>
      </c>
    </row>
    <row r="169" spans="2:14">
      <c r="B169">
        <v>165</v>
      </c>
      <c r="C169" s="7" t="str">
        <f>IF('Course 4'!$H167='tab4'!C$3,'Course 4'!$I167," ")</f>
        <v xml:space="preserve"> </v>
      </c>
      <c r="D169" s="8" t="str">
        <f>IF('Course 4'!$H167='tab4'!D$3,'Course 4'!$I167," ")</f>
        <v xml:space="preserve"> </v>
      </c>
      <c r="E169" s="8" t="str">
        <f>IF('Course 4'!$H167='tab4'!E$3,'Course 4'!$I167," ")</f>
        <v xml:space="preserve"> </v>
      </c>
      <c r="F169" s="8" t="str">
        <f>IF('Course 4'!$H167='tab4'!F$3,'Course 4'!$I167," ")</f>
        <v xml:space="preserve"> </v>
      </c>
      <c r="G169" s="8" t="str">
        <f>IF('Course 4'!$H167='tab4'!G$3,'Course 4'!$I167," ")</f>
        <v xml:space="preserve"> </v>
      </c>
      <c r="H169" s="8" t="str">
        <f>IF('Course 4'!$H167='tab4'!H$3,'Course 4'!$I167," ")</f>
        <v xml:space="preserve"> </v>
      </c>
      <c r="I169" s="8" t="str">
        <f>IF('Course 4'!$H167='tab4'!I$3,'Course 4'!$I167," ")</f>
        <v xml:space="preserve"> </v>
      </c>
      <c r="J169" s="8" t="str">
        <f>IF('Course 4'!$H167='tab4'!J$3,'Course 4'!$I167," ")</f>
        <v xml:space="preserve"> </v>
      </c>
      <c r="K169" s="8" t="str">
        <f>IF('Course 4'!$H167='tab4'!K$3,'Course 4'!$I167," ")</f>
        <v xml:space="preserve"> </v>
      </c>
      <c r="L169" s="8" t="str">
        <f>IF('Course 4'!$H167='tab4'!L$3,'Course 4'!$I167," ")</f>
        <v xml:space="preserve"> </v>
      </c>
      <c r="M169" s="8" t="str">
        <f>IF('Course 4'!$H167='tab4'!M$3,'Course 4'!$I167," ")</f>
        <v xml:space="preserve"> </v>
      </c>
      <c r="N169" s="9" t="str">
        <f>IF('Course 4'!$H167='tab4'!N$3,'Course 4'!$I167," ")</f>
        <v xml:space="preserve"> </v>
      </c>
    </row>
    <row r="170" spans="2:14">
      <c r="B170">
        <v>166</v>
      </c>
      <c r="C170" s="7" t="str">
        <f>IF('Course 4'!$H168='tab4'!C$3,'Course 4'!$I168," ")</f>
        <v xml:space="preserve"> </v>
      </c>
      <c r="D170" s="8" t="str">
        <f>IF('Course 4'!$H168='tab4'!D$3,'Course 4'!$I168," ")</f>
        <v xml:space="preserve"> </v>
      </c>
      <c r="E170" s="8" t="str">
        <f>IF('Course 4'!$H168='tab4'!E$3,'Course 4'!$I168," ")</f>
        <v xml:space="preserve"> </v>
      </c>
      <c r="F170" s="8" t="str">
        <f>IF('Course 4'!$H168='tab4'!F$3,'Course 4'!$I168," ")</f>
        <v xml:space="preserve"> </v>
      </c>
      <c r="G170" s="8" t="str">
        <f>IF('Course 4'!$H168='tab4'!G$3,'Course 4'!$I168," ")</f>
        <v xml:space="preserve"> </v>
      </c>
      <c r="H170" s="8" t="str">
        <f>IF('Course 4'!$H168='tab4'!H$3,'Course 4'!$I168," ")</f>
        <v xml:space="preserve"> </v>
      </c>
      <c r="I170" s="8" t="str">
        <f>IF('Course 4'!$H168='tab4'!I$3,'Course 4'!$I168," ")</f>
        <v xml:space="preserve"> </v>
      </c>
      <c r="J170" s="8" t="str">
        <f>IF('Course 4'!$H168='tab4'!J$3,'Course 4'!$I168," ")</f>
        <v xml:space="preserve"> </v>
      </c>
      <c r="K170" s="8" t="str">
        <f>IF('Course 4'!$H168='tab4'!K$3,'Course 4'!$I168," ")</f>
        <v xml:space="preserve"> </v>
      </c>
      <c r="L170" s="8" t="str">
        <f>IF('Course 4'!$H168='tab4'!L$3,'Course 4'!$I168," ")</f>
        <v xml:space="preserve"> </v>
      </c>
      <c r="M170" s="8" t="str">
        <f>IF('Course 4'!$H168='tab4'!M$3,'Course 4'!$I168," ")</f>
        <v xml:space="preserve"> </v>
      </c>
      <c r="N170" s="9" t="str">
        <f>IF('Course 4'!$H168='tab4'!N$3,'Course 4'!$I168," ")</f>
        <v xml:space="preserve"> </v>
      </c>
    </row>
    <row r="171" spans="2:14">
      <c r="B171">
        <v>167</v>
      </c>
      <c r="C171" s="7" t="str">
        <f>IF('Course 4'!$H169='tab4'!C$3,'Course 4'!$I169," ")</f>
        <v xml:space="preserve"> </v>
      </c>
      <c r="D171" s="8" t="str">
        <f>IF('Course 4'!$H169='tab4'!D$3,'Course 4'!$I169," ")</f>
        <v xml:space="preserve"> </v>
      </c>
      <c r="E171" s="8" t="str">
        <f>IF('Course 4'!$H169='tab4'!E$3,'Course 4'!$I169," ")</f>
        <v xml:space="preserve"> </v>
      </c>
      <c r="F171" s="8" t="str">
        <f>IF('Course 4'!$H169='tab4'!F$3,'Course 4'!$I169," ")</f>
        <v xml:space="preserve"> </v>
      </c>
      <c r="G171" s="8" t="str">
        <f>IF('Course 4'!$H169='tab4'!G$3,'Course 4'!$I169," ")</f>
        <v xml:space="preserve"> </v>
      </c>
      <c r="H171" s="8" t="str">
        <f>IF('Course 4'!$H169='tab4'!H$3,'Course 4'!$I169," ")</f>
        <v xml:space="preserve"> </v>
      </c>
      <c r="I171" s="8" t="str">
        <f>IF('Course 4'!$H169='tab4'!I$3,'Course 4'!$I169," ")</f>
        <v xml:space="preserve"> </v>
      </c>
      <c r="J171" s="8" t="str">
        <f>IF('Course 4'!$H169='tab4'!J$3,'Course 4'!$I169," ")</f>
        <v xml:space="preserve"> </v>
      </c>
      <c r="K171" s="8" t="str">
        <f>IF('Course 4'!$H169='tab4'!K$3,'Course 4'!$I169," ")</f>
        <v xml:space="preserve"> </v>
      </c>
      <c r="L171" s="8" t="str">
        <f>IF('Course 4'!$H169='tab4'!L$3,'Course 4'!$I169," ")</f>
        <v xml:space="preserve"> </v>
      </c>
      <c r="M171" s="8" t="str">
        <f>IF('Course 4'!$H169='tab4'!M$3,'Course 4'!$I169," ")</f>
        <v xml:space="preserve"> </v>
      </c>
      <c r="N171" s="9" t="str">
        <f>IF('Course 4'!$H169='tab4'!N$3,'Course 4'!$I169," ")</f>
        <v xml:space="preserve"> </v>
      </c>
    </row>
    <row r="172" spans="2:14">
      <c r="B172">
        <v>168</v>
      </c>
      <c r="C172" s="7" t="str">
        <f>IF('Course 4'!$H170='tab4'!C$3,'Course 4'!$I170," ")</f>
        <v xml:space="preserve"> </v>
      </c>
      <c r="D172" s="8" t="str">
        <f>IF('Course 4'!$H170='tab4'!D$3,'Course 4'!$I170," ")</f>
        <v xml:space="preserve"> </v>
      </c>
      <c r="E172" s="8" t="str">
        <f>IF('Course 4'!$H170='tab4'!E$3,'Course 4'!$I170," ")</f>
        <v xml:space="preserve"> </v>
      </c>
      <c r="F172" s="8" t="str">
        <f>IF('Course 4'!$H170='tab4'!F$3,'Course 4'!$I170," ")</f>
        <v xml:space="preserve"> </v>
      </c>
      <c r="G172" s="8" t="str">
        <f>IF('Course 4'!$H170='tab4'!G$3,'Course 4'!$I170," ")</f>
        <v xml:space="preserve"> </v>
      </c>
      <c r="H172" s="8" t="str">
        <f>IF('Course 4'!$H170='tab4'!H$3,'Course 4'!$I170," ")</f>
        <v xml:space="preserve"> </v>
      </c>
      <c r="I172" s="8" t="str">
        <f>IF('Course 4'!$H170='tab4'!I$3,'Course 4'!$I170," ")</f>
        <v xml:space="preserve"> </v>
      </c>
      <c r="J172" s="8" t="str">
        <f>IF('Course 4'!$H170='tab4'!J$3,'Course 4'!$I170," ")</f>
        <v xml:space="preserve"> </v>
      </c>
      <c r="K172" s="8" t="str">
        <f>IF('Course 4'!$H170='tab4'!K$3,'Course 4'!$I170," ")</f>
        <v xml:space="preserve"> </v>
      </c>
      <c r="L172" s="8" t="str">
        <f>IF('Course 4'!$H170='tab4'!L$3,'Course 4'!$I170," ")</f>
        <v xml:space="preserve"> </v>
      </c>
      <c r="M172" s="8" t="str">
        <f>IF('Course 4'!$H170='tab4'!M$3,'Course 4'!$I170," ")</f>
        <v xml:space="preserve"> </v>
      </c>
      <c r="N172" s="9" t="str">
        <f>IF('Course 4'!$H170='tab4'!N$3,'Course 4'!$I170," ")</f>
        <v xml:space="preserve"> </v>
      </c>
    </row>
    <row r="173" spans="2:14">
      <c r="B173">
        <v>169</v>
      </c>
      <c r="C173" s="7" t="str">
        <f>IF('Course 4'!$H171='tab4'!C$3,'Course 4'!$I171," ")</f>
        <v xml:space="preserve"> </v>
      </c>
      <c r="D173" s="8" t="str">
        <f>IF('Course 4'!$H171='tab4'!D$3,'Course 4'!$I171," ")</f>
        <v xml:space="preserve"> </v>
      </c>
      <c r="E173" s="8" t="str">
        <f>IF('Course 4'!$H171='tab4'!E$3,'Course 4'!$I171," ")</f>
        <v xml:space="preserve"> </v>
      </c>
      <c r="F173" s="8" t="str">
        <f>IF('Course 4'!$H171='tab4'!F$3,'Course 4'!$I171," ")</f>
        <v xml:space="preserve"> </v>
      </c>
      <c r="G173" s="8" t="str">
        <f>IF('Course 4'!$H171='tab4'!G$3,'Course 4'!$I171," ")</f>
        <v xml:space="preserve"> </v>
      </c>
      <c r="H173" s="8" t="str">
        <f>IF('Course 4'!$H171='tab4'!H$3,'Course 4'!$I171," ")</f>
        <v xml:space="preserve"> </v>
      </c>
      <c r="I173" s="8" t="str">
        <f>IF('Course 4'!$H171='tab4'!I$3,'Course 4'!$I171," ")</f>
        <v xml:space="preserve"> </v>
      </c>
      <c r="J173" s="8" t="str">
        <f>IF('Course 4'!$H171='tab4'!J$3,'Course 4'!$I171," ")</f>
        <v xml:space="preserve"> </v>
      </c>
      <c r="K173" s="8" t="str">
        <f>IF('Course 4'!$H171='tab4'!K$3,'Course 4'!$I171," ")</f>
        <v xml:space="preserve"> </v>
      </c>
      <c r="L173" s="8" t="str">
        <f>IF('Course 4'!$H171='tab4'!L$3,'Course 4'!$I171," ")</f>
        <v xml:space="preserve"> </v>
      </c>
      <c r="M173" s="8" t="str">
        <f>IF('Course 4'!$H171='tab4'!M$3,'Course 4'!$I171," ")</f>
        <v xml:space="preserve"> </v>
      </c>
      <c r="N173" s="9" t="str">
        <f>IF('Course 4'!$H171='tab4'!N$3,'Course 4'!$I171," ")</f>
        <v xml:space="preserve"> </v>
      </c>
    </row>
    <row r="174" spans="2:14">
      <c r="B174">
        <v>170</v>
      </c>
      <c r="C174" s="7" t="str">
        <f>IF('Course 4'!$H172='tab4'!C$3,'Course 4'!$I172," ")</f>
        <v xml:space="preserve"> </v>
      </c>
      <c r="D174" s="8" t="str">
        <f>IF('Course 4'!$H172='tab4'!D$3,'Course 4'!$I172," ")</f>
        <v xml:space="preserve"> </v>
      </c>
      <c r="E174" s="8" t="str">
        <f>IF('Course 4'!$H172='tab4'!E$3,'Course 4'!$I172," ")</f>
        <v xml:space="preserve"> </v>
      </c>
      <c r="F174" s="8" t="str">
        <f>IF('Course 4'!$H172='tab4'!F$3,'Course 4'!$I172," ")</f>
        <v xml:space="preserve"> </v>
      </c>
      <c r="G174" s="8" t="str">
        <f>IF('Course 4'!$H172='tab4'!G$3,'Course 4'!$I172," ")</f>
        <v xml:space="preserve"> </v>
      </c>
      <c r="H174" s="8" t="str">
        <f>IF('Course 4'!$H172='tab4'!H$3,'Course 4'!$I172," ")</f>
        <v xml:space="preserve"> </v>
      </c>
      <c r="I174" s="8" t="str">
        <f>IF('Course 4'!$H172='tab4'!I$3,'Course 4'!$I172," ")</f>
        <v xml:space="preserve"> </v>
      </c>
      <c r="J174" s="8" t="str">
        <f>IF('Course 4'!$H172='tab4'!J$3,'Course 4'!$I172," ")</f>
        <v xml:space="preserve"> </v>
      </c>
      <c r="K174" s="8" t="str">
        <f>IF('Course 4'!$H172='tab4'!K$3,'Course 4'!$I172," ")</f>
        <v xml:space="preserve"> </v>
      </c>
      <c r="L174" s="8" t="str">
        <f>IF('Course 4'!$H172='tab4'!L$3,'Course 4'!$I172," ")</f>
        <v xml:space="preserve"> </v>
      </c>
      <c r="M174" s="8" t="str">
        <f>IF('Course 4'!$H172='tab4'!M$3,'Course 4'!$I172," ")</f>
        <v xml:space="preserve"> </v>
      </c>
      <c r="N174" s="9" t="str">
        <f>IF('Course 4'!$H172='tab4'!N$3,'Course 4'!$I172," ")</f>
        <v xml:space="preserve"> </v>
      </c>
    </row>
    <row r="175" spans="2:14">
      <c r="B175">
        <v>171</v>
      </c>
      <c r="C175" s="7" t="str">
        <f>IF('Course 4'!$H173='tab4'!C$3,'Course 4'!$I173," ")</f>
        <v xml:space="preserve"> </v>
      </c>
      <c r="D175" s="8" t="str">
        <f>IF('Course 4'!$H173='tab4'!D$3,'Course 4'!$I173," ")</f>
        <v xml:space="preserve"> </v>
      </c>
      <c r="E175" s="8" t="str">
        <f>IF('Course 4'!$H173='tab4'!E$3,'Course 4'!$I173," ")</f>
        <v xml:space="preserve"> </v>
      </c>
      <c r="F175" s="8" t="str">
        <f>IF('Course 4'!$H173='tab4'!F$3,'Course 4'!$I173," ")</f>
        <v xml:space="preserve"> </v>
      </c>
      <c r="G175" s="8" t="str">
        <f>IF('Course 4'!$H173='tab4'!G$3,'Course 4'!$I173," ")</f>
        <v xml:space="preserve"> </v>
      </c>
      <c r="H175" s="8" t="str">
        <f>IF('Course 4'!$H173='tab4'!H$3,'Course 4'!$I173," ")</f>
        <v xml:space="preserve"> </v>
      </c>
      <c r="I175" s="8" t="str">
        <f>IF('Course 4'!$H173='tab4'!I$3,'Course 4'!$I173," ")</f>
        <v xml:space="preserve"> </v>
      </c>
      <c r="J175" s="8" t="str">
        <f>IF('Course 4'!$H173='tab4'!J$3,'Course 4'!$I173," ")</f>
        <v xml:space="preserve"> </v>
      </c>
      <c r="K175" s="8" t="str">
        <f>IF('Course 4'!$H173='tab4'!K$3,'Course 4'!$I173," ")</f>
        <v xml:space="preserve"> </v>
      </c>
      <c r="L175" s="8" t="str">
        <f>IF('Course 4'!$H173='tab4'!L$3,'Course 4'!$I173," ")</f>
        <v xml:space="preserve"> </v>
      </c>
      <c r="M175" s="8" t="str">
        <f>IF('Course 4'!$H173='tab4'!M$3,'Course 4'!$I173," ")</f>
        <v xml:space="preserve"> </v>
      </c>
      <c r="N175" s="9" t="str">
        <f>IF('Course 4'!$H173='tab4'!N$3,'Course 4'!$I173," ")</f>
        <v xml:space="preserve"> </v>
      </c>
    </row>
    <row r="176" spans="2:14">
      <c r="B176">
        <v>172</v>
      </c>
      <c r="C176" s="7" t="str">
        <f>IF('Course 4'!$H174='tab4'!C$3,'Course 4'!$I174," ")</f>
        <v xml:space="preserve"> </v>
      </c>
      <c r="D176" s="8" t="str">
        <f>IF('Course 4'!$H174='tab4'!D$3,'Course 4'!$I174," ")</f>
        <v xml:space="preserve"> </v>
      </c>
      <c r="E176" s="8" t="str">
        <f>IF('Course 4'!$H174='tab4'!E$3,'Course 4'!$I174," ")</f>
        <v xml:space="preserve"> </v>
      </c>
      <c r="F176" s="8" t="str">
        <f>IF('Course 4'!$H174='tab4'!F$3,'Course 4'!$I174," ")</f>
        <v xml:space="preserve"> </v>
      </c>
      <c r="G176" s="8" t="str">
        <f>IF('Course 4'!$H174='tab4'!G$3,'Course 4'!$I174," ")</f>
        <v xml:space="preserve"> </v>
      </c>
      <c r="H176" s="8" t="str">
        <f>IF('Course 4'!$H174='tab4'!H$3,'Course 4'!$I174," ")</f>
        <v xml:space="preserve"> </v>
      </c>
      <c r="I176" s="8" t="str">
        <f>IF('Course 4'!$H174='tab4'!I$3,'Course 4'!$I174," ")</f>
        <v xml:space="preserve"> </v>
      </c>
      <c r="J176" s="8" t="str">
        <f>IF('Course 4'!$H174='tab4'!J$3,'Course 4'!$I174," ")</f>
        <v xml:space="preserve"> </v>
      </c>
      <c r="K176" s="8" t="str">
        <f>IF('Course 4'!$H174='tab4'!K$3,'Course 4'!$I174," ")</f>
        <v xml:space="preserve"> </v>
      </c>
      <c r="L176" s="8" t="str">
        <f>IF('Course 4'!$H174='tab4'!L$3,'Course 4'!$I174," ")</f>
        <v xml:space="preserve"> </v>
      </c>
      <c r="M176" s="8" t="str">
        <f>IF('Course 4'!$H174='tab4'!M$3,'Course 4'!$I174," ")</f>
        <v xml:space="preserve"> </v>
      </c>
      <c r="N176" s="9" t="str">
        <f>IF('Course 4'!$H174='tab4'!N$3,'Course 4'!$I174," ")</f>
        <v xml:space="preserve"> </v>
      </c>
    </row>
    <row r="177" spans="2:14">
      <c r="B177">
        <v>173</v>
      </c>
      <c r="C177" s="7" t="str">
        <f>IF('Course 4'!$H175='tab4'!C$3,'Course 4'!$I175," ")</f>
        <v xml:space="preserve"> </v>
      </c>
      <c r="D177" s="8" t="str">
        <f>IF('Course 4'!$H175='tab4'!D$3,'Course 4'!$I175," ")</f>
        <v xml:space="preserve"> </v>
      </c>
      <c r="E177" s="8" t="str">
        <f>IF('Course 4'!$H175='tab4'!E$3,'Course 4'!$I175," ")</f>
        <v xml:space="preserve"> </v>
      </c>
      <c r="F177" s="8" t="str">
        <f>IF('Course 4'!$H175='tab4'!F$3,'Course 4'!$I175," ")</f>
        <v xml:space="preserve"> </v>
      </c>
      <c r="G177" s="8" t="str">
        <f>IF('Course 4'!$H175='tab4'!G$3,'Course 4'!$I175," ")</f>
        <v xml:space="preserve"> </v>
      </c>
      <c r="H177" s="8" t="str">
        <f>IF('Course 4'!$H175='tab4'!H$3,'Course 4'!$I175," ")</f>
        <v xml:space="preserve"> </v>
      </c>
      <c r="I177" s="8" t="str">
        <f>IF('Course 4'!$H175='tab4'!I$3,'Course 4'!$I175," ")</f>
        <v xml:space="preserve"> </v>
      </c>
      <c r="J177" s="8" t="str">
        <f>IF('Course 4'!$H175='tab4'!J$3,'Course 4'!$I175," ")</f>
        <v xml:space="preserve"> </v>
      </c>
      <c r="K177" s="8" t="str">
        <f>IF('Course 4'!$H175='tab4'!K$3,'Course 4'!$I175," ")</f>
        <v xml:space="preserve"> </v>
      </c>
      <c r="L177" s="8" t="str">
        <f>IF('Course 4'!$H175='tab4'!L$3,'Course 4'!$I175," ")</f>
        <v xml:space="preserve"> </v>
      </c>
      <c r="M177" s="8" t="str">
        <f>IF('Course 4'!$H175='tab4'!M$3,'Course 4'!$I175," ")</f>
        <v xml:space="preserve"> </v>
      </c>
      <c r="N177" s="9" t="str">
        <f>IF('Course 4'!$H175='tab4'!N$3,'Course 4'!$I175," ")</f>
        <v xml:space="preserve"> </v>
      </c>
    </row>
    <row r="178" spans="2:14">
      <c r="B178">
        <v>174</v>
      </c>
      <c r="C178" s="7" t="str">
        <f>IF('Course 4'!$H176='tab4'!C$3,'Course 4'!$I176," ")</f>
        <v xml:space="preserve"> </v>
      </c>
      <c r="D178" s="8" t="str">
        <f>IF('Course 4'!$H176='tab4'!D$3,'Course 4'!$I176," ")</f>
        <v xml:space="preserve"> </v>
      </c>
      <c r="E178" s="8" t="str">
        <f>IF('Course 4'!$H176='tab4'!E$3,'Course 4'!$I176," ")</f>
        <v xml:space="preserve"> </v>
      </c>
      <c r="F178" s="8" t="str">
        <f>IF('Course 4'!$H176='tab4'!F$3,'Course 4'!$I176," ")</f>
        <v xml:space="preserve"> </v>
      </c>
      <c r="G178" s="8" t="str">
        <f>IF('Course 4'!$H176='tab4'!G$3,'Course 4'!$I176," ")</f>
        <v xml:space="preserve"> </v>
      </c>
      <c r="H178" s="8" t="str">
        <f>IF('Course 4'!$H176='tab4'!H$3,'Course 4'!$I176," ")</f>
        <v xml:space="preserve"> </v>
      </c>
      <c r="I178" s="8" t="str">
        <f>IF('Course 4'!$H176='tab4'!I$3,'Course 4'!$I176," ")</f>
        <v xml:space="preserve"> </v>
      </c>
      <c r="J178" s="8" t="str">
        <f>IF('Course 4'!$H176='tab4'!J$3,'Course 4'!$I176," ")</f>
        <v xml:space="preserve"> </v>
      </c>
      <c r="K178" s="8" t="str">
        <f>IF('Course 4'!$H176='tab4'!K$3,'Course 4'!$I176," ")</f>
        <v xml:space="preserve"> </v>
      </c>
      <c r="L178" s="8" t="str">
        <f>IF('Course 4'!$H176='tab4'!L$3,'Course 4'!$I176," ")</f>
        <v xml:space="preserve"> </v>
      </c>
      <c r="M178" s="8" t="str">
        <f>IF('Course 4'!$H176='tab4'!M$3,'Course 4'!$I176," ")</f>
        <v xml:space="preserve"> </v>
      </c>
      <c r="N178" s="9" t="str">
        <f>IF('Course 4'!$H176='tab4'!N$3,'Course 4'!$I176," ")</f>
        <v xml:space="preserve"> </v>
      </c>
    </row>
    <row r="179" spans="2:14">
      <c r="B179">
        <v>175</v>
      </c>
      <c r="C179" s="7" t="str">
        <f>IF('Course 4'!$H177='tab4'!C$3,'Course 4'!$I177," ")</f>
        <v xml:space="preserve"> </v>
      </c>
      <c r="D179" s="8" t="str">
        <f>IF('Course 4'!$H177='tab4'!D$3,'Course 4'!$I177," ")</f>
        <v xml:space="preserve"> </v>
      </c>
      <c r="E179" s="8" t="str">
        <f>IF('Course 4'!$H177='tab4'!E$3,'Course 4'!$I177," ")</f>
        <v xml:space="preserve"> </v>
      </c>
      <c r="F179" s="8" t="str">
        <f>IF('Course 4'!$H177='tab4'!F$3,'Course 4'!$I177," ")</f>
        <v xml:space="preserve"> </v>
      </c>
      <c r="G179" s="8" t="str">
        <f>IF('Course 4'!$H177='tab4'!G$3,'Course 4'!$I177," ")</f>
        <v xml:space="preserve"> </v>
      </c>
      <c r="H179" s="8" t="str">
        <f>IF('Course 4'!$H177='tab4'!H$3,'Course 4'!$I177," ")</f>
        <v xml:space="preserve"> </v>
      </c>
      <c r="I179" s="8" t="str">
        <f>IF('Course 4'!$H177='tab4'!I$3,'Course 4'!$I177," ")</f>
        <v xml:space="preserve"> </v>
      </c>
      <c r="J179" s="8" t="str">
        <f>IF('Course 4'!$H177='tab4'!J$3,'Course 4'!$I177," ")</f>
        <v xml:space="preserve"> </v>
      </c>
      <c r="K179" s="8" t="str">
        <f>IF('Course 4'!$H177='tab4'!K$3,'Course 4'!$I177," ")</f>
        <v xml:space="preserve"> </v>
      </c>
      <c r="L179" s="8" t="str">
        <f>IF('Course 4'!$H177='tab4'!L$3,'Course 4'!$I177," ")</f>
        <v xml:space="preserve"> </v>
      </c>
      <c r="M179" s="8" t="str">
        <f>IF('Course 4'!$H177='tab4'!M$3,'Course 4'!$I177," ")</f>
        <v xml:space="preserve"> </v>
      </c>
      <c r="N179" s="9" t="str">
        <f>IF('Course 4'!$H177='tab4'!N$3,'Course 4'!$I177," ")</f>
        <v xml:space="preserve"> </v>
      </c>
    </row>
    <row r="180" spans="2:14">
      <c r="B180">
        <v>176</v>
      </c>
      <c r="C180" s="7" t="str">
        <f>IF('Course 4'!$H178='tab4'!C$3,'Course 4'!$I178," ")</f>
        <v xml:space="preserve"> </v>
      </c>
      <c r="D180" s="8" t="str">
        <f>IF('Course 4'!$H178='tab4'!D$3,'Course 4'!$I178," ")</f>
        <v xml:space="preserve"> </v>
      </c>
      <c r="E180" s="8" t="str">
        <f>IF('Course 4'!$H178='tab4'!E$3,'Course 4'!$I178," ")</f>
        <v xml:space="preserve"> </v>
      </c>
      <c r="F180" s="8" t="str">
        <f>IF('Course 4'!$H178='tab4'!F$3,'Course 4'!$I178," ")</f>
        <v xml:space="preserve"> </v>
      </c>
      <c r="G180" s="8" t="str">
        <f>IF('Course 4'!$H178='tab4'!G$3,'Course 4'!$I178," ")</f>
        <v xml:space="preserve"> </v>
      </c>
      <c r="H180" s="8" t="str">
        <f>IF('Course 4'!$H178='tab4'!H$3,'Course 4'!$I178," ")</f>
        <v xml:space="preserve"> </v>
      </c>
      <c r="I180" s="8" t="str">
        <f>IF('Course 4'!$H178='tab4'!I$3,'Course 4'!$I178," ")</f>
        <v xml:space="preserve"> </v>
      </c>
      <c r="J180" s="8" t="str">
        <f>IF('Course 4'!$H178='tab4'!J$3,'Course 4'!$I178," ")</f>
        <v xml:space="preserve"> </v>
      </c>
      <c r="K180" s="8" t="str">
        <f>IF('Course 4'!$H178='tab4'!K$3,'Course 4'!$I178," ")</f>
        <v xml:space="preserve"> </v>
      </c>
      <c r="L180" s="8" t="str">
        <f>IF('Course 4'!$H178='tab4'!L$3,'Course 4'!$I178," ")</f>
        <v xml:space="preserve"> </v>
      </c>
      <c r="M180" s="8" t="str">
        <f>IF('Course 4'!$H178='tab4'!M$3,'Course 4'!$I178," ")</f>
        <v xml:space="preserve"> </v>
      </c>
      <c r="N180" s="9" t="str">
        <f>IF('Course 4'!$H178='tab4'!N$3,'Course 4'!$I178," ")</f>
        <v xml:space="preserve"> </v>
      </c>
    </row>
    <row r="181" spans="2:14">
      <c r="B181">
        <v>177</v>
      </c>
      <c r="C181" s="7" t="str">
        <f>IF('Course 4'!$H179='tab4'!C$3,'Course 4'!$I179," ")</f>
        <v xml:space="preserve"> </v>
      </c>
      <c r="D181" s="8" t="str">
        <f>IF('Course 4'!$H179='tab4'!D$3,'Course 4'!$I179," ")</f>
        <v xml:space="preserve"> </v>
      </c>
      <c r="E181" s="8" t="str">
        <f>IF('Course 4'!$H179='tab4'!E$3,'Course 4'!$I179," ")</f>
        <v xml:space="preserve"> </v>
      </c>
      <c r="F181" s="8" t="str">
        <f>IF('Course 4'!$H179='tab4'!F$3,'Course 4'!$I179," ")</f>
        <v xml:space="preserve"> </v>
      </c>
      <c r="G181" s="8" t="str">
        <f>IF('Course 4'!$H179='tab4'!G$3,'Course 4'!$I179," ")</f>
        <v xml:space="preserve"> </v>
      </c>
      <c r="H181" s="8" t="str">
        <f>IF('Course 4'!$H179='tab4'!H$3,'Course 4'!$I179," ")</f>
        <v xml:space="preserve"> </v>
      </c>
      <c r="I181" s="8" t="str">
        <f>IF('Course 4'!$H179='tab4'!I$3,'Course 4'!$I179," ")</f>
        <v xml:space="preserve"> </v>
      </c>
      <c r="J181" s="8" t="str">
        <f>IF('Course 4'!$H179='tab4'!J$3,'Course 4'!$I179," ")</f>
        <v xml:space="preserve"> </v>
      </c>
      <c r="K181" s="8" t="str">
        <f>IF('Course 4'!$H179='tab4'!K$3,'Course 4'!$I179," ")</f>
        <v xml:space="preserve"> </v>
      </c>
      <c r="L181" s="8" t="str">
        <f>IF('Course 4'!$H179='tab4'!L$3,'Course 4'!$I179," ")</f>
        <v xml:space="preserve"> </v>
      </c>
      <c r="M181" s="8" t="str">
        <f>IF('Course 4'!$H179='tab4'!M$3,'Course 4'!$I179," ")</f>
        <v xml:space="preserve"> </v>
      </c>
      <c r="N181" s="9" t="str">
        <f>IF('Course 4'!$H179='tab4'!N$3,'Course 4'!$I179," ")</f>
        <v xml:space="preserve"> </v>
      </c>
    </row>
    <row r="182" spans="2:14">
      <c r="B182">
        <v>178</v>
      </c>
      <c r="C182" s="7" t="str">
        <f>IF('Course 4'!$H180='tab4'!C$3,'Course 4'!$I180," ")</f>
        <v xml:space="preserve"> </v>
      </c>
      <c r="D182" s="8" t="str">
        <f>IF('Course 4'!$H180='tab4'!D$3,'Course 4'!$I180," ")</f>
        <v xml:space="preserve"> </v>
      </c>
      <c r="E182" s="8" t="str">
        <f>IF('Course 4'!$H180='tab4'!E$3,'Course 4'!$I180," ")</f>
        <v xml:space="preserve"> </v>
      </c>
      <c r="F182" s="8" t="str">
        <f>IF('Course 4'!$H180='tab4'!F$3,'Course 4'!$I180," ")</f>
        <v xml:space="preserve"> </v>
      </c>
      <c r="G182" s="8" t="str">
        <f>IF('Course 4'!$H180='tab4'!G$3,'Course 4'!$I180," ")</f>
        <v xml:space="preserve"> </v>
      </c>
      <c r="H182" s="8" t="str">
        <f>IF('Course 4'!$H180='tab4'!H$3,'Course 4'!$I180," ")</f>
        <v xml:space="preserve"> </v>
      </c>
      <c r="I182" s="8" t="str">
        <f>IF('Course 4'!$H180='tab4'!I$3,'Course 4'!$I180," ")</f>
        <v xml:space="preserve"> </v>
      </c>
      <c r="J182" s="8" t="str">
        <f>IF('Course 4'!$H180='tab4'!J$3,'Course 4'!$I180," ")</f>
        <v xml:space="preserve"> </v>
      </c>
      <c r="K182" s="8" t="str">
        <f>IF('Course 4'!$H180='tab4'!K$3,'Course 4'!$I180," ")</f>
        <v xml:space="preserve"> </v>
      </c>
      <c r="L182" s="8" t="str">
        <f>IF('Course 4'!$H180='tab4'!L$3,'Course 4'!$I180," ")</f>
        <v xml:space="preserve"> </v>
      </c>
      <c r="M182" s="8" t="str">
        <f>IF('Course 4'!$H180='tab4'!M$3,'Course 4'!$I180," ")</f>
        <v xml:space="preserve"> </v>
      </c>
      <c r="N182" s="9" t="str">
        <f>IF('Course 4'!$H180='tab4'!N$3,'Course 4'!$I180," ")</f>
        <v xml:space="preserve"> </v>
      </c>
    </row>
    <row r="183" spans="2:14">
      <c r="B183">
        <v>179</v>
      </c>
      <c r="C183" s="7" t="str">
        <f>IF('Course 4'!$H181='tab4'!C$3,'Course 4'!$I181," ")</f>
        <v xml:space="preserve"> </v>
      </c>
      <c r="D183" s="8" t="str">
        <f>IF('Course 4'!$H181='tab4'!D$3,'Course 4'!$I181," ")</f>
        <v xml:space="preserve"> </v>
      </c>
      <c r="E183" s="8" t="str">
        <f>IF('Course 4'!$H181='tab4'!E$3,'Course 4'!$I181," ")</f>
        <v xml:space="preserve"> </v>
      </c>
      <c r="F183" s="8" t="str">
        <f>IF('Course 4'!$H181='tab4'!F$3,'Course 4'!$I181," ")</f>
        <v xml:space="preserve"> </v>
      </c>
      <c r="G183" s="8" t="str">
        <f>IF('Course 4'!$H181='tab4'!G$3,'Course 4'!$I181," ")</f>
        <v xml:space="preserve"> </v>
      </c>
      <c r="H183" s="8" t="str">
        <f>IF('Course 4'!$H181='tab4'!H$3,'Course 4'!$I181," ")</f>
        <v xml:space="preserve"> </v>
      </c>
      <c r="I183" s="8" t="str">
        <f>IF('Course 4'!$H181='tab4'!I$3,'Course 4'!$I181," ")</f>
        <v xml:space="preserve"> </v>
      </c>
      <c r="J183" s="8" t="str">
        <f>IF('Course 4'!$H181='tab4'!J$3,'Course 4'!$I181," ")</f>
        <v xml:space="preserve"> </v>
      </c>
      <c r="K183" s="8" t="str">
        <f>IF('Course 4'!$H181='tab4'!K$3,'Course 4'!$I181," ")</f>
        <v xml:space="preserve"> </v>
      </c>
      <c r="L183" s="8" t="str">
        <f>IF('Course 4'!$H181='tab4'!L$3,'Course 4'!$I181," ")</f>
        <v xml:space="preserve"> </v>
      </c>
      <c r="M183" s="8" t="str">
        <f>IF('Course 4'!$H181='tab4'!M$3,'Course 4'!$I181," ")</f>
        <v xml:space="preserve"> </v>
      </c>
      <c r="N183" s="9" t="str">
        <f>IF('Course 4'!$H181='tab4'!N$3,'Course 4'!$I181," ")</f>
        <v xml:space="preserve"> </v>
      </c>
    </row>
    <row r="184" spans="2:14">
      <c r="B184">
        <v>180</v>
      </c>
      <c r="C184" s="7" t="str">
        <f>IF('Course 4'!$H182='tab4'!C$3,'Course 4'!$I182," ")</f>
        <v xml:space="preserve"> </v>
      </c>
      <c r="D184" s="8" t="str">
        <f>IF('Course 4'!$H182='tab4'!D$3,'Course 4'!$I182," ")</f>
        <v xml:space="preserve"> </v>
      </c>
      <c r="E184" s="8" t="str">
        <f>IF('Course 4'!$H182='tab4'!E$3,'Course 4'!$I182," ")</f>
        <v xml:space="preserve"> </v>
      </c>
      <c r="F184" s="8" t="str">
        <f>IF('Course 4'!$H182='tab4'!F$3,'Course 4'!$I182," ")</f>
        <v xml:space="preserve"> </v>
      </c>
      <c r="G184" s="8" t="str">
        <f>IF('Course 4'!$H182='tab4'!G$3,'Course 4'!$I182," ")</f>
        <v xml:space="preserve"> </v>
      </c>
      <c r="H184" s="8" t="str">
        <f>IF('Course 4'!$H182='tab4'!H$3,'Course 4'!$I182," ")</f>
        <v xml:space="preserve"> </v>
      </c>
      <c r="I184" s="8" t="str">
        <f>IF('Course 4'!$H182='tab4'!I$3,'Course 4'!$I182," ")</f>
        <v xml:space="preserve"> </v>
      </c>
      <c r="J184" s="8" t="str">
        <f>IF('Course 4'!$H182='tab4'!J$3,'Course 4'!$I182," ")</f>
        <v xml:space="preserve"> </v>
      </c>
      <c r="K184" s="8" t="str">
        <f>IF('Course 4'!$H182='tab4'!K$3,'Course 4'!$I182," ")</f>
        <v xml:space="preserve"> </v>
      </c>
      <c r="L184" s="8" t="str">
        <f>IF('Course 4'!$H182='tab4'!L$3,'Course 4'!$I182," ")</f>
        <v xml:space="preserve"> </v>
      </c>
      <c r="M184" s="8" t="str">
        <f>IF('Course 4'!$H182='tab4'!M$3,'Course 4'!$I182," ")</f>
        <v xml:space="preserve"> </v>
      </c>
      <c r="N184" s="9" t="str">
        <f>IF('Course 4'!$H182='tab4'!N$3,'Course 4'!$I182," ")</f>
        <v xml:space="preserve"> </v>
      </c>
    </row>
    <row r="185" spans="2:14">
      <c r="B185">
        <v>181</v>
      </c>
      <c r="C185" s="7" t="str">
        <f>IF('Course 4'!$H183='tab4'!C$3,'Course 4'!$I183," ")</f>
        <v xml:space="preserve"> </v>
      </c>
      <c r="D185" s="8" t="str">
        <f>IF('Course 4'!$H183='tab4'!D$3,'Course 4'!$I183," ")</f>
        <v xml:space="preserve"> </v>
      </c>
      <c r="E185" s="8" t="str">
        <f>IF('Course 4'!$H183='tab4'!E$3,'Course 4'!$I183," ")</f>
        <v xml:space="preserve"> </v>
      </c>
      <c r="F185" s="8" t="str">
        <f>IF('Course 4'!$H183='tab4'!F$3,'Course 4'!$I183," ")</f>
        <v xml:space="preserve"> </v>
      </c>
      <c r="G185" s="8" t="str">
        <f>IF('Course 4'!$H183='tab4'!G$3,'Course 4'!$I183," ")</f>
        <v xml:space="preserve"> </v>
      </c>
      <c r="H185" s="8" t="str">
        <f>IF('Course 4'!$H183='tab4'!H$3,'Course 4'!$I183," ")</f>
        <v xml:space="preserve"> </v>
      </c>
      <c r="I185" s="8" t="str">
        <f>IF('Course 4'!$H183='tab4'!I$3,'Course 4'!$I183," ")</f>
        <v xml:space="preserve"> </v>
      </c>
      <c r="J185" s="8" t="str">
        <f>IF('Course 4'!$H183='tab4'!J$3,'Course 4'!$I183," ")</f>
        <v xml:space="preserve"> </v>
      </c>
      <c r="K185" s="8" t="str">
        <f>IF('Course 4'!$H183='tab4'!K$3,'Course 4'!$I183," ")</f>
        <v xml:space="preserve"> </v>
      </c>
      <c r="L185" s="8" t="str">
        <f>IF('Course 4'!$H183='tab4'!L$3,'Course 4'!$I183," ")</f>
        <v xml:space="preserve"> </v>
      </c>
      <c r="M185" s="8" t="str">
        <f>IF('Course 4'!$H183='tab4'!M$3,'Course 4'!$I183," ")</f>
        <v xml:space="preserve"> </v>
      </c>
      <c r="N185" s="9" t="str">
        <f>IF('Course 4'!$H183='tab4'!N$3,'Course 4'!$I183," ")</f>
        <v xml:space="preserve"> </v>
      </c>
    </row>
    <row r="186" spans="2:14">
      <c r="B186">
        <v>182</v>
      </c>
      <c r="C186" s="7" t="str">
        <f>IF('Course 4'!$H184='tab4'!C$3,'Course 4'!$I184," ")</f>
        <v xml:space="preserve"> </v>
      </c>
      <c r="D186" s="8" t="str">
        <f>IF('Course 4'!$H184='tab4'!D$3,'Course 4'!$I184," ")</f>
        <v xml:space="preserve"> </v>
      </c>
      <c r="E186" s="8" t="str">
        <f>IF('Course 4'!$H184='tab4'!E$3,'Course 4'!$I184," ")</f>
        <v xml:space="preserve"> </v>
      </c>
      <c r="F186" s="8" t="str">
        <f>IF('Course 4'!$H184='tab4'!F$3,'Course 4'!$I184," ")</f>
        <v xml:space="preserve"> </v>
      </c>
      <c r="G186" s="8" t="str">
        <f>IF('Course 4'!$H184='tab4'!G$3,'Course 4'!$I184," ")</f>
        <v xml:space="preserve"> </v>
      </c>
      <c r="H186" s="8" t="str">
        <f>IF('Course 4'!$H184='tab4'!H$3,'Course 4'!$I184," ")</f>
        <v xml:space="preserve"> </v>
      </c>
      <c r="I186" s="8" t="str">
        <f>IF('Course 4'!$H184='tab4'!I$3,'Course 4'!$I184," ")</f>
        <v xml:space="preserve"> </v>
      </c>
      <c r="J186" s="8" t="str">
        <f>IF('Course 4'!$H184='tab4'!J$3,'Course 4'!$I184," ")</f>
        <v xml:space="preserve"> </v>
      </c>
      <c r="K186" s="8" t="str">
        <f>IF('Course 4'!$H184='tab4'!K$3,'Course 4'!$I184," ")</f>
        <v xml:space="preserve"> </v>
      </c>
      <c r="L186" s="8" t="str">
        <f>IF('Course 4'!$H184='tab4'!L$3,'Course 4'!$I184," ")</f>
        <v xml:space="preserve"> </v>
      </c>
      <c r="M186" s="8" t="str">
        <f>IF('Course 4'!$H184='tab4'!M$3,'Course 4'!$I184," ")</f>
        <v xml:space="preserve"> </v>
      </c>
      <c r="N186" s="9" t="str">
        <f>IF('Course 4'!$H184='tab4'!N$3,'Course 4'!$I184," ")</f>
        <v xml:space="preserve"> </v>
      </c>
    </row>
    <row r="187" spans="2:14">
      <c r="B187">
        <v>183</v>
      </c>
      <c r="C187" s="7" t="str">
        <f>IF('Course 4'!$H185='tab4'!C$3,'Course 4'!$I185," ")</f>
        <v xml:space="preserve"> </v>
      </c>
      <c r="D187" s="8" t="str">
        <f>IF('Course 4'!$H185='tab4'!D$3,'Course 4'!$I185," ")</f>
        <v xml:space="preserve"> </v>
      </c>
      <c r="E187" s="8" t="str">
        <f>IF('Course 4'!$H185='tab4'!E$3,'Course 4'!$I185," ")</f>
        <v xml:space="preserve"> </v>
      </c>
      <c r="F187" s="8" t="str">
        <f>IF('Course 4'!$H185='tab4'!F$3,'Course 4'!$I185," ")</f>
        <v xml:space="preserve"> </v>
      </c>
      <c r="G187" s="8" t="str">
        <f>IF('Course 4'!$H185='tab4'!G$3,'Course 4'!$I185," ")</f>
        <v xml:space="preserve"> </v>
      </c>
      <c r="H187" s="8" t="str">
        <f>IF('Course 4'!$H185='tab4'!H$3,'Course 4'!$I185," ")</f>
        <v xml:space="preserve"> </v>
      </c>
      <c r="I187" s="8" t="str">
        <f>IF('Course 4'!$H185='tab4'!I$3,'Course 4'!$I185," ")</f>
        <v xml:space="preserve"> </v>
      </c>
      <c r="J187" s="8" t="str">
        <f>IF('Course 4'!$H185='tab4'!J$3,'Course 4'!$I185," ")</f>
        <v xml:space="preserve"> </v>
      </c>
      <c r="K187" s="8" t="str">
        <f>IF('Course 4'!$H185='tab4'!K$3,'Course 4'!$I185," ")</f>
        <v xml:space="preserve"> </v>
      </c>
      <c r="L187" s="8" t="str">
        <f>IF('Course 4'!$H185='tab4'!L$3,'Course 4'!$I185," ")</f>
        <v xml:space="preserve"> </v>
      </c>
      <c r="M187" s="8" t="str">
        <f>IF('Course 4'!$H185='tab4'!M$3,'Course 4'!$I185," ")</f>
        <v xml:space="preserve"> </v>
      </c>
      <c r="N187" s="9" t="str">
        <f>IF('Course 4'!$H185='tab4'!N$3,'Course 4'!$I185," ")</f>
        <v xml:space="preserve"> </v>
      </c>
    </row>
    <row r="188" spans="2:14">
      <c r="B188">
        <v>184</v>
      </c>
      <c r="C188" s="7" t="str">
        <f>IF('Course 4'!$H186='tab4'!C$3,'Course 4'!$I186," ")</f>
        <v xml:space="preserve"> </v>
      </c>
      <c r="D188" s="8" t="str">
        <f>IF('Course 4'!$H186='tab4'!D$3,'Course 4'!$I186," ")</f>
        <v xml:space="preserve"> </v>
      </c>
      <c r="E188" s="8" t="str">
        <f>IF('Course 4'!$H186='tab4'!E$3,'Course 4'!$I186," ")</f>
        <v xml:space="preserve"> </v>
      </c>
      <c r="F188" s="8" t="str">
        <f>IF('Course 4'!$H186='tab4'!F$3,'Course 4'!$I186," ")</f>
        <v xml:space="preserve"> </v>
      </c>
      <c r="G188" s="8" t="str">
        <f>IF('Course 4'!$H186='tab4'!G$3,'Course 4'!$I186," ")</f>
        <v xml:space="preserve"> </v>
      </c>
      <c r="H188" s="8" t="str">
        <f>IF('Course 4'!$H186='tab4'!H$3,'Course 4'!$I186," ")</f>
        <v xml:space="preserve"> </v>
      </c>
      <c r="I188" s="8" t="str">
        <f>IF('Course 4'!$H186='tab4'!I$3,'Course 4'!$I186," ")</f>
        <v xml:space="preserve"> </v>
      </c>
      <c r="J188" s="8" t="str">
        <f>IF('Course 4'!$H186='tab4'!J$3,'Course 4'!$I186," ")</f>
        <v xml:space="preserve"> </v>
      </c>
      <c r="K188" s="8" t="str">
        <f>IF('Course 4'!$H186='tab4'!K$3,'Course 4'!$I186," ")</f>
        <v xml:space="preserve"> </v>
      </c>
      <c r="L188" s="8" t="str">
        <f>IF('Course 4'!$H186='tab4'!L$3,'Course 4'!$I186," ")</f>
        <v xml:space="preserve"> </v>
      </c>
      <c r="M188" s="8" t="str">
        <f>IF('Course 4'!$H186='tab4'!M$3,'Course 4'!$I186," ")</f>
        <v xml:space="preserve"> </v>
      </c>
      <c r="N188" s="9" t="str">
        <f>IF('Course 4'!$H186='tab4'!N$3,'Course 4'!$I186," ")</f>
        <v xml:space="preserve"> </v>
      </c>
    </row>
    <row r="189" spans="2:14">
      <c r="B189">
        <v>185</v>
      </c>
      <c r="C189" s="7" t="str">
        <f>IF('Course 4'!$H187='tab4'!C$3,'Course 4'!$I187," ")</f>
        <v xml:space="preserve"> </v>
      </c>
      <c r="D189" s="8" t="str">
        <f>IF('Course 4'!$H187='tab4'!D$3,'Course 4'!$I187," ")</f>
        <v xml:space="preserve"> </v>
      </c>
      <c r="E189" s="8" t="str">
        <f>IF('Course 4'!$H187='tab4'!E$3,'Course 4'!$I187," ")</f>
        <v xml:space="preserve"> </v>
      </c>
      <c r="F189" s="8" t="str">
        <f>IF('Course 4'!$H187='tab4'!F$3,'Course 4'!$I187," ")</f>
        <v xml:space="preserve"> </v>
      </c>
      <c r="G189" s="8" t="str">
        <f>IF('Course 4'!$H187='tab4'!G$3,'Course 4'!$I187," ")</f>
        <v xml:space="preserve"> </v>
      </c>
      <c r="H189" s="8" t="str">
        <f>IF('Course 4'!$H187='tab4'!H$3,'Course 4'!$I187," ")</f>
        <v xml:space="preserve"> </v>
      </c>
      <c r="I189" s="8" t="str">
        <f>IF('Course 4'!$H187='tab4'!I$3,'Course 4'!$I187," ")</f>
        <v xml:space="preserve"> </v>
      </c>
      <c r="J189" s="8" t="str">
        <f>IF('Course 4'!$H187='tab4'!J$3,'Course 4'!$I187," ")</f>
        <v xml:space="preserve"> </v>
      </c>
      <c r="K189" s="8" t="str">
        <f>IF('Course 4'!$H187='tab4'!K$3,'Course 4'!$I187," ")</f>
        <v xml:space="preserve"> </v>
      </c>
      <c r="L189" s="8" t="str">
        <f>IF('Course 4'!$H187='tab4'!L$3,'Course 4'!$I187," ")</f>
        <v xml:space="preserve"> </v>
      </c>
      <c r="M189" s="8" t="str">
        <f>IF('Course 4'!$H187='tab4'!M$3,'Course 4'!$I187," ")</f>
        <v xml:space="preserve"> </v>
      </c>
      <c r="N189" s="9" t="str">
        <f>IF('Course 4'!$H187='tab4'!N$3,'Course 4'!$I187," ")</f>
        <v xml:space="preserve"> </v>
      </c>
    </row>
    <row r="190" spans="2:14">
      <c r="B190">
        <v>186</v>
      </c>
      <c r="C190" s="7" t="str">
        <f>IF('Course 4'!$H188='tab4'!C$3,'Course 4'!$I188," ")</f>
        <v xml:space="preserve"> </v>
      </c>
      <c r="D190" s="8" t="str">
        <f>IF('Course 4'!$H188='tab4'!D$3,'Course 4'!$I188," ")</f>
        <v xml:space="preserve"> </v>
      </c>
      <c r="E190" s="8" t="str">
        <f>IF('Course 4'!$H188='tab4'!E$3,'Course 4'!$I188," ")</f>
        <v xml:space="preserve"> </v>
      </c>
      <c r="F190" s="8" t="str">
        <f>IF('Course 4'!$H188='tab4'!F$3,'Course 4'!$I188," ")</f>
        <v xml:space="preserve"> </v>
      </c>
      <c r="G190" s="8" t="str">
        <f>IF('Course 4'!$H188='tab4'!G$3,'Course 4'!$I188," ")</f>
        <v xml:space="preserve"> </v>
      </c>
      <c r="H190" s="8" t="str">
        <f>IF('Course 4'!$H188='tab4'!H$3,'Course 4'!$I188," ")</f>
        <v xml:space="preserve"> </v>
      </c>
      <c r="I190" s="8" t="str">
        <f>IF('Course 4'!$H188='tab4'!I$3,'Course 4'!$I188," ")</f>
        <v xml:space="preserve"> </v>
      </c>
      <c r="J190" s="8" t="str">
        <f>IF('Course 4'!$H188='tab4'!J$3,'Course 4'!$I188," ")</f>
        <v xml:space="preserve"> </v>
      </c>
      <c r="K190" s="8" t="str">
        <f>IF('Course 4'!$H188='tab4'!K$3,'Course 4'!$I188," ")</f>
        <v xml:space="preserve"> </v>
      </c>
      <c r="L190" s="8" t="str">
        <f>IF('Course 4'!$H188='tab4'!L$3,'Course 4'!$I188," ")</f>
        <v xml:space="preserve"> </v>
      </c>
      <c r="M190" s="8" t="str">
        <f>IF('Course 4'!$H188='tab4'!M$3,'Course 4'!$I188," ")</f>
        <v xml:space="preserve"> </v>
      </c>
      <c r="N190" s="9" t="str">
        <f>IF('Course 4'!$H188='tab4'!N$3,'Course 4'!$I188," ")</f>
        <v xml:space="preserve"> </v>
      </c>
    </row>
    <row r="191" spans="2:14">
      <c r="B191">
        <v>187</v>
      </c>
      <c r="C191" s="7" t="str">
        <f>IF('Course 4'!$H189='tab4'!C$3,'Course 4'!$I189," ")</f>
        <v xml:space="preserve"> </v>
      </c>
      <c r="D191" s="8" t="str">
        <f>IF('Course 4'!$H189='tab4'!D$3,'Course 4'!$I189," ")</f>
        <v xml:space="preserve"> </v>
      </c>
      <c r="E191" s="8" t="str">
        <f>IF('Course 4'!$H189='tab4'!E$3,'Course 4'!$I189," ")</f>
        <v xml:space="preserve"> </v>
      </c>
      <c r="F191" s="8" t="str">
        <f>IF('Course 4'!$H189='tab4'!F$3,'Course 4'!$I189," ")</f>
        <v xml:space="preserve"> </v>
      </c>
      <c r="G191" s="8" t="str">
        <f>IF('Course 4'!$H189='tab4'!G$3,'Course 4'!$I189," ")</f>
        <v xml:space="preserve"> </v>
      </c>
      <c r="H191" s="8" t="str">
        <f>IF('Course 4'!$H189='tab4'!H$3,'Course 4'!$I189," ")</f>
        <v xml:space="preserve"> </v>
      </c>
      <c r="I191" s="8" t="str">
        <f>IF('Course 4'!$H189='tab4'!I$3,'Course 4'!$I189," ")</f>
        <v xml:space="preserve"> </v>
      </c>
      <c r="J191" s="8" t="str">
        <f>IF('Course 4'!$H189='tab4'!J$3,'Course 4'!$I189," ")</f>
        <v xml:space="preserve"> </v>
      </c>
      <c r="K191" s="8" t="str">
        <f>IF('Course 4'!$H189='tab4'!K$3,'Course 4'!$I189," ")</f>
        <v xml:space="preserve"> </v>
      </c>
      <c r="L191" s="8" t="str">
        <f>IF('Course 4'!$H189='tab4'!L$3,'Course 4'!$I189," ")</f>
        <v xml:space="preserve"> </v>
      </c>
      <c r="M191" s="8" t="str">
        <f>IF('Course 4'!$H189='tab4'!M$3,'Course 4'!$I189," ")</f>
        <v xml:space="preserve"> </v>
      </c>
      <c r="N191" s="9" t="str">
        <f>IF('Course 4'!$H189='tab4'!N$3,'Course 4'!$I189," ")</f>
        <v xml:space="preserve"> </v>
      </c>
    </row>
    <row r="192" spans="2:14">
      <c r="B192">
        <v>188</v>
      </c>
      <c r="C192" s="7" t="str">
        <f>IF('Course 4'!$H190='tab4'!C$3,'Course 4'!$I190," ")</f>
        <v xml:space="preserve"> </v>
      </c>
      <c r="D192" s="8" t="str">
        <f>IF('Course 4'!$H190='tab4'!D$3,'Course 4'!$I190," ")</f>
        <v xml:space="preserve"> </v>
      </c>
      <c r="E192" s="8" t="str">
        <f>IF('Course 4'!$H190='tab4'!E$3,'Course 4'!$I190," ")</f>
        <v xml:space="preserve"> </v>
      </c>
      <c r="F192" s="8" t="str">
        <f>IF('Course 4'!$H190='tab4'!F$3,'Course 4'!$I190," ")</f>
        <v xml:space="preserve"> </v>
      </c>
      <c r="G192" s="8" t="str">
        <f>IF('Course 4'!$H190='tab4'!G$3,'Course 4'!$I190," ")</f>
        <v xml:space="preserve"> </v>
      </c>
      <c r="H192" s="8" t="str">
        <f>IF('Course 4'!$H190='tab4'!H$3,'Course 4'!$I190," ")</f>
        <v xml:space="preserve"> </v>
      </c>
      <c r="I192" s="8" t="str">
        <f>IF('Course 4'!$H190='tab4'!I$3,'Course 4'!$I190," ")</f>
        <v xml:space="preserve"> </v>
      </c>
      <c r="J192" s="8" t="str">
        <f>IF('Course 4'!$H190='tab4'!J$3,'Course 4'!$I190," ")</f>
        <v xml:space="preserve"> </v>
      </c>
      <c r="K192" s="8" t="str">
        <f>IF('Course 4'!$H190='tab4'!K$3,'Course 4'!$I190," ")</f>
        <v xml:space="preserve"> </v>
      </c>
      <c r="L192" s="8" t="str">
        <f>IF('Course 4'!$H190='tab4'!L$3,'Course 4'!$I190," ")</f>
        <v xml:space="preserve"> </v>
      </c>
      <c r="M192" s="8" t="str">
        <f>IF('Course 4'!$H190='tab4'!M$3,'Course 4'!$I190," ")</f>
        <v xml:space="preserve"> </v>
      </c>
      <c r="N192" s="9" t="str">
        <f>IF('Course 4'!$H190='tab4'!N$3,'Course 4'!$I190," ")</f>
        <v xml:space="preserve"> </v>
      </c>
    </row>
    <row r="193" spans="2:14">
      <c r="B193">
        <v>189</v>
      </c>
      <c r="C193" s="7" t="str">
        <f>IF('Course 4'!$H191='tab4'!C$3,'Course 4'!$I191," ")</f>
        <v xml:space="preserve"> </v>
      </c>
      <c r="D193" s="8" t="str">
        <f>IF('Course 4'!$H191='tab4'!D$3,'Course 4'!$I191," ")</f>
        <v xml:space="preserve"> </v>
      </c>
      <c r="E193" s="8" t="str">
        <f>IF('Course 4'!$H191='tab4'!E$3,'Course 4'!$I191," ")</f>
        <v xml:space="preserve"> </v>
      </c>
      <c r="F193" s="8" t="str">
        <f>IF('Course 4'!$H191='tab4'!F$3,'Course 4'!$I191," ")</f>
        <v xml:space="preserve"> </v>
      </c>
      <c r="G193" s="8" t="str">
        <f>IF('Course 4'!$H191='tab4'!G$3,'Course 4'!$I191," ")</f>
        <v xml:space="preserve"> </v>
      </c>
      <c r="H193" s="8" t="str">
        <f>IF('Course 4'!$H191='tab4'!H$3,'Course 4'!$I191," ")</f>
        <v xml:space="preserve"> </v>
      </c>
      <c r="I193" s="8" t="str">
        <f>IF('Course 4'!$H191='tab4'!I$3,'Course 4'!$I191," ")</f>
        <v xml:space="preserve"> </v>
      </c>
      <c r="J193" s="8" t="str">
        <f>IF('Course 4'!$H191='tab4'!J$3,'Course 4'!$I191," ")</f>
        <v xml:space="preserve"> </v>
      </c>
      <c r="K193" s="8" t="str">
        <f>IF('Course 4'!$H191='tab4'!K$3,'Course 4'!$I191," ")</f>
        <v xml:space="preserve"> </v>
      </c>
      <c r="L193" s="8" t="str">
        <f>IF('Course 4'!$H191='tab4'!L$3,'Course 4'!$I191," ")</f>
        <v xml:space="preserve"> </v>
      </c>
      <c r="M193" s="8" t="str">
        <f>IF('Course 4'!$H191='tab4'!M$3,'Course 4'!$I191," ")</f>
        <v xml:space="preserve"> </v>
      </c>
      <c r="N193" s="9" t="str">
        <f>IF('Course 4'!$H191='tab4'!N$3,'Course 4'!$I191," ")</f>
        <v xml:space="preserve"> </v>
      </c>
    </row>
    <row r="194" spans="2:14">
      <c r="B194">
        <v>190</v>
      </c>
      <c r="C194" s="7" t="str">
        <f>IF('Course 4'!$H192='tab4'!C$3,'Course 4'!$I192," ")</f>
        <v xml:space="preserve"> </v>
      </c>
      <c r="D194" s="8" t="str">
        <f>IF('Course 4'!$H192='tab4'!D$3,'Course 4'!$I192," ")</f>
        <v xml:space="preserve"> </v>
      </c>
      <c r="E194" s="8" t="str">
        <f>IF('Course 4'!$H192='tab4'!E$3,'Course 4'!$I192," ")</f>
        <v xml:space="preserve"> </v>
      </c>
      <c r="F194" s="8" t="str">
        <f>IF('Course 4'!$H192='tab4'!F$3,'Course 4'!$I192," ")</f>
        <v xml:space="preserve"> </v>
      </c>
      <c r="G194" s="8" t="str">
        <f>IF('Course 4'!$H192='tab4'!G$3,'Course 4'!$I192," ")</f>
        <v xml:space="preserve"> </v>
      </c>
      <c r="H194" s="8" t="str">
        <f>IF('Course 4'!$H192='tab4'!H$3,'Course 4'!$I192," ")</f>
        <v xml:space="preserve"> </v>
      </c>
      <c r="I194" s="8" t="str">
        <f>IF('Course 4'!$H192='tab4'!I$3,'Course 4'!$I192," ")</f>
        <v xml:space="preserve"> </v>
      </c>
      <c r="J194" s="8" t="str">
        <f>IF('Course 4'!$H192='tab4'!J$3,'Course 4'!$I192," ")</f>
        <v xml:space="preserve"> </v>
      </c>
      <c r="K194" s="8" t="str">
        <f>IF('Course 4'!$H192='tab4'!K$3,'Course 4'!$I192," ")</f>
        <v xml:space="preserve"> </v>
      </c>
      <c r="L194" s="8" t="str">
        <f>IF('Course 4'!$H192='tab4'!L$3,'Course 4'!$I192," ")</f>
        <v xml:space="preserve"> </v>
      </c>
      <c r="M194" s="8" t="str">
        <f>IF('Course 4'!$H192='tab4'!M$3,'Course 4'!$I192," ")</f>
        <v xml:space="preserve"> </v>
      </c>
      <c r="N194" s="9" t="str">
        <f>IF('Course 4'!$H192='tab4'!N$3,'Course 4'!$I192," ")</f>
        <v xml:space="preserve"> </v>
      </c>
    </row>
    <row r="195" spans="2:14">
      <c r="B195">
        <v>191</v>
      </c>
      <c r="C195" s="7" t="str">
        <f>IF('Course 4'!$H193='tab4'!C$3,'Course 4'!$I193," ")</f>
        <v xml:space="preserve"> </v>
      </c>
      <c r="D195" s="8" t="str">
        <f>IF('Course 4'!$H193='tab4'!D$3,'Course 4'!$I193," ")</f>
        <v xml:space="preserve"> </v>
      </c>
      <c r="E195" s="8" t="str">
        <f>IF('Course 4'!$H193='tab4'!E$3,'Course 4'!$I193," ")</f>
        <v xml:space="preserve"> </v>
      </c>
      <c r="F195" s="8" t="str">
        <f>IF('Course 4'!$H193='tab4'!F$3,'Course 4'!$I193," ")</f>
        <v xml:space="preserve"> </v>
      </c>
      <c r="G195" s="8" t="str">
        <f>IF('Course 4'!$H193='tab4'!G$3,'Course 4'!$I193," ")</f>
        <v xml:space="preserve"> </v>
      </c>
      <c r="H195" s="8" t="str">
        <f>IF('Course 4'!$H193='tab4'!H$3,'Course 4'!$I193," ")</f>
        <v xml:space="preserve"> </v>
      </c>
      <c r="I195" s="8" t="str">
        <f>IF('Course 4'!$H193='tab4'!I$3,'Course 4'!$I193," ")</f>
        <v xml:space="preserve"> </v>
      </c>
      <c r="J195" s="8" t="str">
        <f>IF('Course 4'!$H193='tab4'!J$3,'Course 4'!$I193," ")</f>
        <v xml:space="preserve"> </v>
      </c>
      <c r="K195" s="8" t="str">
        <f>IF('Course 4'!$H193='tab4'!K$3,'Course 4'!$I193," ")</f>
        <v xml:space="preserve"> </v>
      </c>
      <c r="L195" s="8" t="str">
        <f>IF('Course 4'!$H193='tab4'!L$3,'Course 4'!$I193," ")</f>
        <v xml:space="preserve"> </v>
      </c>
      <c r="M195" s="8" t="str">
        <f>IF('Course 4'!$H193='tab4'!M$3,'Course 4'!$I193," ")</f>
        <v xml:space="preserve"> </v>
      </c>
      <c r="N195" s="9" t="str">
        <f>IF('Course 4'!$H193='tab4'!N$3,'Course 4'!$I193," ")</f>
        <v xml:space="preserve"> </v>
      </c>
    </row>
    <row r="196" spans="2:14">
      <c r="B196">
        <v>192</v>
      </c>
      <c r="C196" s="7" t="str">
        <f>IF('Course 4'!$H194='tab4'!C$3,'Course 4'!$I194," ")</f>
        <v xml:space="preserve"> </v>
      </c>
      <c r="D196" s="8" t="str">
        <f>IF('Course 4'!$H194='tab4'!D$3,'Course 4'!$I194," ")</f>
        <v xml:space="preserve"> </v>
      </c>
      <c r="E196" s="8" t="str">
        <f>IF('Course 4'!$H194='tab4'!E$3,'Course 4'!$I194," ")</f>
        <v xml:space="preserve"> </v>
      </c>
      <c r="F196" s="8" t="str">
        <f>IF('Course 4'!$H194='tab4'!F$3,'Course 4'!$I194," ")</f>
        <v xml:space="preserve"> </v>
      </c>
      <c r="G196" s="8" t="str">
        <f>IF('Course 4'!$H194='tab4'!G$3,'Course 4'!$I194," ")</f>
        <v xml:space="preserve"> </v>
      </c>
      <c r="H196" s="8" t="str">
        <f>IF('Course 4'!$H194='tab4'!H$3,'Course 4'!$I194," ")</f>
        <v xml:space="preserve"> </v>
      </c>
      <c r="I196" s="8" t="str">
        <f>IF('Course 4'!$H194='tab4'!I$3,'Course 4'!$I194," ")</f>
        <v xml:space="preserve"> </v>
      </c>
      <c r="J196" s="8" t="str">
        <f>IF('Course 4'!$H194='tab4'!J$3,'Course 4'!$I194," ")</f>
        <v xml:space="preserve"> </v>
      </c>
      <c r="K196" s="8" t="str">
        <f>IF('Course 4'!$H194='tab4'!K$3,'Course 4'!$I194," ")</f>
        <v xml:space="preserve"> </v>
      </c>
      <c r="L196" s="8" t="str">
        <f>IF('Course 4'!$H194='tab4'!L$3,'Course 4'!$I194," ")</f>
        <v xml:space="preserve"> </v>
      </c>
      <c r="M196" s="8" t="str">
        <f>IF('Course 4'!$H194='tab4'!M$3,'Course 4'!$I194," ")</f>
        <v xml:space="preserve"> </v>
      </c>
      <c r="N196" s="9" t="str">
        <f>IF('Course 4'!$H194='tab4'!N$3,'Course 4'!$I194," ")</f>
        <v xml:space="preserve"> </v>
      </c>
    </row>
    <row r="197" spans="2:14">
      <c r="B197">
        <v>193</v>
      </c>
      <c r="C197" s="7" t="str">
        <f>IF('Course 4'!$H195='tab4'!C$3,'Course 4'!$I195," ")</f>
        <v xml:space="preserve"> </v>
      </c>
      <c r="D197" s="8" t="str">
        <f>IF('Course 4'!$H195='tab4'!D$3,'Course 4'!$I195," ")</f>
        <v xml:space="preserve"> </v>
      </c>
      <c r="E197" s="8" t="str">
        <f>IF('Course 4'!$H195='tab4'!E$3,'Course 4'!$I195," ")</f>
        <v xml:space="preserve"> </v>
      </c>
      <c r="F197" s="8" t="str">
        <f>IF('Course 4'!$H195='tab4'!F$3,'Course 4'!$I195," ")</f>
        <v xml:space="preserve"> </v>
      </c>
      <c r="G197" s="8" t="str">
        <f>IF('Course 4'!$H195='tab4'!G$3,'Course 4'!$I195," ")</f>
        <v xml:space="preserve"> </v>
      </c>
      <c r="H197" s="8" t="str">
        <f>IF('Course 4'!$H195='tab4'!H$3,'Course 4'!$I195," ")</f>
        <v xml:space="preserve"> </v>
      </c>
      <c r="I197" s="8" t="str">
        <f>IF('Course 4'!$H195='tab4'!I$3,'Course 4'!$I195," ")</f>
        <v xml:space="preserve"> </v>
      </c>
      <c r="J197" s="8" t="str">
        <f>IF('Course 4'!$H195='tab4'!J$3,'Course 4'!$I195," ")</f>
        <v xml:space="preserve"> </v>
      </c>
      <c r="K197" s="8" t="str">
        <f>IF('Course 4'!$H195='tab4'!K$3,'Course 4'!$I195," ")</f>
        <v xml:space="preserve"> </v>
      </c>
      <c r="L197" s="8" t="str">
        <f>IF('Course 4'!$H195='tab4'!L$3,'Course 4'!$I195," ")</f>
        <v xml:space="preserve"> </v>
      </c>
      <c r="M197" s="8" t="str">
        <f>IF('Course 4'!$H195='tab4'!M$3,'Course 4'!$I195," ")</f>
        <v xml:space="preserve"> </v>
      </c>
      <c r="N197" s="9" t="str">
        <f>IF('Course 4'!$H195='tab4'!N$3,'Course 4'!$I195," ")</f>
        <v xml:space="preserve"> </v>
      </c>
    </row>
    <row r="198" spans="2:14">
      <c r="B198">
        <v>194</v>
      </c>
      <c r="C198" s="7" t="str">
        <f>IF('Course 4'!$H196='tab4'!C$3,'Course 4'!$I196," ")</f>
        <v xml:space="preserve"> </v>
      </c>
      <c r="D198" s="8" t="str">
        <f>IF('Course 4'!$H196='tab4'!D$3,'Course 4'!$I196," ")</f>
        <v xml:space="preserve"> </v>
      </c>
      <c r="E198" s="8" t="str">
        <f>IF('Course 4'!$H196='tab4'!E$3,'Course 4'!$I196," ")</f>
        <v xml:space="preserve"> </v>
      </c>
      <c r="F198" s="8" t="str">
        <f>IF('Course 4'!$H196='tab4'!F$3,'Course 4'!$I196," ")</f>
        <v xml:space="preserve"> </v>
      </c>
      <c r="G198" s="8" t="str">
        <f>IF('Course 4'!$H196='tab4'!G$3,'Course 4'!$I196," ")</f>
        <v xml:space="preserve"> </v>
      </c>
      <c r="H198" s="8" t="str">
        <f>IF('Course 4'!$H196='tab4'!H$3,'Course 4'!$I196," ")</f>
        <v xml:space="preserve"> </v>
      </c>
      <c r="I198" s="8" t="str">
        <f>IF('Course 4'!$H196='tab4'!I$3,'Course 4'!$I196," ")</f>
        <v xml:space="preserve"> </v>
      </c>
      <c r="J198" s="8" t="str">
        <f>IF('Course 4'!$H196='tab4'!J$3,'Course 4'!$I196," ")</f>
        <v xml:space="preserve"> </v>
      </c>
      <c r="K198" s="8" t="str">
        <f>IF('Course 4'!$H196='tab4'!K$3,'Course 4'!$I196," ")</f>
        <v xml:space="preserve"> </v>
      </c>
      <c r="L198" s="8" t="str">
        <f>IF('Course 4'!$H196='tab4'!L$3,'Course 4'!$I196," ")</f>
        <v xml:space="preserve"> </v>
      </c>
      <c r="M198" s="8" t="str">
        <f>IF('Course 4'!$H196='tab4'!M$3,'Course 4'!$I196," ")</f>
        <v xml:space="preserve"> </v>
      </c>
      <c r="N198" s="9" t="str">
        <f>IF('Course 4'!$H196='tab4'!N$3,'Course 4'!$I196," ")</f>
        <v xml:space="preserve"> </v>
      </c>
    </row>
    <row r="199" spans="2:14">
      <c r="B199">
        <v>195</v>
      </c>
      <c r="C199" s="7" t="str">
        <f>IF('Course 4'!$H197='tab4'!C$3,'Course 4'!$I197," ")</f>
        <v xml:space="preserve"> </v>
      </c>
      <c r="D199" s="8" t="str">
        <f>IF('Course 4'!$H197='tab4'!D$3,'Course 4'!$I197," ")</f>
        <v xml:space="preserve"> </v>
      </c>
      <c r="E199" s="8" t="str">
        <f>IF('Course 4'!$H197='tab4'!E$3,'Course 4'!$I197," ")</f>
        <v xml:space="preserve"> </v>
      </c>
      <c r="F199" s="8" t="str">
        <f>IF('Course 4'!$H197='tab4'!F$3,'Course 4'!$I197," ")</f>
        <v xml:space="preserve"> </v>
      </c>
      <c r="G199" s="8" t="str">
        <f>IF('Course 4'!$H197='tab4'!G$3,'Course 4'!$I197," ")</f>
        <v xml:space="preserve"> </v>
      </c>
      <c r="H199" s="8" t="str">
        <f>IF('Course 4'!$H197='tab4'!H$3,'Course 4'!$I197," ")</f>
        <v xml:space="preserve"> </v>
      </c>
      <c r="I199" s="8" t="str">
        <f>IF('Course 4'!$H197='tab4'!I$3,'Course 4'!$I197," ")</f>
        <v xml:space="preserve"> </v>
      </c>
      <c r="J199" s="8" t="str">
        <f>IF('Course 4'!$H197='tab4'!J$3,'Course 4'!$I197," ")</f>
        <v xml:space="preserve"> </v>
      </c>
      <c r="K199" s="8" t="str">
        <f>IF('Course 4'!$H197='tab4'!K$3,'Course 4'!$I197," ")</f>
        <v xml:space="preserve"> </v>
      </c>
      <c r="L199" s="8" t="str">
        <f>IF('Course 4'!$H197='tab4'!L$3,'Course 4'!$I197," ")</f>
        <v xml:space="preserve"> </v>
      </c>
      <c r="M199" s="8" t="str">
        <f>IF('Course 4'!$H197='tab4'!M$3,'Course 4'!$I197," ")</f>
        <v xml:space="preserve"> </v>
      </c>
      <c r="N199" s="9" t="str">
        <f>IF('Course 4'!$H197='tab4'!N$3,'Course 4'!$I197," ")</f>
        <v xml:space="preserve"> </v>
      </c>
    </row>
    <row r="200" spans="2:14">
      <c r="B200">
        <v>196</v>
      </c>
      <c r="C200" s="7" t="str">
        <f>IF('Course 4'!$H198='tab4'!C$3,'Course 4'!$I198," ")</f>
        <v xml:space="preserve"> </v>
      </c>
      <c r="D200" s="8" t="str">
        <f>IF('Course 4'!$H198='tab4'!D$3,'Course 4'!$I198," ")</f>
        <v xml:space="preserve"> </v>
      </c>
      <c r="E200" s="8" t="str">
        <f>IF('Course 4'!$H198='tab4'!E$3,'Course 4'!$I198," ")</f>
        <v xml:space="preserve"> </v>
      </c>
      <c r="F200" s="8" t="str">
        <f>IF('Course 4'!$H198='tab4'!F$3,'Course 4'!$I198," ")</f>
        <v xml:space="preserve"> </v>
      </c>
      <c r="G200" s="8" t="str">
        <f>IF('Course 4'!$H198='tab4'!G$3,'Course 4'!$I198," ")</f>
        <v xml:space="preserve"> </v>
      </c>
      <c r="H200" s="8" t="str">
        <f>IF('Course 4'!$H198='tab4'!H$3,'Course 4'!$I198," ")</f>
        <v xml:space="preserve"> </v>
      </c>
      <c r="I200" s="8" t="str">
        <f>IF('Course 4'!$H198='tab4'!I$3,'Course 4'!$I198," ")</f>
        <v xml:space="preserve"> </v>
      </c>
      <c r="J200" s="8" t="str">
        <f>IF('Course 4'!$H198='tab4'!J$3,'Course 4'!$I198," ")</f>
        <v xml:space="preserve"> </v>
      </c>
      <c r="K200" s="8" t="str">
        <f>IF('Course 4'!$H198='tab4'!K$3,'Course 4'!$I198," ")</f>
        <v xml:space="preserve"> </v>
      </c>
      <c r="L200" s="8" t="str">
        <f>IF('Course 4'!$H198='tab4'!L$3,'Course 4'!$I198," ")</f>
        <v xml:space="preserve"> </v>
      </c>
      <c r="M200" s="8" t="str">
        <f>IF('Course 4'!$H198='tab4'!M$3,'Course 4'!$I198," ")</f>
        <v xml:space="preserve"> </v>
      </c>
      <c r="N200" s="9" t="str">
        <f>IF('Course 4'!$H198='tab4'!N$3,'Course 4'!$I198," ")</f>
        <v xml:space="preserve"> </v>
      </c>
    </row>
    <row r="201" spans="2:14">
      <c r="B201">
        <v>197</v>
      </c>
      <c r="C201" s="7" t="str">
        <f>IF('Course 4'!$H199='tab4'!C$3,'Course 4'!$I199," ")</f>
        <v xml:space="preserve"> </v>
      </c>
      <c r="D201" s="8" t="str">
        <f>IF('Course 4'!$H199='tab4'!D$3,'Course 4'!$I199," ")</f>
        <v xml:space="preserve"> </v>
      </c>
      <c r="E201" s="8" t="str">
        <f>IF('Course 4'!$H199='tab4'!E$3,'Course 4'!$I199," ")</f>
        <v xml:space="preserve"> </v>
      </c>
      <c r="F201" s="8" t="str">
        <f>IF('Course 4'!$H199='tab4'!F$3,'Course 4'!$I199," ")</f>
        <v xml:space="preserve"> </v>
      </c>
      <c r="G201" s="8" t="str">
        <f>IF('Course 4'!$H199='tab4'!G$3,'Course 4'!$I199," ")</f>
        <v xml:space="preserve"> </v>
      </c>
      <c r="H201" s="8" t="str">
        <f>IF('Course 4'!$H199='tab4'!H$3,'Course 4'!$I199," ")</f>
        <v xml:space="preserve"> </v>
      </c>
      <c r="I201" s="8" t="str">
        <f>IF('Course 4'!$H199='tab4'!I$3,'Course 4'!$I199," ")</f>
        <v xml:space="preserve"> </v>
      </c>
      <c r="J201" s="8" t="str">
        <f>IF('Course 4'!$H199='tab4'!J$3,'Course 4'!$I199," ")</f>
        <v xml:space="preserve"> </v>
      </c>
      <c r="K201" s="8" t="str">
        <f>IF('Course 4'!$H199='tab4'!K$3,'Course 4'!$I199," ")</f>
        <v xml:space="preserve"> </v>
      </c>
      <c r="L201" s="8" t="str">
        <f>IF('Course 4'!$H199='tab4'!L$3,'Course 4'!$I199," ")</f>
        <v xml:space="preserve"> </v>
      </c>
      <c r="M201" s="8" t="str">
        <f>IF('Course 4'!$H199='tab4'!M$3,'Course 4'!$I199," ")</f>
        <v xml:space="preserve"> </v>
      </c>
      <c r="N201" s="9" t="str">
        <f>IF('Course 4'!$H199='tab4'!N$3,'Course 4'!$I199," ")</f>
        <v xml:space="preserve"> </v>
      </c>
    </row>
    <row r="202" spans="2:14">
      <c r="B202">
        <v>198</v>
      </c>
      <c r="C202" s="7" t="str">
        <f>IF('Course 4'!$H200='tab4'!C$3,'Course 4'!$I200," ")</f>
        <v xml:space="preserve"> </v>
      </c>
      <c r="D202" s="8" t="str">
        <f>IF('Course 4'!$H200='tab4'!D$3,'Course 4'!$I200," ")</f>
        <v xml:space="preserve"> </v>
      </c>
      <c r="E202" s="8" t="str">
        <f>IF('Course 4'!$H200='tab4'!E$3,'Course 4'!$I200," ")</f>
        <v xml:space="preserve"> </v>
      </c>
      <c r="F202" s="8" t="str">
        <f>IF('Course 4'!$H200='tab4'!F$3,'Course 4'!$I200," ")</f>
        <v xml:space="preserve"> </v>
      </c>
      <c r="G202" s="8" t="str">
        <f>IF('Course 4'!$H200='tab4'!G$3,'Course 4'!$I200," ")</f>
        <v xml:space="preserve"> </v>
      </c>
      <c r="H202" s="8" t="str">
        <f>IF('Course 4'!$H200='tab4'!H$3,'Course 4'!$I200," ")</f>
        <v xml:space="preserve"> </v>
      </c>
      <c r="I202" s="8" t="str">
        <f>IF('Course 4'!$H200='tab4'!I$3,'Course 4'!$I200," ")</f>
        <v xml:space="preserve"> </v>
      </c>
      <c r="J202" s="8" t="str">
        <f>IF('Course 4'!$H200='tab4'!J$3,'Course 4'!$I200," ")</f>
        <v xml:space="preserve"> </v>
      </c>
      <c r="K202" s="8" t="str">
        <f>IF('Course 4'!$H200='tab4'!K$3,'Course 4'!$I200," ")</f>
        <v xml:space="preserve"> </v>
      </c>
      <c r="L202" s="8" t="str">
        <f>IF('Course 4'!$H200='tab4'!L$3,'Course 4'!$I200," ")</f>
        <v xml:space="preserve"> </v>
      </c>
      <c r="M202" s="8" t="str">
        <f>IF('Course 4'!$H200='tab4'!M$3,'Course 4'!$I200," ")</f>
        <v xml:space="preserve"> </v>
      </c>
      <c r="N202" s="9" t="str">
        <f>IF('Course 4'!$H200='tab4'!N$3,'Course 4'!$I200," ")</f>
        <v xml:space="preserve"> </v>
      </c>
    </row>
    <row r="203" spans="2:14">
      <c r="B203">
        <v>199</v>
      </c>
      <c r="C203" s="7" t="str">
        <f>IF('Course 4'!$H201='tab4'!C$3,'Course 4'!$I201," ")</f>
        <v xml:space="preserve"> </v>
      </c>
      <c r="D203" s="8" t="str">
        <f>IF('Course 4'!$H201='tab4'!D$3,'Course 4'!$I201," ")</f>
        <v xml:space="preserve"> </v>
      </c>
      <c r="E203" s="8" t="str">
        <f>IF('Course 4'!$H201='tab4'!E$3,'Course 4'!$I201," ")</f>
        <v xml:space="preserve"> </v>
      </c>
      <c r="F203" s="8" t="str">
        <f>IF('Course 4'!$H201='tab4'!F$3,'Course 4'!$I201," ")</f>
        <v xml:space="preserve"> </v>
      </c>
      <c r="G203" s="8" t="str">
        <f>IF('Course 4'!$H201='tab4'!G$3,'Course 4'!$I201," ")</f>
        <v xml:space="preserve"> </v>
      </c>
      <c r="H203" s="8" t="str">
        <f>IF('Course 4'!$H201='tab4'!H$3,'Course 4'!$I201," ")</f>
        <v xml:space="preserve"> </v>
      </c>
      <c r="I203" s="8" t="str">
        <f>IF('Course 4'!$H201='tab4'!I$3,'Course 4'!$I201," ")</f>
        <v xml:space="preserve"> </v>
      </c>
      <c r="J203" s="8" t="str">
        <f>IF('Course 4'!$H201='tab4'!J$3,'Course 4'!$I201," ")</f>
        <v xml:space="preserve"> </v>
      </c>
      <c r="K203" s="8" t="str">
        <f>IF('Course 4'!$H201='tab4'!K$3,'Course 4'!$I201," ")</f>
        <v xml:space="preserve"> </v>
      </c>
      <c r="L203" s="8" t="str">
        <f>IF('Course 4'!$H201='tab4'!L$3,'Course 4'!$I201," ")</f>
        <v xml:space="preserve"> </v>
      </c>
      <c r="M203" s="8" t="str">
        <f>IF('Course 4'!$H201='tab4'!M$3,'Course 4'!$I201," ")</f>
        <v xml:space="preserve"> </v>
      </c>
      <c r="N203" s="9" t="str">
        <f>IF('Course 4'!$H201='tab4'!N$3,'Course 4'!$I201," ")</f>
        <v xml:space="preserve"> </v>
      </c>
    </row>
    <row r="204" spans="2:14">
      <c r="B204">
        <v>200</v>
      </c>
      <c r="C204" s="7" t="str">
        <f>IF('Course 4'!$H202='tab4'!C$3,'Course 4'!$I202," ")</f>
        <v xml:space="preserve"> </v>
      </c>
      <c r="D204" s="8" t="str">
        <f>IF('Course 4'!$H202='tab4'!D$3,'Course 4'!$I202," ")</f>
        <v xml:space="preserve"> </v>
      </c>
      <c r="E204" s="8" t="str">
        <f>IF('Course 4'!$H202='tab4'!E$3,'Course 4'!$I202," ")</f>
        <v xml:space="preserve"> </v>
      </c>
      <c r="F204" s="8" t="str">
        <f>IF('Course 4'!$H202='tab4'!F$3,'Course 4'!$I202," ")</f>
        <v xml:space="preserve"> </v>
      </c>
      <c r="G204" s="8" t="str">
        <f>IF('Course 4'!$H202='tab4'!G$3,'Course 4'!$I202," ")</f>
        <v xml:space="preserve"> </v>
      </c>
      <c r="H204" s="8" t="str">
        <f>IF('Course 4'!$H202='tab4'!H$3,'Course 4'!$I202," ")</f>
        <v xml:space="preserve"> </v>
      </c>
      <c r="I204" s="8" t="str">
        <f>IF('Course 4'!$H202='tab4'!I$3,'Course 4'!$I202," ")</f>
        <v xml:space="preserve"> </v>
      </c>
      <c r="J204" s="8" t="str">
        <f>IF('Course 4'!$H202='tab4'!J$3,'Course 4'!$I202," ")</f>
        <v xml:space="preserve"> </v>
      </c>
      <c r="K204" s="8" t="str">
        <f>IF('Course 4'!$H202='tab4'!K$3,'Course 4'!$I202," ")</f>
        <v xml:space="preserve"> </v>
      </c>
      <c r="L204" s="8" t="str">
        <f>IF('Course 4'!$H202='tab4'!L$3,'Course 4'!$I202," ")</f>
        <v xml:space="preserve"> </v>
      </c>
      <c r="M204" s="8" t="str">
        <f>IF('Course 4'!$H202='tab4'!M$3,'Course 4'!$I202," ")</f>
        <v xml:space="preserve"> </v>
      </c>
      <c r="N204" s="9" t="str">
        <f>IF('Course 4'!$H202='tab4'!N$3,'Course 4'!$I202," ")</f>
        <v xml:space="preserve"> </v>
      </c>
    </row>
    <row r="205" spans="2:14">
      <c r="B205">
        <v>201</v>
      </c>
      <c r="C205" s="7" t="str">
        <f>IF('Course 4'!$H203='tab4'!C$3,'Course 4'!$I203," ")</f>
        <v xml:space="preserve"> </v>
      </c>
      <c r="D205" s="8" t="str">
        <f>IF('Course 4'!$H203='tab4'!D$3,'Course 4'!$I203," ")</f>
        <v xml:space="preserve"> </v>
      </c>
      <c r="E205" s="8" t="str">
        <f>IF('Course 4'!$H203='tab4'!E$3,'Course 4'!$I203," ")</f>
        <v xml:space="preserve"> </v>
      </c>
      <c r="F205" s="8" t="str">
        <f>IF('Course 4'!$H203='tab4'!F$3,'Course 4'!$I203," ")</f>
        <v xml:space="preserve"> </v>
      </c>
      <c r="G205" s="8" t="str">
        <f>IF('Course 4'!$H203='tab4'!G$3,'Course 4'!$I203," ")</f>
        <v xml:space="preserve"> </v>
      </c>
      <c r="H205" s="8" t="str">
        <f>IF('Course 4'!$H203='tab4'!H$3,'Course 4'!$I203," ")</f>
        <v xml:space="preserve"> </v>
      </c>
      <c r="I205" s="8" t="str">
        <f>IF('Course 4'!$H203='tab4'!I$3,'Course 4'!$I203," ")</f>
        <v xml:space="preserve"> </v>
      </c>
      <c r="J205" s="8" t="str">
        <f>IF('Course 4'!$H203='tab4'!J$3,'Course 4'!$I203," ")</f>
        <v xml:space="preserve"> </v>
      </c>
      <c r="K205" s="8" t="str">
        <f>IF('Course 4'!$H203='tab4'!K$3,'Course 4'!$I203," ")</f>
        <v xml:space="preserve"> </v>
      </c>
      <c r="L205" s="8" t="str">
        <f>IF('Course 4'!$H203='tab4'!L$3,'Course 4'!$I203," ")</f>
        <v xml:space="preserve"> </v>
      </c>
      <c r="M205" s="8" t="str">
        <f>IF('Course 4'!$H203='tab4'!M$3,'Course 4'!$I203," ")</f>
        <v xml:space="preserve"> </v>
      </c>
      <c r="N205" s="9" t="str">
        <f>IF('Course 4'!$H203='tab4'!N$3,'Course 4'!$I203," ")</f>
        <v xml:space="preserve"> </v>
      </c>
    </row>
    <row r="206" spans="2:14">
      <c r="B206">
        <v>202</v>
      </c>
      <c r="C206" s="7" t="str">
        <f>IF('Course 4'!$H204='tab4'!C$3,'Course 4'!$I204," ")</f>
        <v xml:space="preserve"> </v>
      </c>
      <c r="D206" s="8" t="str">
        <f>IF('Course 4'!$H204='tab4'!D$3,'Course 4'!$I204," ")</f>
        <v xml:space="preserve"> </v>
      </c>
      <c r="E206" s="8" t="str">
        <f>IF('Course 4'!$H204='tab4'!E$3,'Course 4'!$I204," ")</f>
        <v xml:space="preserve"> </v>
      </c>
      <c r="F206" s="8" t="str">
        <f>IF('Course 4'!$H204='tab4'!F$3,'Course 4'!$I204," ")</f>
        <v xml:space="preserve"> </v>
      </c>
      <c r="G206" s="8" t="str">
        <f>IF('Course 4'!$H204='tab4'!G$3,'Course 4'!$I204," ")</f>
        <v xml:space="preserve"> </v>
      </c>
      <c r="H206" s="8" t="str">
        <f>IF('Course 4'!$H204='tab4'!H$3,'Course 4'!$I204," ")</f>
        <v xml:space="preserve"> </v>
      </c>
      <c r="I206" s="8" t="str">
        <f>IF('Course 4'!$H204='tab4'!I$3,'Course 4'!$I204," ")</f>
        <v xml:space="preserve"> </v>
      </c>
      <c r="J206" s="8" t="str">
        <f>IF('Course 4'!$H204='tab4'!J$3,'Course 4'!$I204," ")</f>
        <v xml:space="preserve"> </v>
      </c>
      <c r="K206" s="8" t="str">
        <f>IF('Course 4'!$H204='tab4'!K$3,'Course 4'!$I204," ")</f>
        <v xml:space="preserve"> </v>
      </c>
      <c r="L206" s="8" t="str">
        <f>IF('Course 4'!$H204='tab4'!L$3,'Course 4'!$I204," ")</f>
        <v xml:space="preserve"> </v>
      </c>
      <c r="M206" s="8" t="str">
        <f>IF('Course 4'!$H204='tab4'!M$3,'Course 4'!$I204," ")</f>
        <v xml:space="preserve"> </v>
      </c>
      <c r="N206" s="9" t="str">
        <f>IF('Course 4'!$H204='tab4'!N$3,'Course 4'!$I204," ")</f>
        <v xml:space="preserve"> </v>
      </c>
    </row>
    <row r="207" spans="2:14">
      <c r="B207">
        <v>203</v>
      </c>
      <c r="C207" s="7" t="str">
        <f>IF('Course 4'!$H205='tab4'!C$3,'Course 4'!$I205," ")</f>
        <v xml:space="preserve"> </v>
      </c>
      <c r="D207" s="8" t="str">
        <f>IF('Course 4'!$H205='tab4'!D$3,'Course 4'!$I205," ")</f>
        <v xml:space="preserve"> </v>
      </c>
      <c r="E207" s="8" t="str">
        <f>IF('Course 4'!$H205='tab4'!E$3,'Course 4'!$I205," ")</f>
        <v xml:space="preserve"> </v>
      </c>
      <c r="F207" s="8" t="str">
        <f>IF('Course 4'!$H205='tab4'!F$3,'Course 4'!$I205," ")</f>
        <v xml:space="preserve"> </v>
      </c>
      <c r="G207" s="8" t="str">
        <f>IF('Course 4'!$H205='tab4'!G$3,'Course 4'!$I205," ")</f>
        <v xml:space="preserve"> </v>
      </c>
      <c r="H207" s="8" t="str">
        <f>IF('Course 4'!$H205='tab4'!H$3,'Course 4'!$I205," ")</f>
        <v xml:space="preserve"> </v>
      </c>
      <c r="I207" s="8" t="str">
        <f>IF('Course 4'!$H205='tab4'!I$3,'Course 4'!$I205," ")</f>
        <v xml:space="preserve"> </v>
      </c>
      <c r="J207" s="8" t="str">
        <f>IF('Course 4'!$H205='tab4'!J$3,'Course 4'!$I205," ")</f>
        <v xml:space="preserve"> </v>
      </c>
      <c r="K207" s="8" t="str">
        <f>IF('Course 4'!$H205='tab4'!K$3,'Course 4'!$I205," ")</f>
        <v xml:space="preserve"> </v>
      </c>
      <c r="L207" s="8" t="str">
        <f>IF('Course 4'!$H205='tab4'!L$3,'Course 4'!$I205," ")</f>
        <v xml:space="preserve"> </v>
      </c>
      <c r="M207" s="8" t="str">
        <f>IF('Course 4'!$H205='tab4'!M$3,'Course 4'!$I205," ")</f>
        <v xml:space="preserve"> </v>
      </c>
      <c r="N207" s="9" t="str">
        <f>IF('Course 4'!$H205='tab4'!N$3,'Course 4'!$I205," ")</f>
        <v xml:space="preserve"> </v>
      </c>
    </row>
    <row r="208" spans="2:14">
      <c r="B208">
        <v>204</v>
      </c>
      <c r="C208" s="7" t="str">
        <f>IF('Course 4'!$H206='tab4'!C$3,'Course 4'!$I206," ")</f>
        <v xml:space="preserve"> </v>
      </c>
      <c r="D208" s="8" t="str">
        <f>IF('Course 4'!$H206='tab4'!D$3,'Course 4'!$I206," ")</f>
        <v xml:space="preserve"> </v>
      </c>
      <c r="E208" s="8" t="str">
        <f>IF('Course 4'!$H206='tab4'!E$3,'Course 4'!$I206," ")</f>
        <v xml:space="preserve"> </v>
      </c>
      <c r="F208" s="8" t="str">
        <f>IF('Course 4'!$H206='tab4'!F$3,'Course 4'!$I206," ")</f>
        <v xml:space="preserve"> </v>
      </c>
      <c r="G208" s="8" t="str">
        <f>IF('Course 4'!$H206='tab4'!G$3,'Course 4'!$I206," ")</f>
        <v xml:space="preserve"> </v>
      </c>
      <c r="H208" s="8" t="str">
        <f>IF('Course 4'!$H206='tab4'!H$3,'Course 4'!$I206," ")</f>
        <v xml:space="preserve"> </v>
      </c>
      <c r="I208" s="8" t="str">
        <f>IF('Course 4'!$H206='tab4'!I$3,'Course 4'!$I206," ")</f>
        <v xml:space="preserve"> </v>
      </c>
      <c r="J208" s="8" t="str">
        <f>IF('Course 4'!$H206='tab4'!J$3,'Course 4'!$I206," ")</f>
        <v xml:space="preserve"> </v>
      </c>
      <c r="K208" s="8" t="str">
        <f>IF('Course 4'!$H206='tab4'!K$3,'Course 4'!$I206," ")</f>
        <v xml:space="preserve"> </v>
      </c>
      <c r="L208" s="8" t="str">
        <f>IF('Course 4'!$H206='tab4'!L$3,'Course 4'!$I206," ")</f>
        <v xml:space="preserve"> </v>
      </c>
      <c r="M208" s="8" t="str">
        <f>IF('Course 4'!$H206='tab4'!M$3,'Course 4'!$I206," ")</f>
        <v xml:space="preserve"> </v>
      </c>
      <c r="N208" s="9" t="str">
        <f>IF('Course 4'!$H206='tab4'!N$3,'Course 4'!$I206," ")</f>
        <v xml:space="preserve"> </v>
      </c>
    </row>
    <row r="209" spans="2:14">
      <c r="B209">
        <v>205</v>
      </c>
      <c r="C209" s="7" t="str">
        <f>IF('Course 4'!$H207='tab4'!C$3,'Course 4'!$I207," ")</f>
        <v xml:space="preserve"> </v>
      </c>
      <c r="D209" s="8" t="str">
        <f>IF('Course 4'!$H207='tab4'!D$3,'Course 4'!$I207," ")</f>
        <v xml:space="preserve"> </v>
      </c>
      <c r="E209" s="8" t="str">
        <f>IF('Course 4'!$H207='tab4'!E$3,'Course 4'!$I207," ")</f>
        <v xml:space="preserve"> </v>
      </c>
      <c r="F209" s="8" t="str">
        <f>IF('Course 4'!$H207='tab4'!F$3,'Course 4'!$I207," ")</f>
        <v xml:space="preserve"> </v>
      </c>
      <c r="G209" s="8" t="str">
        <f>IF('Course 4'!$H207='tab4'!G$3,'Course 4'!$I207," ")</f>
        <v xml:space="preserve"> </v>
      </c>
      <c r="H209" s="8" t="str">
        <f>IF('Course 4'!$H207='tab4'!H$3,'Course 4'!$I207," ")</f>
        <v xml:space="preserve"> </v>
      </c>
      <c r="I209" s="8" t="str">
        <f>IF('Course 4'!$H207='tab4'!I$3,'Course 4'!$I207," ")</f>
        <v xml:space="preserve"> </v>
      </c>
      <c r="J209" s="8" t="str">
        <f>IF('Course 4'!$H207='tab4'!J$3,'Course 4'!$I207," ")</f>
        <v xml:space="preserve"> </v>
      </c>
      <c r="K209" s="8" t="str">
        <f>IF('Course 4'!$H207='tab4'!K$3,'Course 4'!$I207," ")</f>
        <v xml:space="preserve"> </v>
      </c>
      <c r="L209" s="8" t="str">
        <f>IF('Course 4'!$H207='tab4'!L$3,'Course 4'!$I207," ")</f>
        <v xml:space="preserve"> </v>
      </c>
      <c r="M209" s="8" t="str">
        <f>IF('Course 4'!$H207='tab4'!M$3,'Course 4'!$I207," ")</f>
        <v xml:space="preserve"> </v>
      </c>
      <c r="N209" s="9" t="str">
        <f>IF('Course 4'!$H207='tab4'!N$3,'Course 4'!$I207," ")</f>
        <v xml:space="preserve"> </v>
      </c>
    </row>
    <row r="210" spans="2:14">
      <c r="B210">
        <v>206</v>
      </c>
      <c r="C210" s="7" t="str">
        <f>IF('Course 4'!$H208='tab4'!C$3,'Course 4'!$I208," ")</f>
        <v xml:space="preserve"> </v>
      </c>
      <c r="D210" s="8" t="str">
        <f>IF('Course 4'!$H208='tab4'!D$3,'Course 4'!$I208," ")</f>
        <v xml:space="preserve"> </v>
      </c>
      <c r="E210" s="8" t="str">
        <f>IF('Course 4'!$H208='tab4'!E$3,'Course 4'!$I208," ")</f>
        <v xml:space="preserve"> </v>
      </c>
      <c r="F210" s="8" t="str">
        <f>IF('Course 4'!$H208='tab4'!F$3,'Course 4'!$I208," ")</f>
        <v xml:space="preserve"> </v>
      </c>
      <c r="G210" s="8" t="str">
        <f>IF('Course 4'!$H208='tab4'!G$3,'Course 4'!$I208," ")</f>
        <v xml:space="preserve"> </v>
      </c>
      <c r="H210" s="8" t="str">
        <f>IF('Course 4'!$H208='tab4'!H$3,'Course 4'!$I208," ")</f>
        <v xml:space="preserve"> </v>
      </c>
      <c r="I210" s="8" t="str">
        <f>IF('Course 4'!$H208='tab4'!I$3,'Course 4'!$I208," ")</f>
        <v xml:space="preserve"> </v>
      </c>
      <c r="J210" s="8" t="str">
        <f>IF('Course 4'!$H208='tab4'!J$3,'Course 4'!$I208," ")</f>
        <v xml:space="preserve"> </v>
      </c>
      <c r="K210" s="8" t="str">
        <f>IF('Course 4'!$H208='tab4'!K$3,'Course 4'!$I208," ")</f>
        <v xml:space="preserve"> </v>
      </c>
      <c r="L210" s="8" t="str">
        <f>IF('Course 4'!$H208='tab4'!L$3,'Course 4'!$I208," ")</f>
        <v xml:space="preserve"> </v>
      </c>
      <c r="M210" s="8" t="str">
        <f>IF('Course 4'!$H208='tab4'!M$3,'Course 4'!$I208," ")</f>
        <v xml:space="preserve"> </v>
      </c>
      <c r="N210" s="9" t="str">
        <f>IF('Course 4'!$H208='tab4'!N$3,'Course 4'!$I208," ")</f>
        <v xml:space="preserve"> </v>
      </c>
    </row>
    <row r="211" spans="2:14">
      <c r="B211">
        <v>207</v>
      </c>
      <c r="C211" s="7" t="str">
        <f>IF('Course 4'!$H209='tab4'!C$3,'Course 4'!$I209," ")</f>
        <v xml:space="preserve"> </v>
      </c>
      <c r="D211" s="8" t="str">
        <f>IF('Course 4'!$H209='tab4'!D$3,'Course 4'!$I209," ")</f>
        <v xml:space="preserve"> </v>
      </c>
      <c r="E211" s="8" t="str">
        <f>IF('Course 4'!$H209='tab4'!E$3,'Course 4'!$I209," ")</f>
        <v xml:space="preserve"> </v>
      </c>
      <c r="F211" s="8" t="str">
        <f>IF('Course 4'!$H209='tab4'!F$3,'Course 4'!$I209," ")</f>
        <v xml:space="preserve"> </v>
      </c>
      <c r="G211" s="8" t="str">
        <f>IF('Course 4'!$H209='tab4'!G$3,'Course 4'!$I209," ")</f>
        <v xml:space="preserve"> </v>
      </c>
      <c r="H211" s="8" t="str">
        <f>IF('Course 4'!$H209='tab4'!H$3,'Course 4'!$I209," ")</f>
        <v xml:space="preserve"> </v>
      </c>
      <c r="I211" s="8" t="str">
        <f>IF('Course 4'!$H209='tab4'!I$3,'Course 4'!$I209," ")</f>
        <v xml:space="preserve"> </v>
      </c>
      <c r="J211" s="8" t="str">
        <f>IF('Course 4'!$H209='tab4'!J$3,'Course 4'!$I209," ")</f>
        <v xml:space="preserve"> </v>
      </c>
      <c r="K211" s="8" t="str">
        <f>IF('Course 4'!$H209='tab4'!K$3,'Course 4'!$I209," ")</f>
        <v xml:space="preserve"> </v>
      </c>
      <c r="L211" s="8" t="str">
        <f>IF('Course 4'!$H209='tab4'!L$3,'Course 4'!$I209," ")</f>
        <v xml:space="preserve"> </v>
      </c>
      <c r="M211" s="8" t="str">
        <f>IF('Course 4'!$H209='tab4'!M$3,'Course 4'!$I209," ")</f>
        <v xml:space="preserve"> </v>
      </c>
      <c r="N211" s="9" t="str">
        <f>IF('Course 4'!$H209='tab4'!N$3,'Course 4'!$I209," ")</f>
        <v xml:space="preserve"> </v>
      </c>
    </row>
    <row r="212" spans="2:14">
      <c r="B212">
        <v>208</v>
      </c>
      <c r="C212" s="7" t="str">
        <f>IF('Course 4'!$H210='tab4'!C$3,'Course 4'!$I210," ")</f>
        <v xml:space="preserve"> </v>
      </c>
      <c r="D212" s="8" t="str">
        <f>IF('Course 4'!$H210='tab4'!D$3,'Course 4'!$I210," ")</f>
        <v xml:space="preserve"> </v>
      </c>
      <c r="E212" s="8" t="str">
        <f>IF('Course 4'!$H210='tab4'!E$3,'Course 4'!$I210," ")</f>
        <v xml:space="preserve"> </v>
      </c>
      <c r="F212" s="8" t="str">
        <f>IF('Course 4'!$H210='tab4'!F$3,'Course 4'!$I210," ")</f>
        <v xml:space="preserve"> </v>
      </c>
      <c r="G212" s="8" t="str">
        <f>IF('Course 4'!$H210='tab4'!G$3,'Course 4'!$I210," ")</f>
        <v xml:space="preserve"> </v>
      </c>
      <c r="H212" s="8" t="str">
        <f>IF('Course 4'!$H210='tab4'!H$3,'Course 4'!$I210," ")</f>
        <v xml:space="preserve"> </v>
      </c>
      <c r="I212" s="8" t="str">
        <f>IF('Course 4'!$H210='tab4'!I$3,'Course 4'!$I210," ")</f>
        <v xml:space="preserve"> </v>
      </c>
      <c r="J212" s="8" t="str">
        <f>IF('Course 4'!$H210='tab4'!J$3,'Course 4'!$I210," ")</f>
        <v xml:space="preserve"> </v>
      </c>
      <c r="K212" s="8" t="str">
        <f>IF('Course 4'!$H210='tab4'!K$3,'Course 4'!$I210," ")</f>
        <v xml:space="preserve"> </v>
      </c>
      <c r="L212" s="8" t="str">
        <f>IF('Course 4'!$H210='tab4'!L$3,'Course 4'!$I210," ")</f>
        <v xml:space="preserve"> </v>
      </c>
      <c r="M212" s="8" t="str">
        <f>IF('Course 4'!$H210='tab4'!M$3,'Course 4'!$I210," ")</f>
        <v xml:space="preserve"> </v>
      </c>
      <c r="N212" s="9" t="str">
        <f>IF('Course 4'!$H210='tab4'!N$3,'Course 4'!$I210," ")</f>
        <v xml:space="preserve"> </v>
      </c>
    </row>
    <row r="213" spans="2:14">
      <c r="B213">
        <v>209</v>
      </c>
      <c r="C213" s="7" t="str">
        <f>IF('Course 4'!$H211='tab4'!C$3,'Course 4'!$I211," ")</f>
        <v xml:space="preserve"> </v>
      </c>
      <c r="D213" s="8" t="str">
        <f>IF('Course 4'!$H211='tab4'!D$3,'Course 4'!$I211," ")</f>
        <v xml:space="preserve"> </v>
      </c>
      <c r="E213" s="8" t="str">
        <f>IF('Course 4'!$H211='tab4'!E$3,'Course 4'!$I211," ")</f>
        <v xml:space="preserve"> </v>
      </c>
      <c r="F213" s="8" t="str">
        <f>IF('Course 4'!$H211='tab4'!F$3,'Course 4'!$I211," ")</f>
        <v xml:space="preserve"> </v>
      </c>
      <c r="G213" s="8" t="str">
        <f>IF('Course 4'!$H211='tab4'!G$3,'Course 4'!$I211," ")</f>
        <v xml:space="preserve"> </v>
      </c>
      <c r="H213" s="8" t="str">
        <f>IF('Course 4'!$H211='tab4'!H$3,'Course 4'!$I211," ")</f>
        <v xml:space="preserve"> </v>
      </c>
      <c r="I213" s="8" t="str">
        <f>IF('Course 4'!$H211='tab4'!I$3,'Course 4'!$I211," ")</f>
        <v xml:space="preserve"> </v>
      </c>
      <c r="J213" s="8" t="str">
        <f>IF('Course 4'!$H211='tab4'!J$3,'Course 4'!$I211," ")</f>
        <v xml:space="preserve"> </v>
      </c>
      <c r="K213" s="8" t="str">
        <f>IF('Course 4'!$H211='tab4'!K$3,'Course 4'!$I211," ")</f>
        <v xml:space="preserve"> </v>
      </c>
      <c r="L213" s="8" t="str">
        <f>IF('Course 4'!$H211='tab4'!L$3,'Course 4'!$I211," ")</f>
        <v xml:space="preserve"> </v>
      </c>
      <c r="M213" s="8" t="str">
        <f>IF('Course 4'!$H211='tab4'!M$3,'Course 4'!$I211," ")</f>
        <v xml:space="preserve"> </v>
      </c>
      <c r="N213" s="9" t="str">
        <f>IF('Course 4'!$H211='tab4'!N$3,'Course 4'!$I211," ")</f>
        <v xml:space="preserve"> </v>
      </c>
    </row>
    <row r="214" spans="2:14">
      <c r="B214">
        <v>210</v>
      </c>
      <c r="C214" s="7" t="str">
        <f>IF('Course 4'!$H212='tab4'!C$3,'Course 4'!$I212," ")</f>
        <v xml:space="preserve"> </v>
      </c>
      <c r="D214" s="8" t="str">
        <f>IF('Course 4'!$H212='tab4'!D$3,'Course 4'!$I212," ")</f>
        <v xml:space="preserve"> </v>
      </c>
      <c r="E214" s="8" t="str">
        <f>IF('Course 4'!$H212='tab4'!E$3,'Course 4'!$I212," ")</f>
        <v xml:space="preserve"> </v>
      </c>
      <c r="F214" s="8" t="str">
        <f>IF('Course 4'!$H212='tab4'!F$3,'Course 4'!$I212," ")</f>
        <v xml:space="preserve"> </v>
      </c>
      <c r="G214" s="8" t="str">
        <f>IF('Course 4'!$H212='tab4'!G$3,'Course 4'!$I212," ")</f>
        <v xml:space="preserve"> </v>
      </c>
      <c r="H214" s="8" t="str">
        <f>IF('Course 4'!$H212='tab4'!H$3,'Course 4'!$I212," ")</f>
        <v xml:space="preserve"> </v>
      </c>
      <c r="I214" s="8" t="str">
        <f>IF('Course 4'!$H212='tab4'!I$3,'Course 4'!$I212," ")</f>
        <v xml:space="preserve"> </v>
      </c>
      <c r="J214" s="8" t="str">
        <f>IF('Course 4'!$H212='tab4'!J$3,'Course 4'!$I212," ")</f>
        <v xml:space="preserve"> </v>
      </c>
      <c r="K214" s="8" t="str">
        <f>IF('Course 4'!$H212='tab4'!K$3,'Course 4'!$I212," ")</f>
        <v xml:space="preserve"> </v>
      </c>
      <c r="L214" s="8" t="str">
        <f>IF('Course 4'!$H212='tab4'!L$3,'Course 4'!$I212," ")</f>
        <v xml:space="preserve"> </v>
      </c>
      <c r="M214" s="8" t="str">
        <f>IF('Course 4'!$H212='tab4'!M$3,'Course 4'!$I212," ")</f>
        <v xml:space="preserve"> </v>
      </c>
      <c r="N214" s="9" t="str">
        <f>IF('Course 4'!$H212='tab4'!N$3,'Course 4'!$I212," ")</f>
        <v xml:space="preserve"> </v>
      </c>
    </row>
    <row r="215" spans="2:14">
      <c r="B215">
        <v>211</v>
      </c>
      <c r="C215" s="7" t="str">
        <f>IF('Course 4'!$H213='tab4'!C$3,'Course 4'!$I213," ")</f>
        <v xml:space="preserve"> </v>
      </c>
      <c r="D215" s="8" t="str">
        <f>IF('Course 4'!$H213='tab4'!D$3,'Course 4'!$I213," ")</f>
        <v xml:space="preserve"> </v>
      </c>
      <c r="E215" s="8" t="str">
        <f>IF('Course 4'!$H213='tab4'!E$3,'Course 4'!$I213," ")</f>
        <v xml:space="preserve"> </v>
      </c>
      <c r="F215" s="8" t="str">
        <f>IF('Course 4'!$H213='tab4'!F$3,'Course 4'!$I213," ")</f>
        <v xml:space="preserve"> </v>
      </c>
      <c r="G215" s="8" t="str">
        <f>IF('Course 4'!$H213='tab4'!G$3,'Course 4'!$I213," ")</f>
        <v xml:space="preserve"> </v>
      </c>
      <c r="H215" s="8" t="str">
        <f>IF('Course 4'!$H213='tab4'!H$3,'Course 4'!$I213," ")</f>
        <v xml:space="preserve"> </v>
      </c>
      <c r="I215" s="8" t="str">
        <f>IF('Course 4'!$H213='tab4'!I$3,'Course 4'!$I213," ")</f>
        <v xml:space="preserve"> </v>
      </c>
      <c r="J215" s="8" t="str">
        <f>IF('Course 4'!$H213='tab4'!J$3,'Course 4'!$I213," ")</f>
        <v xml:space="preserve"> </v>
      </c>
      <c r="K215" s="8" t="str">
        <f>IF('Course 4'!$H213='tab4'!K$3,'Course 4'!$I213," ")</f>
        <v xml:space="preserve"> </v>
      </c>
      <c r="L215" s="8" t="str">
        <f>IF('Course 4'!$H213='tab4'!L$3,'Course 4'!$I213," ")</f>
        <v xml:space="preserve"> </v>
      </c>
      <c r="M215" s="8" t="str">
        <f>IF('Course 4'!$H213='tab4'!M$3,'Course 4'!$I213," ")</f>
        <v xml:space="preserve"> </v>
      </c>
      <c r="N215" s="9" t="str">
        <f>IF('Course 4'!$H213='tab4'!N$3,'Course 4'!$I213," ")</f>
        <v xml:space="preserve"> </v>
      </c>
    </row>
    <row r="216" spans="2:14">
      <c r="B216">
        <v>212</v>
      </c>
      <c r="C216" s="7" t="str">
        <f>IF('Course 4'!$H214='tab4'!C$3,'Course 4'!$I214," ")</f>
        <v xml:space="preserve"> </v>
      </c>
      <c r="D216" s="8" t="str">
        <f>IF('Course 4'!$H214='tab4'!D$3,'Course 4'!$I214," ")</f>
        <v xml:space="preserve"> </v>
      </c>
      <c r="E216" s="8" t="str">
        <f>IF('Course 4'!$H214='tab4'!E$3,'Course 4'!$I214," ")</f>
        <v xml:space="preserve"> </v>
      </c>
      <c r="F216" s="8" t="str">
        <f>IF('Course 4'!$H214='tab4'!F$3,'Course 4'!$I214," ")</f>
        <v xml:space="preserve"> </v>
      </c>
      <c r="G216" s="8" t="str">
        <f>IF('Course 4'!$H214='tab4'!G$3,'Course 4'!$I214," ")</f>
        <v xml:space="preserve"> </v>
      </c>
      <c r="H216" s="8" t="str">
        <f>IF('Course 4'!$H214='tab4'!H$3,'Course 4'!$I214," ")</f>
        <v xml:space="preserve"> </v>
      </c>
      <c r="I216" s="8" t="str">
        <f>IF('Course 4'!$H214='tab4'!I$3,'Course 4'!$I214," ")</f>
        <v xml:space="preserve"> </v>
      </c>
      <c r="J216" s="8" t="str">
        <f>IF('Course 4'!$H214='tab4'!J$3,'Course 4'!$I214," ")</f>
        <v xml:space="preserve"> </v>
      </c>
      <c r="K216" s="8" t="str">
        <f>IF('Course 4'!$H214='tab4'!K$3,'Course 4'!$I214," ")</f>
        <v xml:space="preserve"> </v>
      </c>
      <c r="L216" s="8" t="str">
        <f>IF('Course 4'!$H214='tab4'!L$3,'Course 4'!$I214," ")</f>
        <v xml:space="preserve"> </v>
      </c>
      <c r="M216" s="8" t="str">
        <f>IF('Course 4'!$H214='tab4'!M$3,'Course 4'!$I214," ")</f>
        <v xml:space="preserve"> </v>
      </c>
      <c r="N216" s="9" t="str">
        <f>IF('Course 4'!$H214='tab4'!N$3,'Course 4'!$I214," ")</f>
        <v xml:space="preserve"> </v>
      </c>
    </row>
    <row r="217" spans="2:14">
      <c r="B217">
        <v>213</v>
      </c>
      <c r="C217" s="7" t="str">
        <f>IF('Course 4'!$H215='tab4'!C$3,'Course 4'!$I215," ")</f>
        <v xml:space="preserve"> </v>
      </c>
      <c r="D217" s="8" t="str">
        <f>IF('Course 4'!$H215='tab4'!D$3,'Course 4'!$I215," ")</f>
        <v xml:space="preserve"> </v>
      </c>
      <c r="E217" s="8" t="str">
        <f>IF('Course 4'!$H215='tab4'!E$3,'Course 4'!$I215," ")</f>
        <v xml:space="preserve"> </v>
      </c>
      <c r="F217" s="8" t="str">
        <f>IF('Course 4'!$H215='tab4'!F$3,'Course 4'!$I215," ")</f>
        <v xml:space="preserve"> </v>
      </c>
      <c r="G217" s="8" t="str">
        <f>IF('Course 4'!$H215='tab4'!G$3,'Course 4'!$I215," ")</f>
        <v xml:space="preserve"> </v>
      </c>
      <c r="H217" s="8" t="str">
        <f>IF('Course 4'!$H215='tab4'!H$3,'Course 4'!$I215," ")</f>
        <v xml:space="preserve"> </v>
      </c>
      <c r="I217" s="8" t="str">
        <f>IF('Course 4'!$H215='tab4'!I$3,'Course 4'!$I215," ")</f>
        <v xml:space="preserve"> </v>
      </c>
      <c r="J217" s="8" t="str">
        <f>IF('Course 4'!$H215='tab4'!J$3,'Course 4'!$I215," ")</f>
        <v xml:space="preserve"> </v>
      </c>
      <c r="K217" s="8" t="str">
        <f>IF('Course 4'!$H215='tab4'!K$3,'Course 4'!$I215," ")</f>
        <v xml:space="preserve"> </v>
      </c>
      <c r="L217" s="8" t="str">
        <f>IF('Course 4'!$H215='tab4'!L$3,'Course 4'!$I215," ")</f>
        <v xml:space="preserve"> </v>
      </c>
      <c r="M217" s="8" t="str">
        <f>IF('Course 4'!$H215='tab4'!M$3,'Course 4'!$I215," ")</f>
        <v xml:space="preserve"> </v>
      </c>
      <c r="N217" s="9" t="str">
        <f>IF('Course 4'!$H215='tab4'!N$3,'Course 4'!$I215," ")</f>
        <v xml:space="preserve"> </v>
      </c>
    </row>
    <row r="218" spans="2:14">
      <c r="B218">
        <v>214</v>
      </c>
      <c r="C218" s="7" t="str">
        <f>IF('Course 4'!$H216='tab4'!C$3,'Course 4'!$I216," ")</f>
        <v xml:space="preserve"> </v>
      </c>
      <c r="D218" s="8" t="str">
        <f>IF('Course 4'!$H216='tab4'!D$3,'Course 4'!$I216," ")</f>
        <v xml:space="preserve"> </v>
      </c>
      <c r="E218" s="8" t="str">
        <f>IF('Course 4'!$H216='tab4'!E$3,'Course 4'!$I216," ")</f>
        <v xml:space="preserve"> </v>
      </c>
      <c r="F218" s="8" t="str">
        <f>IF('Course 4'!$H216='tab4'!F$3,'Course 4'!$I216," ")</f>
        <v xml:space="preserve"> </v>
      </c>
      <c r="G218" s="8" t="str">
        <f>IF('Course 4'!$H216='tab4'!G$3,'Course 4'!$I216," ")</f>
        <v xml:space="preserve"> </v>
      </c>
      <c r="H218" s="8" t="str">
        <f>IF('Course 4'!$H216='tab4'!H$3,'Course 4'!$I216," ")</f>
        <v xml:space="preserve"> </v>
      </c>
      <c r="I218" s="8" t="str">
        <f>IF('Course 4'!$H216='tab4'!I$3,'Course 4'!$I216," ")</f>
        <v xml:space="preserve"> </v>
      </c>
      <c r="J218" s="8" t="str">
        <f>IF('Course 4'!$H216='tab4'!J$3,'Course 4'!$I216," ")</f>
        <v xml:space="preserve"> </v>
      </c>
      <c r="K218" s="8" t="str">
        <f>IF('Course 4'!$H216='tab4'!K$3,'Course 4'!$I216," ")</f>
        <v xml:space="preserve"> </v>
      </c>
      <c r="L218" s="8" t="str">
        <f>IF('Course 4'!$H216='tab4'!L$3,'Course 4'!$I216," ")</f>
        <v xml:space="preserve"> </v>
      </c>
      <c r="M218" s="8" t="str">
        <f>IF('Course 4'!$H216='tab4'!M$3,'Course 4'!$I216," ")</f>
        <v xml:space="preserve"> </v>
      </c>
      <c r="N218" s="9" t="str">
        <f>IF('Course 4'!$H216='tab4'!N$3,'Course 4'!$I216," ")</f>
        <v xml:space="preserve"> </v>
      </c>
    </row>
    <row r="219" spans="2:14">
      <c r="B219">
        <v>215</v>
      </c>
      <c r="C219" s="7" t="str">
        <f>IF('Course 4'!$H217='tab4'!C$3,'Course 4'!$I217," ")</f>
        <v xml:space="preserve"> </v>
      </c>
      <c r="D219" s="8" t="str">
        <f>IF('Course 4'!$H217='tab4'!D$3,'Course 4'!$I217," ")</f>
        <v xml:space="preserve"> </v>
      </c>
      <c r="E219" s="8" t="str">
        <f>IF('Course 4'!$H217='tab4'!E$3,'Course 4'!$I217," ")</f>
        <v xml:space="preserve"> </v>
      </c>
      <c r="F219" s="8" t="str">
        <f>IF('Course 4'!$H217='tab4'!F$3,'Course 4'!$I217," ")</f>
        <v xml:space="preserve"> </v>
      </c>
      <c r="G219" s="8" t="str">
        <f>IF('Course 4'!$H217='tab4'!G$3,'Course 4'!$I217," ")</f>
        <v xml:space="preserve"> </v>
      </c>
      <c r="H219" s="8" t="str">
        <f>IF('Course 4'!$H217='tab4'!H$3,'Course 4'!$I217," ")</f>
        <v xml:space="preserve"> </v>
      </c>
      <c r="I219" s="8" t="str">
        <f>IF('Course 4'!$H217='tab4'!I$3,'Course 4'!$I217," ")</f>
        <v xml:space="preserve"> </v>
      </c>
      <c r="J219" s="8" t="str">
        <f>IF('Course 4'!$H217='tab4'!J$3,'Course 4'!$I217," ")</f>
        <v xml:space="preserve"> </v>
      </c>
      <c r="K219" s="8" t="str">
        <f>IF('Course 4'!$H217='tab4'!K$3,'Course 4'!$I217," ")</f>
        <v xml:space="preserve"> </v>
      </c>
      <c r="L219" s="8" t="str">
        <f>IF('Course 4'!$H217='tab4'!L$3,'Course 4'!$I217," ")</f>
        <v xml:space="preserve"> </v>
      </c>
      <c r="M219" s="8" t="str">
        <f>IF('Course 4'!$H217='tab4'!M$3,'Course 4'!$I217," ")</f>
        <v xml:space="preserve"> </v>
      </c>
      <c r="N219" s="9" t="str">
        <f>IF('Course 4'!$H217='tab4'!N$3,'Course 4'!$I217," ")</f>
        <v xml:space="preserve"> </v>
      </c>
    </row>
    <row r="220" spans="2:14">
      <c r="B220">
        <v>216</v>
      </c>
      <c r="C220" s="7" t="str">
        <f>IF('Course 4'!$H218='tab4'!C$3,'Course 4'!$I218," ")</f>
        <v xml:space="preserve"> </v>
      </c>
      <c r="D220" s="8" t="str">
        <f>IF('Course 4'!$H218='tab4'!D$3,'Course 4'!$I218," ")</f>
        <v xml:space="preserve"> </v>
      </c>
      <c r="E220" s="8" t="str">
        <f>IF('Course 4'!$H218='tab4'!E$3,'Course 4'!$I218," ")</f>
        <v xml:space="preserve"> </v>
      </c>
      <c r="F220" s="8" t="str">
        <f>IF('Course 4'!$H218='tab4'!F$3,'Course 4'!$I218," ")</f>
        <v xml:space="preserve"> </v>
      </c>
      <c r="G220" s="8" t="str">
        <f>IF('Course 4'!$H218='tab4'!G$3,'Course 4'!$I218," ")</f>
        <v xml:space="preserve"> </v>
      </c>
      <c r="H220" s="8" t="str">
        <f>IF('Course 4'!$H218='tab4'!H$3,'Course 4'!$I218," ")</f>
        <v xml:space="preserve"> </v>
      </c>
      <c r="I220" s="8" t="str">
        <f>IF('Course 4'!$H218='tab4'!I$3,'Course 4'!$I218," ")</f>
        <v xml:space="preserve"> </v>
      </c>
      <c r="J220" s="8" t="str">
        <f>IF('Course 4'!$H218='tab4'!J$3,'Course 4'!$I218," ")</f>
        <v xml:space="preserve"> </v>
      </c>
      <c r="K220" s="8" t="str">
        <f>IF('Course 4'!$H218='tab4'!K$3,'Course 4'!$I218," ")</f>
        <v xml:space="preserve"> </v>
      </c>
      <c r="L220" s="8" t="str">
        <f>IF('Course 4'!$H218='tab4'!L$3,'Course 4'!$I218," ")</f>
        <v xml:space="preserve"> </v>
      </c>
      <c r="M220" s="8" t="str">
        <f>IF('Course 4'!$H218='tab4'!M$3,'Course 4'!$I218," ")</f>
        <v xml:space="preserve"> </v>
      </c>
      <c r="N220" s="9" t="str">
        <f>IF('Course 4'!$H218='tab4'!N$3,'Course 4'!$I218," ")</f>
        <v xml:space="preserve"> </v>
      </c>
    </row>
    <row r="221" spans="2:14">
      <c r="B221">
        <v>217</v>
      </c>
      <c r="C221" s="7" t="str">
        <f>IF('Course 4'!$H219='tab4'!C$3,'Course 4'!$I219," ")</f>
        <v xml:space="preserve"> </v>
      </c>
      <c r="D221" s="8" t="str">
        <f>IF('Course 4'!$H219='tab4'!D$3,'Course 4'!$I219," ")</f>
        <v xml:space="preserve"> </v>
      </c>
      <c r="E221" s="8" t="str">
        <f>IF('Course 4'!$H219='tab4'!E$3,'Course 4'!$I219," ")</f>
        <v xml:space="preserve"> </v>
      </c>
      <c r="F221" s="8" t="str">
        <f>IF('Course 4'!$H219='tab4'!F$3,'Course 4'!$I219," ")</f>
        <v xml:space="preserve"> </v>
      </c>
      <c r="G221" s="8" t="str">
        <f>IF('Course 4'!$H219='tab4'!G$3,'Course 4'!$I219," ")</f>
        <v xml:space="preserve"> </v>
      </c>
      <c r="H221" s="8" t="str">
        <f>IF('Course 4'!$H219='tab4'!H$3,'Course 4'!$I219," ")</f>
        <v xml:space="preserve"> </v>
      </c>
      <c r="I221" s="8" t="str">
        <f>IF('Course 4'!$H219='tab4'!I$3,'Course 4'!$I219," ")</f>
        <v xml:space="preserve"> </v>
      </c>
      <c r="J221" s="8" t="str">
        <f>IF('Course 4'!$H219='tab4'!J$3,'Course 4'!$I219," ")</f>
        <v xml:space="preserve"> </v>
      </c>
      <c r="K221" s="8" t="str">
        <f>IF('Course 4'!$H219='tab4'!K$3,'Course 4'!$I219," ")</f>
        <v xml:space="preserve"> </v>
      </c>
      <c r="L221" s="8" t="str">
        <f>IF('Course 4'!$H219='tab4'!L$3,'Course 4'!$I219," ")</f>
        <v xml:space="preserve"> </v>
      </c>
      <c r="M221" s="8" t="str">
        <f>IF('Course 4'!$H219='tab4'!M$3,'Course 4'!$I219," ")</f>
        <v xml:space="preserve"> </v>
      </c>
      <c r="N221" s="9" t="str">
        <f>IF('Course 4'!$H219='tab4'!N$3,'Course 4'!$I219," ")</f>
        <v xml:space="preserve"> </v>
      </c>
    </row>
    <row r="222" spans="2:14">
      <c r="B222">
        <v>218</v>
      </c>
      <c r="C222" s="7" t="str">
        <f>IF('Course 4'!$H220='tab4'!C$3,'Course 4'!$I220," ")</f>
        <v xml:space="preserve"> </v>
      </c>
      <c r="D222" s="8" t="str">
        <f>IF('Course 4'!$H220='tab4'!D$3,'Course 4'!$I220," ")</f>
        <v xml:space="preserve"> </v>
      </c>
      <c r="E222" s="8" t="str">
        <f>IF('Course 4'!$H220='tab4'!E$3,'Course 4'!$I220," ")</f>
        <v xml:space="preserve"> </v>
      </c>
      <c r="F222" s="8" t="str">
        <f>IF('Course 4'!$H220='tab4'!F$3,'Course 4'!$I220," ")</f>
        <v xml:space="preserve"> </v>
      </c>
      <c r="G222" s="8" t="str">
        <f>IF('Course 4'!$H220='tab4'!G$3,'Course 4'!$I220," ")</f>
        <v xml:space="preserve"> </v>
      </c>
      <c r="H222" s="8" t="str">
        <f>IF('Course 4'!$H220='tab4'!H$3,'Course 4'!$I220," ")</f>
        <v xml:space="preserve"> </v>
      </c>
      <c r="I222" s="8" t="str">
        <f>IF('Course 4'!$H220='tab4'!I$3,'Course 4'!$I220," ")</f>
        <v xml:space="preserve"> </v>
      </c>
      <c r="J222" s="8" t="str">
        <f>IF('Course 4'!$H220='tab4'!J$3,'Course 4'!$I220," ")</f>
        <v xml:space="preserve"> </v>
      </c>
      <c r="K222" s="8" t="str">
        <f>IF('Course 4'!$H220='tab4'!K$3,'Course 4'!$I220," ")</f>
        <v xml:space="preserve"> </v>
      </c>
      <c r="L222" s="8" t="str">
        <f>IF('Course 4'!$H220='tab4'!L$3,'Course 4'!$I220," ")</f>
        <v xml:space="preserve"> </v>
      </c>
      <c r="M222" s="8" t="str">
        <f>IF('Course 4'!$H220='tab4'!M$3,'Course 4'!$I220," ")</f>
        <v xml:space="preserve"> </v>
      </c>
      <c r="N222" s="9" t="str">
        <f>IF('Course 4'!$H220='tab4'!N$3,'Course 4'!$I220," ")</f>
        <v xml:space="preserve"> </v>
      </c>
    </row>
    <row r="223" spans="2:14">
      <c r="B223">
        <v>219</v>
      </c>
      <c r="C223" s="7" t="str">
        <f>IF('Course 4'!$H221='tab4'!C$3,'Course 4'!$I221," ")</f>
        <v xml:space="preserve"> </v>
      </c>
      <c r="D223" s="8" t="str">
        <f>IF('Course 4'!$H221='tab4'!D$3,'Course 4'!$I221," ")</f>
        <v xml:space="preserve"> </v>
      </c>
      <c r="E223" s="8" t="str">
        <f>IF('Course 4'!$H221='tab4'!E$3,'Course 4'!$I221," ")</f>
        <v xml:space="preserve"> </v>
      </c>
      <c r="F223" s="8" t="str">
        <f>IF('Course 4'!$H221='tab4'!F$3,'Course 4'!$I221," ")</f>
        <v xml:space="preserve"> </v>
      </c>
      <c r="G223" s="8" t="str">
        <f>IF('Course 4'!$H221='tab4'!G$3,'Course 4'!$I221," ")</f>
        <v xml:space="preserve"> </v>
      </c>
      <c r="H223" s="8" t="str">
        <f>IF('Course 4'!$H221='tab4'!H$3,'Course 4'!$I221," ")</f>
        <v xml:space="preserve"> </v>
      </c>
      <c r="I223" s="8" t="str">
        <f>IF('Course 4'!$H221='tab4'!I$3,'Course 4'!$I221," ")</f>
        <v xml:space="preserve"> </v>
      </c>
      <c r="J223" s="8" t="str">
        <f>IF('Course 4'!$H221='tab4'!J$3,'Course 4'!$I221," ")</f>
        <v xml:space="preserve"> </v>
      </c>
      <c r="K223" s="8" t="str">
        <f>IF('Course 4'!$H221='tab4'!K$3,'Course 4'!$I221," ")</f>
        <v xml:space="preserve"> </v>
      </c>
      <c r="L223" s="8" t="str">
        <f>IF('Course 4'!$H221='tab4'!L$3,'Course 4'!$I221," ")</f>
        <v xml:space="preserve"> </v>
      </c>
      <c r="M223" s="8" t="str">
        <f>IF('Course 4'!$H221='tab4'!M$3,'Course 4'!$I221," ")</f>
        <v xml:space="preserve"> </v>
      </c>
      <c r="N223" s="9" t="str">
        <f>IF('Course 4'!$H221='tab4'!N$3,'Course 4'!$I221," ")</f>
        <v xml:space="preserve"> </v>
      </c>
    </row>
    <row r="224" spans="2:14">
      <c r="B224">
        <v>220</v>
      </c>
      <c r="C224" s="7" t="str">
        <f>IF('Course 4'!$H222='tab4'!C$3,'Course 4'!$I222," ")</f>
        <v xml:space="preserve"> </v>
      </c>
      <c r="D224" s="8" t="str">
        <f>IF('Course 4'!$H222='tab4'!D$3,'Course 4'!$I222," ")</f>
        <v xml:space="preserve"> </v>
      </c>
      <c r="E224" s="8" t="str">
        <f>IF('Course 4'!$H222='tab4'!E$3,'Course 4'!$I222," ")</f>
        <v xml:space="preserve"> </v>
      </c>
      <c r="F224" s="8" t="str">
        <f>IF('Course 4'!$H222='tab4'!F$3,'Course 4'!$I222," ")</f>
        <v xml:space="preserve"> </v>
      </c>
      <c r="G224" s="8" t="str">
        <f>IF('Course 4'!$H222='tab4'!G$3,'Course 4'!$I222," ")</f>
        <v xml:space="preserve"> </v>
      </c>
      <c r="H224" s="8" t="str">
        <f>IF('Course 4'!$H222='tab4'!H$3,'Course 4'!$I222," ")</f>
        <v xml:space="preserve"> </v>
      </c>
      <c r="I224" s="8" t="str">
        <f>IF('Course 4'!$H222='tab4'!I$3,'Course 4'!$I222," ")</f>
        <v xml:space="preserve"> </v>
      </c>
      <c r="J224" s="8" t="str">
        <f>IF('Course 4'!$H222='tab4'!J$3,'Course 4'!$I222," ")</f>
        <v xml:space="preserve"> </v>
      </c>
      <c r="K224" s="8" t="str">
        <f>IF('Course 4'!$H222='tab4'!K$3,'Course 4'!$I222," ")</f>
        <v xml:space="preserve"> </v>
      </c>
      <c r="L224" s="8" t="str">
        <f>IF('Course 4'!$H222='tab4'!L$3,'Course 4'!$I222," ")</f>
        <v xml:space="preserve"> </v>
      </c>
      <c r="M224" s="8" t="str">
        <f>IF('Course 4'!$H222='tab4'!M$3,'Course 4'!$I222," ")</f>
        <v xml:space="preserve"> </v>
      </c>
      <c r="N224" s="9" t="str">
        <f>IF('Course 4'!$H222='tab4'!N$3,'Course 4'!$I222," ")</f>
        <v xml:space="preserve"> </v>
      </c>
    </row>
    <row r="225" spans="2:14">
      <c r="B225">
        <v>221</v>
      </c>
      <c r="C225" s="7" t="str">
        <f>IF('Course 4'!$H223='tab4'!C$3,'Course 4'!$I223," ")</f>
        <v xml:space="preserve"> </v>
      </c>
      <c r="D225" s="8" t="str">
        <f>IF('Course 4'!$H223='tab4'!D$3,'Course 4'!$I223," ")</f>
        <v xml:space="preserve"> </v>
      </c>
      <c r="E225" s="8" t="str">
        <f>IF('Course 4'!$H223='tab4'!E$3,'Course 4'!$I223," ")</f>
        <v xml:space="preserve"> </v>
      </c>
      <c r="F225" s="8" t="str">
        <f>IF('Course 4'!$H223='tab4'!F$3,'Course 4'!$I223," ")</f>
        <v xml:space="preserve"> </v>
      </c>
      <c r="G225" s="8" t="str">
        <f>IF('Course 4'!$H223='tab4'!G$3,'Course 4'!$I223," ")</f>
        <v xml:space="preserve"> </v>
      </c>
      <c r="H225" s="8" t="str">
        <f>IF('Course 4'!$H223='tab4'!H$3,'Course 4'!$I223," ")</f>
        <v xml:space="preserve"> </v>
      </c>
      <c r="I225" s="8" t="str">
        <f>IF('Course 4'!$H223='tab4'!I$3,'Course 4'!$I223," ")</f>
        <v xml:space="preserve"> </v>
      </c>
      <c r="J225" s="8" t="str">
        <f>IF('Course 4'!$H223='tab4'!J$3,'Course 4'!$I223," ")</f>
        <v xml:space="preserve"> </v>
      </c>
      <c r="K225" s="8" t="str">
        <f>IF('Course 4'!$H223='tab4'!K$3,'Course 4'!$I223," ")</f>
        <v xml:space="preserve"> </v>
      </c>
      <c r="L225" s="8" t="str">
        <f>IF('Course 4'!$H223='tab4'!L$3,'Course 4'!$I223," ")</f>
        <v xml:space="preserve"> </v>
      </c>
      <c r="M225" s="8" t="str">
        <f>IF('Course 4'!$H223='tab4'!M$3,'Course 4'!$I223," ")</f>
        <v xml:space="preserve"> </v>
      </c>
      <c r="N225" s="9" t="str">
        <f>IF('Course 4'!$H223='tab4'!N$3,'Course 4'!$I223," ")</f>
        <v xml:space="preserve"> </v>
      </c>
    </row>
    <row r="226" spans="2:14">
      <c r="B226">
        <v>222</v>
      </c>
      <c r="C226" s="7" t="str">
        <f>IF('Course 4'!$H224='tab4'!C$3,'Course 4'!$I224," ")</f>
        <v xml:space="preserve"> </v>
      </c>
      <c r="D226" s="8" t="str">
        <f>IF('Course 4'!$H224='tab4'!D$3,'Course 4'!$I224," ")</f>
        <v xml:space="preserve"> </v>
      </c>
      <c r="E226" s="8" t="str">
        <f>IF('Course 4'!$H224='tab4'!E$3,'Course 4'!$I224," ")</f>
        <v xml:space="preserve"> </v>
      </c>
      <c r="F226" s="8" t="str">
        <f>IF('Course 4'!$H224='tab4'!F$3,'Course 4'!$I224," ")</f>
        <v xml:space="preserve"> </v>
      </c>
      <c r="G226" s="8" t="str">
        <f>IF('Course 4'!$H224='tab4'!G$3,'Course 4'!$I224," ")</f>
        <v xml:space="preserve"> </v>
      </c>
      <c r="H226" s="8" t="str">
        <f>IF('Course 4'!$H224='tab4'!H$3,'Course 4'!$I224," ")</f>
        <v xml:space="preserve"> </v>
      </c>
      <c r="I226" s="8" t="str">
        <f>IF('Course 4'!$H224='tab4'!I$3,'Course 4'!$I224," ")</f>
        <v xml:space="preserve"> </v>
      </c>
      <c r="J226" s="8" t="str">
        <f>IF('Course 4'!$H224='tab4'!J$3,'Course 4'!$I224," ")</f>
        <v xml:space="preserve"> </v>
      </c>
      <c r="K226" s="8" t="str">
        <f>IF('Course 4'!$H224='tab4'!K$3,'Course 4'!$I224," ")</f>
        <v xml:space="preserve"> </v>
      </c>
      <c r="L226" s="8" t="str">
        <f>IF('Course 4'!$H224='tab4'!L$3,'Course 4'!$I224," ")</f>
        <v xml:space="preserve"> </v>
      </c>
      <c r="M226" s="8" t="str">
        <f>IF('Course 4'!$H224='tab4'!M$3,'Course 4'!$I224," ")</f>
        <v xml:space="preserve"> </v>
      </c>
      <c r="N226" s="9" t="str">
        <f>IF('Course 4'!$H224='tab4'!N$3,'Course 4'!$I224," ")</f>
        <v xml:space="preserve"> </v>
      </c>
    </row>
    <row r="227" spans="2:14">
      <c r="B227">
        <v>223</v>
      </c>
      <c r="C227" s="7" t="str">
        <f>IF('Course 4'!$H225='tab4'!C$3,'Course 4'!$I225," ")</f>
        <v xml:space="preserve"> </v>
      </c>
      <c r="D227" s="8" t="str">
        <f>IF('Course 4'!$H225='tab4'!D$3,'Course 4'!$I225," ")</f>
        <v xml:space="preserve"> </v>
      </c>
      <c r="E227" s="8" t="str">
        <f>IF('Course 4'!$H225='tab4'!E$3,'Course 4'!$I225," ")</f>
        <v xml:space="preserve"> </v>
      </c>
      <c r="F227" s="8" t="str">
        <f>IF('Course 4'!$H225='tab4'!F$3,'Course 4'!$I225," ")</f>
        <v xml:space="preserve"> </v>
      </c>
      <c r="G227" s="8" t="str">
        <f>IF('Course 4'!$H225='tab4'!G$3,'Course 4'!$I225," ")</f>
        <v xml:space="preserve"> </v>
      </c>
      <c r="H227" s="8" t="str">
        <f>IF('Course 4'!$H225='tab4'!H$3,'Course 4'!$I225," ")</f>
        <v xml:space="preserve"> </v>
      </c>
      <c r="I227" s="8" t="str">
        <f>IF('Course 4'!$H225='tab4'!I$3,'Course 4'!$I225," ")</f>
        <v xml:space="preserve"> </v>
      </c>
      <c r="J227" s="8" t="str">
        <f>IF('Course 4'!$H225='tab4'!J$3,'Course 4'!$I225," ")</f>
        <v xml:space="preserve"> </v>
      </c>
      <c r="K227" s="8" t="str">
        <f>IF('Course 4'!$H225='tab4'!K$3,'Course 4'!$I225," ")</f>
        <v xml:space="preserve"> </v>
      </c>
      <c r="L227" s="8" t="str">
        <f>IF('Course 4'!$H225='tab4'!L$3,'Course 4'!$I225," ")</f>
        <v xml:space="preserve"> </v>
      </c>
      <c r="M227" s="8" t="str">
        <f>IF('Course 4'!$H225='tab4'!M$3,'Course 4'!$I225," ")</f>
        <v xml:space="preserve"> </v>
      </c>
      <c r="N227" s="9" t="str">
        <f>IF('Course 4'!$H225='tab4'!N$3,'Course 4'!$I225," ")</f>
        <v xml:space="preserve"> </v>
      </c>
    </row>
    <row r="228" spans="2:14">
      <c r="B228">
        <v>224</v>
      </c>
      <c r="C228" s="7" t="str">
        <f>IF('Course 4'!$H226='tab4'!C$3,'Course 4'!$I226," ")</f>
        <v xml:space="preserve"> </v>
      </c>
      <c r="D228" s="8" t="str">
        <f>IF('Course 4'!$H226='tab4'!D$3,'Course 4'!$I226," ")</f>
        <v xml:space="preserve"> </v>
      </c>
      <c r="E228" s="8" t="str">
        <f>IF('Course 4'!$H226='tab4'!E$3,'Course 4'!$I226," ")</f>
        <v xml:space="preserve"> </v>
      </c>
      <c r="F228" s="8" t="str">
        <f>IF('Course 4'!$H226='tab4'!F$3,'Course 4'!$I226," ")</f>
        <v xml:space="preserve"> </v>
      </c>
      <c r="G228" s="8" t="str">
        <f>IF('Course 4'!$H226='tab4'!G$3,'Course 4'!$I226," ")</f>
        <v xml:space="preserve"> </v>
      </c>
      <c r="H228" s="8" t="str">
        <f>IF('Course 4'!$H226='tab4'!H$3,'Course 4'!$I226," ")</f>
        <v xml:space="preserve"> </v>
      </c>
      <c r="I228" s="8" t="str">
        <f>IF('Course 4'!$H226='tab4'!I$3,'Course 4'!$I226," ")</f>
        <v xml:space="preserve"> </v>
      </c>
      <c r="J228" s="8" t="str">
        <f>IF('Course 4'!$H226='tab4'!J$3,'Course 4'!$I226," ")</f>
        <v xml:space="preserve"> </v>
      </c>
      <c r="K228" s="8" t="str">
        <f>IF('Course 4'!$H226='tab4'!K$3,'Course 4'!$I226," ")</f>
        <v xml:space="preserve"> </v>
      </c>
      <c r="L228" s="8" t="str">
        <f>IF('Course 4'!$H226='tab4'!L$3,'Course 4'!$I226," ")</f>
        <v xml:space="preserve"> </v>
      </c>
      <c r="M228" s="8" t="str">
        <f>IF('Course 4'!$H226='tab4'!M$3,'Course 4'!$I226," ")</f>
        <v xml:space="preserve"> </v>
      </c>
      <c r="N228" s="9" t="str">
        <f>IF('Course 4'!$H226='tab4'!N$3,'Course 4'!$I226," ")</f>
        <v xml:space="preserve"> </v>
      </c>
    </row>
    <row r="229" spans="2:14">
      <c r="B229">
        <v>225</v>
      </c>
      <c r="C229" s="7" t="str">
        <f>IF('Course 4'!$H227='tab4'!C$3,'Course 4'!$I227," ")</f>
        <v xml:space="preserve"> </v>
      </c>
      <c r="D229" s="8" t="str">
        <f>IF('Course 4'!$H227='tab4'!D$3,'Course 4'!$I227," ")</f>
        <v xml:space="preserve"> </v>
      </c>
      <c r="E229" s="8" t="str">
        <f>IF('Course 4'!$H227='tab4'!E$3,'Course 4'!$I227," ")</f>
        <v xml:space="preserve"> </v>
      </c>
      <c r="F229" s="8" t="str">
        <f>IF('Course 4'!$H227='tab4'!F$3,'Course 4'!$I227," ")</f>
        <v xml:space="preserve"> </v>
      </c>
      <c r="G229" s="8" t="str">
        <f>IF('Course 4'!$H227='tab4'!G$3,'Course 4'!$I227," ")</f>
        <v xml:space="preserve"> </v>
      </c>
      <c r="H229" s="8" t="str">
        <f>IF('Course 4'!$H227='tab4'!H$3,'Course 4'!$I227," ")</f>
        <v xml:space="preserve"> </v>
      </c>
      <c r="I229" s="8" t="str">
        <f>IF('Course 4'!$H227='tab4'!I$3,'Course 4'!$I227," ")</f>
        <v xml:space="preserve"> </v>
      </c>
      <c r="J229" s="8" t="str">
        <f>IF('Course 4'!$H227='tab4'!J$3,'Course 4'!$I227," ")</f>
        <v xml:space="preserve"> </v>
      </c>
      <c r="K229" s="8" t="str">
        <f>IF('Course 4'!$H227='tab4'!K$3,'Course 4'!$I227," ")</f>
        <v xml:space="preserve"> </v>
      </c>
      <c r="L229" s="8" t="str">
        <f>IF('Course 4'!$H227='tab4'!L$3,'Course 4'!$I227," ")</f>
        <v xml:space="preserve"> </v>
      </c>
      <c r="M229" s="8" t="str">
        <f>IF('Course 4'!$H227='tab4'!M$3,'Course 4'!$I227," ")</f>
        <v xml:space="preserve"> </v>
      </c>
      <c r="N229" s="9" t="str">
        <f>IF('Course 4'!$H227='tab4'!N$3,'Course 4'!$I227," ")</f>
        <v xml:space="preserve"> </v>
      </c>
    </row>
    <row r="230" spans="2:14">
      <c r="B230">
        <v>226</v>
      </c>
      <c r="C230" s="7" t="str">
        <f>IF('Course 4'!$H228='tab4'!C$3,'Course 4'!$I228," ")</f>
        <v xml:space="preserve"> </v>
      </c>
      <c r="D230" s="8" t="str">
        <f>IF('Course 4'!$H228='tab4'!D$3,'Course 4'!$I228," ")</f>
        <v xml:space="preserve"> </v>
      </c>
      <c r="E230" s="8" t="str">
        <f>IF('Course 4'!$H228='tab4'!E$3,'Course 4'!$I228," ")</f>
        <v xml:space="preserve"> </v>
      </c>
      <c r="F230" s="8" t="str">
        <f>IF('Course 4'!$H228='tab4'!F$3,'Course 4'!$I228," ")</f>
        <v xml:space="preserve"> </v>
      </c>
      <c r="G230" s="8" t="str">
        <f>IF('Course 4'!$H228='tab4'!G$3,'Course 4'!$I228," ")</f>
        <v xml:space="preserve"> </v>
      </c>
      <c r="H230" s="8" t="str">
        <f>IF('Course 4'!$H228='tab4'!H$3,'Course 4'!$I228," ")</f>
        <v xml:space="preserve"> </v>
      </c>
      <c r="I230" s="8" t="str">
        <f>IF('Course 4'!$H228='tab4'!I$3,'Course 4'!$I228," ")</f>
        <v xml:space="preserve"> </v>
      </c>
      <c r="J230" s="8" t="str">
        <f>IF('Course 4'!$H228='tab4'!J$3,'Course 4'!$I228," ")</f>
        <v xml:space="preserve"> </v>
      </c>
      <c r="K230" s="8" t="str">
        <f>IF('Course 4'!$H228='tab4'!K$3,'Course 4'!$I228," ")</f>
        <v xml:space="preserve"> </v>
      </c>
      <c r="L230" s="8" t="str">
        <f>IF('Course 4'!$H228='tab4'!L$3,'Course 4'!$I228," ")</f>
        <v xml:space="preserve"> </v>
      </c>
      <c r="M230" s="8" t="str">
        <f>IF('Course 4'!$H228='tab4'!M$3,'Course 4'!$I228," ")</f>
        <v xml:space="preserve"> </v>
      </c>
      <c r="N230" s="9" t="str">
        <f>IF('Course 4'!$H228='tab4'!N$3,'Course 4'!$I228," ")</f>
        <v xml:space="preserve"> </v>
      </c>
    </row>
    <row r="231" spans="2:14">
      <c r="B231">
        <v>227</v>
      </c>
      <c r="C231" s="7" t="str">
        <f>IF('Course 4'!$H229='tab4'!C$3,'Course 4'!$I229," ")</f>
        <v xml:space="preserve"> </v>
      </c>
      <c r="D231" s="8" t="str">
        <f>IF('Course 4'!$H229='tab4'!D$3,'Course 4'!$I229," ")</f>
        <v xml:space="preserve"> </v>
      </c>
      <c r="E231" s="8" t="str">
        <f>IF('Course 4'!$H229='tab4'!E$3,'Course 4'!$I229," ")</f>
        <v xml:space="preserve"> </v>
      </c>
      <c r="F231" s="8" t="str">
        <f>IF('Course 4'!$H229='tab4'!F$3,'Course 4'!$I229," ")</f>
        <v xml:space="preserve"> </v>
      </c>
      <c r="G231" s="8" t="str">
        <f>IF('Course 4'!$H229='tab4'!G$3,'Course 4'!$I229," ")</f>
        <v xml:space="preserve"> </v>
      </c>
      <c r="H231" s="8" t="str">
        <f>IF('Course 4'!$H229='tab4'!H$3,'Course 4'!$I229," ")</f>
        <v xml:space="preserve"> </v>
      </c>
      <c r="I231" s="8" t="str">
        <f>IF('Course 4'!$H229='tab4'!I$3,'Course 4'!$I229," ")</f>
        <v xml:space="preserve"> </v>
      </c>
      <c r="J231" s="8" t="str">
        <f>IF('Course 4'!$H229='tab4'!J$3,'Course 4'!$I229," ")</f>
        <v xml:space="preserve"> </v>
      </c>
      <c r="K231" s="8" t="str">
        <f>IF('Course 4'!$H229='tab4'!K$3,'Course 4'!$I229," ")</f>
        <v xml:space="preserve"> </v>
      </c>
      <c r="L231" s="8" t="str">
        <f>IF('Course 4'!$H229='tab4'!L$3,'Course 4'!$I229," ")</f>
        <v xml:space="preserve"> </v>
      </c>
      <c r="M231" s="8" t="str">
        <f>IF('Course 4'!$H229='tab4'!M$3,'Course 4'!$I229," ")</f>
        <v xml:space="preserve"> </v>
      </c>
      <c r="N231" s="9" t="str">
        <f>IF('Course 4'!$H229='tab4'!N$3,'Course 4'!$I229," ")</f>
        <v xml:space="preserve"> </v>
      </c>
    </row>
    <row r="232" spans="2:14">
      <c r="B232">
        <v>228</v>
      </c>
      <c r="C232" s="7" t="str">
        <f>IF('Course 4'!$H230='tab4'!C$3,'Course 4'!$I230," ")</f>
        <v xml:space="preserve"> </v>
      </c>
      <c r="D232" s="8" t="str">
        <f>IF('Course 4'!$H230='tab4'!D$3,'Course 4'!$I230," ")</f>
        <v xml:space="preserve"> </v>
      </c>
      <c r="E232" s="8" t="str">
        <f>IF('Course 4'!$H230='tab4'!E$3,'Course 4'!$I230," ")</f>
        <v xml:space="preserve"> </v>
      </c>
      <c r="F232" s="8" t="str">
        <f>IF('Course 4'!$H230='tab4'!F$3,'Course 4'!$I230," ")</f>
        <v xml:space="preserve"> </v>
      </c>
      <c r="G232" s="8" t="str">
        <f>IF('Course 4'!$H230='tab4'!G$3,'Course 4'!$I230," ")</f>
        <v xml:space="preserve"> </v>
      </c>
      <c r="H232" s="8" t="str">
        <f>IF('Course 4'!$H230='tab4'!H$3,'Course 4'!$I230," ")</f>
        <v xml:space="preserve"> </v>
      </c>
      <c r="I232" s="8" t="str">
        <f>IF('Course 4'!$H230='tab4'!I$3,'Course 4'!$I230," ")</f>
        <v xml:space="preserve"> </v>
      </c>
      <c r="J232" s="8" t="str">
        <f>IF('Course 4'!$H230='tab4'!J$3,'Course 4'!$I230," ")</f>
        <v xml:space="preserve"> </v>
      </c>
      <c r="K232" s="8" t="str">
        <f>IF('Course 4'!$H230='tab4'!K$3,'Course 4'!$I230," ")</f>
        <v xml:space="preserve"> </v>
      </c>
      <c r="L232" s="8" t="str">
        <f>IF('Course 4'!$H230='tab4'!L$3,'Course 4'!$I230," ")</f>
        <v xml:space="preserve"> </v>
      </c>
      <c r="M232" s="8" t="str">
        <f>IF('Course 4'!$H230='tab4'!M$3,'Course 4'!$I230," ")</f>
        <v xml:space="preserve"> </v>
      </c>
      <c r="N232" s="9" t="str">
        <f>IF('Course 4'!$H230='tab4'!N$3,'Course 4'!$I230," ")</f>
        <v xml:space="preserve"> </v>
      </c>
    </row>
    <row r="233" spans="2:14">
      <c r="B233">
        <v>229</v>
      </c>
      <c r="C233" s="7" t="str">
        <f>IF('Course 4'!$H231='tab4'!C$3,'Course 4'!$I231," ")</f>
        <v xml:space="preserve"> </v>
      </c>
      <c r="D233" s="8" t="str">
        <f>IF('Course 4'!$H231='tab4'!D$3,'Course 4'!$I231," ")</f>
        <v xml:space="preserve"> </v>
      </c>
      <c r="E233" s="8" t="str">
        <f>IF('Course 4'!$H231='tab4'!E$3,'Course 4'!$I231," ")</f>
        <v xml:space="preserve"> </v>
      </c>
      <c r="F233" s="8" t="str">
        <f>IF('Course 4'!$H231='tab4'!F$3,'Course 4'!$I231," ")</f>
        <v xml:space="preserve"> </v>
      </c>
      <c r="G233" s="8" t="str">
        <f>IF('Course 4'!$H231='tab4'!G$3,'Course 4'!$I231," ")</f>
        <v xml:space="preserve"> </v>
      </c>
      <c r="H233" s="8" t="str">
        <f>IF('Course 4'!$H231='tab4'!H$3,'Course 4'!$I231," ")</f>
        <v xml:space="preserve"> </v>
      </c>
      <c r="I233" s="8" t="str">
        <f>IF('Course 4'!$H231='tab4'!I$3,'Course 4'!$I231," ")</f>
        <v xml:space="preserve"> </v>
      </c>
      <c r="J233" s="8" t="str">
        <f>IF('Course 4'!$H231='tab4'!J$3,'Course 4'!$I231," ")</f>
        <v xml:space="preserve"> </v>
      </c>
      <c r="K233" s="8" t="str">
        <f>IF('Course 4'!$H231='tab4'!K$3,'Course 4'!$I231," ")</f>
        <v xml:space="preserve"> </v>
      </c>
      <c r="L233" s="8" t="str">
        <f>IF('Course 4'!$H231='tab4'!L$3,'Course 4'!$I231," ")</f>
        <v xml:space="preserve"> </v>
      </c>
      <c r="M233" s="8" t="str">
        <f>IF('Course 4'!$H231='tab4'!M$3,'Course 4'!$I231," ")</f>
        <v xml:space="preserve"> </v>
      </c>
      <c r="N233" s="9" t="str">
        <f>IF('Course 4'!$H231='tab4'!N$3,'Course 4'!$I231," ")</f>
        <v xml:space="preserve"> </v>
      </c>
    </row>
    <row r="234" spans="2:14">
      <c r="B234">
        <v>230</v>
      </c>
      <c r="C234" s="7" t="str">
        <f>IF('Course 4'!$H232='tab4'!C$3,'Course 4'!$I232," ")</f>
        <v xml:space="preserve"> </v>
      </c>
      <c r="D234" s="8" t="str">
        <f>IF('Course 4'!$H232='tab4'!D$3,'Course 4'!$I232," ")</f>
        <v xml:space="preserve"> </v>
      </c>
      <c r="E234" s="8" t="str">
        <f>IF('Course 4'!$H232='tab4'!E$3,'Course 4'!$I232," ")</f>
        <v xml:space="preserve"> </v>
      </c>
      <c r="F234" s="8" t="str">
        <f>IF('Course 4'!$H232='tab4'!F$3,'Course 4'!$I232," ")</f>
        <v xml:space="preserve"> </v>
      </c>
      <c r="G234" s="8" t="str">
        <f>IF('Course 4'!$H232='tab4'!G$3,'Course 4'!$I232," ")</f>
        <v xml:space="preserve"> </v>
      </c>
      <c r="H234" s="8" t="str">
        <f>IF('Course 4'!$H232='tab4'!H$3,'Course 4'!$I232," ")</f>
        <v xml:space="preserve"> </v>
      </c>
      <c r="I234" s="8" t="str">
        <f>IF('Course 4'!$H232='tab4'!I$3,'Course 4'!$I232," ")</f>
        <v xml:space="preserve"> </v>
      </c>
      <c r="J234" s="8" t="str">
        <f>IF('Course 4'!$H232='tab4'!J$3,'Course 4'!$I232," ")</f>
        <v xml:space="preserve"> </v>
      </c>
      <c r="K234" s="8" t="str">
        <f>IF('Course 4'!$H232='tab4'!K$3,'Course 4'!$I232," ")</f>
        <v xml:space="preserve"> </v>
      </c>
      <c r="L234" s="8" t="str">
        <f>IF('Course 4'!$H232='tab4'!L$3,'Course 4'!$I232," ")</f>
        <v xml:space="preserve"> </v>
      </c>
      <c r="M234" s="8" t="str">
        <f>IF('Course 4'!$H232='tab4'!M$3,'Course 4'!$I232," ")</f>
        <v xml:space="preserve"> </v>
      </c>
      <c r="N234" s="9" t="str">
        <f>IF('Course 4'!$H232='tab4'!N$3,'Course 4'!$I232," ")</f>
        <v xml:space="preserve"> </v>
      </c>
    </row>
    <row r="235" spans="2:14">
      <c r="B235">
        <v>231</v>
      </c>
      <c r="C235" s="7" t="str">
        <f>IF('Course 4'!$H233='tab4'!C$3,'Course 4'!$I233," ")</f>
        <v xml:space="preserve"> </v>
      </c>
      <c r="D235" s="8" t="str">
        <f>IF('Course 4'!$H233='tab4'!D$3,'Course 4'!$I233," ")</f>
        <v xml:space="preserve"> </v>
      </c>
      <c r="E235" s="8" t="str">
        <f>IF('Course 4'!$H233='tab4'!E$3,'Course 4'!$I233," ")</f>
        <v xml:space="preserve"> </v>
      </c>
      <c r="F235" s="8" t="str">
        <f>IF('Course 4'!$H233='tab4'!F$3,'Course 4'!$I233," ")</f>
        <v xml:space="preserve"> </v>
      </c>
      <c r="G235" s="8" t="str">
        <f>IF('Course 4'!$H233='tab4'!G$3,'Course 4'!$I233," ")</f>
        <v xml:space="preserve"> </v>
      </c>
      <c r="H235" s="8" t="str">
        <f>IF('Course 4'!$H233='tab4'!H$3,'Course 4'!$I233," ")</f>
        <v xml:space="preserve"> </v>
      </c>
      <c r="I235" s="8" t="str">
        <f>IF('Course 4'!$H233='tab4'!I$3,'Course 4'!$I233," ")</f>
        <v xml:space="preserve"> </v>
      </c>
      <c r="J235" s="8" t="str">
        <f>IF('Course 4'!$H233='tab4'!J$3,'Course 4'!$I233," ")</f>
        <v xml:space="preserve"> </v>
      </c>
      <c r="K235" s="8" t="str">
        <f>IF('Course 4'!$H233='tab4'!K$3,'Course 4'!$I233," ")</f>
        <v xml:space="preserve"> </v>
      </c>
      <c r="L235" s="8" t="str">
        <f>IF('Course 4'!$H233='tab4'!L$3,'Course 4'!$I233," ")</f>
        <v xml:space="preserve"> </v>
      </c>
      <c r="M235" s="8" t="str">
        <f>IF('Course 4'!$H233='tab4'!M$3,'Course 4'!$I233," ")</f>
        <v xml:space="preserve"> </v>
      </c>
      <c r="N235" s="9" t="str">
        <f>IF('Course 4'!$H233='tab4'!N$3,'Course 4'!$I233," ")</f>
        <v xml:space="preserve"> </v>
      </c>
    </row>
    <row r="236" spans="2:14">
      <c r="B236">
        <v>232</v>
      </c>
      <c r="C236" s="7" t="str">
        <f>IF('Course 4'!$H234='tab4'!C$3,'Course 4'!$I234," ")</f>
        <v xml:space="preserve"> </v>
      </c>
      <c r="D236" s="8" t="str">
        <f>IF('Course 4'!$H234='tab4'!D$3,'Course 4'!$I234," ")</f>
        <v xml:space="preserve"> </v>
      </c>
      <c r="E236" s="8" t="str">
        <f>IF('Course 4'!$H234='tab4'!E$3,'Course 4'!$I234," ")</f>
        <v xml:space="preserve"> </v>
      </c>
      <c r="F236" s="8" t="str">
        <f>IF('Course 4'!$H234='tab4'!F$3,'Course 4'!$I234," ")</f>
        <v xml:space="preserve"> </v>
      </c>
      <c r="G236" s="8" t="str">
        <f>IF('Course 4'!$H234='tab4'!G$3,'Course 4'!$I234," ")</f>
        <v xml:space="preserve"> </v>
      </c>
      <c r="H236" s="8" t="str">
        <f>IF('Course 4'!$H234='tab4'!H$3,'Course 4'!$I234," ")</f>
        <v xml:space="preserve"> </v>
      </c>
      <c r="I236" s="8" t="str">
        <f>IF('Course 4'!$H234='tab4'!I$3,'Course 4'!$I234," ")</f>
        <v xml:space="preserve"> </v>
      </c>
      <c r="J236" s="8" t="str">
        <f>IF('Course 4'!$H234='tab4'!J$3,'Course 4'!$I234," ")</f>
        <v xml:space="preserve"> </v>
      </c>
      <c r="K236" s="8" t="str">
        <f>IF('Course 4'!$H234='tab4'!K$3,'Course 4'!$I234," ")</f>
        <v xml:space="preserve"> </v>
      </c>
      <c r="L236" s="8" t="str">
        <f>IF('Course 4'!$H234='tab4'!L$3,'Course 4'!$I234," ")</f>
        <v xml:space="preserve"> </v>
      </c>
      <c r="M236" s="8" t="str">
        <f>IF('Course 4'!$H234='tab4'!M$3,'Course 4'!$I234," ")</f>
        <v xml:space="preserve"> </v>
      </c>
      <c r="N236" s="9" t="str">
        <f>IF('Course 4'!$H234='tab4'!N$3,'Course 4'!$I234," ")</f>
        <v xml:space="preserve"> </v>
      </c>
    </row>
    <row r="237" spans="2:14">
      <c r="B237">
        <v>233</v>
      </c>
      <c r="C237" s="7" t="str">
        <f>IF('Course 4'!$H235='tab4'!C$3,'Course 4'!$I235," ")</f>
        <v xml:space="preserve"> </v>
      </c>
      <c r="D237" s="8" t="str">
        <f>IF('Course 4'!$H235='tab4'!D$3,'Course 4'!$I235," ")</f>
        <v xml:space="preserve"> </v>
      </c>
      <c r="E237" s="8" t="str">
        <f>IF('Course 4'!$H235='tab4'!E$3,'Course 4'!$I235," ")</f>
        <v xml:space="preserve"> </v>
      </c>
      <c r="F237" s="8" t="str">
        <f>IF('Course 4'!$H235='tab4'!F$3,'Course 4'!$I235," ")</f>
        <v xml:space="preserve"> </v>
      </c>
      <c r="G237" s="8" t="str">
        <f>IF('Course 4'!$H235='tab4'!G$3,'Course 4'!$I235," ")</f>
        <v xml:space="preserve"> </v>
      </c>
      <c r="H237" s="8" t="str">
        <f>IF('Course 4'!$H235='tab4'!H$3,'Course 4'!$I235," ")</f>
        <v xml:space="preserve"> </v>
      </c>
      <c r="I237" s="8" t="str">
        <f>IF('Course 4'!$H235='tab4'!I$3,'Course 4'!$I235," ")</f>
        <v xml:space="preserve"> </v>
      </c>
      <c r="J237" s="8" t="str">
        <f>IF('Course 4'!$H235='tab4'!J$3,'Course 4'!$I235," ")</f>
        <v xml:space="preserve"> </v>
      </c>
      <c r="K237" s="8" t="str">
        <f>IF('Course 4'!$H235='tab4'!K$3,'Course 4'!$I235," ")</f>
        <v xml:space="preserve"> </v>
      </c>
      <c r="L237" s="8" t="str">
        <f>IF('Course 4'!$H235='tab4'!L$3,'Course 4'!$I235," ")</f>
        <v xml:space="preserve"> </v>
      </c>
      <c r="M237" s="8" t="str">
        <f>IF('Course 4'!$H235='tab4'!M$3,'Course 4'!$I235," ")</f>
        <v xml:space="preserve"> </v>
      </c>
      <c r="N237" s="9" t="str">
        <f>IF('Course 4'!$H235='tab4'!N$3,'Course 4'!$I235," ")</f>
        <v xml:space="preserve"> </v>
      </c>
    </row>
    <row r="238" spans="2:14">
      <c r="B238">
        <v>234</v>
      </c>
      <c r="C238" s="7" t="str">
        <f>IF('Course 4'!$H236='tab4'!C$3,'Course 4'!$I236," ")</f>
        <v xml:space="preserve"> </v>
      </c>
      <c r="D238" s="8" t="str">
        <f>IF('Course 4'!$H236='tab4'!D$3,'Course 4'!$I236," ")</f>
        <v xml:space="preserve"> </v>
      </c>
      <c r="E238" s="8" t="str">
        <f>IF('Course 4'!$H236='tab4'!E$3,'Course 4'!$I236," ")</f>
        <v xml:space="preserve"> </v>
      </c>
      <c r="F238" s="8" t="str">
        <f>IF('Course 4'!$H236='tab4'!F$3,'Course 4'!$I236," ")</f>
        <v xml:space="preserve"> </v>
      </c>
      <c r="G238" s="8" t="str">
        <f>IF('Course 4'!$H236='tab4'!G$3,'Course 4'!$I236," ")</f>
        <v xml:space="preserve"> </v>
      </c>
      <c r="H238" s="8" t="str">
        <f>IF('Course 4'!$H236='tab4'!H$3,'Course 4'!$I236," ")</f>
        <v xml:space="preserve"> </v>
      </c>
      <c r="I238" s="8" t="str">
        <f>IF('Course 4'!$H236='tab4'!I$3,'Course 4'!$I236," ")</f>
        <v xml:space="preserve"> </v>
      </c>
      <c r="J238" s="8" t="str">
        <f>IF('Course 4'!$H236='tab4'!J$3,'Course 4'!$I236," ")</f>
        <v xml:space="preserve"> </v>
      </c>
      <c r="K238" s="8" t="str">
        <f>IF('Course 4'!$H236='tab4'!K$3,'Course 4'!$I236," ")</f>
        <v xml:space="preserve"> </v>
      </c>
      <c r="L238" s="8" t="str">
        <f>IF('Course 4'!$H236='tab4'!L$3,'Course 4'!$I236," ")</f>
        <v xml:space="preserve"> </v>
      </c>
      <c r="M238" s="8" t="str">
        <f>IF('Course 4'!$H236='tab4'!M$3,'Course 4'!$I236," ")</f>
        <v xml:space="preserve"> </v>
      </c>
      <c r="N238" s="9" t="str">
        <f>IF('Course 4'!$H236='tab4'!N$3,'Course 4'!$I236," ")</f>
        <v xml:space="preserve"> </v>
      </c>
    </row>
    <row r="239" spans="2:14">
      <c r="B239">
        <v>235</v>
      </c>
      <c r="C239" s="7" t="str">
        <f>IF('Course 4'!$H237='tab4'!C$3,'Course 4'!$I237," ")</f>
        <v xml:space="preserve"> </v>
      </c>
      <c r="D239" s="8" t="str">
        <f>IF('Course 4'!$H237='tab4'!D$3,'Course 4'!$I237," ")</f>
        <v xml:space="preserve"> </v>
      </c>
      <c r="E239" s="8" t="str">
        <f>IF('Course 4'!$H237='tab4'!E$3,'Course 4'!$I237," ")</f>
        <v xml:space="preserve"> </v>
      </c>
      <c r="F239" s="8" t="str">
        <f>IF('Course 4'!$H237='tab4'!F$3,'Course 4'!$I237," ")</f>
        <v xml:space="preserve"> </v>
      </c>
      <c r="G239" s="8" t="str">
        <f>IF('Course 4'!$H237='tab4'!G$3,'Course 4'!$I237," ")</f>
        <v xml:space="preserve"> </v>
      </c>
      <c r="H239" s="8" t="str">
        <f>IF('Course 4'!$H237='tab4'!H$3,'Course 4'!$I237," ")</f>
        <v xml:space="preserve"> </v>
      </c>
      <c r="I239" s="8" t="str">
        <f>IF('Course 4'!$H237='tab4'!I$3,'Course 4'!$I237," ")</f>
        <v xml:space="preserve"> </v>
      </c>
      <c r="J239" s="8" t="str">
        <f>IF('Course 4'!$H237='tab4'!J$3,'Course 4'!$I237," ")</f>
        <v xml:space="preserve"> </v>
      </c>
      <c r="K239" s="8" t="str">
        <f>IF('Course 4'!$H237='tab4'!K$3,'Course 4'!$I237," ")</f>
        <v xml:space="preserve"> </v>
      </c>
      <c r="L239" s="8" t="str">
        <f>IF('Course 4'!$H237='tab4'!L$3,'Course 4'!$I237," ")</f>
        <v xml:space="preserve"> </v>
      </c>
      <c r="M239" s="8" t="str">
        <f>IF('Course 4'!$H237='tab4'!M$3,'Course 4'!$I237," ")</f>
        <v xml:space="preserve"> </v>
      </c>
      <c r="N239" s="9" t="str">
        <f>IF('Course 4'!$H237='tab4'!N$3,'Course 4'!$I237," ")</f>
        <v xml:space="preserve"> </v>
      </c>
    </row>
    <row r="240" spans="2:14">
      <c r="B240">
        <v>236</v>
      </c>
      <c r="C240" s="7" t="str">
        <f>IF('Course 4'!$H238='tab4'!C$3,'Course 4'!$I238," ")</f>
        <v xml:space="preserve"> </v>
      </c>
      <c r="D240" s="8" t="str">
        <f>IF('Course 4'!$H238='tab4'!D$3,'Course 4'!$I238," ")</f>
        <v xml:space="preserve"> </v>
      </c>
      <c r="E240" s="8" t="str">
        <f>IF('Course 4'!$H238='tab4'!E$3,'Course 4'!$I238," ")</f>
        <v xml:space="preserve"> </v>
      </c>
      <c r="F240" s="8" t="str">
        <f>IF('Course 4'!$H238='tab4'!F$3,'Course 4'!$I238," ")</f>
        <v xml:space="preserve"> </v>
      </c>
      <c r="G240" s="8" t="str">
        <f>IF('Course 4'!$H238='tab4'!G$3,'Course 4'!$I238," ")</f>
        <v xml:space="preserve"> </v>
      </c>
      <c r="H240" s="8" t="str">
        <f>IF('Course 4'!$H238='tab4'!H$3,'Course 4'!$I238," ")</f>
        <v xml:space="preserve"> </v>
      </c>
      <c r="I240" s="8" t="str">
        <f>IF('Course 4'!$H238='tab4'!I$3,'Course 4'!$I238," ")</f>
        <v xml:space="preserve"> </v>
      </c>
      <c r="J240" s="8" t="str">
        <f>IF('Course 4'!$H238='tab4'!J$3,'Course 4'!$I238," ")</f>
        <v xml:space="preserve"> </v>
      </c>
      <c r="K240" s="8" t="str">
        <f>IF('Course 4'!$H238='tab4'!K$3,'Course 4'!$I238," ")</f>
        <v xml:space="preserve"> </v>
      </c>
      <c r="L240" s="8" t="str">
        <f>IF('Course 4'!$H238='tab4'!L$3,'Course 4'!$I238," ")</f>
        <v xml:space="preserve"> </v>
      </c>
      <c r="M240" s="8" t="str">
        <f>IF('Course 4'!$H238='tab4'!M$3,'Course 4'!$I238," ")</f>
        <v xml:space="preserve"> </v>
      </c>
      <c r="N240" s="9" t="str">
        <f>IF('Course 4'!$H238='tab4'!N$3,'Course 4'!$I238," ")</f>
        <v xml:space="preserve"> </v>
      </c>
    </row>
    <row r="241" spans="2:14">
      <c r="B241">
        <v>237</v>
      </c>
      <c r="C241" s="7" t="str">
        <f>IF('Course 4'!$H239='tab4'!C$3,'Course 4'!$I239," ")</f>
        <v xml:space="preserve"> </v>
      </c>
      <c r="D241" s="8" t="str">
        <f>IF('Course 4'!$H239='tab4'!D$3,'Course 4'!$I239," ")</f>
        <v xml:space="preserve"> </v>
      </c>
      <c r="E241" s="8" t="str">
        <f>IF('Course 4'!$H239='tab4'!E$3,'Course 4'!$I239," ")</f>
        <v xml:space="preserve"> </v>
      </c>
      <c r="F241" s="8" t="str">
        <f>IF('Course 4'!$H239='tab4'!F$3,'Course 4'!$I239," ")</f>
        <v xml:space="preserve"> </v>
      </c>
      <c r="G241" s="8" t="str">
        <f>IF('Course 4'!$H239='tab4'!G$3,'Course 4'!$I239," ")</f>
        <v xml:space="preserve"> </v>
      </c>
      <c r="H241" s="8" t="str">
        <f>IF('Course 4'!$H239='tab4'!H$3,'Course 4'!$I239," ")</f>
        <v xml:space="preserve"> </v>
      </c>
      <c r="I241" s="8" t="str">
        <f>IF('Course 4'!$H239='tab4'!I$3,'Course 4'!$I239," ")</f>
        <v xml:space="preserve"> </v>
      </c>
      <c r="J241" s="8" t="str">
        <f>IF('Course 4'!$H239='tab4'!J$3,'Course 4'!$I239," ")</f>
        <v xml:space="preserve"> </v>
      </c>
      <c r="K241" s="8" t="str">
        <f>IF('Course 4'!$H239='tab4'!K$3,'Course 4'!$I239," ")</f>
        <v xml:space="preserve"> </v>
      </c>
      <c r="L241" s="8" t="str">
        <f>IF('Course 4'!$H239='tab4'!L$3,'Course 4'!$I239," ")</f>
        <v xml:space="preserve"> </v>
      </c>
      <c r="M241" s="8" t="str">
        <f>IF('Course 4'!$H239='tab4'!M$3,'Course 4'!$I239," ")</f>
        <v xml:space="preserve"> </v>
      </c>
      <c r="N241" s="9" t="str">
        <f>IF('Course 4'!$H239='tab4'!N$3,'Course 4'!$I239," ")</f>
        <v xml:space="preserve"> </v>
      </c>
    </row>
    <row r="242" spans="2:14">
      <c r="B242">
        <v>238</v>
      </c>
      <c r="C242" s="7" t="str">
        <f>IF('Course 4'!$H240='tab4'!C$3,'Course 4'!$I240," ")</f>
        <v xml:space="preserve"> </v>
      </c>
      <c r="D242" s="8" t="str">
        <f>IF('Course 4'!$H240='tab4'!D$3,'Course 4'!$I240," ")</f>
        <v xml:space="preserve"> </v>
      </c>
      <c r="E242" s="8" t="str">
        <f>IF('Course 4'!$H240='tab4'!E$3,'Course 4'!$I240," ")</f>
        <v xml:space="preserve"> </v>
      </c>
      <c r="F242" s="8" t="str">
        <f>IF('Course 4'!$H240='tab4'!F$3,'Course 4'!$I240," ")</f>
        <v xml:space="preserve"> </v>
      </c>
      <c r="G242" s="8" t="str">
        <f>IF('Course 4'!$H240='tab4'!G$3,'Course 4'!$I240," ")</f>
        <v xml:space="preserve"> </v>
      </c>
      <c r="H242" s="8" t="str">
        <f>IF('Course 4'!$H240='tab4'!H$3,'Course 4'!$I240," ")</f>
        <v xml:space="preserve"> </v>
      </c>
      <c r="I242" s="8" t="str">
        <f>IF('Course 4'!$H240='tab4'!I$3,'Course 4'!$I240," ")</f>
        <v xml:space="preserve"> </v>
      </c>
      <c r="J242" s="8" t="str">
        <f>IF('Course 4'!$H240='tab4'!J$3,'Course 4'!$I240," ")</f>
        <v xml:space="preserve"> </v>
      </c>
      <c r="K242" s="8" t="str">
        <f>IF('Course 4'!$H240='tab4'!K$3,'Course 4'!$I240," ")</f>
        <v xml:space="preserve"> </v>
      </c>
      <c r="L242" s="8" t="str">
        <f>IF('Course 4'!$H240='tab4'!L$3,'Course 4'!$I240," ")</f>
        <v xml:space="preserve"> </v>
      </c>
      <c r="M242" s="8" t="str">
        <f>IF('Course 4'!$H240='tab4'!M$3,'Course 4'!$I240," ")</f>
        <v xml:space="preserve"> </v>
      </c>
      <c r="N242" s="9" t="str">
        <f>IF('Course 4'!$H240='tab4'!N$3,'Course 4'!$I240," ")</f>
        <v xml:space="preserve"> </v>
      </c>
    </row>
    <row r="243" spans="2:14">
      <c r="B243">
        <v>239</v>
      </c>
      <c r="C243" s="7" t="str">
        <f>IF('Course 4'!$H241='tab4'!C$3,'Course 4'!$I241," ")</f>
        <v xml:space="preserve"> </v>
      </c>
      <c r="D243" s="8" t="str">
        <f>IF('Course 4'!$H241='tab4'!D$3,'Course 4'!$I241," ")</f>
        <v xml:space="preserve"> </v>
      </c>
      <c r="E243" s="8" t="str">
        <f>IF('Course 4'!$H241='tab4'!E$3,'Course 4'!$I241," ")</f>
        <v xml:space="preserve"> </v>
      </c>
      <c r="F243" s="8" t="str">
        <f>IF('Course 4'!$H241='tab4'!F$3,'Course 4'!$I241," ")</f>
        <v xml:space="preserve"> </v>
      </c>
      <c r="G243" s="8" t="str">
        <f>IF('Course 4'!$H241='tab4'!G$3,'Course 4'!$I241," ")</f>
        <v xml:space="preserve"> </v>
      </c>
      <c r="H243" s="8" t="str">
        <f>IF('Course 4'!$H241='tab4'!H$3,'Course 4'!$I241," ")</f>
        <v xml:space="preserve"> </v>
      </c>
      <c r="I243" s="8" t="str">
        <f>IF('Course 4'!$H241='tab4'!I$3,'Course 4'!$I241," ")</f>
        <v xml:space="preserve"> </v>
      </c>
      <c r="J243" s="8" t="str">
        <f>IF('Course 4'!$H241='tab4'!J$3,'Course 4'!$I241," ")</f>
        <v xml:space="preserve"> </v>
      </c>
      <c r="K243" s="8" t="str">
        <f>IF('Course 4'!$H241='tab4'!K$3,'Course 4'!$I241," ")</f>
        <v xml:space="preserve"> </v>
      </c>
      <c r="L243" s="8" t="str">
        <f>IF('Course 4'!$H241='tab4'!L$3,'Course 4'!$I241," ")</f>
        <v xml:space="preserve"> </v>
      </c>
      <c r="M243" s="8" t="str">
        <f>IF('Course 4'!$H241='tab4'!M$3,'Course 4'!$I241," ")</f>
        <v xml:space="preserve"> </v>
      </c>
      <c r="N243" s="9" t="str">
        <f>IF('Course 4'!$H241='tab4'!N$3,'Course 4'!$I241," ")</f>
        <v xml:space="preserve"> </v>
      </c>
    </row>
    <row r="244" spans="2:14">
      <c r="B244">
        <v>240</v>
      </c>
      <c r="C244" s="7" t="str">
        <f>IF('Course 4'!$H242='tab4'!C$3,'Course 4'!$I242," ")</f>
        <v xml:space="preserve"> </v>
      </c>
      <c r="D244" s="8" t="str">
        <f>IF('Course 4'!$H242='tab4'!D$3,'Course 4'!$I242," ")</f>
        <v xml:space="preserve"> </v>
      </c>
      <c r="E244" s="8" t="str">
        <f>IF('Course 4'!$H242='tab4'!E$3,'Course 4'!$I242," ")</f>
        <v xml:space="preserve"> </v>
      </c>
      <c r="F244" s="8" t="str">
        <f>IF('Course 4'!$H242='tab4'!F$3,'Course 4'!$I242," ")</f>
        <v xml:space="preserve"> </v>
      </c>
      <c r="G244" s="8" t="str">
        <f>IF('Course 4'!$H242='tab4'!G$3,'Course 4'!$I242," ")</f>
        <v xml:space="preserve"> </v>
      </c>
      <c r="H244" s="8" t="str">
        <f>IF('Course 4'!$H242='tab4'!H$3,'Course 4'!$I242," ")</f>
        <v xml:space="preserve"> </v>
      </c>
      <c r="I244" s="8" t="str">
        <f>IF('Course 4'!$H242='tab4'!I$3,'Course 4'!$I242," ")</f>
        <v xml:space="preserve"> </v>
      </c>
      <c r="J244" s="8" t="str">
        <f>IF('Course 4'!$H242='tab4'!J$3,'Course 4'!$I242," ")</f>
        <v xml:space="preserve"> </v>
      </c>
      <c r="K244" s="8" t="str">
        <f>IF('Course 4'!$H242='tab4'!K$3,'Course 4'!$I242," ")</f>
        <v xml:space="preserve"> </v>
      </c>
      <c r="L244" s="8" t="str">
        <f>IF('Course 4'!$H242='tab4'!L$3,'Course 4'!$I242," ")</f>
        <v xml:space="preserve"> </v>
      </c>
      <c r="M244" s="8" t="str">
        <f>IF('Course 4'!$H242='tab4'!M$3,'Course 4'!$I242," ")</f>
        <v xml:space="preserve"> </v>
      </c>
      <c r="N244" s="9" t="str">
        <f>IF('Course 4'!$H242='tab4'!N$3,'Course 4'!$I242," ")</f>
        <v xml:space="preserve"> </v>
      </c>
    </row>
    <row r="245" spans="2:14">
      <c r="B245">
        <v>241</v>
      </c>
      <c r="C245" s="7" t="str">
        <f>IF('Course 4'!$H243='tab4'!C$3,'Course 4'!$I243," ")</f>
        <v xml:space="preserve"> </v>
      </c>
      <c r="D245" s="8" t="str">
        <f>IF('Course 4'!$H243='tab4'!D$3,'Course 4'!$I243," ")</f>
        <v xml:space="preserve"> </v>
      </c>
      <c r="E245" s="8" t="str">
        <f>IF('Course 4'!$H243='tab4'!E$3,'Course 4'!$I243," ")</f>
        <v xml:space="preserve"> </v>
      </c>
      <c r="F245" s="8" t="str">
        <f>IF('Course 4'!$H243='tab4'!F$3,'Course 4'!$I243," ")</f>
        <v xml:space="preserve"> </v>
      </c>
      <c r="G245" s="8" t="str">
        <f>IF('Course 4'!$H243='tab4'!G$3,'Course 4'!$I243," ")</f>
        <v xml:space="preserve"> </v>
      </c>
      <c r="H245" s="8" t="str">
        <f>IF('Course 4'!$H243='tab4'!H$3,'Course 4'!$I243," ")</f>
        <v xml:space="preserve"> </v>
      </c>
      <c r="I245" s="8" t="str">
        <f>IF('Course 4'!$H243='tab4'!I$3,'Course 4'!$I243," ")</f>
        <v xml:space="preserve"> </v>
      </c>
      <c r="J245" s="8" t="str">
        <f>IF('Course 4'!$H243='tab4'!J$3,'Course 4'!$I243," ")</f>
        <v xml:space="preserve"> </v>
      </c>
      <c r="K245" s="8" t="str">
        <f>IF('Course 4'!$H243='tab4'!K$3,'Course 4'!$I243," ")</f>
        <v xml:space="preserve"> </v>
      </c>
      <c r="L245" s="8" t="str">
        <f>IF('Course 4'!$H243='tab4'!L$3,'Course 4'!$I243," ")</f>
        <v xml:space="preserve"> </v>
      </c>
      <c r="M245" s="8" t="str">
        <f>IF('Course 4'!$H243='tab4'!M$3,'Course 4'!$I243," ")</f>
        <v xml:space="preserve"> </v>
      </c>
      <c r="N245" s="9" t="str">
        <f>IF('Course 4'!$H243='tab4'!N$3,'Course 4'!$I243," ")</f>
        <v xml:space="preserve"> </v>
      </c>
    </row>
    <row r="246" spans="2:14">
      <c r="B246">
        <v>242</v>
      </c>
      <c r="C246" s="7" t="str">
        <f>IF('Course 4'!$H244='tab4'!C$3,'Course 4'!$I244," ")</f>
        <v xml:space="preserve"> </v>
      </c>
      <c r="D246" s="8" t="str">
        <f>IF('Course 4'!$H244='tab4'!D$3,'Course 4'!$I244," ")</f>
        <v xml:space="preserve"> </v>
      </c>
      <c r="E246" s="8" t="str">
        <f>IF('Course 4'!$H244='tab4'!E$3,'Course 4'!$I244," ")</f>
        <v xml:space="preserve"> </v>
      </c>
      <c r="F246" s="8" t="str">
        <f>IF('Course 4'!$H244='tab4'!F$3,'Course 4'!$I244," ")</f>
        <v xml:space="preserve"> </v>
      </c>
      <c r="G246" s="8" t="str">
        <f>IF('Course 4'!$H244='tab4'!G$3,'Course 4'!$I244," ")</f>
        <v xml:space="preserve"> </v>
      </c>
      <c r="H246" s="8" t="str">
        <f>IF('Course 4'!$H244='tab4'!H$3,'Course 4'!$I244," ")</f>
        <v xml:space="preserve"> </v>
      </c>
      <c r="I246" s="8" t="str">
        <f>IF('Course 4'!$H244='tab4'!I$3,'Course 4'!$I244," ")</f>
        <v xml:space="preserve"> </v>
      </c>
      <c r="J246" s="8" t="str">
        <f>IF('Course 4'!$H244='tab4'!J$3,'Course 4'!$I244," ")</f>
        <v xml:space="preserve"> </v>
      </c>
      <c r="K246" s="8" t="str">
        <f>IF('Course 4'!$H244='tab4'!K$3,'Course 4'!$I244," ")</f>
        <v xml:space="preserve"> </v>
      </c>
      <c r="L246" s="8" t="str">
        <f>IF('Course 4'!$H244='tab4'!L$3,'Course 4'!$I244," ")</f>
        <v xml:space="preserve"> </v>
      </c>
      <c r="M246" s="8" t="str">
        <f>IF('Course 4'!$H244='tab4'!M$3,'Course 4'!$I244," ")</f>
        <v xml:space="preserve"> </v>
      </c>
      <c r="N246" s="9" t="str">
        <f>IF('Course 4'!$H244='tab4'!N$3,'Course 4'!$I244," ")</f>
        <v xml:space="preserve"> </v>
      </c>
    </row>
    <row r="247" spans="2:14">
      <c r="B247">
        <v>243</v>
      </c>
      <c r="C247" s="7" t="str">
        <f>IF('Course 4'!$H245='tab4'!C$3,'Course 4'!$I245," ")</f>
        <v xml:space="preserve"> </v>
      </c>
      <c r="D247" s="8" t="str">
        <f>IF('Course 4'!$H245='tab4'!D$3,'Course 4'!$I245," ")</f>
        <v xml:space="preserve"> </v>
      </c>
      <c r="E247" s="8" t="str">
        <f>IF('Course 4'!$H245='tab4'!E$3,'Course 4'!$I245," ")</f>
        <v xml:space="preserve"> </v>
      </c>
      <c r="F247" s="8" t="str">
        <f>IF('Course 4'!$H245='tab4'!F$3,'Course 4'!$I245," ")</f>
        <v xml:space="preserve"> </v>
      </c>
      <c r="G247" s="8" t="str">
        <f>IF('Course 4'!$H245='tab4'!G$3,'Course 4'!$I245," ")</f>
        <v xml:space="preserve"> </v>
      </c>
      <c r="H247" s="8" t="str">
        <f>IF('Course 4'!$H245='tab4'!H$3,'Course 4'!$I245," ")</f>
        <v xml:space="preserve"> </v>
      </c>
      <c r="I247" s="8" t="str">
        <f>IF('Course 4'!$H245='tab4'!I$3,'Course 4'!$I245," ")</f>
        <v xml:space="preserve"> </v>
      </c>
      <c r="J247" s="8" t="str">
        <f>IF('Course 4'!$H245='tab4'!J$3,'Course 4'!$I245," ")</f>
        <v xml:space="preserve"> </v>
      </c>
      <c r="K247" s="8" t="str">
        <f>IF('Course 4'!$H245='tab4'!K$3,'Course 4'!$I245," ")</f>
        <v xml:space="preserve"> </v>
      </c>
      <c r="L247" s="8" t="str">
        <f>IF('Course 4'!$H245='tab4'!L$3,'Course 4'!$I245," ")</f>
        <v xml:space="preserve"> </v>
      </c>
      <c r="M247" s="8" t="str">
        <f>IF('Course 4'!$H245='tab4'!M$3,'Course 4'!$I245," ")</f>
        <v xml:space="preserve"> </v>
      </c>
      <c r="N247" s="9" t="str">
        <f>IF('Course 4'!$H245='tab4'!N$3,'Course 4'!$I245," ")</f>
        <v xml:space="preserve"> </v>
      </c>
    </row>
    <row r="248" spans="2:14">
      <c r="B248">
        <v>244</v>
      </c>
      <c r="C248" s="7" t="str">
        <f>IF('Course 4'!$H246='tab4'!C$3,'Course 4'!$I246," ")</f>
        <v xml:space="preserve"> </v>
      </c>
      <c r="D248" s="8" t="str">
        <f>IF('Course 4'!$H246='tab4'!D$3,'Course 4'!$I246," ")</f>
        <v xml:space="preserve"> </v>
      </c>
      <c r="E248" s="8" t="str">
        <f>IF('Course 4'!$H246='tab4'!E$3,'Course 4'!$I246," ")</f>
        <v xml:space="preserve"> </v>
      </c>
      <c r="F248" s="8" t="str">
        <f>IF('Course 4'!$H246='tab4'!F$3,'Course 4'!$I246," ")</f>
        <v xml:space="preserve"> </v>
      </c>
      <c r="G248" s="8" t="str">
        <f>IF('Course 4'!$H246='tab4'!G$3,'Course 4'!$I246," ")</f>
        <v xml:space="preserve"> </v>
      </c>
      <c r="H248" s="8" t="str">
        <f>IF('Course 4'!$H246='tab4'!H$3,'Course 4'!$I246," ")</f>
        <v xml:space="preserve"> </v>
      </c>
      <c r="I248" s="8" t="str">
        <f>IF('Course 4'!$H246='tab4'!I$3,'Course 4'!$I246," ")</f>
        <v xml:space="preserve"> </v>
      </c>
      <c r="J248" s="8" t="str">
        <f>IF('Course 4'!$H246='tab4'!J$3,'Course 4'!$I246," ")</f>
        <v xml:space="preserve"> </v>
      </c>
      <c r="K248" s="8" t="str">
        <f>IF('Course 4'!$H246='tab4'!K$3,'Course 4'!$I246," ")</f>
        <v xml:space="preserve"> </v>
      </c>
      <c r="L248" s="8" t="str">
        <f>IF('Course 4'!$H246='tab4'!L$3,'Course 4'!$I246," ")</f>
        <v xml:space="preserve"> </v>
      </c>
      <c r="M248" s="8" t="str">
        <f>IF('Course 4'!$H246='tab4'!M$3,'Course 4'!$I246," ")</f>
        <v xml:space="preserve"> </v>
      </c>
      <c r="N248" s="9" t="str">
        <f>IF('Course 4'!$H246='tab4'!N$3,'Course 4'!$I246," ")</f>
        <v xml:space="preserve"> </v>
      </c>
    </row>
    <row r="249" spans="2:14">
      <c r="B249">
        <v>245</v>
      </c>
      <c r="C249" s="7" t="str">
        <f>IF('Course 4'!$H247='tab4'!C$3,'Course 4'!$I247," ")</f>
        <v xml:space="preserve"> </v>
      </c>
      <c r="D249" s="8" t="str">
        <f>IF('Course 4'!$H247='tab4'!D$3,'Course 4'!$I247," ")</f>
        <v xml:space="preserve"> </v>
      </c>
      <c r="E249" s="8" t="str">
        <f>IF('Course 4'!$H247='tab4'!E$3,'Course 4'!$I247," ")</f>
        <v xml:space="preserve"> </v>
      </c>
      <c r="F249" s="8" t="str">
        <f>IF('Course 4'!$H247='tab4'!F$3,'Course 4'!$I247," ")</f>
        <v xml:space="preserve"> </v>
      </c>
      <c r="G249" s="8" t="str">
        <f>IF('Course 4'!$H247='tab4'!G$3,'Course 4'!$I247," ")</f>
        <v xml:space="preserve"> </v>
      </c>
      <c r="H249" s="8" t="str">
        <f>IF('Course 4'!$H247='tab4'!H$3,'Course 4'!$I247," ")</f>
        <v xml:space="preserve"> </v>
      </c>
      <c r="I249" s="8" t="str">
        <f>IF('Course 4'!$H247='tab4'!I$3,'Course 4'!$I247," ")</f>
        <v xml:space="preserve"> </v>
      </c>
      <c r="J249" s="8" t="str">
        <f>IF('Course 4'!$H247='tab4'!J$3,'Course 4'!$I247," ")</f>
        <v xml:space="preserve"> </v>
      </c>
      <c r="K249" s="8" t="str">
        <f>IF('Course 4'!$H247='tab4'!K$3,'Course 4'!$I247," ")</f>
        <v xml:space="preserve"> </v>
      </c>
      <c r="L249" s="8" t="str">
        <f>IF('Course 4'!$H247='tab4'!L$3,'Course 4'!$I247," ")</f>
        <v xml:space="preserve"> </v>
      </c>
      <c r="M249" s="8" t="str">
        <f>IF('Course 4'!$H247='tab4'!M$3,'Course 4'!$I247," ")</f>
        <v xml:space="preserve"> </v>
      </c>
      <c r="N249" s="9" t="str">
        <f>IF('Course 4'!$H247='tab4'!N$3,'Course 4'!$I247," ")</f>
        <v xml:space="preserve"> </v>
      </c>
    </row>
    <row r="250" spans="2:14">
      <c r="B250">
        <v>246</v>
      </c>
      <c r="C250" s="7" t="str">
        <f>IF('Course 4'!$H248='tab4'!C$3,'Course 4'!$I248," ")</f>
        <v xml:space="preserve"> </v>
      </c>
      <c r="D250" s="8" t="str">
        <f>IF('Course 4'!$H248='tab4'!D$3,'Course 4'!$I248," ")</f>
        <v xml:space="preserve"> </v>
      </c>
      <c r="E250" s="8" t="str">
        <f>IF('Course 4'!$H248='tab4'!E$3,'Course 4'!$I248," ")</f>
        <v xml:space="preserve"> </v>
      </c>
      <c r="F250" s="8" t="str">
        <f>IF('Course 4'!$H248='tab4'!F$3,'Course 4'!$I248," ")</f>
        <v xml:space="preserve"> </v>
      </c>
      <c r="G250" s="8" t="str">
        <f>IF('Course 4'!$H248='tab4'!G$3,'Course 4'!$I248," ")</f>
        <v xml:space="preserve"> </v>
      </c>
      <c r="H250" s="8" t="str">
        <f>IF('Course 4'!$H248='tab4'!H$3,'Course 4'!$I248," ")</f>
        <v xml:space="preserve"> </v>
      </c>
      <c r="I250" s="8" t="str">
        <f>IF('Course 4'!$H248='tab4'!I$3,'Course 4'!$I248," ")</f>
        <v xml:space="preserve"> </v>
      </c>
      <c r="J250" s="8" t="str">
        <f>IF('Course 4'!$H248='tab4'!J$3,'Course 4'!$I248," ")</f>
        <v xml:space="preserve"> </v>
      </c>
      <c r="K250" s="8" t="str">
        <f>IF('Course 4'!$H248='tab4'!K$3,'Course 4'!$I248," ")</f>
        <v xml:space="preserve"> </v>
      </c>
      <c r="L250" s="8" t="str">
        <f>IF('Course 4'!$H248='tab4'!L$3,'Course 4'!$I248," ")</f>
        <v xml:space="preserve"> </v>
      </c>
      <c r="M250" s="8" t="str">
        <f>IF('Course 4'!$H248='tab4'!M$3,'Course 4'!$I248," ")</f>
        <v xml:space="preserve"> </v>
      </c>
      <c r="N250" s="9" t="str">
        <f>IF('Course 4'!$H248='tab4'!N$3,'Course 4'!$I248," ")</f>
        <v xml:space="preserve"> </v>
      </c>
    </row>
    <row r="251" spans="2:14">
      <c r="B251">
        <v>247</v>
      </c>
      <c r="C251" s="7" t="str">
        <f>IF('Course 4'!$H249='tab4'!C$3,'Course 4'!$I249," ")</f>
        <v xml:space="preserve"> </v>
      </c>
      <c r="D251" s="8" t="str">
        <f>IF('Course 4'!$H249='tab4'!D$3,'Course 4'!$I249," ")</f>
        <v xml:space="preserve"> </v>
      </c>
      <c r="E251" s="8" t="str">
        <f>IF('Course 4'!$H249='tab4'!E$3,'Course 4'!$I249," ")</f>
        <v xml:space="preserve"> </v>
      </c>
      <c r="F251" s="8" t="str">
        <f>IF('Course 4'!$H249='tab4'!F$3,'Course 4'!$I249," ")</f>
        <v xml:space="preserve"> </v>
      </c>
      <c r="G251" s="8" t="str">
        <f>IF('Course 4'!$H249='tab4'!G$3,'Course 4'!$I249," ")</f>
        <v xml:space="preserve"> </v>
      </c>
      <c r="H251" s="8" t="str">
        <f>IF('Course 4'!$H249='tab4'!H$3,'Course 4'!$I249," ")</f>
        <v xml:space="preserve"> </v>
      </c>
      <c r="I251" s="8" t="str">
        <f>IF('Course 4'!$H249='tab4'!I$3,'Course 4'!$I249," ")</f>
        <v xml:space="preserve"> </v>
      </c>
      <c r="J251" s="8" t="str">
        <f>IF('Course 4'!$H249='tab4'!J$3,'Course 4'!$I249," ")</f>
        <v xml:space="preserve"> </v>
      </c>
      <c r="K251" s="8" t="str">
        <f>IF('Course 4'!$H249='tab4'!K$3,'Course 4'!$I249," ")</f>
        <v xml:space="preserve"> </v>
      </c>
      <c r="L251" s="8" t="str">
        <f>IF('Course 4'!$H249='tab4'!L$3,'Course 4'!$I249," ")</f>
        <v xml:space="preserve"> </v>
      </c>
      <c r="M251" s="8" t="str">
        <f>IF('Course 4'!$H249='tab4'!M$3,'Course 4'!$I249," ")</f>
        <v xml:space="preserve"> </v>
      </c>
      <c r="N251" s="9" t="str">
        <f>IF('Course 4'!$H249='tab4'!N$3,'Course 4'!$I249," ")</f>
        <v xml:space="preserve"> </v>
      </c>
    </row>
    <row r="252" spans="2:14">
      <c r="B252">
        <v>248</v>
      </c>
      <c r="C252" s="7" t="str">
        <f>IF('Course 4'!$H250='tab4'!C$3,'Course 4'!$I250," ")</f>
        <v xml:space="preserve"> </v>
      </c>
      <c r="D252" s="8" t="str">
        <f>IF('Course 4'!$H250='tab4'!D$3,'Course 4'!$I250," ")</f>
        <v xml:space="preserve"> </v>
      </c>
      <c r="E252" s="8" t="str">
        <f>IF('Course 4'!$H250='tab4'!E$3,'Course 4'!$I250," ")</f>
        <v xml:space="preserve"> </v>
      </c>
      <c r="F252" s="8" t="str">
        <f>IF('Course 4'!$H250='tab4'!F$3,'Course 4'!$I250," ")</f>
        <v xml:space="preserve"> </v>
      </c>
      <c r="G252" s="8" t="str">
        <f>IF('Course 4'!$H250='tab4'!G$3,'Course 4'!$I250," ")</f>
        <v xml:space="preserve"> </v>
      </c>
      <c r="H252" s="8" t="str">
        <f>IF('Course 4'!$H250='tab4'!H$3,'Course 4'!$I250," ")</f>
        <v xml:space="preserve"> </v>
      </c>
      <c r="I252" s="8" t="str">
        <f>IF('Course 4'!$H250='tab4'!I$3,'Course 4'!$I250," ")</f>
        <v xml:space="preserve"> </v>
      </c>
      <c r="J252" s="8" t="str">
        <f>IF('Course 4'!$H250='tab4'!J$3,'Course 4'!$I250," ")</f>
        <v xml:space="preserve"> </v>
      </c>
      <c r="K252" s="8" t="str">
        <f>IF('Course 4'!$H250='tab4'!K$3,'Course 4'!$I250," ")</f>
        <v xml:space="preserve"> </v>
      </c>
      <c r="L252" s="8" t="str">
        <f>IF('Course 4'!$H250='tab4'!L$3,'Course 4'!$I250," ")</f>
        <v xml:space="preserve"> </v>
      </c>
      <c r="M252" s="8" t="str">
        <f>IF('Course 4'!$H250='tab4'!M$3,'Course 4'!$I250," ")</f>
        <v xml:space="preserve"> </v>
      </c>
      <c r="N252" s="9" t="str">
        <f>IF('Course 4'!$H250='tab4'!N$3,'Course 4'!$I250," ")</f>
        <v xml:space="preserve"> </v>
      </c>
    </row>
    <row r="253" spans="2:14">
      <c r="B253">
        <v>249</v>
      </c>
      <c r="C253" s="7" t="str">
        <f>IF('Course 4'!$H251='tab4'!C$3,'Course 4'!$I251," ")</f>
        <v xml:space="preserve"> </v>
      </c>
      <c r="D253" s="8" t="str">
        <f>IF('Course 4'!$H251='tab4'!D$3,'Course 4'!$I251," ")</f>
        <v xml:space="preserve"> </v>
      </c>
      <c r="E253" s="8" t="str">
        <f>IF('Course 4'!$H251='tab4'!E$3,'Course 4'!$I251," ")</f>
        <v xml:space="preserve"> </v>
      </c>
      <c r="F253" s="8" t="str">
        <f>IF('Course 4'!$H251='tab4'!F$3,'Course 4'!$I251," ")</f>
        <v xml:space="preserve"> </v>
      </c>
      <c r="G253" s="8" t="str">
        <f>IF('Course 4'!$H251='tab4'!G$3,'Course 4'!$I251," ")</f>
        <v xml:space="preserve"> </v>
      </c>
      <c r="H253" s="8" t="str">
        <f>IF('Course 4'!$H251='tab4'!H$3,'Course 4'!$I251," ")</f>
        <v xml:space="preserve"> </v>
      </c>
      <c r="I253" s="8" t="str">
        <f>IF('Course 4'!$H251='tab4'!I$3,'Course 4'!$I251," ")</f>
        <v xml:space="preserve"> </v>
      </c>
      <c r="J253" s="8" t="str">
        <f>IF('Course 4'!$H251='tab4'!J$3,'Course 4'!$I251," ")</f>
        <v xml:space="preserve"> </v>
      </c>
      <c r="K253" s="8" t="str">
        <f>IF('Course 4'!$H251='tab4'!K$3,'Course 4'!$I251," ")</f>
        <v xml:space="preserve"> </v>
      </c>
      <c r="L253" s="8" t="str">
        <f>IF('Course 4'!$H251='tab4'!L$3,'Course 4'!$I251," ")</f>
        <v xml:space="preserve"> </v>
      </c>
      <c r="M253" s="8" t="str">
        <f>IF('Course 4'!$H251='tab4'!M$3,'Course 4'!$I251," ")</f>
        <v xml:space="preserve"> </v>
      </c>
      <c r="N253" s="9" t="str">
        <f>IF('Course 4'!$H251='tab4'!N$3,'Course 4'!$I251," ")</f>
        <v xml:space="preserve"> </v>
      </c>
    </row>
    <row r="254" spans="2:14">
      <c r="B254">
        <v>250</v>
      </c>
      <c r="C254" s="7" t="str">
        <f>IF('Course 4'!$H252='tab4'!C$3,'Course 4'!$I252," ")</f>
        <v xml:space="preserve"> </v>
      </c>
      <c r="D254" s="8" t="str">
        <f>IF('Course 4'!$H252='tab4'!D$3,'Course 4'!$I252," ")</f>
        <v xml:space="preserve"> </v>
      </c>
      <c r="E254" s="8" t="str">
        <f>IF('Course 4'!$H252='tab4'!E$3,'Course 4'!$I252," ")</f>
        <v xml:space="preserve"> </v>
      </c>
      <c r="F254" s="8" t="str">
        <f>IF('Course 4'!$H252='tab4'!F$3,'Course 4'!$I252," ")</f>
        <v xml:space="preserve"> </v>
      </c>
      <c r="G254" s="8" t="str">
        <f>IF('Course 4'!$H252='tab4'!G$3,'Course 4'!$I252," ")</f>
        <v xml:space="preserve"> </v>
      </c>
      <c r="H254" s="8" t="str">
        <f>IF('Course 4'!$H252='tab4'!H$3,'Course 4'!$I252," ")</f>
        <v xml:space="preserve"> </v>
      </c>
      <c r="I254" s="8" t="str">
        <f>IF('Course 4'!$H252='tab4'!I$3,'Course 4'!$I252," ")</f>
        <v xml:space="preserve"> </v>
      </c>
      <c r="J254" s="8" t="str">
        <f>IF('Course 4'!$H252='tab4'!J$3,'Course 4'!$I252," ")</f>
        <v xml:space="preserve"> </v>
      </c>
      <c r="K254" s="8" t="str">
        <f>IF('Course 4'!$H252='tab4'!K$3,'Course 4'!$I252," ")</f>
        <v xml:space="preserve"> </v>
      </c>
      <c r="L254" s="8" t="str">
        <f>IF('Course 4'!$H252='tab4'!L$3,'Course 4'!$I252," ")</f>
        <v xml:space="preserve"> </v>
      </c>
      <c r="M254" s="8" t="str">
        <f>IF('Course 4'!$H252='tab4'!M$3,'Course 4'!$I252," ")</f>
        <v xml:space="preserve"> </v>
      </c>
      <c r="N254" s="9" t="str">
        <f>IF('Course 4'!$H252='tab4'!N$3,'Course 4'!$I252," ")</f>
        <v xml:space="preserve"> </v>
      </c>
    </row>
    <row r="255" spans="2:14">
      <c r="B255">
        <v>251</v>
      </c>
      <c r="C255" s="7" t="str">
        <f>IF('Course 4'!$H253='tab4'!C$3,'Course 4'!$I253," ")</f>
        <v xml:space="preserve"> </v>
      </c>
      <c r="D255" s="8" t="str">
        <f>IF('Course 4'!$H253='tab4'!D$3,'Course 4'!$I253," ")</f>
        <v xml:space="preserve"> </v>
      </c>
      <c r="E255" s="8" t="str">
        <f>IF('Course 4'!$H253='tab4'!E$3,'Course 4'!$I253," ")</f>
        <v xml:space="preserve"> </v>
      </c>
      <c r="F255" s="8" t="str">
        <f>IF('Course 4'!$H253='tab4'!F$3,'Course 4'!$I253," ")</f>
        <v xml:space="preserve"> </v>
      </c>
      <c r="G255" s="8" t="str">
        <f>IF('Course 4'!$H253='tab4'!G$3,'Course 4'!$I253," ")</f>
        <v xml:space="preserve"> </v>
      </c>
      <c r="H255" s="8" t="str">
        <f>IF('Course 4'!$H253='tab4'!H$3,'Course 4'!$I253," ")</f>
        <v xml:space="preserve"> </v>
      </c>
      <c r="I255" s="8" t="str">
        <f>IF('Course 4'!$H253='tab4'!I$3,'Course 4'!$I253," ")</f>
        <v xml:space="preserve"> </v>
      </c>
      <c r="J255" s="8" t="str">
        <f>IF('Course 4'!$H253='tab4'!J$3,'Course 4'!$I253," ")</f>
        <v xml:space="preserve"> </v>
      </c>
      <c r="K255" s="8" t="str">
        <f>IF('Course 4'!$H253='tab4'!K$3,'Course 4'!$I253," ")</f>
        <v xml:space="preserve"> </v>
      </c>
      <c r="L255" s="8" t="str">
        <f>IF('Course 4'!$H253='tab4'!L$3,'Course 4'!$I253," ")</f>
        <v xml:space="preserve"> </v>
      </c>
      <c r="M255" s="8" t="str">
        <f>IF('Course 4'!$H253='tab4'!M$3,'Course 4'!$I253," ")</f>
        <v xml:space="preserve"> </v>
      </c>
      <c r="N255" s="9" t="str">
        <f>IF('Course 4'!$H253='tab4'!N$3,'Course 4'!$I253," ")</f>
        <v xml:space="preserve"> </v>
      </c>
    </row>
    <row r="256" spans="2:14">
      <c r="B256">
        <v>252</v>
      </c>
      <c r="C256" s="7" t="str">
        <f>IF('Course 4'!$H254='tab4'!C$3,'Course 4'!$I254," ")</f>
        <v xml:space="preserve"> </v>
      </c>
      <c r="D256" s="8" t="str">
        <f>IF('Course 4'!$H254='tab4'!D$3,'Course 4'!$I254," ")</f>
        <v xml:space="preserve"> </v>
      </c>
      <c r="E256" s="8" t="str">
        <f>IF('Course 4'!$H254='tab4'!E$3,'Course 4'!$I254," ")</f>
        <v xml:space="preserve"> </v>
      </c>
      <c r="F256" s="8" t="str">
        <f>IF('Course 4'!$H254='tab4'!F$3,'Course 4'!$I254," ")</f>
        <v xml:space="preserve"> </v>
      </c>
      <c r="G256" s="8" t="str">
        <f>IF('Course 4'!$H254='tab4'!G$3,'Course 4'!$I254," ")</f>
        <v xml:space="preserve"> </v>
      </c>
      <c r="H256" s="8" t="str">
        <f>IF('Course 4'!$H254='tab4'!H$3,'Course 4'!$I254," ")</f>
        <v xml:space="preserve"> </v>
      </c>
      <c r="I256" s="8" t="str">
        <f>IF('Course 4'!$H254='tab4'!I$3,'Course 4'!$I254," ")</f>
        <v xml:space="preserve"> </v>
      </c>
      <c r="J256" s="8" t="str">
        <f>IF('Course 4'!$H254='tab4'!J$3,'Course 4'!$I254," ")</f>
        <v xml:space="preserve"> </v>
      </c>
      <c r="K256" s="8" t="str">
        <f>IF('Course 4'!$H254='tab4'!K$3,'Course 4'!$I254," ")</f>
        <v xml:space="preserve"> </v>
      </c>
      <c r="L256" s="8" t="str">
        <f>IF('Course 4'!$H254='tab4'!L$3,'Course 4'!$I254," ")</f>
        <v xml:space="preserve"> </v>
      </c>
      <c r="M256" s="8" t="str">
        <f>IF('Course 4'!$H254='tab4'!M$3,'Course 4'!$I254," ")</f>
        <v xml:space="preserve"> </v>
      </c>
      <c r="N256" s="9" t="str">
        <f>IF('Course 4'!$H254='tab4'!N$3,'Course 4'!$I254," ")</f>
        <v xml:space="preserve"> </v>
      </c>
    </row>
    <row r="257" spans="2:14">
      <c r="B257">
        <v>253</v>
      </c>
      <c r="C257" s="7" t="str">
        <f>IF('Course 4'!$H255='tab4'!C$3,'Course 4'!$I255," ")</f>
        <v xml:space="preserve"> </v>
      </c>
      <c r="D257" s="8" t="str">
        <f>IF('Course 4'!$H255='tab4'!D$3,'Course 4'!$I255," ")</f>
        <v xml:space="preserve"> </v>
      </c>
      <c r="E257" s="8" t="str">
        <f>IF('Course 4'!$H255='tab4'!E$3,'Course 4'!$I255," ")</f>
        <v xml:space="preserve"> </v>
      </c>
      <c r="F257" s="8" t="str">
        <f>IF('Course 4'!$H255='tab4'!F$3,'Course 4'!$I255," ")</f>
        <v xml:space="preserve"> </v>
      </c>
      <c r="G257" s="8" t="str">
        <f>IF('Course 4'!$H255='tab4'!G$3,'Course 4'!$I255," ")</f>
        <v xml:space="preserve"> </v>
      </c>
      <c r="H257" s="8" t="str">
        <f>IF('Course 4'!$H255='tab4'!H$3,'Course 4'!$I255," ")</f>
        <v xml:space="preserve"> </v>
      </c>
      <c r="I257" s="8" t="str">
        <f>IF('Course 4'!$H255='tab4'!I$3,'Course 4'!$I255," ")</f>
        <v xml:space="preserve"> </v>
      </c>
      <c r="J257" s="8" t="str">
        <f>IF('Course 4'!$H255='tab4'!J$3,'Course 4'!$I255," ")</f>
        <v xml:space="preserve"> </v>
      </c>
      <c r="K257" s="8" t="str">
        <f>IF('Course 4'!$H255='tab4'!K$3,'Course 4'!$I255," ")</f>
        <v xml:space="preserve"> </v>
      </c>
      <c r="L257" s="8" t="str">
        <f>IF('Course 4'!$H255='tab4'!L$3,'Course 4'!$I255," ")</f>
        <v xml:space="preserve"> </v>
      </c>
      <c r="M257" s="8" t="str">
        <f>IF('Course 4'!$H255='tab4'!M$3,'Course 4'!$I255," ")</f>
        <v xml:space="preserve"> </v>
      </c>
      <c r="N257" s="9" t="str">
        <f>IF('Course 4'!$H255='tab4'!N$3,'Course 4'!$I255," ")</f>
        <v xml:space="preserve"> </v>
      </c>
    </row>
    <row r="258" spans="2:14">
      <c r="B258">
        <v>254</v>
      </c>
      <c r="C258" s="7" t="str">
        <f>IF('Course 4'!$H256='tab4'!C$3,'Course 4'!$I256," ")</f>
        <v xml:space="preserve"> </v>
      </c>
      <c r="D258" s="8" t="str">
        <f>IF('Course 4'!$H256='tab4'!D$3,'Course 4'!$I256," ")</f>
        <v xml:space="preserve"> </v>
      </c>
      <c r="E258" s="8" t="str">
        <f>IF('Course 4'!$H256='tab4'!E$3,'Course 4'!$I256," ")</f>
        <v xml:space="preserve"> </v>
      </c>
      <c r="F258" s="8" t="str">
        <f>IF('Course 4'!$H256='tab4'!F$3,'Course 4'!$I256," ")</f>
        <v xml:space="preserve"> </v>
      </c>
      <c r="G258" s="8" t="str">
        <f>IF('Course 4'!$H256='tab4'!G$3,'Course 4'!$I256," ")</f>
        <v xml:space="preserve"> </v>
      </c>
      <c r="H258" s="8" t="str">
        <f>IF('Course 4'!$H256='tab4'!H$3,'Course 4'!$I256," ")</f>
        <v xml:space="preserve"> </v>
      </c>
      <c r="I258" s="8" t="str">
        <f>IF('Course 4'!$H256='tab4'!I$3,'Course 4'!$I256," ")</f>
        <v xml:space="preserve"> </v>
      </c>
      <c r="J258" s="8" t="str">
        <f>IF('Course 4'!$H256='tab4'!J$3,'Course 4'!$I256," ")</f>
        <v xml:space="preserve"> </v>
      </c>
      <c r="K258" s="8" t="str">
        <f>IF('Course 4'!$H256='tab4'!K$3,'Course 4'!$I256," ")</f>
        <v xml:space="preserve"> </v>
      </c>
      <c r="L258" s="8" t="str">
        <f>IF('Course 4'!$H256='tab4'!L$3,'Course 4'!$I256," ")</f>
        <v xml:space="preserve"> </v>
      </c>
      <c r="M258" s="8" t="str">
        <f>IF('Course 4'!$H256='tab4'!M$3,'Course 4'!$I256," ")</f>
        <v xml:space="preserve"> </v>
      </c>
      <c r="N258" s="9" t="str">
        <f>IF('Course 4'!$H256='tab4'!N$3,'Course 4'!$I256," ")</f>
        <v xml:space="preserve"> </v>
      </c>
    </row>
    <row r="259" spans="2:14">
      <c r="B259">
        <v>255</v>
      </c>
      <c r="C259" s="7" t="str">
        <f>IF('Course 4'!$H257='tab4'!C$3,'Course 4'!$I257," ")</f>
        <v xml:space="preserve"> </v>
      </c>
      <c r="D259" s="8" t="str">
        <f>IF('Course 4'!$H257='tab4'!D$3,'Course 4'!$I257," ")</f>
        <v xml:space="preserve"> </v>
      </c>
      <c r="E259" s="8" t="str">
        <f>IF('Course 4'!$H257='tab4'!E$3,'Course 4'!$I257," ")</f>
        <v xml:space="preserve"> </v>
      </c>
      <c r="F259" s="8" t="str">
        <f>IF('Course 4'!$H257='tab4'!F$3,'Course 4'!$I257," ")</f>
        <v xml:space="preserve"> </v>
      </c>
      <c r="G259" s="8" t="str">
        <f>IF('Course 4'!$H257='tab4'!G$3,'Course 4'!$I257," ")</f>
        <v xml:space="preserve"> </v>
      </c>
      <c r="H259" s="8" t="str">
        <f>IF('Course 4'!$H257='tab4'!H$3,'Course 4'!$I257," ")</f>
        <v xml:space="preserve"> </v>
      </c>
      <c r="I259" s="8" t="str">
        <f>IF('Course 4'!$H257='tab4'!I$3,'Course 4'!$I257," ")</f>
        <v xml:space="preserve"> </v>
      </c>
      <c r="J259" s="8" t="str">
        <f>IF('Course 4'!$H257='tab4'!J$3,'Course 4'!$I257," ")</f>
        <v xml:space="preserve"> </v>
      </c>
      <c r="K259" s="8" t="str">
        <f>IF('Course 4'!$H257='tab4'!K$3,'Course 4'!$I257," ")</f>
        <v xml:space="preserve"> </v>
      </c>
      <c r="L259" s="8" t="str">
        <f>IF('Course 4'!$H257='tab4'!L$3,'Course 4'!$I257," ")</f>
        <v xml:space="preserve"> </v>
      </c>
      <c r="M259" s="8" t="str">
        <f>IF('Course 4'!$H257='tab4'!M$3,'Course 4'!$I257," ")</f>
        <v xml:space="preserve"> </v>
      </c>
      <c r="N259" s="9" t="str">
        <f>IF('Course 4'!$H257='tab4'!N$3,'Course 4'!$I257," ")</f>
        <v xml:space="preserve"> </v>
      </c>
    </row>
    <row r="260" spans="2:14">
      <c r="B260">
        <v>256</v>
      </c>
      <c r="C260" s="7" t="str">
        <f>IF('Course 4'!$H258='tab4'!C$3,'Course 4'!$I258," ")</f>
        <v xml:space="preserve"> </v>
      </c>
      <c r="D260" s="8" t="str">
        <f>IF('Course 4'!$H258='tab4'!D$3,'Course 4'!$I258," ")</f>
        <v xml:space="preserve"> </v>
      </c>
      <c r="E260" s="8" t="str">
        <f>IF('Course 4'!$H258='tab4'!E$3,'Course 4'!$I258," ")</f>
        <v xml:space="preserve"> </v>
      </c>
      <c r="F260" s="8" t="str">
        <f>IF('Course 4'!$H258='tab4'!F$3,'Course 4'!$I258," ")</f>
        <v xml:space="preserve"> </v>
      </c>
      <c r="G260" s="8" t="str">
        <f>IF('Course 4'!$H258='tab4'!G$3,'Course 4'!$I258," ")</f>
        <v xml:space="preserve"> </v>
      </c>
      <c r="H260" s="8" t="str">
        <f>IF('Course 4'!$H258='tab4'!H$3,'Course 4'!$I258," ")</f>
        <v xml:space="preserve"> </v>
      </c>
      <c r="I260" s="8" t="str">
        <f>IF('Course 4'!$H258='tab4'!I$3,'Course 4'!$I258," ")</f>
        <v xml:space="preserve"> </v>
      </c>
      <c r="J260" s="8" t="str">
        <f>IF('Course 4'!$H258='tab4'!J$3,'Course 4'!$I258," ")</f>
        <v xml:space="preserve"> </v>
      </c>
      <c r="K260" s="8" t="str">
        <f>IF('Course 4'!$H258='tab4'!K$3,'Course 4'!$I258," ")</f>
        <v xml:space="preserve"> </v>
      </c>
      <c r="L260" s="8" t="str">
        <f>IF('Course 4'!$H258='tab4'!L$3,'Course 4'!$I258," ")</f>
        <v xml:space="preserve"> </v>
      </c>
      <c r="M260" s="8" t="str">
        <f>IF('Course 4'!$H258='tab4'!M$3,'Course 4'!$I258," ")</f>
        <v xml:space="preserve"> </v>
      </c>
      <c r="N260" s="9" t="str">
        <f>IF('Course 4'!$H258='tab4'!N$3,'Course 4'!$I258," ")</f>
        <v xml:space="preserve"> </v>
      </c>
    </row>
    <row r="261" spans="2:14">
      <c r="B261">
        <v>257</v>
      </c>
      <c r="C261" s="7" t="str">
        <f>IF('Course 4'!$H259='tab4'!C$3,'Course 4'!$I259," ")</f>
        <v xml:space="preserve"> </v>
      </c>
      <c r="D261" s="8" t="str">
        <f>IF('Course 4'!$H259='tab4'!D$3,'Course 4'!$I259," ")</f>
        <v xml:space="preserve"> </v>
      </c>
      <c r="E261" s="8" t="str">
        <f>IF('Course 4'!$H259='tab4'!E$3,'Course 4'!$I259," ")</f>
        <v xml:space="preserve"> </v>
      </c>
      <c r="F261" s="8" t="str">
        <f>IF('Course 4'!$H259='tab4'!F$3,'Course 4'!$I259," ")</f>
        <v xml:space="preserve"> </v>
      </c>
      <c r="G261" s="8" t="str">
        <f>IF('Course 4'!$H259='tab4'!G$3,'Course 4'!$I259," ")</f>
        <v xml:space="preserve"> </v>
      </c>
      <c r="H261" s="8" t="str">
        <f>IF('Course 4'!$H259='tab4'!H$3,'Course 4'!$I259," ")</f>
        <v xml:space="preserve"> </v>
      </c>
      <c r="I261" s="8" t="str">
        <f>IF('Course 4'!$H259='tab4'!I$3,'Course 4'!$I259," ")</f>
        <v xml:space="preserve"> </v>
      </c>
      <c r="J261" s="8" t="str">
        <f>IF('Course 4'!$H259='tab4'!J$3,'Course 4'!$I259," ")</f>
        <v xml:space="preserve"> </v>
      </c>
      <c r="K261" s="8" t="str">
        <f>IF('Course 4'!$H259='tab4'!K$3,'Course 4'!$I259," ")</f>
        <v xml:space="preserve"> </v>
      </c>
      <c r="L261" s="8" t="str">
        <f>IF('Course 4'!$H259='tab4'!L$3,'Course 4'!$I259," ")</f>
        <v xml:space="preserve"> </v>
      </c>
      <c r="M261" s="8" t="str">
        <f>IF('Course 4'!$H259='tab4'!M$3,'Course 4'!$I259," ")</f>
        <v xml:space="preserve"> </v>
      </c>
      <c r="N261" s="9" t="str">
        <f>IF('Course 4'!$H259='tab4'!N$3,'Course 4'!$I259," ")</f>
        <v xml:space="preserve"> </v>
      </c>
    </row>
    <row r="262" spans="2:14">
      <c r="B262">
        <v>258</v>
      </c>
      <c r="C262" s="7" t="str">
        <f>IF('Course 4'!$H260='tab4'!C$3,'Course 4'!$I260," ")</f>
        <v xml:space="preserve"> </v>
      </c>
      <c r="D262" s="8" t="str">
        <f>IF('Course 4'!$H260='tab4'!D$3,'Course 4'!$I260," ")</f>
        <v xml:space="preserve"> </v>
      </c>
      <c r="E262" s="8" t="str">
        <f>IF('Course 4'!$H260='tab4'!E$3,'Course 4'!$I260," ")</f>
        <v xml:space="preserve"> </v>
      </c>
      <c r="F262" s="8" t="str">
        <f>IF('Course 4'!$H260='tab4'!F$3,'Course 4'!$I260," ")</f>
        <v xml:space="preserve"> </v>
      </c>
      <c r="G262" s="8" t="str">
        <f>IF('Course 4'!$H260='tab4'!G$3,'Course 4'!$I260," ")</f>
        <v xml:space="preserve"> </v>
      </c>
      <c r="H262" s="8" t="str">
        <f>IF('Course 4'!$H260='tab4'!H$3,'Course 4'!$I260," ")</f>
        <v xml:space="preserve"> </v>
      </c>
      <c r="I262" s="8" t="str">
        <f>IF('Course 4'!$H260='tab4'!I$3,'Course 4'!$I260," ")</f>
        <v xml:space="preserve"> </v>
      </c>
      <c r="J262" s="8" t="str">
        <f>IF('Course 4'!$H260='tab4'!J$3,'Course 4'!$I260," ")</f>
        <v xml:space="preserve"> </v>
      </c>
      <c r="K262" s="8" t="str">
        <f>IF('Course 4'!$H260='tab4'!K$3,'Course 4'!$I260," ")</f>
        <v xml:space="preserve"> </v>
      </c>
      <c r="L262" s="8" t="str">
        <f>IF('Course 4'!$H260='tab4'!L$3,'Course 4'!$I260," ")</f>
        <v xml:space="preserve"> </v>
      </c>
      <c r="M262" s="8" t="str">
        <f>IF('Course 4'!$H260='tab4'!M$3,'Course 4'!$I260," ")</f>
        <v xml:space="preserve"> </v>
      </c>
      <c r="N262" s="9" t="str">
        <f>IF('Course 4'!$H260='tab4'!N$3,'Course 4'!$I260," ")</f>
        <v xml:space="preserve"> </v>
      </c>
    </row>
    <row r="263" spans="2:14">
      <c r="B263">
        <v>259</v>
      </c>
      <c r="C263" s="7" t="str">
        <f>IF('Course 4'!$H261='tab4'!C$3,'Course 4'!$I261," ")</f>
        <v xml:space="preserve"> </v>
      </c>
      <c r="D263" s="8" t="str">
        <f>IF('Course 4'!$H261='tab4'!D$3,'Course 4'!$I261," ")</f>
        <v xml:space="preserve"> </v>
      </c>
      <c r="E263" s="8" t="str">
        <f>IF('Course 4'!$H261='tab4'!E$3,'Course 4'!$I261," ")</f>
        <v xml:space="preserve"> </v>
      </c>
      <c r="F263" s="8" t="str">
        <f>IF('Course 4'!$H261='tab4'!F$3,'Course 4'!$I261," ")</f>
        <v xml:space="preserve"> </v>
      </c>
      <c r="G263" s="8" t="str">
        <f>IF('Course 4'!$H261='tab4'!G$3,'Course 4'!$I261," ")</f>
        <v xml:space="preserve"> </v>
      </c>
      <c r="H263" s="8" t="str">
        <f>IF('Course 4'!$H261='tab4'!H$3,'Course 4'!$I261," ")</f>
        <v xml:space="preserve"> </v>
      </c>
      <c r="I263" s="8" t="str">
        <f>IF('Course 4'!$H261='tab4'!I$3,'Course 4'!$I261," ")</f>
        <v xml:space="preserve"> </v>
      </c>
      <c r="J263" s="8" t="str">
        <f>IF('Course 4'!$H261='tab4'!J$3,'Course 4'!$I261," ")</f>
        <v xml:space="preserve"> </v>
      </c>
      <c r="K263" s="8" t="str">
        <f>IF('Course 4'!$H261='tab4'!K$3,'Course 4'!$I261," ")</f>
        <v xml:space="preserve"> </v>
      </c>
      <c r="L263" s="8" t="str">
        <f>IF('Course 4'!$H261='tab4'!L$3,'Course 4'!$I261," ")</f>
        <v xml:space="preserve"> </v>
      </c>
      <c r="M263" s="8" t="str">
        <f>IF('Course 4'!$H261='tab4'!M$3,'Course 4'!$I261," ")</f>
        <v xml:space="preserve"> </v>
      </c>
      <c r="N263" s="9" t="str">
        <f>IF('Course 4'!$H261='tab4'!N$3,'Course 4'!$I261," ")</f>
        <v xml:space="preserve"> </v>
      </c>
    </row>
    <row r="264" spans="2:14">
      <c r="B264">
        <v>260</v>
      </c>
      <c r="C264" s="7" t="str">
        <f>IF('Course 4'!$H262='tab4'!C$3,'Course 4'!$I262," ")</f>
        <v xml:space="preserve"> </v>
      </c>
      <c r="D264" s="8" t="str">
        <f>IF('Course 4'!$H262='tab4'!D$3,'Course 4'!$I262," ")</f>
        <v xml:space="preserve"> </v>
      </c>
      <c r="E264" s="8" t="str">
        <f>IF('Course 4'!$H262='tab4'!E$3,'Course 4'!$I262," ")</f>
        <v xml:space="preserve"> </v>
      </c>
      <c r="F264" s="8" t="str">
        <f>IF('Course 4'!$H262='tab4'!F$3,'Course 4'!$I262," ")</f>
        <v xml:space="preserve"> </v>
      </c>
      <c r="G264" s="8" t="str">
        <f>IF('Course 4'!$H262='tab4'!G$3,'Course 4'!$I262," ")</f>
        <v xml:space="preserve"> </v>
      </c>
      <c r="H264" s="8" t="str">
        <f>IF('Course 4'!$H262='tab4'!H$3,'Course 4'!$I262," ")</f>
        <v xml:space="preserve"> </v>
      </c>
      <c r="I264" s="8" t="str">
        <f>IF('Course 4'!$H262='tab4'!I$3,'Course 4'!$I262," ")</f>
        <v xml:space="preserve"> </v>
      </c>
      <c r="J264" s="8" t="str">
        <f>IF('Course 4'!$H262='tab4'!J$3,'Course 4'!$I262," ")</f>
        <v xml:space="preserve"> </v>
      </c>
      <c r="K264" s="8" t="str">
        <f>IF('Course 4'!$H262='tab4'!K$3,'Course 4'!$I262," ")</f>
        <v xml:space="preserve"> </v>
      </c>
      <c r="L264" s="8" t="str">
        <f>IF('Course 4'!$H262='tab4'!L$3,'Course 4'!$I262," ")</f>
        <v xml:space="preserve"> </v>
      </c>
      <c r="M264" s="8" t="str">
        <f>IF('Course 4'!$H262='tab4'!M$3,'Course 4'!$I262," ")</f>
        <v xml:space="preserve"> </v>
      </c>
      <c r="N264" s="9" t="str">
        <f>IF('Course 4'!$H262='tab4'!N$3,'Course 4'!$I262," ")</f>
        <v xml:space="preserve"> </v>
      </c>
    </row>
    <row r="265" spans="2:14">
      <c r="B265">
        <v>261</v>
      </c>
      <c r="C265" s="7" t="str">
        <f>IF('Course 4'!$H263='tab4'!C$3,'Course 4'!$I263," ")</f>
        <v xml:space="preserve"> </v>
      </c>
      <c r="D265" s="8" t="str">
        <f>IF('Course 4'!$H263='tab4'!D$3,'Course 4'!$I263," ")</f>
        <v xml:space="preserve"> </v>
      </c>
      <c r="E265" s="8" t="str">
        <f>IF('Course 4'!$H263='tab4'!E$3,'Course 4'!$I263," ")</f>
        <v xml:space="preserve"> </v>
      </c>
      <c r="F265" s="8" t="str">
        <f>IF('Course 4'!$H263='tab4'!F$3,'Course 4'!$I263," ")</f>
        <v xml:space="preserve"> </v>
      </c>
      <c r="G265" s="8" t="str">
        <f>IF('Course 4'!$H263='tab4'!G$3,'Course 4'!$I263," ")</f>
        <v xml:space="preserve"> </v>
      </c>
      <c r="H265" s="8" t="str">
        <f>IF('Course 4'!$H263='tab4'!H$3,'Course 4'!$I263," ")</f>
        <v xml:space="preserve"> </v>
      </c>
      <c r="I265" s="8" t="str">
        <f>IF('Course 4'!$H263='tab4'!I$3,'Course 4'!$I263," ")</f>
        <v xml:space="preserve"> </v>
      </c>
      <c r="J265" s="8" t="str">
        <f>IF('Course 4'!$H263='tab4'!J$3,'Course 4'!$I263," ")</f>
        <v xml:space="preserve"> </v>
      </c>
      <c r="K265" s="8" t="str">
        <f>IF('Course 4'!$H263='tab4'!K$3,'Course 4'!$I263," ")</f>
        <v xml:space="preserve"> </v>
      </c>
      <c r="L265" s="8" t="str">
        <f>IF('Course 4'!$H263='tab4'!L$3,'Course 4'!$I263," ")</f>
        <v xml:space="preserve"> </v>
      </c>
      <c r="M265" s="8" t="str">
        <f>IF('Course 4'!$H263='tab4'!M$3,'Course 4'!$I263," ")</f>
        <v xml:space="preserve"> </v>
      </c>
      <c r="N265" s="9" t="str">
        <f>IF('Course 4'!$H263='tab4'!N$3,'Course 4'!$I263," ")</f>
        <v xml:space="preserve"> </v>
      </c>
    </row>
    <row r="266" spans="2:14">
      <c r="B266">
        <v>262</v>
      </c>
      <c r="C266" s="7" t="str">
        <f>IF('Course 4'!$H264='tab4'!C$3,'Course 4'!$I264," ")</f>
        <v xml:space="preserve"> </v>
      </c>
      <c r="D266" s="8" t="str">
        <f>IF('Course 4'!$H264='tab4'!D$3,'Course 4'!$I264," ")</f>
        <v xml:space="preserve"> </v>
      </c>
      <c r="E266" s="8" t="str">
        <f>IF('Course 4'!$H264='tab4'!E$3,'Course 4'!$I264," ")</f>
        <v xml:space="preserve"> </v>
      </c>
      <c r="F266" s="8" t="str">
        <f>IF('Course 4'!$H264='tab4'!F$3,'Course 4'!$I264," ")</f>
        <v xml:space="preserve"> </v>
      </c>
      <c r="G266" s="8" t="str">
        <f>IF('Course 4'!$H264='tab4'!G$3,'Course 4'!$I264," ")</f>
        <v xml:space="preserve"> </v>
      </c>
      <c r="H266" s="8" t="str">
        <f>IF('Course 4'!$H264='tab4'!H$3,'Course 4'!$I264," ")</f>
        <v xml:space="preserve"> </v>
      </c>
      <c r="I266" s="8" t="str">
        <f>IF('Course 4'!$H264='tab4'!I$3,'Course 4'!$I264," ")</f>
        <v xml:space="preserve"> </v>
      </c>
      <c r="J266" s="8" t="str">
        <f>IF('Course 4'!$H264='tab4'!J$3,'Course 4'!$I264," ")</f>
        <v xml:space="preserve"> </v>
      </c>
      <c r="K266" s="8" t="str">
        <f>IF('Course 4'!$H264='tab4'!K$3,'Course 4'!$I264," ")</f>
        <v xml:space="preserve"> </v>
      </c>
      <c r="L266" s="8" t="str">
        <f>IF('Course 4'!$H264='tab4'!L$3,'Course 4'!$I264," ")</f>
        <v xml:space="preserve"> </v>
      </c>
      <c r="M266" s="8" t="str">
        <f>IF('Course 4'!$H264='tab4'!M$3,'Course 4'!$I264," ")</f>
        <v xml:space="preserve"> </v>
      </c>
      <c r="N266" s="9" t="str">
        <f>IF('Course 4'!$H264='tab4'!N$3,'Course 4'!$I264," ")</f>
        <v xml:space="preserve"> </v>
      </c>
    </row>
    <row r="267" spans="2:14">
      <c r="B267">
        <v>263</v>
      </c>
      <c r="C267" s="7" t="str">
        <f>IF('Course 4'!$H265='tab4'!C$3,'Course 4'!$I265," ")</f>
        <v xml:space="preserve"> </v>
      </c>
      <c r="D267" s="8" t="str">
        <f>IF('Course 4'!$H265='tab4'!D$3,'Course 4'!$I265," ")</f>
        <v xml:space="preserve"> </v>
      </c>
      <c r="E267" s="8" t="str">
        <f>IF('Course 4'!$H265='tab4'!E$3,'Course 4'!$I265," ")</f>
        <v xml:space="preserve"> </v>
      </c>
      <c r="F267" s="8" t="str">
        <f>IF('Course 4'!$H265='tab4'!F$3,'Course 4'!$I265," ")</f>
        <v xml:space="preserve"> </v>
      </c>
      <c r="G267" s="8" t="str">
        <f>IF('Course 4'!$H265='tab4'!G$3,'Course 4'!$I265," ")</f>
        <v xml:space="preserve"> </v>
      </c>
      <c r="H267" s="8" t="str">
        <f>IF('Course 4'!$H265='tab4'!H$3,'Course 4'!$I265," ")</f>
        <v xml:space="preserve"> </v>
      </c>
      <c r="I267" s="8" t="str">
        <f>IF('Course 4'!$H265='tab4'!I$3,'Course 4'!$I265," ")</f>
        <v xml:space="preserve"> </v>
      </c>
      <c r="J267" s="8" t="str">
        <f>IF('Course 4'!$H265='tab4'!J$3,'Course 4'!$I265," ")</f>
        <v xml:space="preserve"> </v>
      </c>
      <c r="K267" s="8" t="str">
        <f>IF('Course 4'!$H265='tab4'!K$3,'Course 4'!$I265," ")</f>
        <v xml:space="preserve"> </v>
      </c>
      <c r="L267" s="8" t="str">
        <f>IF('Course 4'!$H265='tab4'!L$3,'Course 4'!$I265," ")</f>
        <v xml:space="preserve"> </v>
      </c>
      <c r="M267" s="8" t="str">
        <f>IF('Course 4'!$H265='tab4'!M$3,'Course 4'!$I265," ")</f>
        <v xml:space="preserve"> </v>
      </c>
      <c r="N267" s="9" t="str">
        <f>IF('Course 4'!$H265='tab4'!N$3,'Course 4'!$I265," ")</f>
        <v xml:space="preserve"> </v>
      </c>
    </row>
    <row r="268" spans="2:14">
      <c r="B268">
        <v>264</v>
      </c>
      <c r="C268" s="7" t="str">
        <f>IF('Course 4'!$H266='tab4'!C$3,'Course 4'!$I266," ")</f>
        <v xml:space="preserve"> </v>
      </c>
      <c r="D268" s="8" t="str">
        <f>IF('Course 4'!$H266='tab4'!D$3,'Course 4'!$I266," ")</f>
        <v xml:space="preserve"> </v>
      </c>
      <c r="E268" s="8" t="str">
        <f>IF('Course 4'!$H266='tab4'!E$3,'Course 4'!$I266," ")</f>
        <v xml:space="preserve"> </v>
      </c>
      <c r="F268" s="8" t="str">
        <f>IF('Course 4'!$H266='tab4'!F$3,'Course 4'!$I266," ")</f>
        <v xml:space="preserve"> </v>
      </c>
      <c r="G268" s="8" t="str">
        <f>IF('Course 4'!$H266='tab4'!G$3,'Course 4'!$I266," ")</f>
        <v xml:space="preserve"> </v>
      </c>
      <c r="H268" s="8" t="str">
        <f>IF('Course 4'!$H266='tab4'!H$3,'Course 4'!$I266," ")</f>
        <v xml:space="preserve"> </v>
      </c>
      <c r="I268" s="8" t="str">
        <f>IF('Course 4'!$H266='tab4'!I$3,'Course 4'!$I266," ")</f>
        <v xml:space="preserve"> </v>
      </c>
      <c r="J268" s="8" t="str">
        <f>IF('Course 4'!$H266='tab4'!J$3,'Course 4'!$I266," ")</f>
        <v xml:space="preserve"> </v>
      </c>
      <c r="K268" s="8" t="str">
        <f>IF('Course 4'!$H266='tab4'!K$3,'Course 4'!$I266," ")</f>
        <v xml:space="preserve"> </v>
      </c>
      <c r="L268" s="8" t="str">
        <f>IF('Course 4'!$H266='tab4'!L$3,'Course 4'!$I266," ")</f>
        <v xml:space="preserve"> </v>
      </c>
      <c r="M268" s="8" t="str">
        <f>IF('Course 4'!$H266='tab4'!M$3,'Course 4'!$I266," ")</f>
        <v xml:space="preserve"> </v>
      </c>
      <c r="N268" s="9" t="str">
        <f>IF('Course 4'!$H266='tab4'!N$3,'Course 4'!$I266," ")</f>
        <v xml:space="preserve"> </v>
      </c>
    </row>
    <row r="269" spans="2:14">
      <c r="B269">
        <v>265</v>
      </c>
      <c r="C269" s="7" t="str">
        <f>IF('Course 4'!$H267='tab4'!C$3,'Course 4'!$I267," ")</f>
        <v xml:space="preserve"> </v>
      </c>
      <c r="D269" s="8" t="str">
        <f>IF('Course 4'!$H267='tab4'!D$3,'Course 4'!$I267," ")</f>
        <v xml:space="preserve"> </v>
      </c>
      <c r="E269" s="8" t="str">
        <f>IF('Course 4'!$H267='tab4'!E$3,'Course 4'!$I267," ")</f>
        <v xml:space="preserve"> </v>
      </c>
      <c r="F269" s="8" t="str">
        <f>IF('Course 4'!$H267='tab4'!F$3,'Course 4'!$I267," ")</f>
        <v xml:space="preserve"> </v>
      </c>
      <c r="G269" s="8" t="str">
        <f>IF('Course 4'!$H267='tab4'!G$3,'Course 4'!$I267," ")</f>
        <v xml:space="preserve"> </v>
      </c>
      <c r="H269" s="8" t="str">
        <f>IF('Course 4'!$H267='tab4'!H$3,'Course 4'!$I267," ")</f>
        <v xml:space="preserve"> </v>
      </c>
      <c r="I269" s="8" t="str">
        <f>IF('Course 4'!$H267='tab4'!I$3,'Course 4'!$I267," ")</f>
        <v xml:space="preserve"> </v>
      </c>
      <c r="J269" s="8" t="str">
        <f>IF('Course 4'!$H267='tab4'!J$3,'Course 4'!$I267," ")</f>
        <v xml:space="preserve"> </v>
      </c>
      <c r="K269" s="8" t="str">
        <f>IF('Course 4'!$H267='tab4'!K$3,'Course 4'!$I267," ")</f>
        <v xml:space="preserve"> </v>
      </c>
      <c r="L269" s="8" t="str">
        <f>IF('Course 4'!$H267='tab4'!L$3,'Course 4'!$I267," ")</f>
        <v xml:space="preserve"> </v>
      </c>
      <c r="M269" s="8" t="str">
        <f>IF('Course 4'!$H267='tab4'!M$3,'Course 4'!$I267," ")</f>
        <v xml:space="preserve"> </v>
      </c>
      <c r="N269" s="9" t="str">
        <f>IF('Course 4'!$H267='tab4'!N$3,'Course 4'!$I267," ")</f>
        <v xml:space="preserve"> </v>
      </c>
    </row>
    <row r="270" spans="2:14">
      <c r="B270">
        <v>266</v>
      </c>
      <c r="C270" s="7" t="str">
        <f>IF('Course 4'!$H268='tab4'!C$3,'Course 4'!$I268," ")</f>
        <v xml:space="preserve"> </v>
      </c>
      <c r="D270" s="8" t="str">
        <f>IF('Course 4'!$H268='tab4'!D$3,'Course 4'!$I268," ")</f>
        <v xml:space="preserve"> </v>
      </c>
      <c r="E270" s="8" t="str">
        <f>IF('Course 4'!$H268='tab4'!E$3,'Course 4'!$I268," ")</f>
        <v xml:space="preserve"> </v>
      </c>
      <c r="F270" s="8" t="str">
        <f>IF('Course 4'!$H268='tab4'!F$3,'Course 4'!$I268," ")</f>
        <v xml:space="preserve"> </v>
      </c>
      <c r="G270" s="8" t="str">
        <f>IF('Course 4'!$H268='tab4'!G$3,'Course 4'!$I268," ")</f>
        <v xml:space="preserve"> </v>
      </c>
      <c r="H270" s="8" t="str">
        <f>IF('Course 4'!$H268='tab4'!H$3,'Course 4'!$I268," ")</f>
        <v xml:space="preserve"> </v>
      </c>
      <c r="I270" s="8" t="str">
        <f>IF('Course 4'!$H268='tab4'!I$3,'Course 4'!$I268," ")</f>
        <v xml:space="preserve"> </v>
      </c>
      <c r="J270" s="8" t="str">
        <f>IF('Course 4'!$H268='tab4'!J$3,'Course 4'!$I268," ")</f>
        <v xml:space="preserve"> </v>
      </c>
      <c r="K270" s="8" t="str">
        <f>IF('Course 4'!$H268='tab4'!K$3,'Course 4'!$I268," ")</f>
        <v xml:space="preserve"> </v>
      </c>
      <c r="L270" s="8" t="str">
        <f>IF('Course 4'!$H268='tab4'!L$3,'Course 4'!$I268," ")</f>
        <v xml:space="preserve"> </v>
      </c>
      <c r="M270" s="8" t="str">
        <f>IF('Course 4'!$H268='tab4'!M$3,'Course 4'!$I268," ")</f>
        <v xml:space="preserve"> </v>
      </c>
      <c r="N270" s="9" t="str">
        <f>IF('Course 4'!$H268='tab4'!N$3,'Course 4'!$I268," ")</f>
        <v xml:space="preserve"> </v>
      </c>
    </row>
    <row r="271" spans="2:14">
      <c r="B271">
        <v>267</v>
      </c>
      <c r="C271" s="7" t="str">
        <f>IF('Course 4'!$H269='tab4'!C$3,'Course 4'!$I269," ")</f>
        <v xml:space="preserve"> </v>
      </c>
      <c r="D271" s="8" t="str">
        <f>IF('Course 4'!$H269='tab4'!D$3,'Course 4'!$I269," ")</f>
        <v xml:space="preserve"> </v>
      </c>
      <c r="E271" s="8" t="str">
        <f>IF('Course 4'!$H269='tab4'!E$3,'Course 4'!$I269," ")</f>
        <v xml:space="preserve"> </v>
      </c>
      <c r="F271" s="8" t="str">
        <f>IF('Course 4'!$H269='tab4'!F$3,'Course 4'!$I269," ")</f>
        <v xml:space="preserve"> </v>
      </c>
      <c r="G271" s="8" t="str">
        <f>IF('Course 4'!$H269='tab4'!G$3,'Course 4'!$I269," ")</f>
        <v xml:space="preserve"> </v>
      </c>
      <c r="H271" s="8" t="str">
        <f>IF('Course 4'!$H269='tab4'!H$3,'Course 4'!$I269," ")</f>
        <v xml:space="preserve"> </v>
      </c>
      <c r="I271" s="8" t="str">
        <f>IF('Course 4'!$H269='tab4'!I$3,'Course 4'!$I269," ")</f>
        <v xml:space="preserve"> </v>
      </c>
      <c r="J271" s="8" t="str">
        <f>IF('Course 4'!$H269='tab4'!J$3,'Course 4'!$I269," ")</f>
        <v xml:space="preserve"> </v>
      </c>
      <c r="K271" s="8" t="str">
        <f>IF('Course 4'!$H269='tab4'!K$3,'Course 4'!$I269," ")</f>
        <v xml:space="preserve"> </v>
      </c>
      <c r="L271" s="8" t="str">
        <f>IF('Course 4'!$H269='tab4'!L$3,'Course 4'!$I269," ")</f>
        <v xml:space="preserve"> </v>
      </c>
      <c r="M271" s="8" t="str">
        <f>IF('Course 4'!$H269='tab4'!M$3,'Course 4'!$I269," ")</f>
        <v xml:space="preserve"> </v>
      </c>
      <c r="N271" s="9" t="str">
        <f>IF('Course 4'!$H269='tab4'!N$3,'Course 4'!$I269," ")</f>
        <v xml:space="preserve"> </v>
      </c>
    </row>
    <row r="272" spans="2:14">
      <c r="B272">
        <v>268</v>
      </c>
      <c r="C272" s="7" t="str">
        <f>IF('Course 4'!$H270='tab4'!C$3,'Course 4'!$I270," ")</f>
        <v xml:space="preserve"> </v>
      </c>
      <c r="D272" s="8" t="str">
        <f>IF('Course 4'!$H270='tab4'!D$3,'Course 4'!$I270," ")</f>
        <v xml:space="preserve"> </v>
      </c>
      <c r="E272" s="8" t="str">
        <f>IF('Course 4'!$H270='tab4'!E$3,'Course 4'!$I270," ")</f>
        <v xml:space="preserve"> </v>
      </c>
      <c r="F272" s="8" t="str">
        <f>IF('Course 4'!$H270='tab4'!F$3,'Course 4'!$I270," ")</f>
        <v xml:space="preserve"> </v>
      </c>
      <c r="G272" s="8" t="str">
        <f>IF('Course 4'!$H270='tab4'!G$3,'Course 4'!$I270," ")</f>
        <v xml:space="preserve"> </v>
      </c>
      <c r="H272" s="8" t="str">
        <f>IF('Course 4'!$H270='tab4'!H$3,'Course 4'!$I270," ")</f>
        <v xml:space="preserve"> </v>
      </c>
      <c r="I272" s="8" t="str">
        <f>IF('Course 4'!$H270='tab4'!I$3,'Course 4'!$I270," ")</f>
        <v xml:space="preserve"> </v>
      </c>
      <c r="J272" s="8" t="str">
        <f>IF('Course 4'!$H270='tab4'!J$3,'Course 4'!$I270," ")</f>
        <v xml:space="preserve"> </v>
      </c>
      <c r="K272" s="8" t="str">
        <f>IF('Course 4'!$H270='tab4'!K$3,'Course 4'!$I270," ")</f>
        <v xml:space="preserve"> </v>
      </c>
      <c r="L272" s="8" t="str">
        <f>IF('Course 4'!$H270='tab4'!L$3,'Course 4'!$I270," ")</f>
        <v xml:space="preserve"> </v>
      </c>
      <c r="M272" s="8" t="str">
        <f>IF('Course 4'!$H270='tab4'!M$3,'Course 4'!$I270," ")</f>
        <v xml:space="preserve"> </v>
      </c>
      <c r="N272" s="9" t="str">
        <f>IF('Course 4'!$H270='tab4'!N$3,'Course 4'!$I270," ")</f>
        <v xml:space="preserve"> </v>
      </c>
    </row>
    <row r="273" spans="2:14">
      <c r="B273">
        <v>269</v>
      </c>
      <c r="C273" s="7" t="str">
        <f>IF('Course 4'!$H271='tab4'!C$3,'Course 4'!$I271," ")</f>
        <v xml:space="preserve"> </v>
      </c>
      <c r="D273" s="8" t="str">
        <f>IF('Course 4'!$H271='tab4'!D$3,'Course 4'!$I271," ")</f>
        <v xml:space="preserve"> </v>
      </c>
      <c r="E273" s="8" t="str">
        <f>IF('Course 4'!$H271='tab4'!E$3,'Course 4'!$I271," ")</f>
        <v xml:space="preserve"> </v>
      </c>
      <c r="F273" s="8" t="str">
        <f>IF('Course 4'!$H271='tab4'!F$3,'Course 4'!$I271," ")</f>
        <v xml:space="preserve"> </v>
      </c>
      <c r="G273" s="8" t="str">
        <f>IF('Course 4'!$H271='tab4'!G$3,'Course 4'!$I271," ")</f>
        <v xml:space="preserve"> </v>
      </c>
      <c r="H273" s="8" t="str">
        <f>IF('Course 4'!$H271='tab4'!H$3,'Course 4'!$I271," ")</f>
        <v xml:space="preserve"> </v>
      </c>
      <c r="I273" s="8" t="str">
        <f>IF('Course 4'!$H271='tab4'!I$3,'Course 4'!$I271," ")</f>
        <v xml:space="preserve"> </v>
      </c>
      <c r="J273" s="8" t="str">
        <f>IF('Course 4'!$H271='tab4'!J$3,'Course 4'!$I271," ")</f>
        <v xml:space="preserve"> </v>
      </c>
      <c r="K273" s="8" t="str">
        <f>IF('Course 4'!$H271='tab4'!K$3,'Course 4'!$I271," ")</f>
        <v xml:space="preserve"> </v>
      </c>
      <c r="L273" s="8" t="str">
        <f>IF('Course 4'!$H271='tab4'!L$3,'Course 4'!$I271," ")</f>
        <v xml:space="preserve"> </v>
      </c>
      <c r="M273" s="8" t="str">
        <f>IF('Course 4'!$H271='tab4'!M$3,'Course 4'!$I271," ")</f>
        <v xml:space="preserve"> </v>
      </c>
      <c r="N273" s="9" t="str">
        <f>IF('Course 4'!$H271='tab4'!N$3,'Course 4'!$I271," ")</f>
        <v xml:space="preserve"> </v>
      </c>
    </row>
    <row r="274" spans="2:14">
      <c r="B274">
        <v>270</v>
      </c>
      <c r="C274" s="7" t="str">
        <f>IF('Course 4'!$H272='tab4'!C$3,'Course 4'!$I272," ")</f>
        <v xml:space="preserve"> </v>
      </c>
      <c r="D274" s="8" t="str">
        <f>IF('Course 4'!$H272='tab4'!D$3,'Course 4'!$I272," ")</f>
        <v xml:space="preserve"> </v>
      </c>
      <c r="E274" s="8" t="str">
        <f>IF('Course 4'!$H272='tab4'!E$3,'Course 4'!$I272," ")</f>
        <v xml:space="preserve"> </v>
      </c>
      <c r="F274" s="8" t="str">
        <f>IF('Course 4'!$H272='tab4'!F$3,'Course 4'!$I272," ")</f>
        <v xml:space="preserve"> </v>
      </c>
      <c r="G274" s="8" t="str">
        <f>IF('Course 4'!$H272='tab4'!G$3,'Course 4'!$I272," ")</f>
        <v xml:space="preserve"> </v>
      </c>
      <c r="H274" s="8" t="str">
        <f>IF('Course 4'!$H272='tab4'!H$3,'Course 4'!$I272," ")</f>
        <v xml:space="preserve"> </v>
      </c>
      <c r="I274" s="8" t="str">
        <f>IF('Course 4'!$H272='tab4'!I$3,'Course 4'!$I272," ")</f>
        <v xml:space="preserve"> </v>
      </c>
      <c r="J274" s="8" t="str">
        <f>IF('Course 4'!$H272='tab4'!J$3,'Course 4'!$I272," ")</f>
        <v xml:space="preserve"> </v>
      </c>
      <c r="K274" s="8" t="str">
        <f>IF('Course 4'!$H272='tab4'!K$3,'Course 4'!$I272," ")</f>
        <v xml:space="preserve"> </v>
      </c>
      <c r="L274" s="8" t="str">
        <f>IF('Course 4'!$H272='tab4'!L$3,'Course 4'!$I272," ")</f>
        <v xml:space="preserve"> </v>
      </c>
      <c r="M274" s="8" t="str">
        <f>IF('Course 4'!$H272='tab4'!M$3,'Course 4'!$I272," ")</f>
        <v xml:space="preserve"> </v>
      </c>
      <c r="N274" s="9" t="str">
        <f>IF('Course 4'!$H272='tab4'!N$3,'Course 4'!$I272," ")</f>
        <v xml:space="preserve"> </v>
      </c>
    </row>
    <row r="275" spans="2:14">
      <c r="B275">
        <v>271</v>
      </c>
      <c r="C275" s="7" t="str">
        <f>IF('Course 4'!$H273='tab4'!C$3,'Course 4'!$I273," ")</f>
        <v xml:space="preserve"> </v>
      </c>
      <c r="D275" s="8" t="str">
        <f>IF('Course 4'!$H273='tab4'!D$3,'Course 4'!$I273," ")</f>
        <v xml:space="preserve"> </v>
      </c>
      <c r="E275" s="8" t="str">
        <f>IF('Course 4'!$H273='tab4'!E$3,'Course 4'!$I273," ")</f>
        <v xml:space="preserve"> </v>
      </c>
      <c r="F275" s="8" t="str">
        <f>IF('Course 4'!$H273='tab4'!F$3,'Course 4'!$I273," ")</f>
        <v xml:space="preserve"> </v>
      </c>
      <c r="G275" s="8" t="str">
        <f>IF('Course 4'!$H273='tab4'!G$3,'Course 4'!$I273," ")</f>
        <v xml:space="preserve"> </v>
      </c>
      <c r="H275" s="8" t="str">
        <f>IF('Course 4'!$H273='tab4'!H$3,'Course 4'!$I273," ")</f>
        <v xml:space="preserve"> </v>
      </c>
      <c r="I275" s="8" t="str">
        <f>IF('Course 4'!$H273='tab4'!I$3,'Course 4'!$I273," ")</f>
        <v xml:space="preserve"> </v>
      </c>
      <c r="J275" s="8" t="str">
        <f>IF('Course 4'!$H273='tab4'!J$3,'Course 4'!$I273," ")</f>
        <v xml:space="preserve"> </v>
      </c>
      <c r="K275" s="8" t="str">
        <f>IF('Course 4'!$H273='tab4'!K$3,'Course 4'!$I273," ")</f>
        <v xml:space="preserve"> </v>
      </c>
      <c r="L275" s="8" t="str">
        <f>IF('Course 4'!$H273='tab4'!L$3,'Course 4'!$I273," ")</f>
        <v xml:space="preserve"> </v>
      </c>
      <c r="M275" s="8" t="str">
        <f>IF('Course 4'!$H273='tab4'!M$3,'Course 4'!$I273," ")</f>
        <v xml:space="preserve"> </v>
      </c>
      <c r="N275" s="9" t="str">
        <f>IF('Course 4'!$H273='tab4'!N$3,'Course 4'!$I273," ")</f>
        <v xml:space="preserve"> </v>
      </c>
    </row>
    <row r="276" spans="2:14">
      <c r="B276">
        <v>272</v>
      </c>
      <c r="C276" s="7" t="str">
        <f>IF('Course 4'!$H274='tab4'!C$3,'Course 4'!$I274," ")</f>
        <v xml:space="preserve"> </v>
      </c>
      <c r="D276" s="8" t="str">
        <f>IF('Course 4'!$H274='tab4'!D$3,'Course 4'!$I274," ")</f>
        <v xml:space="preserve"> </v>
      </c>
      <c r="E276" s="8" t="str">
        <f>IF('Course 4'!$H274='tab4'!E$3,'Course 4'!$I274," ")</f>
        <v xml:space="preserve"> </v>
      </c>
      <c r="F276" s="8" t="str">
        <f>IF('Course 4'!$H274='tab4'!F$3,'Course 4'!$I274," ")</f>
        <v xml:space="preserve"> </v>
      </c>
      <c r="G276" s="8" t="str">
        <f>IF('Course 4'!$H274='tab4'!G$3,'Course 4'!$I274," ")</f>
        <v xml:space="preserve"> </v>
      </c>
      <c r="H276" s="8" t="str">
        <f>IF('Course 4'!$H274='tab4'!H$3,'Course 4'!$I274," ")</f>
        <v xml:space="preserve"> </v>
      </c>
      <c r="I276" s="8" t="str">
        <f>IF('Course 4'!$H274='tab4'!I$3,'Course 4'!$I274," ")</f>
        <v xml:space="preserve"> </v>
      </c>
      <c r="J276" s="8" t="str">
        <f>IF('Course 4'!$H274='tab4'!J$3,'Course 4'!$I274," ")</f>
        <v xml:space="preserve"> </v>
      </c>
      <c r="K276" s="8" t="str">
        <f>IF('Course 4'!$H274='tab4'!K$3,'Course 4'!$I274," ")</f>
        <v xml:space="preserve"> </v>
      </c>
      <c r="L276" s="8" t="str">
        <f>IF('Course 4'!$H274='tab4'!L$3,'Course 4'!$I274," ")</f>
        <v xml:space="preserve"> </v>
      </c>
      <c r="M276" s="8" t="str">
        <f>IF('Course 4'!$H274='tab4'!M$3,'Course 4'!$I274," ")</f>
        <v xml:space="preserve"> </v>
      </c>
      <c r="N276" s="9" t="str">
        <f>IF('Course 4'!$H274='tab4'!N$3,'Course 4'!$I274," ")</f>
        <v xml:space="preserve"> </v>
      </c>
    </row>
    <row r="277" spans="2:14">
      <c r="B277">
        <v>273</v>
      </c>
      <c r="C277" s="7" t="str">
        <f>IF('Course 4'!$H275='tab4'!C$3,'Course 4'!$I275," ")</f>
        <v xml:space="preserve"> </v>
      </c>
      <c r="D277" s="8" t="str">
        <f>IF('Course 4'!$H275='tab4'!D$3,'Course 4'!$I275," ")</f>
        <v xml:space="preserve"> </v>
      </c>
      <c r="E277" s="8" t="str">
        <f>IF('Course 4'!$H275='tab4'!E$3,'Course 4'!$I275," ")</f>
        <v xml:space="preserve"> </v>
      </c>
      <c r="F277" s="8" t="str">
        <f>IF('Course 4'!$H275='tab4'!F$3,'Course 4'!$I275," ")</f>
        <v xml:space="preserve"> </v>
      </c>
      <c r="G277" s="8" t="str">
        <f>IF('Course 4'!$H275='tab4'!G$3,'Course 4'!$I275," ")</f>
        <v xml:space="preserve"> </v>
      </c>
      <c r="H277" s="8" t="str">
        <f>IF('Course 4'!$H275='tab4'!H$3,'Course 4'!$I275," ")</f>
        <v xml:space="preserve"> </v>
      </c>
      <c r="I277" s="8" t="str">
        <f>IF('Course 4'!$H275='tab4'!I$3,'Course 4'!$I275," ")</f>
        <v xml:space="preserve"> </v>
      </c>
      <c r="J277" s="8" t="str">
        <f>IF('Course 4'!$H275='tab4'!J$3,'Course 4'!$I275," ")</f>
        <v xml:space="preserve"> </v>
      </c>
      <c r="K277" s="8" t="str">
        <f>IF('Course 4'!$H275='tab4'!K$3,'Course 4'!$I275," ")</f>
        <v xml:space="preserve"> </v>
      </c>
      <c r="L277" s="8" t="str">
        <f>IF('Course 4'!$H275='tab4'!L$3,'Course 4'!$I275," ")</f>
        <v xml:space="preserve"> </v>
      </c>
      <c r="M277" s="8" t="str">
        <f>IF('Course 4'!$H275='tab4'!M$3,'Course 4'!$I275," ")</f>
        <v xml:space="preserve"> </v>
      </c>
      <c r="N277" s="9" t="str">
        <f>IF('Course 4'!$H275='tab4'!N$3,'Course 4'!$I275," ")</f>
        <v xml:space="preserve"> </v>
      </c>
    </row>
    <row r="278" spans="2:14">
      <c r="B278">
        <v>274</v>
      </c>
      <c r="C278" s="7" t="str">
        <f>IF('Course 4'!$H276='tab4'!C$3,'Course 4'!$I276," ")</f>
        <v xml:space="preserve"> </v>
      </c>
      <c r="D278" s="8" t="str">
        <f>IF('Course 4'!$H276='tab4'!D$3,'Course 4'!$I276," ")</f>
        <v xml:space="preserve"> </v>
      </c>
      <c r="E278" s="8" t="str">
        <f>IF('Course 4'!$H276='tab4'!E$3,'Course 4'!$I276," ")</f>
        <v xml:space="preserve"> </v>
      </c>
      <c r="F278" s="8" t="str">
        <f>IF('Course 4'!$H276='tab4'!F$3,'Course 4'!$I276," ")</f>
        <v xml:space="preserve"> </v>
      </c>
      <c r="G278" s="8" t="str">
        <f>IF('Course 4'!$H276='tab4'!G$3,'Course 4'!$I276," ")</f>
        <v xml:space="preserve"> </v>
      </c>
      <c r="H278" s="8" t="str">
        <f>IF('Course 4'!$H276='tab4'!H$3,'Course 4'!$I276," ")</f>
        <v xml:space="preserve"> </v>
      </c>
      <c r="I278" s="8" t="str">
        <f>IF('Course 4'!$H276='tab4'!I$3,'Course 4'!$I276," ")</f>
        <v xml:space="preserve"> </v>
      </c>
      <c r="J278" s="8" t="str">
        <f>IF('Course 4'!$H276='tab4'!J$3,'Course 4'!$I276," ")</f>
        <v xml:space="preserve"> </v>
      </c>
      <c r="K278" s="8" t="str">
        <f>IF('Course 4'!$H276='tab4'!K$3,'Course 4'!$I276," ")</f>
        <v xml:space="preserve"> </v>
      </c>
      <c r="L278" s="8" t="str">
        <f>IF('Course 4'!$H276='tab4'!L$3,'Course 4'!$I276," ")</f>
        <v xml:space="preserve"> </v>
      </c>
      <c r="M278" s="8" t="str">
        <f>IF('Course 4'!$H276='tab4'!M$3,'Course 4'!$I276," ")</f>
        <v xml:space="preserve"> </v>
      </c>
      <c r="N278" s="9" t="str">
        <f>IF('Course 4'!$H276='tab4'!N$3,'Course 4'!$I276," ")</f>
        <v xml:space="preserve"> </v>
      </c>
    </row>
    <row r="279" spans="2:14">
      <c r="B279">
        <v>275</v>
      </c>
      <c r="C279" s="7" t="str">
        <f>IF('Course 4'!$H277='tab4'!C$3,'Course 4'!$I277," ")</f>
        <v xml:space="preserve"> </v>
      </c>
      <c r="D279" s="8" t="str">
        <f>IF('Course 4'!$H277='tab4'!D$3,'Course 4'!$I277," ")</f>
        <v xml:space="preserve"> </v>
      </c>
      <c r="E279" s="8" t="str">
        <f>IF('Course 4'!$H277='tab4'!E$3,'Course 4'!$I277," ")</f>
        <v xml:space="preserve"> </v>
      </c>
      <c r="F279" s="8" t="str">
        <f>IF('Course 4'!$H277='tab4'!F$3,'Course 4'!$I277," ")</f>
        <v xml:space="preserve"> </v>
      </c>
      <c r="G279" s="8" t="str">
        <f>IF('Course 4'!$H277='tab4'!G$3,'Course 4'!$I277," ")</f>
        <v xml:space="preserve"> </v>
      </c>
      <c r="H279" s="8" t="str">
        <f>IF('Course 4'!$H277='tab4'!H$3,'Course 4'!$I277," ")</f>
        <v xml:space="preserve"> </v>
      </c>
      <c r="I279" s="8" t="str">
        <f>IF('Course 4'!$H277='tab4'!I$3,'Course 4'!$I277," ")</f>
        <v xml:space="preserve"> </v>
      </c>
      <c r="J279" s="8" t="str">
        <f>IF('Course 4'!$H277='tab4'!J$3,'Course 4'!$I277," ")</f>
        <v xml:space="preserve"> </v>
      </c>
      <c r="K279" s="8" t="str">
        <f>IF('Course 4'!$H277='tab4'!K$3,'Course 4'!$I277," ")</f>
        <v xml:space="preserve"> </v>
      </c>
      <c r="L279" s="8" t="str">
        <f>IF('Course 4'!$H277='tab4'!L$3,'Course 4'!$I277," ")</f>
        <v xml:space="preserve"> </v>
      </c>
      <c r="M279" s="8" t="str">
        <f>IF('Course 4'!$H277='tab4'!M$3,'Course 4'!$I277," ")</f>
        <v xml:space="preserve"> </v>
      </c>
      <c r="N279" s="9" t="str">
        <f>IF('Course 4'!$H277='tab4'!N$3,'Course 4'!$I277," ")</f>
        <v xml:space="preserve"> </v>
      </c>
    </row>
    <row r="280" spans="2:14">
      <c r="B280">
        <v>276</v>
      </c>
      <c r="C280" s="7" t="str">
        <f>IF('Course 4'!$H278='tab4'!C$3,'Course 4'!$I278," ")</f>
        <v xml:space="preserve"> </v>
      </c>
      <c r="D280" s="8" t="str">
        <f>IF('Course 4'!$H278='tab4'!D$3,'Course 4'!$I278," ")</f>
        <v xml:space="preserve"> </v>
      </c>
      <c r="E280" s="8" t="str">
        <f>IF('Course 4'!$H278='tab4'!E$3,'Course 4'!$I278," ")</f>
        <v xml:space="preserve"> </v>
      </c>
      <c r="F280" s="8" t="str">
        <f>IF('Course 4'!$H278='tab4'!F$3,'Course 4'!$I278," ")</f>
        <v xml:space="preserve"> </v>
      </c>
      <c r="G280" s="8" t="str">
        <f>IF('Course 4'!$H278='tab4'!G$3,'Course 4'!$I278," ")</f>
        <v xml:space="preserve"> </v>
      </c>
      <c r="H280" s="8" t="str">
        <f>IF('Course 4'!$H278='tab4'!H$3,'Course 4'!$I278," ")</f>
        <v xml:space="preserve"> </v>
      </c>
      <c r="I280" s="8" t="str">
        <f>IF('Course 4'!$H278='tab4'!I$3,'Course 4'!$I278," ")</f>
        <v xml:space="preserve"> </v>
      </c>
      <c r="J280" s="8" t="str">
        <f>IF('Course 4'!$H278='tab4'!J$3,'Course 4'!$I278," ")</f>
        <v xml:space="preserve"> </v>
      </c>
      <c r="K280" s="8" t="str">
        <f>IF('Course 4'!$H278='tab4'!K$3,'Course 4'!$I278," ")</f>
        <v xml:space="preserve"> </v>
      </c>
      <c r="L280" s="8" t="str">
        <f>IF('Course 4'!$H278='tab4'!L$3,'Course 4'!$I278," ")</f>
        <v xml:space="preserve"> </v>
      </c>
      <c r="M280" s="8" t="str">
        <f>IF('Course 4'!$H278='tab4'!M$3,'Course 4'!$I278," ")</f>
        <v xml:space="preserve"> </v>
      </c>
      <c r="N280" s="9" t="str">
        <f>IF('Course 4'!$H278='tab4'!N$3,'Course 4'!$I278," ")</f>
        <v xml:space="preserve"> </v>
      </c>
    </row>
    <row r="281" spans="2:14">
      <c r="B281">
        <v>277</v>
      </c>
      <c r="C281" s="7" t="str">
        <f>IF('Course 4'!$H279='tab4'!C$3,'Course 4'!$I279," ")</f>
        <v xml:space="preserve"> </v>
      </c>
      <c r="D281" s="8" t="str">
        <f>IF('Course 4'!$H279='tab4'!D$3,'Course 4'!$I279," ")</f>
        <v xml:space="preserve"> </v>
      </c>
      <c r="E281" s="8" t="str">
        <f>IF('Course 4'!$H279='tab4'!E$3,'Course 4'!$I279," ")</f>
        <v xml:space="preserve"> </v>
      </c>
      <c r="F281" s="8" t="str">
        <f>IF('Course 4'!$H279='tab4'!F$3,'Course 4'!$I279," ")</f>
        <v xml:space="preserve"> </v>
      </c>
      <c r="G281" s="8" t="str">
        <f>IF('Course 4'!$H279='tab4'!G$3,'Course 4'!$I279," ")</f>
        <v xml:space="preserve"> </v>
      </c>
      <c r="H281" s="8" t="str">
        <f>IF('Course 4'!$H279='tab4'!H$3,'Course 4'!$I279," ")</f>
        <v xml:space="preserve"> </v>
      </c>
      <c r="I281" s="8" t="str">
        <f>IF('Course 4'!$H279='tab4'!I$3,'Course 4'!$I279," ")</f>
        <v xml:space="preserve"> </v>
      </c>
      <c r="J281" s="8" t="str">
        <f>IF('Course 4'!$H279='tab4'!J$3,'Course 4'!$I279," ")</f>
        <v xml:space="preserve"> </v>
      </c>
      <c r="K281" s="8" t="str">
        <f>IF('Course 4'!$H279='tab4'!K$3,'Course 4'!$I279," ")</f>
        <v xml:space="preserve"> </v>
      </c>
      <c r="L281" s="8" t="str">
        <f>IF('Course 4'!$H279='tab4'!L$3,'Course 4'!$I279," ")</f>
        <v xml:space="preserve"> </v>
      </c>
      <c r="M281" s="8" t="str">
        <f>IF('Course 4'!$H279='tab4'!M$3,'Course 4'!$I279," ")</f>
        <v xml:space="preserve"> </v>
      </c>
      <c r="N281" s="9" t="str">
        <f>IF('Course 4'!$H279='tab4'!N$3,'Course 4'!$I279," ")</f>
        <v xml:space="preserve"> </v>
      </c>
    </row>
    <row r="282" spans="2:14">
      <c r="B282">
        <v>278</v>
      </c>
      <c r="C282" s="7" t="str">
        <f>IF('Course 4'!$H280='tab4'!C$3,'Course 4'!$I280," ")</f>
        <v xml:space="preserve"> </v>
      </c>
      <c r="D282" s="8" t="str">
        <f>IF('Course 4'!$H280='tab4'!D$3,'Course 4'!$I280," ")</f>
        <v xml:space="preserve"> </v>
      </c>
      <c r="E282" s="8" t="str">
        <f>IF('Course 4'!$H280='tab4'!E$3,'Course 4'!$I280," ")</f>
        <v xml:space="preserve"> </v>
      </c>
      <c r="F282" s="8" t="str">
        <f>IF('Course 4'!$H280='tab4'!F$3,'Course 4'!$I280," ")</f>
        <v xml:space="preserve"> </v>
      </c>
      <c r="G282" s="8" t="str">
        <f>IF('Course 4'!$H280='tab4'!G$3,'Course 4'!$I280," ")</f>
        <v xml:space="preserve"> </v>
      </c>
      <c r="H282" s="8" t="str">
        <f>IF('Course 4'!$H280='tab4'!H$3,'Course 4'!$I280," ")</f>
        <v xml:space="preserve"> </v>
      </c>
      <c r="I282" s="8" t="str">
        <f>IF('Course 4'!$H280='tab4'!I$3,'Course 4'!$I280," ")</f>
        <v xml:space="preserve"> </v>
      </c>
      <c r="J282" s="8" t="str">
        <f>IF('Course 4'!$H280='tab4'!J$3,'Course 4'!$I280," ")</f>
        <v xml:space="preserve"> </v>
      </c>
      <c r="K282" s="8" t="str">
        <f>IF('Course 4'!$H280='tab4'!K$3,'Course 4'!$I280," ")</f>
        <v xml:space="preserve"> </v>
      </c>
      <c r="L282" s="8" t="str">
        <f>IF('Course 4'!$H280='tab4'!L$3,'Course 4'!$I280," ")</f>
        <v xml:space="preserve"> </v>
      </c>
      <c r="M282" s="8" t="str">
        <f>IF('Course 4'!$H280='tab4'!M$3,'Course 4'!$I280," ")</f>
        <v xml:space="preserve"> </v>
      </c>
      <c r="N282" s="9" t="str">
        <f>IF('Course 4'!$H280='tab4'!N$3,'Course 4'!$I280," ")</f>
        <v xml:space="preserve"> </v>
      </c>
    </row>
    <row r="283" spans="2:14">
      <c r="B283">
        <v>279</v>
      </c>
      <c r="C283" s="7" t="str">
        <f>IF('Course 4'!$H281='tab4'!C$3,'Course 4'!$I281," ")</f>
        <v xml:space="preserve"> </v>
      </c>
      <c r="D283" s="8" t="str">
        <f>IF('Course 4'!$H281='tab4'!D$3,'Course 4'!$I281," ")</f>
        <v xml:space="preserve"> </v>
      </c>
      <c r="E283" s="8" t="str">
        <f>IF('Course 4'!$H281='tab4'!E$3,'Course 4'!$I281," ")</f>
        <v xml:space="preserve"> </v>
      </c>
      <c r="F283" s="8" t="str">
        <f>IF('Course 4'!$H281='tab4'!F$3,'Course 4'!$I281," ")</f>
        <v xml:space="preserve"> </v>
      </c>
      <c r="G283" s="8" t="str">
        <f>IF('Course 4'!$H281='tab4'!G$3,'Course 4'!$I281," ")</f>
        <v xml:space="preserve"> </v>
      </c>
      <c r="H283" s="8" t="str">
        <f>IF('Course 4'!$H281='tab4'!H$3,'Course 4'!$I281," ")</f>
        <v xml:space="preserve"> </v>
      </c>
      <c r="I283" s="8" t="str">
        <f>IF('Course 4'!$H281='tab4'!I$3,'Course 4'!$I281," ")</f>
        <v xml:space="preserve"> </v>
      </c>
      <c r="J283" s="8" t="str">
        <f>IF('Course 4'!$H281='tab4'!J$3,'Course 4'!$I281," ")</f>
        <v xml:space="preserve"> </v>
      </c>
      <c r="K283" s="8" t="str">
        <f>IF('Course 4'!$H281='tab4'!K$3,'Course 4'!$I281," ")</f>
        <v xml:space="preserve"> </v>
      </c>
      <c r="L283" s="8" t="str">
        <f>IF('Course 4'!$H281='tab4'!L$3,'Course 4'!$I281," ")</f>
        <v xml:space="preserve"> </v>
      </c>
      <c r="M283" s="8" t="str">
        <f>IF('Course 4'!$H281='tab4'!M$3,'Course 4'!$I281," ")</f>
        <v xml:space="preserve"> </v>
      </c>
      <c r="N283" s="9" t="str">
        <f>IF('Course 4'!$H281='tab4'!N$3,'Course 4'!$I281," ")</f>
        <v xml:space="preserve"> </v>
      </c>
    </row>
    <row r="284" spans="2:14">
      <c r="B284">
        <v>280</v>
      </c>
      <c r="C284" s="7" t="str">
        <f>IF('Course 4'!$H282='tab4'!C$3,'Course 4'!$I282," ")</f>
        <v xml:space="preserve"> </v>
      </c>
      <c r="D284" s="8" t="str">
        <f>IF('Course 4'!$H282='tab4'!D$3,'Course 4'!$I282," ")</f>
        <v xml:space="preserve"> </v>
      </c>
      <c r="E284" s="8" t="str">
        <f>IF('Course 4'!$H282='tab4'!E$3,'Course 4'!$I282," ")</f>
        <v xml:space="preserve"> </v>
      </c>
      <c r="F284" s="8" t="str">
        <f>IF('Course 4'!$H282='tab4'!F$3,'Course 4'!$I282," ")</f>
        <v xml:space="preserve"> </v>
      </c>
      <c r="G284" s="8" t="str">
        <f>IF('Course 4'!$H282='tab4'!G$3,'Course 4'!$I282," ")</f>
        <v xml:space="preserve"> </v>
      </c>
      <c r="H284" s="8" t="str">
        <f>IF('Course 4'!$H282='tab4'!H$3,'Course 4'!$I282," ")</f>
        <v xml:space="preserve"> </v>
      </c>
      <c r="I284" s="8" t="str">
        <f>IF('Course 4'!$H282='tab4'!I$3,'Course 4'!$I282," ")</f>
        <v xml:space="preserve"> </v>
      </c>
      <c r="J284" s="8" t="str">
        <f>IF('Course 4'!$H282='tab4'!J$3,'Course 4'!$I282," ")</f>
        <v xml:space="preserve"> </v>
      </c>
      <c r="K284" s="8" t="str">
        <f>IF('Course 4'!$H282='tab4'!K$3,'Course 4'!$I282," ")</f>
        <v xml:space="preserve"> </v>
      </c>
      <c r="L284" s="8" t="str">
        <f>IF('Course 4'!$H282='tab4'!L$3,'Course 4'!$I282," ")</f>
        <v xml:space="preserve"> </v>
      </c>
      <c r="M284" s="8" t="str">
        <f>IF('Course 4'!$H282='tab4'!M$3,'Course 4'!$I282," ")</f>
        <v xml:space="preserve"> </v>
      </c>
      <c r="N284" s="9" t="str">
        <f>IF('Course 4'!$H282='tab4'!N$3,'Course 4'!$I282," ")</f>
        <v xml:space="preserve"> </v>
      </c>
    </row>
    <row r="285" spans="2:14">
      <c r="B285">
        <v>281</v>
      </c>
      <c r="C285" s="7" t="str">
        <f>IF('Course 4'!$H283='tab4'!C$3,'Course 4'!$I283," ")</f>
        <v xml:space="preserve"> </v>
      </c>
      <c r="D285" s="8" t="str">
        <f>IF('Course 4'!$H283='tab4'!D$3,'Course 4'!$I283," ")</f>
        <v xml:space="preserve"> </v>
      </c>
      <c r="E285" s="8" t="str">
        <f>IF('Course 4'!$H283='tab4'!E$3,'Course 4'!$I283," ")</f>
        <v xml:space="preserve"> </v>
      </c>
      <c r="F285" s="8" t="str">
        <f>IF('Course 4'!$H283='tab4'!F$3,'Course 4'!$I283," ")</f>
        <v xml:space="preserve"> </v>
      </c>
      <c r="G285" s="8" t="str">
        <f>IF('Course 4'!$H283='tab4'!G$3,'Course 4'!$I283," ")</f>
        <v xml:space="preserve"> </v>
      </c>
      <c r="H285" s="8" t="str">
        <f>IF('Course 4'!$H283='tab4'!H$3,'Course 4'!$I283," ")</f>
        <v xml:space="preserve"> </v>
      </c>
      <c r="I285" s="8" t="str">
        <f>IF('Course 4'!$H283='tab4'!I$3,'Course 4'!$I283," ")</f>
        <v xml:space="preserve"> </v>
      </c>
      <c r="J285" s="8" t="str">
        <f>IF('Course 4'!$H283='tab4'!J$3,'Course 4'!$I283," ")</f>
        <v xml:space="preserve"> </v>
      </c>
      <c r="K285" s="8" t="str">
        <f>IF('Course 4'!$H283='tab4'!K$3,'Course 4'!$I283," ")</f>
        <v xml:space="preserve"> </v>
      </c>
      <c r="L285" s="8" t="str">
        <f>IF('Course 4'!$H283='tab4'!L$3,'Course 4'!$I283," ")</f>
        <v xml:space="preserve"> </v>
      </c>
      <c r="M285" s="8" t="str">
        <f>IF('Course 4'!$H283='tab4'!M$3,'Course 4'!$I283," ")</f>
        <v xml:space="preserve"> </v>
      </c>
      <c r="N285" s="9" t="str">
        <f>IF('Course 4'!$H283='tab4'!N$3,'Course 4'!$I283," ")</f>
        <v xml:space="preserve"> </v>
      </c>
    </row>
    <row r="286" spans="2:14">
      <c r="B286">
        <v>282</v>
      </c>
      <c r="C286" s="7" t="str">
        <f>IF('Course 4'!$H284='tab4'!C$3,'Course 4'!$I284," ")</f>
        <v xml:space="preserve"> </v>
      </c>
      <c r="D286" s="8" t="str">
        <f>IF('Course 4'!$H284='tab4'!D$3,'Course 4'!$I284," ")</f>
        <v xml:space="preserve"> </v>
      </c>
      <c r="E286" s="8" t="str">
        <f>IF('Course 4'!$H284='tab4'!E$3,'Course 4'!$I284," ")</f>
        <v xml:space="preserve"> </v>
      </c>
      <c r="F286" s="8" t="str">
        <f>IF('Course 4'!$H284='tab4'!F$3,'Course 4'!$I284," ")</f>
        <v xml:space="preserve"> </v>
      </c>
      <c r="G286" s="8" t="str">
        <f>IF('Course 4'!$H284='tab4'!G$3,'Course 4'!$I284," ")</f>
        <v xml:space="preserve"> </v>
      </c>
      <c r="H286" s="8" t="str">
        <f>IF('Course 4'!$H284='tab4'!H$3,'Course 4'!$I284," ")</f>
        <v xml:space="preserve"> </v>
      </c>
      <c r="I286" s="8" t="str">
        <f>IF('Course 4'!$H284='tab4'!I$3,'Course 4'!$I284," ")</f>
        <v xml:space="preserve"> </v>
      </c>
      <c r="J286" s="8" t="str">
        <f>IF('Course 4'!$H284='tab4'!J$3,'Course 4'!$I284," ")</f>
        <v xml:space="preserve"> </v>
      </c>
      <c r="K286" s="8" t="str">
        <f>IF('Course 4'!$H284='tab4'!K$3,'Course 4'!$I284," ")</f>
        <v xml:space="preserve"> </v>
      </c>
      <c r="L286" s="8" t="str">
        <f>IF('Course 4'!$H284='tab4'!L$3,'Course 4'!$I284," ")</f>
        <v xml:space="preserve"> </v>
      </c>
      <c r="M286" s="8" t="str">
        <f>IF('Course 4'!$H284='tab4'!M$3,'Course 4'!$I284," ")</f>
        <v xml:space="preserve"> </v>
      </c>
      <c r="N286" s="9" t="str">
        <f>IF('Course 4'!$H284='tab4'!N$3,'Course 4'!$I284," ")</f>
        <v xml:space="preserve"> </v>
      </c>
    </row>
    <row r="287" spans="2:14">
      <c r="B287">
        <v>283</v>
      </c>
      <c r="C287" s="7" t="str">
        <f>IF('Course 4'!$H285='tab4'!C$3,'Course 4'!$I285," ")</f>
        <v xml:space="preserve"> </v>
      </c>
      <c r="D287" s="8" t="str">
        <f>IF('Course 4'!$H285='tab4'!D$3,'Course 4'!$I285," ")</f>
        <v xml:space="preserve"> </v>
      </c>
      <c r="E287" s="8" t="str">
        <f>IF('Course 4'!$H285='tab4'!E$3,'Course 4'!$I285," ")</f>
        <v xml:space="preserve"> </v>
      </c>
      <c r="F287" s="8" t="str">
        <f>IF('Course 4'!$H285='tab4'!F$3,'Course 4'!$I285," ")</f>
        <v xml:space="preserve"> </v>
      </c>
      <c r="G287" s="8" t="str">
        <f>IF('Course 4'!$H285='tab4'!G$3,'Course 4'!$I285," ")</f>
        <v xml:space="preserve"> </v>
      </c>
      <c r="H287" s="8" t="str">
        <f>IF('Course 4'!$H285='tab4'!H$3,'Course 4'!$I285," ")</f>
        <v xml:space="preserve"> </v>
      </c>
      <c r="I287" s="8" t="str">
        <f>IF('Course 4'!$H285='tab4'!I$3,'Course 4'!$I285," ")</f>
        <v xml:space="preserve"> </v>
      </c>
      <c r="J287" s="8" t="str">
        <f>IF('Course 4'!$H285='tab4'!J$3,'Course 4'!$I285," ")</f>
        <v xml:space="preserve"> </v>
      </c>
      <c r="K287" s="8" t="str">
        <f>IF('Course 4'!$H285='tab4'!K$3,'Course 4'!$I285," ")</f>
        <v xml:space="preserve"> </v>
      </c>
      <c r="L287" s="8" t="str">
        <f>IF('Course 4'!$H285='tab4'!L$3,'Course 4'!$I285," ")</f>
        <v xml:space="preserve"> </v>
      </c>
      <c r="M287" s="8" t="str">
        <f>IF('Course 4'!$H285='tab4'!M$3,'Course 4'!$I285," ")</f>
        <v xml:space="preserve"> </v>
      </c>
      <c r="N287" s="9" t="str">
        <f>IF('Course 4'!$H285='tab4'!N$3,'Course 4'!$I285," ")</f>
        <v xml:space="preserve"> </v>
      </c>
    </row>
    <row r="288" spans="2:14">
      <c r="B288">
        <v>284</v>
      </c>
      <c r="C288" s="7" t="str">
        <f>IF('Course 4'!$H286='tab4'!C$3,'Course 4'!$I286," ")</f>
        <v xml:space="preserve"> </v>
      </c>
      <c r="D288" s="8" t="str">
        <f>IF('Course 4'!$H286='tab4'!D$3,'Course 4'!$I286," ")</f>
        <v xml:space="preserve"> </v>
      </c>
      <c r="E288" s="8" t="str">
        <f>IF('Course 4'!$H286='tab4'!E$3,'Course 4'!$I286," ")</f>
        <v xml:space="preserve"> </v>
      </c>
      <c r="F288" s="8" t="str">
        <f>IF('Course 4'!$H286='tab4'!F$3,'Course 4'!$I286," ")</f>
        <v xml:space="preserve"> </v>
      </c>
      <c r="G288" s="8" t="str">
        <f>IF('Course 4'!$H286='tab4'!G$3,'Course 4'!$I286," ")</f>
        <v xml:space="preserve"> </v>
      </c>
      <c r="H288" s="8" t="str">
        <f>IF('Course 4'!$H286='tab4'!H$3,'Course 4'!$I286," ")</f>
        <v xml:space="preserve"> </v>
      </c>
      <c r="I288" s="8" t="str">
        <f>IF('Course 4'!$H286='tab4'!I$3,'Course 4'!$I286," ")</f>
        <v xml:space="preserve"> </v>
      </c>
      <c r="J288" s="8" t="str">
        <f>IF('Course 4'!$H286='tab4'!J$3,'Course 4'!$I286," ")</f>
        <v xml:space="preserve"> </v>
      </c>
      <c r="K288" s="8" t="str">
        <f>IF('Course 4'!$H286='tab4'!K$3,'Course 4'!$I286," ")</f>
        <v xml:space="preserve"> </v>
      </c>
      <c r="L288" s="8" t="str">
        <f>IF('Course 4'!$H286='tab4'!L$3,'Course 4'!$I286," ")</f>
        <v xml:space="preserve"> </v>
      </c>
      <c r="M288" s="8" t="str">
        <f>IF('Course 4'!$H286='tab4'!M$3,'Course 4'!$I286," ")</f>
        <v xml:space="preserve"> </v>
      </c>
      <c r="N288" s="9" t="str">
        <f>IF('Course 4'!$H286='tab4'!N$3,'Course 4'!$I286," ")</f>
        <v xml:space="preserve"> </v>
      </c>
    </row>
    <row r="289" spans="2:14">
      <c r="B289">
        <v>285</v>
      </c>
      <c r="C289" s="7" t="str">
        <f>IF('Course 4'!$H287='tab4'!C$3,'Course 4'!$I287," ")</f>
        <v xml:space="preserve"> </v>
      </c>
      <c r="D289" s="8" t="str">
        <f>IF('Course 4'!$H287='tab4'!D$3,'Course 4'!$I287," ")</f>
        <v xml:space="preserve"> </v>
      </c>
      <c r="E289" s="8" t="str">
        <f>IF('Course 4'!$H287='tab4'!E$3,'Course 4'!$I287," ")</f>
        <v xml:space="preserve"> </v>
      </c>
      <c r="F289" s="8" t="str">
        <f>IF('Course 4'!$H287='tab4'!F$3,'Course 4'!$I287," ")</f>
        <v xml:space="preserve"> </v>
      </c>
      <c r="G289" s="8" t="str">
        <f>IF('Course 4'!$H287='tab4'!G$3,'Course 4'!$I287," ")</f>
        <v xml:space="preserve"> </v>
      </c>
      <c r="H289" s="8" t="str">
        <f>IF('Course 4'!$H287='tab4'!H$3,'Course 4'!$I287," ")</f>
        <v xml:space="preserve"> </v>
      </c>
      <c r="I289" s="8" t="str">
        <f>IF('Course 4'!$H287='tab4'!I$3,'Course 4'!$I287," ")</f>
        <v xml:space="preserve"> </v>
      </c>
      <c r="J289" s="8" t="str">
        <f>IF('Course 4'!$H287='tab4'!J$3,'Course 4'!$I287," ")</f>
        <v xml:space="preserve"> </v>
      </c>
      <c r="K289" s="8" t="str">
        <f>IF('Course 4'!$H287='tab4'!K$3,'Course 4'!$I287," ")</f>
        <v xml:space="preserve"> </v>
      </c>
      <c r="L289" s="8" t="str">
        <f>IF('Course 4'!$H287='tab4'!L$3,'Course 4'!$I287," ")</f>
        <v xml:space="preserve"> </v>
      </c>
      <c r="M289" s="8" t="str">
        <f>IF('Course 4'!$H287='tab4'!M$3,'Course 4'!$I287," ")</f>
        <v xml:space="preserve"> </v>
      </c>
      <c r="N289" s="9" t="str">
        <f>IF('Course 4'!$H287='tab4'!N$3,'Course 4'!$I287," ")</f>
        <v xml:space="preserve"> </v>
      </c>
    </row>
    <row r="290" spans="2:14">
      <c r="B290">
        <v>286</v>
      </c>
      <c r="C290" s="7" t="str">
        <f>IF('Course 4'!$H288='tab4'!C$3,'Course 4'!$I288," ")</f>
        <v xml:space="preserve"> </v>
      </c>
      <c r="D290" s="8" t="str">
        <f>IF('Course 4'!$H288='tab4'!D$3,'Course 4'!$I288," ")</f>
        <v xml:space="preserve"> </v>
      </c>
      <c r="E290" s="8" t="str">
        <f>IF('Course 4'!$H288='tab4'!E$3,'Course 4'!$I288," ")</f>
        <v xml:space="preserve"> </v>
      </c>
      <c r="F290" s="8" t="str">
        <f>IF('Course 4'!$H288='tab4'!F$3,'Course 4'!$I288," ")</f>
        <v xml:space="preserve"> </v>
      </c>
      <c r="G290" s="8" t="str">
        <f>IF('Course 4'!$H288='tab4'!G$3,'Course 4'!$I288," ")</f>
        <v xml:space="preserve"> </v>
      </c>
      <c r="H290" s="8" t="str">
        <f>IF('Course 4'!$H288='tab4'!H$3,'Course 4'!$I288," ")</f>
        <v xml:space="preserve"> </v>
      </c>
      <c r="I290" s="8" t="str">
        <f>IF('Course 4'!$H288='tab4'!I$3,'Course 4'!$I288," ")</f>
        <v xml:space="preserve"> </v>
      </c>
      <c r="J290" s="8" t="str">
        <f>IF('Course 4'!$H288='tab4'!J$3,'Course 4'!$I288," ")</f>
        <v xml:space="preserve"> </v>
      </c>
      <c r="K290" s="8" t="str">
        <f>IF('Course 4'!$H288='tab4'!K$3,'Course 4'!$I288," ")</f>
        <v xml:space="preserve"> </v>
      </c>
      <c r="L290" s="8" t="str">
        <f>IF('Course 4'!$H288='tab4'!L$3,'Course 4'!$I288," ")</f>
        <v xml:space="preserve"> </v>
      </c>
      <c r="M290" s="8" t="str">
        <f>IF('Course 4'!$H288='tab4'!M$3,'Course 4'!$I288," ")</f>
        <v xml:space="preserve"> </v>
      </c>
      <c r="N290" s="9" t="str">
        <f>IF('Course 4'!$H288='tab4'!N$3,'Course 4'!$I288," ")</f>
        <v xml:space="preserve"> </v>
      </c>
    </row>
    <row r="291" spans="2:14">
      <c r="B291">
        <v>287</v>
      </c>
      <c r="C291" s="7" t="str">
        <f>IF('Course 4'!$H289='tab4'!C$3,'Course 4'!$I289," ")</f>
        <v xml:space="preserve"> </v>
      </c>
      <c r="D291" s="8" t="str">
        <f>IF('Course 4'!$H289='tab4'!D$3,'Course 4'!$I289," ")</f>
        <v xml:space="preserve"> </v>
      </c>
      <c r="E291" s="8" t="str">
        <f>IF('Course 4'!$H289='tab4'!E$3,'Course 4'!$I289," ")</f>
        <v xml:space="preserve"> </v>
      </c>
      <c r="F291" s="8" t="str">
        <f>IF('Course 4'!$H289='tab4'!F$3,'Course 4'!$I289," ")</f>
        <v xml:space="preserve"> </v>
      </c>
      <c r="G291" s="8" t="str">
        <f>IF('Course 4'!$H289='tab4'!G$3,'Course 4'!$I289," ")</f>
        <v xml:space="preserve"> </v>
      </c>
      <c r="H291" s="8" t="str">
        <f>IF('Course 4'!$H289='tab4'!H$3,'Course 4'!$I289," ")</f>
        <v xml:space="preserve"> </v>
      </c>
      <c r="I291" s="8" t="str">
        <f>IF('Course 4'!$H289='tab4'!I$3,'Course 4'!$I289," ")</f>
        <v xml:space="preserve"> </v>
      </c>
      <c r="J291" s="8" t="str">
        <f>IF('Course 4'!$H289='tab4'!J$3,'Course 4'!$I289," ")</f>
        <v xml:space="preserve"> </v>
      </c>
      <c r="K291" s="8" t="str">
        <f>IF('Course 4'!$H289='tab4'!K$3,'Course 4'!$I289," ")</f>
        <v xml:space="preserve"> </v>
      </c>
      <c r="L291" s="8" t="str">
        <f>IF('Course 4'!$H289='tab4'!L$3,'Course 4'!$I289," ")</f>
        <v xml:space="preserve"> </v>
      </c>
      <c r="M291" s="8" t="str">
        <f>IF('Course 4'!$H289='tab4'!M$3,'Course 4'!$I289," ")</f>
        <v xml:space="preserve"> </v>
      </c>
      <c r="N291" s="9" t="str">
        <f>IF('Course 4'!$H289='tab4'!N$3,'Course 4'!$I289," ")</f>
        <v xml:space="preserve"> </v>
      </c>
    </row>
    <row r="292" spans="2:14">
      <c r="B292">
        <v>288</v>
      </c>
      <c r="C292" s="7" t="str">
        <f>IF('Course 4'!$H290='tab4'!C$3,'Course 4'!$I290," ")</f>
        <v xml:space="preserve"> </v>
      </c>
      <c r="D292" s="8" t="str">
        <f>IF('Course 4'!$H290='tab4'!D$3,'Course 4'!$I290," ")</f>
        <v xml:space="preserve"> </v>
      </c>
      <c r="E292" s="8" t="str">
        <f>IF('Course 4'!$H290='tab4'!E$3,'Course 4'!$I290," ")</f>
        <v xml:space="preserve"> </v>
      </c>
      <c r="F292" s="8" t="str">
        <f>IF('Course 4'!$H290='tab4'!F$3,'Course 4'!$I290," ")</f>
        <v xml:space="preserve"> </v>
      </c>
      <c r="G292" s="8" t="str">
        <f>IF('Course 4'!$H290='tab4'!G$3,'Course 4'!$I290," ")</f>
        <v xml:space="preserve"> </v>
      </c>
      <c r="H292" s="8" t="str">
        <f>IF('Course 4'!$H290='tab4'!H$3,'Course 4'!$I290," ")</f>
        <v xml:space="preserve"> </v>
      </c>
      <c r="I292" s="8" t="str">
        <f>IF('Course 4'!$H290='tab4'!I$3,'Course 4'!$I290," ")</f>
        <v xml:space="preserve"> </v>
      </c>
      <c r="J292" s="8" t="str">
        <f>IF('Course 4'!$H290='tab4'!J$3,'Course 4'!$I290," ")</f>
        <v xml:space="preserve"> </v>
      </c>
      <c r="K292" s="8" t="str">
        <f>IF('Course 4'!$H290='tab4'!K$3,'Course 4'!$I290," ")</f>
        <v xml:space="preserve"> </v>
      </c>
      <c r="L292" s="8" t="str">
        <f>IF('Course 4'!$H290='tab4'!L$3,'Course 4'!$I290," ")</f>
        <v xml:space="preserve"> </v>
      </c>
      <c r="M292" s="8" t="str">
        <f>IF('Course 4'!$H290='tab4'!M$3,'Course 4'!$I290," ")</f>
        <v xml:space="preserve"> </v>
      </c>
      <c r="N292" s="9" t="str">
        <f>IF('Course 4'!$H290='tab4'!N$3,'Course 4'!$I290," ")</f>
        <v xml:space="preserve"> </v>
      </c>
    </row>
    <row r="293" spans="2:14">
      <c r="B293">
        <v>289</v>
      </c>
      <c r="C293" s="7" t="str">
        <f>IF('Course 4'!$H291='tab4'!C$3,'Course 4'!$I291," ")</f>
        <v xml:space="preserve"> </v>
      </c>
      <c r="D293" s="8" t="str">
        <f>IF('Course 4'!$H291='tab4'!D$3,'Course 4'!$I291," ")</f>
        <v xml:space="preserve"> </v>
      </c>
      <c r="E293" s="8" t="str">
        <f>IF('Course 4'!$H291='tab4'!E$3,'Course 4'!$I291," ")</f>
        <v xml:space="preserve"> </v>
      </c>
      <c r="F293" s="8" t="str">
        <f>IF('Course 4'!$H291='tab4'!F$3,'Course 4'!$I291," ")</f>
        <v xml:space="preserve"> </v>
      </c>
      <c r="G293" s="8" t="str">
        <f>IF('Course 4'!$H291='tab4'!G$3,'Course 4'!$I291," ")</f>
        <v xml:space="preserve"> </v>
      </c>
      <c r="H293" s="8" t="str">
        <f>IF('Course 4'!$H291='tab4'!H$3,'Course 4'!$I291," ")</f>
        <v xml:space="preserve"> </v>
      </c>
      <c r="I293" s="8" t="str">
        <f>IF('Course 4'!$H291='tab4'!I$3,'Course 4'!$I291," ")</f>
        <v xml:space="preserve"> </v>
      </c>
      <c r="J293" s="8" t="str">
        <f>IF('Course 4'!$H291='tab4'!J$3,'Course 4'!$I291," ")</f>
        <v xml:space="preserve"> </v>
      </c>
      <c r="K293" s="8" t="str">
        <f>IF('Course 4'!$H291='tab4'!K$3,'Course 4'!$I291," ")</f>
        <v xml:space="preserve"> </v>
      </c>
      <c r="L293" s="8" t="str">
        <f>IF('Course 4'!$H291='tab4'!L$3,'Course 4'!$I291," ")</f>
        <v xml:space="preserve"> </v>
      </c>
      <c r="M293" s="8" t="str">
        <f>IF('Course 4'!$H291='tab4'!M$3,'Course 4'!$I291," ")</f>
        <v xml:space="preserve"> </v>
      </c>
      <c r="N293" s="9" t="str">
        <f>IF('Course 4'!$H291='tab4'!N$3,'Course 4'!$I291," ")</f>
        <v xml:space="preserve"> </v>
      </c>
    </row>
    <row r="294" spans="2:14">
      <c r="B294">
        <v>290</v>
      </c>
      <c r="C294" s="7" t="str">
        <f>IF('Course 4'!$H292='tab4'!C$3,'Course 4'!$I292," ")</f>
        <v xml:space="preserve"> </v>
      </c>
      <c r="D294" s="8" t="str">
        <f>IF('Course 4'!$H292='tab4'!D$3,'Course 4'!$I292," ")</f>
        <v xml:space="preserve"> </v>
      </c>
      <c r="E294" s="8" t="str">
        <f>IF('Course 4'!$H292='tab4'!E$3,'Course 4'!$I292," ")</f>
        <v xml:space="preserve"> </v>
      </c>
      <c r="F294" s="8" t="str">
        <f>IF('Course 4'!$H292='tab4'!F$3,'Course 4'!$I292," ")</f>
        <v xml:space="preserve"> </v>
      </c>
      <c r="G294" s="8" t="str">
        <f>IF('Course 4'!$H292='tab4'!G$3,'Course 4'!$I292," ")</f>
        <v xml:space="preserve"> </v>
      </c>
      <c r="H294" s="8" t="str">
        <f>IF('Course 4'!$H292='tab4'!H$3,'Course 4'!$I292," ")</f>
        <v xml:space="preserve"> </v>
      </c>
      <c r="I294" s="8" t="str">
        <f>IF('Course 4'!$H292='tab4'!I$3,'Course 4'!$I292," ")</f>
        <v xml:space="preserve"> </v>
      </c>
      <c r="J294" s="8" t="str">
        <f>IF('Course 4'!$H292='tab4'!J$3,'Course 4'!$I292," ")</f>
        <v xml:space="preserve"> </v>
      </c>
      <c r="K294" s="8" t="str">
        <f>IF('Course 4'!$H292='tab4'!K$3,'Course 4'!$I292," ")</f>
        <v xml:space="preserve"> </v>
      </c>
      <c r="L294" s="8" t="str">
        <f>IF('Course 4'!$H292='tab4'!L$3,'Course 4'!$I292," ")</f>
        <v xml:space="preserve"> </v>
      </c>
      <c r="M294" s="8" t="str">
        <f>IF('Course 4'!$H292='tab4'!M$3,'Course 4'!$I292," ")</f>
        <v xml:space="preserve"> </v>
      </c>
      <c r="N294" s="9" t="str">
        <f>IF('Course 4'!$H292='tab4'!N$3,'Course 4'!$I292," ")</f>
        <v xml:space="preserve"> </v>
      </c>
    </row>
    <row r="295" spans="2:14">
      <c r="B295">
        <v>291</v>
      </c>
      <c r="C295" s="7" t="str">
        <f>IF('Course 4'!$H293='tab4'!C$3,'Course 4'!$I293," ")</f>
        <v xml:space="preserve"> </v>
      </c>
      <c r="D295" s="8" t="str">
        <f>IF('Course 4'!$H293='tab4'!D$3,'Course 4'!$I293," ")</f>
        <v xml:space="preserve"> </v>
      </c>
      <c r="E295" s="8" t="str">
        <f>IF('Course 4'!$H293='tab4'!E$3,'Course 4'!$I293," ")</f>
        <v xml:space="preserve"> </v>
      </c>
      <c r="F295" s="8" t="str">
        <f>IF('Course 4'!$H293='tab4'!F$3,'Course 4'!$I293," ")</f>
        <v xml:space="preserve"> </v>
      </c>
      <c r="G295" s="8" t="str">
        <f>IF('Course 4'!$H293='tab4'!G$3,'Course 4'!$I293," ")</f>
        <v xml:space="preserve"> </v>
      </c>
      <c r="H295" s="8" t="str">
        <f>IF('Course 4'!$H293='tab4'!H$3,'Course 4'!$I293," ")</f>
        <v xml:space="preserve"> </v>
      </c>
      <c r="I295" s="8" t="str">
        <f>IF('Course 4'!$H293='tab4'!I$3,'Course 4'!$I293," ")</f>
        <v xml:space="preserve"> </v>
      </c>
      <c r="J295" s="8" t="str">
        <f>IF('Course 4'!$H293='tab4'!J$3,'Course 4'!$I293," ")</f>
        <v xml:space="preserve"> </v>
      </c>
      <c r="K295" s="8" t="str">
        <f>IF('Course 4'!$H293='tab4'!K$3,'Course 4'!$I293," ")</f>
        <v xml:space="preserve"> </v>
      </c>
      <c r="L295" s="8" t="str">
        <f>IF('Course 4'!$H293='tab4'!L$3,'Course 4'!$I293," ")</f>
        <v xml:space="preserve"> </v>
      </c>
      <c r="M295" s="8" t="str">
        <f>IF('Course 4'!$H293='tab4'!M$3,'Course 4'!$I293," ")</f>
        <v xml:space="preserve"> </v>
      </c>
      <c r="N295" s="9" t="str">
        <f>IF('Course 4'!$H293='tab4'!N$3,'Course 4'!$I293," ")</f>
        <v xml:space="preserve"> </v>
      </c>
    </row>
    <row r="296" spans="2:14">
      <c r="B296">
        <v>292</v>
      </c>
      <c r="C296" s="7" t="str">
        <f>IF('Course 4'!$H294='tab4'!C$3,'Course 4'!$I294," ")</f>
        <v xml:space="preserve"> </v>
      </c>
      <c r="D296" s="8" t="str">
        <f>IF('Course 4'!$H294='tab4'!D$3,'Course 4'!$I294," ")</f>
        <v xml:space="preserve"> </v>
      </c>
      <c r="E296" s="8" t="str">
        <f>IF('Course 4'!$H294='tab4'!E$3,'Course 4'!$I294," ")</f>
        <v xml:space="preserve"> </v>
      </c>
      <c r="F296" s="8" t="str">
        <f>IF('Course 4'!$H294='tab4'!F$3,'Course 4'!$I294," ")</f>
        <v xml:space="preserve"> </v>
      </c>
      <c r="G296" s="8" t="str">
        <f>IF('Course 4'!$H294='tab4'!G$3,'Course 4'!$I294," ")</f>
        <v xml:space="preserve"> </v>
      </c>
      <c r="H296" s="8" t="str">
        <f>IF('Course 4'!$H294='tab4'!H$3,'Course 4'!$I294," ")</f>
        <v xml:space="preserve"> </v>
      </c>
      <c r="I296" s="8" t="str">
        <f>IF('Course 4'!$H294='tab4'!I$3,'Course 4'!$I294," ")</f>
        <v xml:space="preserve"> </v>
      </c>
      <c r="J296" s="8" t="str">
        <f>IF('Course 4'!$H294='tab4'!J$3,'Course 4'!$I294," ")</f>
        <v xml:space="preserve"> </v>
      </c>
      <c r="K296" s="8" t="str">
        <f>IF('Course 4'!$H294='tab4'!K$3,'Course 4'!$I294," ")</f>
        <v xml:space="preserve"> </v>
      </c>
      <c r="L296" s="8" t="str">
        <f>IF('Course 4'!$H294='tab4'!L$3,'Course 4'!$I294," ")</f>
        <v xml:space="preserve"> </v>
      </c>
      <c r="M296" s="8" t="str">
        <f>IF('Course 4'!$H294='tab4'!M$3,'Course 4'!$I294," ")</f>
        <v xml:space="preserve"> </v>
      </c>
      <c r="N296" s="9" t="str">
        <f>IF('Course 4'!$H294='tab4'!N$3,'Course 4'!$I294," ")</f>
        <v xml:space="preserve"> </v>
      </c>
    </row>
    <row r="297" spans="2:14">
      <c r="B297">
        <v>293</v>
      </c>
      <c r="C297" s="7" t="str">
        <f>IF('Course 4'!$H295='tab4'!C$3,'Course 4'!$I295," ")</f>
        <v xml:space="preserve"> </v>
      </c>
      <c r="D297" s="8" t="str">
        <f>IF('Course 4'!$H295='tab4'!D$3,'Course 4'!$I295," ")</f>
        <v xml:space="preserve"> </v>
      </c>
      <c r="E297" s="8" t="str">
        <f>IF('Course 4'!$H295='tab4'!E$3,'Course 4'!$I295," ")</f>
        <v xml:space="preserve"> </v>
      </c>
      <c r="F297" s="8" t="str">
        <f>IF('Course 4'!$H295='tab4'!F$3,'Course 4'!$I295," ")</f>
        <v xml:space="preserve"> </v>
      </c>
      <c r="G297" s="8" t="str">
        <f>IF('Course 4'!$H295='tab4'!G$3,'Course 4'!$I295," ")</f>
        <v xml:space="preserve"> </v>
      </c>
      <c r="H297" s="8" t="str">
        <f>IF('Course 4'!$H295='tab4'!H$3,'Course 4'!$I295," ")</f>
        <v xml:space="preserve"> </v>
      </c>
      <c r="I297" s="8" t="str">
        <f>IF('Course 4'!$H295='tab4'!I$3,'Course 4'!$I295," ")</f>
        <v xml:space="preserve"> </v>
      </c>
      <c r="J297" s="8" t="str">
        <f>IF('Course 4'!$H295='tab4'!J$3,'Course 4'!$I295," ")</f>
        <v xml:space="preserve"> </v>
      </c>
      <c r="K297" s="8" t="str">
        <f>IF('Course 4'!$H295='tab4'!K$3,'Course 4'!$I295," ")</f>
        <v xml:space="preserve"> </v>
      </c>
      <c r="L297" s="8" t="str">
        <f>IF('Course 4'!$H295='tab4'!L$3,'Course 4'!$I295," ")</f>
        <v xml:space="preserve"> </v>
      </c>
      <c r="M297" s="8" t="str">
        <f>IF('Course 4'!$H295='tab4'!M$3,'Course 4'!$I295," ")</f>
        <v xml:space="preserve"> </v>
      </c>
      <c r="N297" s="9" t="str">
        <f>IF('Course 4'!$H295='tab4'!N$3,'Course 4'!$I295," ")</f>
        <v xml:space="preserve"> </v>
      </c>
    </row>
    <row r="298" spans="2:14">
      <c r="B298">
        <v>294</v>
      </c>
      <c r="C298" s="7" t="str">
        <f>IF('Course 4'!$H296='tab4'!C$3,'Course 4'!$I296," ")</f>
        <v xml:space="preserve"> </v>
      </c>
      <c r="D298" s="8" t="str">
        <f>IF('Course 4'!$H296='tab4'!D$3,'Course 4'!$I296," ")</f>
        <v xml:space="preserve"> </v>
      </c>
      <c r="E298" s="8" t="str">
        <f>IF('Course 4'!$H296='tab4'!E$3,'Course 4'!$I296," ")</f>
        <v xml:space="preserve"> </v>
      </c>
      <c r="F298" s="8" t="str">
        <f>IF('Course 4'!$H296='tab4'!F$3,'Course 4'!$I296," ")</f>
        <v xml:space="preserve"> </v>
      </c>
      <c r="G298" s="8" t="str">
        <f>IF('Course 4'!$H296='tab4'!G$3,'Course 4'!$I296," ")</f>
        <v xml:space="preserve"> </v>
      </c>
      <c r="H298" s="8" t="str">
        <f>IF('Course 4'!$H296='tab4'!H$3,'Course 4'!$I296," ")</f>
        <v xml:space="preserve"> </v>
      </c>
      <c r="I298" s="8" t="str">
        <f>IF('Course 4'!$H296='tab4'!I$3,'Course 4'!$I296," ")</f>
        <v xml:space="preserve"> </v>
      </c>
      <c r="J298" s="8" t="str">
        <f>IF('Course 4'!$H296='tab4'!J$3,'Course 4'!$I296," ")</f>
        <v xml:space="preserve"> </v>
      </c>
      <c r="K298" s="8" t="str">
        <f>IF('Course 4'!$H296='tab4'!K$3,'Course 4'!$I296," ")</f>
        <v xml:space="preserve"> </v>
      </c>
      <c r="L298" s="8" t="str">
        <f>IF('Course 4'!$H296='tab4'!L$3,'Course 4'!$I296," ")</f>
        <v xml:space="preserve"> </v>
      </c>
      <c r="M298" s="8" t="str">
        <f>IF('Course 4'!$H296='tab4'!M$3,'Course 4'!$I296," ")</f>
        <v xml:space="preserve"> </v>
      </c>
      <c r="N298" s="9" t="str">
        <f>IF('Course 4'!$H296='tab4'!N$3,'Course 4'!$I296," ")</f>
        <v xml:space="preserve"> </v>
      </c>
    </row>
    <row r="299" spans="2:14">
      <c r="B299">
        <v>295</v>
      </c>
      <c r="C299" s="7" t="str">
        <f>IF('Course 4'!$H297='tab4'!C$3,'Course 4'!$I297," ")</f>
        <v xml:space="preserve"> </v>
      </c>
      <c r="D299" s="8" t="str">
        <f>IF('Course 4'!$H297='tab4'!D$3,'Course 4'!$I297," ")</f>
        <v xml:space="preserve"> </v>
      </c>
      <c r="E299" s="8" t="str">
        <f>IF('Course 4'!$H297='tab4'!E$3,'Course 4'!$I297," ")</f>
        <v xml:space="preserve"> </v>
      </c>
      <c r="F299" s="8" t="str">
        <f>IF('Course 4'!$H297='tab4'!F$3,'Course 4'!$I297," ")</f>
        <v xml:space="preserve"> </v>
      </c>
      <c r="G299" s="8" t="str">
        <f>IF('Course 4'!$H297='tab4'!G$3,'Course 4'!$I297," ")</f>
        <v xml:space="preserve"> </v>
      </c>
      <c r="H299" s="8" t="str">
        <f>IF('Course 4'!$H297='tab4'!H$3,'Course 4'!$I297," ")</f>
        <v xml:space="preserve"> </v>
      </c>
      <c r="I299" s="8" t="str">
        <f>IF('Course 4'!$H297='tab4'!I$3,'Course 4'!$I297," ")</f>
        <v xml:space="preserve"> </v>
      </c>
      <c r="J299" s="8" t="str">
        <f>IF('Course 4'!$H297='tab4'!J$3,'Course 4'!$I297," ")</f>
        <v xml:space="preserve"> </v>
      </c>
      <c r="K299" s="8" t="str">
        <f>IF('Course 4'!$H297='tab4'!K$3,'Course 4'!$I297," ")</f>
        <v xml:space="preserve"> </v>
      </c>
      <c r="L299" s="8" t="str">
        <f>IF('Course 4'!$H297='tab4'!L$3,'Course 4'!$I297," ")</f>
        <v xml:space="preserve"> </v>
      </c>
      <c r="M299" s="8" t="str">
        <f>IF('Course 4'!$H297='tab4'!M$3,'Course 4'!$I297," ")</f>
        <v xml:space="preserve"> </v>
      </c>
      <c r="N299" s="9" t="str">
        <f>IF('Course 4'!$H297='tab4'!N$3,'Course 4'!$I297," ")</f>
        <v xml:space="preserve"> </v>
      </c>
    </row>
    <row r="300" spans="2:14">
      <c r="B300">
        <v>296</v>
      </c>
      <c r="C300" s="7" t="str">
        <f>IF('Course 4'!$H298='tab4'!C$3,'Course 4'!$I298," ")</f>
        <v xml:space="preserve"> </v>
      </c>
      <c r="D300" s="8" t="str">
        <f>IF('Course 4'!$H298='tab4'!D$3,'Course 4'!$I298," ")</f>
        <v xml:space="preserve"> </v>
      </c>
      <c r="E300" s="8" t="str">
        <f>IF('Course 4'!$H298='tab4'!E$3,'Course 4'!$I298," ")</f>
        <v xml:space="preserve"> </v>
      </c>
      <c r="F300" s="8" t="str">
        <f>IF('Course 4'!$H298='tab4'!F$3,'Course 4'!$I298," ")</f>
        <v xml:space="preserve"> </v>
      </c>
      <c r="G300" s="8" t="str">
        <f>IF('Course 4'!$H298='tab4'!G$3,'Course 4'!$I298," ")</f>
        <v xml:space="preserve"> </v>
      </c>
      <c r="H300" s="8" t="str">
        <f>IF('Course 4'!$H298='tab4'!H$3,'Course 4'!$I298," ")</f>
        <v xml:space="preserve"> </v>
      </c>
      <c r="I300" s="8" t="str">
        <f>IF('Course 4'!$H298='tab4'!I$3,'Course 4'!$I298," ")</f>
        <v xml:space="preserve"> </v>
      </c>
      <c r="J300" s="8" t="str">
        <f>IF('Course 4'!$H298='tab4'!J$3,'Course 4'!$I298," ")</f>
        <v xml:space="preserve"> </v>
      </c>
      <c r="K300" s="8" t="str">
        <f>IF('Course 4'!$H298='tab4'!K$3,'Course 4'!$I298," ")</f>
        <v xml:space="preserve"> </v>
      </c>
      <c r="L300" s="8" t="str">
        <f>IF('Course 4'!$H298='tab4'!L$3,'Course 4'!$I298," ")</f>
        <v xml:space="preserve"> </v>
      </c>
      <c r="M300" s="8" t="str">
        <f>IF('Course 4'!$H298='tab4'!M$3,'Course 4'!$I298," ")</f>
        <v xml:space="preserve"> </v>
      </c>
      <c r="N300" s="9" t="str">
        <f>IF('Course 4'!$H298='tab4'!N$3,'Course 4'!$I298," ")</f>
        <v xml:space="preserve"> </v>
      </c>
    </row>
    <row r="301" spans="2:14">
      <c r="B301">
        <v>297</v>
      </c>
      <c r="C301" s="7" t="str">
        <f>IF('Course 4'!$H299='tab4'!C$3,'Course 4'!$I299," ")</f>
        <v xml:space="preserve"> </v>
      </c>
      <c r="D301" s="8" t="str">
        <f>IF('Course 4'!$H299='tab4'!D$3,'Course 4'!$I299," ")</f>
        <v xml:space="preserve"> </v>
      </c>
      <c r="E301" s="8" t="str">
        <f>IF('Course 4'!$H299='tab4'!E$3,'Course 4'!$I299," ")</f>
        <v xml:space="preserve"> </v>
      </c>
      <c r="F301" s="8" t="str">
        <f>IF('Course 4'!$H299='tab4'!F$3,'Course 4'!$I299," ")</f>
        <v xml:space="preserve"> </v>
      </c>
      <c r="G301" s="8" t="str">
        <f>IF('Course 4'!$H299='tab4'!G$3,'Course 4'!$I299," ")</f>
        <v xml:space="preserve"> </v>
      </c>
      <c r="H301" s="8" t="str">
        <f>IF('Course 4'!$H299='tab4'!H$3,'Course 4'!$I299," ")</f>
        <v xml:space="preserve"> </v>
      </c>
      <c r="I301" s="8" t="str">
        <f>IF('Course 4'!$H299='tab4'!I$3,'Course 4'!$I299," ")</f>
        <v xml:space="preserve"> </v>
      </c>
      <c r="J301" s="8" t="str">
        <f>IF('Course 4'!$H299='tab4'!J$3,'Course 4'!$I299," ")</f>
        <v xml:space="preserve"> </v>
      </c>
      <c r="K301" s="8" t="str">
        <f>IF('Course 4'!$H299='tab4'!K$3,'Course 4'!$I299," ")</f>
        <v xml:space="preserve"> </v>
      </c>
      <c r="L301" s="8" t="str">
        <f>IF('Course 4'!$H299='tab4'!L$3,'Course 4'!$I299," ")</f>
        <v xml:space="preserve"> </v>
      </c>
      <c r="M301" s="8" t="str">
        <f>IF('Course 4'!$H299='tab4'!M$3,'Course 4'!$I299," ")</f>
        <v xml:space="preserve"> </v>
      </c>
      <c r="N301" s="9" t="str">
        <f>IF('Course 4'!$H299='tab4'!N$3,'Course 4'!$I299," ")</f>
        <v xml:space="preserve"> </v>
      </c>
    </row>
    <row r="302" spans="2:14">
      <c r="B302">
        <v>298</v>
      </c>
      <c r="C302" s="7" t="str">
        <f>IF('Course 4'!$H300='tab4'!C$3,'Course 4'!$I300," ")</f>
        <v xml:space="preserve"> </v>
      </c>
      <c r="D302" s="8" t="str">
        <f>IF('Course 4'!$H300='tab4'!D$3,'Course 4'!$I300," ")</f>
        <v xml:space="preserve"> </v>
      </c>
      <c r="E302" s="8" t="str">
        <f>IF('Course 4'!$H300='tab4'!E$3,'Course 4'!$I300," ")</f>
        <v xml:space="preserve"> </v>
      </c>
      <c r="F302" s="8" t="str">
        <f>IF('Course 4'!$H300='tab4'!F$3,'Course 4'!$I300," ")</f>
        <v xml:space="preserve"> </v>
      </c>
      <c r="G302" s="8" t="str">
        <f>IF('Course 4'!$H300='tab4'!G$3,'Course 4'!$I300," ")</f>
        <v xml:space="preserve"> </v>
      </c>
      <c r="H302" s="8" t="str">
        <f>IF('Course 4'!$H300='tab4'!H$3,'Course 4'!$I300," ")</f>
        <v xml:space="preserve"> </v>
      </c>
      <c r="I302" s="8" t="str">
        <f>IF('Course 4'!$H300='tab4'!I$3,'Course 4'!$I300," ")</f>
        <v xml:space="preserve"> </v>
      </c>
      <c r="J302" s="8" t="str">
        <f>IF('Course 4'!$H300='tab4'!J$3,'Course 4'!$I300," ")</f>
        <v xml:space="preserve"> </v>
      </c>
      <c r="K302" s="8" t="str">
        <f>IF('Course 4'!$H300='tab4'!K$3,'Course 4'!$I300," ")</f>
        <v xml:space="preserve"> </v>
      </c>
      <c r="L302" s="8" t="str">
        <f>IF('Course 4'!$H300='tab4'!L$3,'Course 4'!$I300," ")</f>
        <v xml:space="preserve"> </v>
      </c>
      <c r="M302" s="8" t="str">
        <f>IF('Course 4'!$H300='tab4'!M$3,'Course 4'!$I300," ")</f>
        <v xml:space="preserve"> </v>
      </c>
      <c r="N302" s="9" t="str">
        <f>IF('Course 4'!$H300='tab4'!N$3,'Course 4'!$I300," ")</f>
        <v xml:space="preserve"> </v>
      </c>
    </row>
    <row r="303" spans="2:14">
      <c r="B303">
        <v>299</v>
      </c>
      <c r="C303" s="7" t="str">
        <f>IF('Course 4'!$H301='tab4'!C$3,'Course 4'!$I301," ")</f>
        <v xml:space="preserve"> </v>
      </c>
      <c r="D303" s="8" t="str">
        <f>IF('Course 4'!$H301='tab4'!D$3,'Course 4'!$I301," ")</f>
        <v xml:space="preserve"> </v>
      </c>
      <c r="E303" s="8" t="str">
        <f>IF('Course 4'!$H301='tab4'!E$3,'Course 4'!$I301," ")</f>
        <v xml:space="preserve"> </v>
      </c>
      <c r="F303" s="8" t="str">
        <f>IF('Course 4'!$H301='tab4'!F$3,'Course 4'!$I301," ")</f>
        <v xml:space="preserve"> </v>
      </c>
      <c r="G303" s="8" t="str">
        <f>IF('Course 4'!$H301='tab4'!G$3,'Course 4'!$I301," ")</f>
        <v xml:space="preserve"> </v>
      </c>
      <c r="H303" s="8" t="str">
        <f>IF('Course 4'!$H301='tab4'!H$3,'Course 4'!$I301," ")</f>
        <v xml:space="preserve"> </v>
      </c>
      <c r="I303" s="8" t="str">
        <f>IF('Course 4'!$H301='tab4'!I$3,'Course 4'!$I301," ")</f>
        <v xml:space="preserve"> </v>
      </c>
      <c r="J303" s="8" t="str">
        <f>IF('Course 4'!$H301='tab4'!J$3,'Course 4'!$I301," ")</f>
        <v xml:space="preserve"> </v>
      </c>
      <c r="K303" s="8" t="str">
        <f>IF('Course 4'!$H301='tab4'!K$3,'Course 4'!$I301," ")</f>
        <v xml:space="preserve"> </v>
      </c>
      <c r="L303" s="8" t="str">
        <f>IF('Course 4'!$H301='tab4'!L$3,'Course 4'!$I301," ")</f>
        <v xml:space="preserve"> </v>
      </c>
      <c r="M303" s="8" t="str">
        <f>IF('Course 4'!$H301='tab4'!M$3,'Course 4'!$I301," ")</f>
        <v xml:space="preserve"> </v>
      </c>
      <c r="N303" s="9" t="str">
        <f>IF('Course 4'!$H301='tab4'!N$3,'Course 4'!$I301," ")</f>
        <v xml:space="preserve"> </v>
      </c>
    </row>
    <row r="304" spans="2:14">
      <c r="B304">
        <v>300</v>
      </c>
      <c r="C304" s="7" t="str">
        <f>IF('Course 4'!$H302='tab4'!C$3,'Course 4'!$I302," ")</f>
        <v xml:space="preserve"> </v>
      </c>
      <c r="D304" s="8" t="str">
        <f>IF('Course 4'!$H302='tab4'!D$3,'Course 4'!$I302," ")</f>
        <v xml:space="preserve"> </v>
      </c>
      <c r="E304" s="8" t="str">
        <f>IF('Course 4'!$H302='tab4'!E$3,'Course 4'!$I302," ")</f>
        <v xml:space="preserve"> </v>
      </c>
      <c r="F304" s="8" t="str">
        <f>IF('Course 4'!$H302='tab4'!F$3,'Course 4'!$I302," ")</f>
        <v xml:space="preserve"> </v>
      </c>
      <c r="G304" s="8" t="str">
        <f>IF('Course 4'!$H302='tab4'!G$3,'Course 4'!$I302," ")</f>
        <v xml:space="preserve"> </v>
      </c>
      <c r="H304" s="8" t="str">
        <f>IF('Course 4'!$H302='tab4'!H$3,'Course 4'!$I302," ")</f>
        <v xml:space="preserve"> </v>
      </c>
      <c r="I304" s="8" t="str">
        <f>IF('Course 4'!$H302='tab4'!I$3,'Course 4'!$I302," ")</f>
        <v xml:space="preserve"> </v>
      </c>
      <c r="J304" s="8" t="str">
        <f>IF('Course 4'!$H302='tab4'!J$3,'Course 4'!$I302," ")</f>
        <v xml:space="preserve"> </v>
      </c>
      <c r="K304" s="8" t="str">
        <f>IF('Course 4'!$H302='tab4'!K$3,'Course 4'!$I302," ")</f>
        <v xml:space="preserve"> </v>
      </c>
      <c r="L304" s="8" t="str">
        <f>IF('Course 4'!$H302='tab4'!L$3,'Course 4'!$I302," ")</f>
        <v xml:space="preserve"> </v>
      </c>
      <c r="M304" s="8" t="str">
        <f>IF('Course 4'!$H302='tab4'!M$3,'Course 4'!$I302," ")</f>
        <v xml:space="preserve"> </v>
      </c>
      <c r="N304" s="9" t="str">
        <f>IF('Course 4'!$H302='tab4'!N$3,'Course 4'!$I302," ")</f>
        <v xml:space="preserve"> </v>
      </c>
    </row>
  </sheetData>
  <sheetProtection password="CFA8" sheet="1" objects="1" scenarios="1"/>
  <mergeCells count="1">
    <mergeCell ref="C1:N1"/>
  </mergeCells>
  <phoneticPr fontId="0" type="noConversion"/>
  <pageMargins left="0.78740157499999996" right="0.78740157499999996" top="0.984251969" bottom="0.984251969" header="0.4921259845" footer="0.4921259845"/>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sheetPr codeName="Feuil12" enableFormatConditionsCalculation="0"/>
  <dimension ref="B1:N304"/>
  <sheetViews>
    <sheetView workbookViewId="0">
      <selection activeCell="D22" sqref="D22"/>
    </sheetView>
  </sheetViews>
  <sheetFormatPr baseColWidth="10" defaultColWidth="11" defaultRowHeight="12.75"/>
  <cols>
    <col min="1" max="1" width="9.42578125" customWidth="1"/>
    <col min="2" max="2" width="22.42578125" customWidth="1"/>
    <col min="3" max="14" width="12.140625" customWidth="1"/>
    <col min="15" max="15" width="20.140625" customWidth="1"/>
  </cols>
  <sheetData>
    <row r="1" spans="2:14" ht="18">
      <c r="C1" s="193" t="s">
        <v>20</v>
      </c>
      <c r="D1" s="194"/>
      <c r="E1" s="194"/>
      <c r="F1" s="194"/>
      <c r="G1" s="194"/>
      <c r="H1" s="194"/>
      <c r="I1" s="194"/>
      <c r="J1" s="194"/>
      <c r="K1" s="194"/>
      <c r="L1" s="194"/>
      <c r="M1" s="194"/>
      <c r="N1" s="194"/>
    </row>
    <row r="3" spans="2:14">
      <c r="C3" s="16" t="str">
        <f>'Règles et points'!C8</f>
        <v>A</v>
      </c>
      <c r="D3" s="16" t="s">
        <v>3</v>
      </c>
      <c r="E3" s="17" t="s">
        <v>12</v>
      </c>
      <c r="F3" s="16" t="s">
        <v>4</v>
      </c>
      <c r="G3" s="16" t="s">
        <v>5</v>
      </c>
      <c r="H3" s="16" t="s">
        <v>6</v>
      </c>
      <c r="I3" s="16" t="s">
        <v>7</v>
      </c>
      <c r="J3" s="16" t="s">
        <v>8</v>
      </c>
      <c r="K3" s="16" t="s">
        <v>9</v>
      </c>
      <c r="L3" s="16" t="s">
        <v>10</v>
      </c>
      <c r="M3" s="16" t="s">
        <v>11</v>
      </c>
      <c r="N3" s="16" t="s">
        <v>13</v>
      </c>
    </row>
    <row r="4" spans="2:14" ht="13.5" thickBot="1">
      <c r="B4" s="18" t="s">
        <v>21</v>
      </c>
      <c r="C4" s="15">
        <f>MIN(C5:C304)</f>
        <v>0</v>
      </c>
      <c r="D4" s="15">
        <f t="shared" ref="D4:N4" si="0">MIN(D5:D304)</f>
        <v>0</v>
      </c>
      <c r="E4" s="15">
        <f t="shared" si="0"/>
        <v>0</v>
      </c>
      <c r="F4" s="15">
        <f t="shared" si="0"/>
        <v>0</v>
      </c>
      <c r="G4" s="15">
        <f t="shared" si="0"/>
        <v>0</v>
      </c>
      <c r="H4" s="15">
        <f t="shared" si="0"/>
        <v>0</v>
      </c>
      <c r="I4" s="15">
        <f t="shared" si="0"/>
        <v>0</v>
      </c>
      <c r="J4" s="15">
        <f t="shared" si="0"/>
        <v>0</v>
      </c>
      <c r="K4" s="15">
        <f t="shared" si="0"/>
        <v>0</v>
      </c>
      <c r="L4" s="15">
        <f t="shared" si="0"/>
        <v>0</v>
      </c>
      <c r="M4" s="15">
        <f t="shared" si="0"/>
        <v>0</v>
      </c>
      <c r="N4" s="15">
        <f t="shared" si="0"/>
        <v>0</v>
      </c>
    </row>
    <row r="5" spans="2:14">
      <c r="B5">
        <v>1</v>
      </c>
      <c r="C5" s="4" t="str">
        <f>IF('Course 5'!$H3='tab5'!C$3,'Course 5'!$I3," ")</f>
        <v xml:space="preserve"> </v>
      </c>
      <c r="D5" s="5" t="str">
        <f>IF('Course 5'!$H3='tab5'!D$3,'Course 5'!$I3," ")</f>
        <v xml:space="preserve"> </v>
      </c>
      <c r="E5" s="5" t="str">
        <f>IF('Course 5'!$H3='tab5'!E$3,'Course 5'!$I3," ")</f>
        <v xml:space="preserve"> </v>
      </c>
      <c r="F5" s="5" t="str">
        <f>IF('Course 5'!$H3='tab5'!F$3,'Course 5'!$I3," ")</f>
        <v xml:space="preserve"> </v>
      </c>
      <c r="G5" s="5" t="str">
        <f>IF('Course 5'!$H3='tab5'!G$3,'Course 5'!$I3," ")</f>
        <v xml:space="preserve"> </v>
      </c>
      <c r="H5" s="5" t="str">
        <f>IF('Course 5'!$H3='tab5'!H$3,'Course 5'!$I3," ")</f>
        <v xml:space="preserve"> </v>
      </c>
      <c r="I5" s="5" t="str">
        <f>IF('Course 5'!$H3='tab5'!I$3,'Course 5'!$I3," ")</f>
        <v xml:space="preserve"> </v>
      </c>
      <c r="J5" s="5" t="str">
        <f>IF('Course 5'!$H3='tab5'!J$3,'Course 5'!$I3," ")</f>
        <v xml:space="preserve"> </v>
      </c>
      <c r="K5" s="5" t="str">
        <f>IF('Course 5'!$H3='tab5'!K$3,'Course 5'!$I3," ")</f>
        <v xml:space="preserve"> </v>
      </c>
      <c r="L5" s="5" t="str">
        <f>IF('Course 5'!$H3='tab5'!L$3,'Course 5'!$I3," ")</f>
        <v xml:space="preserve"> </v>
      </c>
      <c r="M5" s="5" t="str">
        <f>IF('Course 5'!$H3='tab5'!M$3,'Course 5'!$I3," ")</f>
        <v xml:space="preserve"> </v>
      </c>
      <c r="N5" s="6" t="str">
        <f>IF('Course 5'!$H3='tab5'!N$3,'Course 5'!$I3," ")</f>
        <v xml:space="preserve"> </v>
      </c>
    </row>
    <row r="6" spans="2:14">
      <c r="B6">
        <v>2</v>
      </c>
      <c r="C6" s="7" t="str">
        <f>IF('Course 5'!$H4='tab5'!C$3,'Course 5'!$I4," ")</f>
        <v xml:space="preserve"> </v>
      </c>
      <c r="D6" s="8" t="str">
        <f>IF('Course 5'!$H4='tab5'!D$3,'Course 5'!$I4," ")</f>
        <v xml:space="preserve"> </v>
      </c>
      <c r="E6" s="8" t="str">
        <f>IF('Course 5'!$H4='tab5'!E$3,'Course 5'!$I4," ")</f>
        <v xml:space="preserve"> </v>
      </c>
      <c r="F6" s="8" t="str">
        <f>IF('Course 5'!$H4='tab5'!F$3,'Course 5'!$I4," ")</f>
        <v xml:space="preserve"> </v>
      </c>
      <c r="G6" s="8" t="str">
        <f>IF('Course 5'!$H4='tab5'!G$3,'Course 5'!$I4," ")</f>
        <v xml:space="preserve"> </v>
      </c>
      <c r="H6" s="8" t="str">
        <f>IF('Course 5'!$H4='tab5'!H$3,'Course 5'!$I4," ")</f>
        <v xml:space="preserve"> </v>
      </c>
      <c r="I6" s="8" t="str">
        <f>IF('Course 5'!$H4='tab5'!I$3,'Course 5'!$I4," ")</f>
        <v xml:space="preserve"> </v>
      </c>
      <c r="J6" s="8" t="str">
        <f>IF('Course 5'!$H4='tab5'!J$3,'Course 5'!$I4," ")</f>
        <v xml:space="preserve"> </v>
      </c>
      <c r="K6" s="8" t="str">
        <f>IF('Course 5'!$H4='tab5'!K$3,'Course 5'!$I4," ")</f>
        <v xml:space="preserve"> </v>
      </c>
      <c r="L6" s="8" t="str">
        <f>IF('Course 5'!$H4='tab5'!L$3,'Course 5'!$I4," ")</f>
        <v xml:space="preserve"> </v>
      </c>
      <c r="M6" s="8" t="str">
        <f>IF('Course 5'!$H4='tab5'!M$3,'Course 5'!$I4," ")</f>
        <v xml:space="preserve"> </v>
      </c>
      <c r="N6" s="9" t="str">
        <f>IF('Course 5'!$H4='tab5'!N$3,'Course 5'!$I4," ")</f>
        <v xml:space="preserve"> </v>
      </c>
    </row>
    <row r="7" spans="2:14">
      <c r="B7">
        <v>3</v>
      </c>
      <c r="C7" s="7" t="str">
        <f>IF('Course 5'!$H5='tab5'!C$3,'Course 5'!$I5," ")</f>
        <v xml:space="preserve"> </v>
      </c>
      <c r="D7" s="8" t="str">
        <f>IF('Course 5'!$H5='tab5'!D$3,'Course 5'!$I5," ")</f>
        <v xml:space="preserve"> </v>
      </c>
      <c r="E7" s="8" t="str">
        <f>IF('Course 5'!$H5='tab5'!E$3,'Course 5'!$I5," ")</f>
        <v xml:space="preserve"> </v>
      </c>
      <c r="F7" s="8" t="str">
        <f>IF('Course 5'!$H5='tab5'!F$3,'Course 5'!$I5," ")</f>
        <v xml:space="preserve"> </v>
      </c>
      <c r="G7" s="8" t="str">
        <f>IF('Course 5'!$H5='tab5'!G$3,'Course 5'!$I5," ")</f>
        <v xml:space="preserve"> </v>
      </c>
      <c r="H7" s="8" t="str">
        <f>IF('Course 5'!$H5='tab5'!H$3,'Course 5'!$I5," ")</f>
        <v xml:space="preserve"> </v>
      </c>
      <c r="I7" s="8" t="str">
        <f>IF('Course 5'!$H5='tab5'!I$3,'Course 5'!$I5," ")</f>
        <v xml:space="preserve"> </v>
      </c>
      <c r="J7" s="8" t="str">
        <f>IF('Course 5'!$H5='tab5'!J$3,'Course 5'!$I5," ")</f>
        <v xml:space="preserve"> </v>
      </c>
      <c r="K7" s="8" t="str">
        <f>IF('Course 5'!$H5='tab5'!K$3,'Course 5'!$I5," ")</f>
        <v xml:space="preserve"> </v>
      </c>
      <c r="L7" s="8" t="str">
        <f>IF('Course 5'!$H5='tab5'!L$3,'Course 5'!$I5," ")</f>
        <v xml:space="preserve"> </v>
      </c>
      <c r="M7" s="8" t="str">
        <f>IF('Course 5'!$H5='tab5'!M$3,'Course 5'!$I5," ")</f>
        <v xml:space="preserve"> </v>
      </c>
      <c r="N7" s="9" t="str">
        <f>IF('Course 5'!$H5='tab5'!N$3,'Course 5'!$I5," ")</f>
        <v xml:space="preserve"> </v>
      </c>
    </row>
    <row r="8" spans="2:14">
      <c r="B8">
        <v>4</v>
      </c>
      <c r="C8" s="7" t="str">
        <f>IF('Course 5'!$H6='tab5'!C$3,'Course 5'!$I6," ")</f>
        <v xml:space="preserve"> </v>
      </c>
      <c r="D8" s="8" t="str">
        <f>IF('Course 5'!$H6='tab5'!D$3,'Course 5'!$I6," ")</f>
        <v xml:space="preserve"> </v>
      </c>
      <c r="E8" s="8" t="str">
        <f>IF('Course 5'!$H6='tab5'!E$3,'Course 5'!$I6," ")</f>
        <v xml:space="preserve"> </v>
      </c>
      <c r="F8" s="8" t="str">
        <f>IF('Course 5'!$H6='tab5'!F$3,'Course 5'!$I6," ")</f>
        <v xml:space="preserve"> </v>
      </c>
      <c r="G8" s="8" t="str">
        <f>IF('Course 5'!$H6='tab5'!G$3,'Course 5'!$I6," ")</f>
        <v xml:space="preserve"> </v>
      </c>
      <c r="H8" s="8" t="str">
        <f>IF('Course 5'!$H6='tab5'!H$3,'Course 5'!$I6," ")</f>
        <v xml:space="preserve"> </v>
      </c>
      <c r="I8" s="8" t="str">
        <f>IF('Course 5'!$H6='tab5'!I$3,'Course 5'!$I6," ")</f>
        <v xml:space="preserve"> </v>
      </c>
      <c r="J8" s="8" t="str">
        <f>IF('Course 5'!$H6='tab5'!J$3,'Course 5'!$I6," ")</f>
        <v xml:space="preserve"> </v>
      </c>
      <c r="K8" s="8" t="str">
        <f>IF('Course 5'!$H6='tab5'!K$3,'Course 5'!$I6," ")</f>
        <v xml:space="preserve"> </v>
      </c>
      <c r="L8" s="8" t="str">
        <f>IF('Course 5'!$H6='tab5'!L$3,'Course 5'!$I6," ")</f>
        <v xml:space="preserve"> </v>
      </c>
      <c r="M8" s="8" t="str">
        <f>IF('Course 5'!$H6='tab5'!M$3,'Course 5'!$I6," ")</f>
        <v xml:space="preserve"> </v>
      </c>
      <c r="N8" s="9" t="str">
        <f>IF('Course 5'!$H6='tab5'!N$3,'Course 5'!$I6," ")</f>
        <v xml:space="preserve"> </v>
      </c>
    </row>
    <row r="9" spans="2:14">
      <c r="B9">
        <v>5</v>
      </c>
      <c r="C9" s="7" t="str">
        <f>IF('Course 5'!$H7='tab5'!C$3,'Course 5'!$I7," ")</f>
        <v xml:space="preserve"> </v>
      </c>
      <c r="D9" s="8" t="str">
        <f>IF('Course 5'!$H7='tab5'!D$3,'Course 5'!$I7," ")</f>
        <v xml:space="preserve"> </v>
      </c>
      <c r="E9" s="8" t="str">
        <f>IF('Course 5'!$H7='tab5'!E$3,'Course 5'!$I7," ")</f>
        <v xml:space="preserve"> </v>
      </c>
      <c r="F9" s="8" t="str">
        <f>IF('Course 5'!$H7='tab5'!F$3,'Course 5'!$I7," ")</f>
        <v xml:space="preserve"> </v>
      </c>
      <c r="G9" s="8" t="str">
        <f>IF('Course 5'!$H7='tab5'!G$3,'Course 5'!$I7," ")</f>
        <v xml:space="preserve"> </v>
      </c>
      <c r="H9" s="8" t="str">
        <f>IF('Course 5'!$H7='tab5'!H$3,'Course 5'!$I7," ")</f>
        <v xml:space="preserve"> </v>
      </c>
      <c r="I9" s="8" t="str">
        <f>IF('Course 5'!$H7='tab5'!I$3,'Course 5'!$I7," ")</f>
        <v xml:space="preserve"> </v>
      </c>
      <c r="J9" s="8" t="str">
        <f>IF('Course 5'!$H7='tab5'!J$3,'Course 5'!$I7," ")</f>
        <v xml:space="preserve"> </v>
      </c>
      <c r="K9" s="8" t="str">
        <f>IF('Course 5'!$H7='tab5'!K$3,'Course 5'!$I7," ")</f>
        <v xml:space="preserve"> </v>
      </c>
      <c r="L9" s="8" t="str">
        <f>IF('Course 5'!$H7='tab5'!L$3,'Course 5'!$I7," ")</f>
        <v xml:space="preserve"> </v>
      </c>
      <c r="M9" s="8" t="str">
        <f>IF('Course 5'!$H7='tab5'!M$3,'Course 5'!$I7," ")</f>
        <v xml:space="preserve"> </v>
      </c>
      <c r="N9" s="9" t="str">
        <f>IF('Course 5'!$H7='tab5'!N$3,'Course 5'!$I7," ")</f>
        <v xml:space="preserve"> </v>
      </c>
    </row>
    <row r="10" spans="2:14">
      <c r="B10">
        <v>6</v>
      </c>
      <c r="C10" s="7" t="str">
        <f>IF('Course 5'!$H8='tab5'!C$3,'Course 5'!$I8," ")</f>
        <v xml:space="preserve"> </v>
      </c>
      <c r="D10" s="8" t="str">
        <f>IF('Course 5'!$H8='tab5'!D$3,'Course 5'!$I8," ")</f>
        <v xml:space="preserve"> </v>
      </c>
      <c r="E10" s="8" t="str">
        <f>IF('Course 5'!$H8='tab5'!E$3,'Course 5'!$I8," ")</f>
        <v xml:space="preserve"> </v>
      </c>
      <c r="F10" s="8" t="str">
        <f>IF('Course 5'!$H8='tab5'!F$3,'Course 5'!$I8," ")</f>
        <v xml:space="preserve"> </v>
      </c>
      <c r="G10" s="8" t="str">
        <f>IF('Course 5'!$H8='tab5'!G$3,'Course 5'!$I8," ")</f>
        <v xml:space="preserve"> </v>
      </c>
      <c r="H10" s="8" t="str">
        <f>IF('Course 5'!$H8='tab5'!H$3,'Course 5'!$I8," ")</f>
        <v xml:space="preserve"> </v>
      </c>
      <c r="I10" s="8" t="str">
        <f>IF('Course 5'!$H8='tab5'!I$3,'Course 5'!$I8," ")</f>
        <v xml:space="preserve"> </v>
      </c>
      <c r="J10" s="8" t="str">
        <f>IF('Course 5'!$H8='tab5'!J$3,'Course 5'!$I8," ")</f>
        <v xml:space="preserve"> </v>
      </c>
      <c r="K10" s="8" t="str">
        <f>IF('Course 5'!$H8='tab5'!K$3,'Course 5'!$I8," ")</f>
        <v xml:space="preserve"> </v>
      </c>
      <c r="L10" s="8" t="str">
        <f>IF('Course 5'!$H8='tab5'!L$3,'Course 5'!$I8," ")</f>
        <v xml:space="preserve"> </v>
      </c>
      <c r="M10" s="8" t="str">
        <f>IF('Course 5'!$H8='tab5'!M$3,'Course 5'!$I8," ")</f>
        <v xml:space="preserve"> </v>
      </c>
      <c r="N10" s="9" t="str">
        <f>IF('Course 5'!$H8='tab5'!N$3,'Course 5'!$I8," ")</f>
        <v xml:space="preserve"> </v>
      </c>
    </row>
    <row r="11" spans="2:14">
      <c r="B11">
        <v>7</v>
      </c>
      <c r="C11" s="7" t="str">
        <f>IF('Course 5'!$H9='tab5'!C$3,'Course 5'!$I9," ")</f>
        <v xml:space="preserve"> </v>
      </c>
      <c r="D11" s="8" t="str">
        <f>IF('Course 5'!$H9='tab5'!D$3,'Course 5'!$I9," ")</f>
        <v xml:space="preserve"> </v>
      </c>
      <c r="E11" s="8" t="str">
        <f>IF('Course 5'!$H9='tab5'!E$3,'Course 5'!$I9," ")</f>
        <v xml:space="preserve"> </v>
      </c>
      <c r="F11" s="8" t="str">
        <f>IF('Course 5'!$H9='tab5'!F$3,'Course 5'!$I9," ")</f>
        <v xml:space="preserve"> </v>
      </c>
      <c r="G11" s="8" t="str">
        <f>IF('Course 5'!$H9='tab5'!G$3,'Course 5'!$I9," ")</f>
        <v xml:space="preserve"> </v>
      </c>
      <c r="H11" s="8" t="str">
        <f>IF('Course 5'!$H9='tab5'!H$3,'Course 5'!$I9," ")</f>
        <v xml:space="preserve"> </v>
      </c>
      <c r="I11" s="8" t="str">
        <f>IF('Course 5'!$H9='tab5'!I$3,'Course 5'!$I9," ")</f>
        <v xml:space="preserve"> </v>
      </c>
      <c r="J11" s="8" t="str">
        <f>IF('Course 5'!$H9='tab5'!J$3,'Course 5'!$I9," ")</f>
        <v xml:space="preserve"> </v>
      </c>
      <c r="K11" s="8" t="str">
        <f>IF('Course 5'!$H9='tab5'!K$3,'Course 5'!$I9," ")</f>
        <v xml:space="preserve"> </v>
      </c>
      <c r="L11" s="8" t="str">
        <f>IF('Course 5'!$H9='tab5'!L$3,'Course 5'!$I9," ")</f>
        <v xml:space="preserve"> </v>
      </c>
      <c r="M11" s="8" t="str">
        <f>IF('Course 5'!$H9='tab5'!M$3,'Course 5'!$I9," ")</f>
        <v xml:space="preserve"> </v>
      </c>
      <c r="N11" s="9" t="str">
        <f>IF('Course 5'!$H9='tab5'!N$3,'Course 5'!$I9," ")</f>
        <v xml:space="preserve"> </v>
      </c>
    </row>
    <row r="12" spans="2:14">
      <c r="B12">
        <v>8</v>
      </c>
      <c r="C12" s="7" t="str">
        <f>IF('Course 5'!$H10='tab5'!C$3,'Course 5'!$I10," ")</f>
        <v xml:space="preserve"> </v>
      </c>
      <c r="D12" s="8" t="str">
        <f>IF('Course 5'!$H10='tab5'!D$3,'Course 5'!$I10," ")</f>
        <v xml:space="preserve"> </v>
      </c>
      <c r="E12" s="8" t="str">
        <f>IF('Course 5'!$H10='tab5'!E$3,'Course 5'!$I10," ")</f>
        <v xml:space="preserve"> </v>
      </c>
      <c r="F12" s="8" t="str">
        <f>IF('Course 5'!$H10='tab5'!F$3,'Course 5'!$I10," ")</f>
        <v xml:space="preserve"> </v>
      </c>
      <c r="G12" s="8" t="str">
        <f>IF('Course 5'!$H10='tab5'!G$3,'Course 5'!$I10," ")</f>
        <v xml:space="preserve"> </v>
      </c>
      <c r="H12" s="8" t="str">
        <f>IF('Course 5'!$H10='tab5'!H$3,'Course 5'!$I10," ")</f>
        <v xml:space="preserve"> </v>
      </c>
      <c r="I12" s="8" t="str">
        <f>IF('Course 5'!$H10='tab5'!I$3,'Course 5'!$I10," ")</f>
        <v xml:space="preserve"> </v>
      </c>
      <c r="J12" s="8" t="str">
        <f>IF('Course 5'!$H10='tab5'!J$3,'Course 5'!$I10," ")</f>
        <v xml:space="preserve"> </v>
      </c>
      <c r="K12" s="8" t="str">
        <f>IF('Course 5'!$H10='tab5'!K$3,'Course 5'!$I10," ")</f>
        <v xml:space="preserve"> </v>
      </c>
      <c r="L12" s="8" t="str">
        <f>IF('Course 5'!$H10='tab5'!L$3,'Course 5'!$I10," ")</f>
        <v xml:space="preserve"> </v>
      </c>
      <c r="M12" s="8" t="str">
        <f>IF('Course 5'!$H10='tab5'!M$3,'Course 5'!$I10," ")</f>
        <v xml:space="preserve"> </v>
      </c>
      <c r="N12" s="9" t="str">
        <f>IF('Course 5'!$H10='tab5'!N$3,'Course 5'!$I10," ")</f>
        <v xml:space="preserve"> </v>
      </c>
    </row>
    <row r="13" spans="2:14">
      <c r="B13">
        <v>9</v>
      </c>
      <c r="C13" s="7" t="str">
        <f>IF('Course 5'!$H11='tab5'!C$3,'Course 5'!$I11," ")</f>
        <v xml:space="preserve"> </v>
      </c>
      <c r="D13" s="8" t="str">
        <f>IF('Course 5'!$H11='tab5'!D$3,'Course 5'!$I11," ")</f>
        <v xml:space="preserve"> </v>
      </c>
      <c r="E13" s="8" t="str">
        <f>IF('Course 5'!$H11='tab5'!E$3,'Course 5'!$I11," ")</f>
        <v xml:space="preserve"> </v>
      </c>
      <c r="F13" s="8" t="str">
        <f>IF('Course 5'!$H11='tab5'!F$3,'Course 5'!$I11," ")</f>
        <v xml:space="preserve"> </v>
      </c>
      <c r="G13" s="8" t="str">
        <f>IF('Course 5'!$H11='tab5'!G$3,'Course 5'!$I11," ")</f>
        <v xml:space="preserve"> </v>
      </c>
      <c r="H13" s="8" t="str">
        <f>IF('Course 5'!$H11='tab5'!H$3,'Course 5'!$I11," ")</f>
        <v xml:space="preserve"> </v>
      </c>
      <c r="I13" s="8" t="str">
        <f>IF('Course 5'!$H11='tab5'!I$3,'Course 5'!$I11," ")</f>
        <v xml:space="preserve"> </v>
      </c>
      <c r="J13" s="8" t="str">
        <f>IF('Course 5'!$H11='tab5'!J$3,'Course 5'!$I11," ")</f>
        <v xml:space="preserve"> </v>
      </c>
      <c r="K13" s="8" t="str">
        <f>IF('Course 5'!$H11='tab5'!K$3,'Course 5'!$I11," ")</f>
        <v xml:space="preserve"> </v>
      </c>
      <c r="L13" s="8" t="str">
        <f>IF('Course 5'!$H11='tab5'!L$3,'Course 5'!$I11," ")</f>
        <v xml:space="preserve"> </v>
      </c>
      <c r="M13" s="8" t="str">
        <f>IF('Course 5'!$H11='tab5'!M$3,'Course 5'!$I11," ")</f>
        <v xml:space="preserve"> </v>
      </c>
      <c r="N13" s="9" t="str">
        <f>IF('Course 5'!$H11='tab5'!N$3,'Course 5'!$I11," ")</f>
        <v xml:space="preserve"> </v>
      </c>
    </row>
    <row r="14" spans="2:14">
      <c r="B14">
        <v>10</v>
      </c>
      <c r="C14" s="7" t="str">
        <f>IF('Course 5'!$H12='tab5'!C$3,'Course 5'!$I12," ")</f>
        <v xml:space="preserve"> </v>
      </c>
      <c r="D14" s="8" t="str">
        <f>IF('Course 5'!$H12='tab5'!D$3,'Course 5'!$I12," ")</f>
        <v xml:space="preserve"> </v>
      </c>
      <c r="E14" s="8" t="str">
        <f>IF('Course 5'!$H12='tab5'!E$3,'Course 5'!$I12," ")</f>
        <v xml:space="preserve"> </v>
      </c>
      <c r="F14" s="8" t="str">
        <f>IF('Course 5'!$H12='tab5'!F$3,'Course 5'!$I12," ")</f>
        <v xml:space="preserve"> </v>
      </c>
      <c r="G14" s="8" t="str">
        <f>IF('Course 5'!$H12='tab5'!G$3,'Course 5'!$I12," ")</f>
        <v xml:space="preserve"> </v>
      </c>
      <c r="H14" s="8" t="str">
        <f>IF('Course 5'!$H12='tab5'!H$3,'Course 5'!$I12," ")</f>
        <v xml:space="preserve"> </v>
      </c>
      <c r="I14" s="8" t="str">
        <f>IF('Course 5'!$H12='tab5'!I$3,'Course 5'!$I12," ")</f>
        <v xml:space="preserve"> </v>
      </c>
      <c r="J14" s="8" t="str">
        <f>IF('Course 5'!$H12='tab5'!J$3,'Course 5'!$I12," ")</f>
        <v xml:space="preserve"> </v>
      </c>
      <c r="K14" s="8" t="str">
        <f>IF('Course 5'!$H12='tab5'!K$3,'Course 5'!$I12," ")</f>
        <v xml:space="preserve"> </v>
      </c>
      <c r="L14" s="8" t="str">
        <f>IF('Course 5'!$H12='tab5'!L$3,'Course 5'!$I12," ")</f>
        <v xml:space="preserve"> </v>
      </c>
      <c r="M14" s="8" t="str">
        <f>IF('Course 5'!$H12='tab5'!M$3,'Course 5'!$I12," ")</f>
        <v xml:space="preserve"> </v>
      </c>
      <c r="N14" s="9" t="str">
        <f>IF('Course 5'!$H12='tab5'!N$3,'Course 5'!$I12," ")</f>
        <v xml:space="preserve"> </v>
      </c>
    </row>
    <row r="15" spans="2:14">
      <c r="B15">
        <v>11</v>
      </c>
      <c r="C15" s="7" t="str">
        <f>IF('Course 5'!$H13='tab5'!C$3,'Course 5'!$I13," ")</f>
        <v xml:space="preserve"> </v>
      </c>
      <c r="D15" s="8" t="str">
        <f>IF('Course 5'!$H13='tab5'!D$3,'Course 5'!$I13," ")</f>
        <v xml:space="preserve"> </v>
      </c>
      <c r="E15" s="8" t="str">
        <f>IF('Course 5'!$H13='tab5'!E$3,'Course 5'!$I13," ")</f>
        <v xml:space="preserve"> </v>
      </c>
      <c r="F15" s="8" t="str">
        <f>IF('Course 5'!$H13='tab5'!F$3,'Course 5'!$I13," ")</f>
        <v xml:space="preserve"> </v>
      </c>
      <c r="G15" s="8" t="str">
        <f>IF('Course 5'!$H13='tab5'!G$3,'Course 5'!$I13," ")</f>
        <v xml:space="preserve"> </v>
      </c>
      <c r="H15" s="8" t="str">
        <f>IF('Course 5'!$H13='tab5'!H$3,'Course 5'!$I13," ")</f>
        <v xml:space="preserve"> </v>
      </c>
      <c r="I15" s="8" t="str">
        <f>IF('Course 5'!$H13='tab5'!I$3,'Course 5'!$I13," ")</f>
        <v xml:space="preserve"> </v>
      </c>
      <c r="J15" s="8" t="str">
        <f>IF('Course 5'!$H13='tab5'!J$3,'Course 5'!$I13," ")</f>
        <v xml:space="preserve"> </v>
      </c>
      <c r="K15" s="8" t="str">
        <f>IF('Course 5'!$H13='tab5'!K$3,'Course 5'!$I13," ")</f>
        <v xml:space="preserve"> </v>
      </c>
      <c r="L15" s="8" t="str">
        <f>IF('Course 5'!$H13='tab5'!L$3,'Course 5'!$I13," ")</f>
        <v xml:space="preserve"> </v>
      </c>
      <c r="M15" s="8" t="str">
        <f>IF('Course 5'!$H13='tab5'!M$3,'Course 5'!$I13," ")</f>
        <v xml:space="preserve"> </v>
      </c>
      <c r="N15" s="9" t="str">
        <f>IF('Course 5'!$H13='tab5'!N$3,'Course 5'!$I13," ")</f>
        <v xml:space="preserve"> </v>
      </c>
    </row>
    <row r="16" spans="2:14">
      <c r="B16">
        <v>12</v>
      </c>
      <c r="C16" s="7" t="str">
        <f>IF('Course 5'!$H14='tab5'!C$3,'Course 5'!$I14," ")</f>
        <v xml:space="preserve"> </v>
      </c>
      <c r="D16" s="8" t="str">
        <f>IF('Course 5'!$H14='tab5'!D$3,'Course 5'!$I14," ")</f>
        <v xml:space="preserve"> </v>
      </c>
      <c r="E16" s="8" t="str">
        <f>IF('Course 5'!$H14='tab5'!E$3,'Course 5'!$I14," ")</f>
        <v xml:space="preserve"> </v>
      </c>
      <c r="F16" s="8" t="str">
        <f>IF('Course 5'!$H14='tab5'!F$3,'Course 5'!$I14," ")</f>
        <v xml:space="preserve"> </v>
      </c>
      <c r="G16" s="8" t="str">
        <f>IF('Course 5'!$H14='tab5'!G$3,'Course 5'!$I14," ")</f>
        <v xml:space="preserve"> </v>
      </c>
      <c r="H16" s="8" t="str">
        <f>IF('Course 5'!$H14='tab5'!H$3,'Course 5'!$I14," ")</f>
        <v xml:space="preserve"> </v>
      </c>
      <c r="I16" s="8" t="str">
        <f>IF('Course 5'!$H14='tab5'!I$3,'Course 5'!$I14," ")</f>
        <v xml:space="preserve"> </v>
      </c>
      <c r="J16" s="8" t="str">
        <f>IF('Course 5'!$H14='tab5'!J$3,'Course 5'!$I14," ")</f>
        <v xml:space="preserve"> </v>
      </c>
      <c r="K16" s="8" t="str">
        <f>IF('Course 5'!$H14='tab5'!K$3,'Course 5'!$I14," ")</f>
        <v xml:space="preserve"> </v>
      </c>
      <c r="L16" s="8" t="str">
        <f>IF('Course 5'!$H14='tab5'!L$3,'Course 5'!$I14," ")</f>
        <v xml:space="preserve"> </v>
      </c>
      <c r="M16" s="8" t="str">
        <f>IF('Course 5'!$H14='tab5'!M$3,'Course 5'!$I14," ")</f>
        <v xml:space="preserve"> </v>
      </c>
      <c r="N16" s="9" t="str">
        <f>IF('Course 5'!$H14='tab5'!N$3,'Course 5'!$I14," ")</f>
        <v xml:space="preserve"> </v>
      </c>
    </row>
    <row r="17" spans="2:14">
      <c r="B17">
        <v>13</v>
      </c>
      <c r="C17" s="7" t="str">
        <f>IF('Course 5'!$H15='tab5'!C$3,'Course 5'!$I15," ")</f>
        <v xml:space="preserve"> </v>
      </c>
      <c r="D17" s="8" t="str">
        <f>IF('Course 5'!$H15='tab5'!D$3,'Course 5'!$I15," ")</f>
        <v xml:space="preserve"> </v>
      </c>
      <c r="E17" s="8" t="str">
        <f>IF('Course 5'!$H15='tab5'!E$3,'Course 5'!$I15," ")</f>
        <v xml:space="preserve"> </v>
      </c>
      <c r="F17" s="8" t="str">
        <f>IF('Course 5'!$H15='tab5'!F$3,'Course 5'!$I15," ")</f>
        <v xml:space="preserve"> </v>
      </c>
      <c r="G17" s="8" t="str">
        <f>IF('Course 5'!$H15='tab5'!G$3,'Course 5'!$I15," ")</f>
        <v xml:space="preserve"> </v>
      </c>
      <c r="H17" s="8" t="str">
        <f>IF('Course 5'!$H15='tab5'!H$3,'Course 5'!$I15," ")</f>
        <v xml:space="preserve"> </v>
      </c>
      <c r="I17" s="8" t="str">
        <f>IF('Course 5'!$H15='tab5'!I$3,'Course 5'!$I15," ")</f>
        <v xml:space="preserve"> </v>
      </c>
      <c r="J17" s="8" t="str">
        <f>IF('Course 5'!$H15='tab5'!J$3,'Course 5'!$I15," ")</f>
        <v xml:space="preserve"> </v>
      </c>
      <c r="K17" s="8" t="str">
        <f>IF('Course 5'!$H15='tab5'!K$3,'Course 5'!$I15," ")</f>
        <v xml:space="preserve"> </v>
      </c>
      <c r="L17" s="8" t="str">
        <f>IF('Course 5'!$H15='tab5'!L$3,'Course 5'!$I15," ")</f>
        <v xml:space="preserve"> </v>
      </c>
      <c r="M17" s="8" t="str">
        <f>IF('Course 5'!$H15='tab5'!M$3,'Course 5'!$I15," ")</f>
        <v xml:space="preserve"> </v>
      </c>
      <c r="N17" s="9" t="str">
        <f>IF('Course 5'!$H15='tab5'!N$3,'Course 5'!$I15," ")</f>
        <v xml:space="preserve"> </v>
      </c>
    </row>
    <row r="18" spans="2:14">
      <c r="B18">
        <v>14</v>
      </c>
      <c r="C18" s="7" t="str">
        <f>IF('Course 5'!$H16='tab5'!C$3,'Course 5'!$I16," ")</f>
        <v xml:space="preserve"> </v>
      </c>
      <c r="D18" s="8" t="str">
        <f>IF('Course 5'!$H16='tab5'!D$3,'Course 5'!$I16," ")</f>
        <v xml:space="preserve"> </v>
      </c>
      <c r="E18" s="8" t="str">
        <f>IF('Course 5'!$H16='tab5'!E$3,'Course 5'!$I16," ")</f>
        <v xml:space="preserve"> </v>
      </c>
      <c r="F18" s="8" t="str">
        <f>IF('Course 5'!$H16='tab5'!F$3,'Course 5'!$I16," ")</f>
        <v xml:space="preserve"> </v>
      </c>
      <c r="G18" s="8" t="str">
        <f>IF('Course 5'!$H16='tab5'!G$3,'Course 5'!$I16," ")</f>
        <v xml:space="preserve"> </v>
      </c>
      <c r="H18" s="8" t="str">
        <f>IF('Course 5'!$H16='tab5'!H$3,'Course 5'!$I16," ")</f>
        <v xml:space="preserve"> </v>
      </c>
      <c r="I18" s="8" t="str">
        <f>IF('Course 5'!$H16='tab5'!I$3,'Course 5'!$I16," ")</f>
        <v xml:space="preserve"> </v>
      </c>
      <c r="J18" s="8" t="str">
        <f>IF('Course 5'!$H16='tab5'!J$3,'Course 5'!$I16," ")</f>
        <v xml:space="preserve"> </v>
      </c>
      <c r="K18" s="8" t="str">
        <f>IF('Course 5'!$H16='tab5'!K$3,'Course 5'!$I16," ")</f>
        <v xml:space="preserve"> </v>
      </c>
      <c r="L18" s="8" t="str">
        <f>IF('Course 5'!$H16='tab5'!L$3,'Course 5'!$I16," ")</f>
        <v xml:space="preserve"> </v>
      </c>
      <c r="M18" s="8" t="str">
        <f>IF('Course 5'!$H16='tab5'!M$3,'Course 5'!$I16," ")</f>
        <v xml:space="preserve"> </v>
      </c>
      <c r="N18" s="9" t="str">
        <f>IF('Course 5'!$H16='tab5'!N$3,'Course 5'!$I16," ")</f>
        <v xml:space="preserve"> </v>
      </c>
    </row>
    <row r="19" spans="2:14">
      <c r="B19">
        <v>15</v>
      </c>
      <c r="C19" s="7" t="str">
        <f>IF('Course 5'!$H17='tab5'!C$3,'Course 5'!$I17," ")</f>
        <v xml:space="preserve"> </v>
      </c>
      <c r="D19" s="8" t="str">
        <f>IF('Course 5'!$H17='tab5'!D$3,'Course 5'!$I17," ")</f>
        <v xml:space="preserve"> </v>
      </c>
      <c r="E19" s="8" t="str">
        <f>IF('Course 5'!$H17='tab5'!E$3,'Course 5'!$I17," ")</f>
        <v xml:space="preserve"> </v>
      </c>
      <c r="F19" s="8" t="str">
        <f>IF('Course 5'!$H17='tab5'!F$3,'Course 5'!$I17," ")</f>
        <v xml:space="preserve"> </v>
      </c>
      <c r="G19" s="8" t="str">
        <f>IF('Course 5'!$H17='tab5'!G$3,'Course 5'!$I17," ")</f>
        <v xml:space="preserve"> </v>
      </c>
      <c r="H19" s="8" t="str">
        <f>IF('Course 5'!$H17='tab5'!H$3,'Course 5'!$I17," ")</f>
        <v xml:space="preserve"> </v>
      </c>
      <c r="I19" s="8" t="str">
        <f>IF('Course 5'!$H17='tab5'!I$3,'Course 5'!$I17," ")</f>
        <v xml:space="preserve"> </v>
      </c>
      <c r="J19" s="8" t="str">
        <f>IF('Course 5'!$H17='tab5'!J$3,'Course 5'!$I17," ")</f>
        <v xml:space="preserve"> </v>
      </c>
      <c r="K19" s="8" t="str">
        <f>IF('Course 5'!$H17='tab5'!K$3,'Course 5'!$I17," ")</f>
        <v xml:space="preserve"> </v>
      </c>
      <c r="L19" s="8" t="str">
        <f>IF('Course 5'!$H17='tab5'!L$3,'Course 5'!$I17," ")</f>
        <v xml:space="preserve"> </v>
      </c>
      <c r="M19" s="8" t="str">
        <f>IF('Course 5'!$H17='tab5'!M$3,'Course 5'!$I17," ")</f>
        <v xml:space="preserve"> </v>
      </c>
      <c r="N19" s="9" t="str">
        <f>IF('Course 5'!$H17='tab5'!N$3,'Course 5'!$I17," ")</f>
        <v xml:space="preserve"> </v>
      </c>
    </row>
    <row r="20" spans="2:14">
      <c r="B20">
        <v>16</v>
      </c>
      <c r="C20" s="7" t="str">
        <f>IF('Course 5'!$H18='tab5'!C$3,'Course 5'!$I18," ")</f>
        <v xml:space="preserve"> </v>
      </c>
      <c r="D20" s="8" t="str">
        <f>IF('Course 5'!$H18='tab5'!D$3,'Course 5'!$I18," ")</f>
        <v xml:space="preserve"> </v>
      </c>
      <c r="E20" s="8" t="str">
        <f>IF('Course 5'!$H18='tab5'!E$3,'Course 5'!$I18," ")</f>
        <v xml:space="preserve"> </v>
      </c>
      <c r="F20" s="8" t="str">
        <f>IF('Course 5'!$H18='tab5'!F$3,'Course 5'!$I18," ")</f>
        <v xml:space="preserve"> </v>
      </c>
      <c r="G20" s="8" t="str">
        <f>IF('Course 5'!$H18='tab5'!G$3,'Course 5'!$I18," ")</f>
        <v xml:space="preserve"> </v>
      </c>
      <c r="H20" s="8" t="str">
        <f>IF('Course 5'!$H18='tab5'!H$3,'Course 5'!$I18," ")</f>
        <v xml:space="preserve"> </v>
      </c>
      <c r="I20" s="8" t="str">
        <f>IF('Course 5'!$H18='tab5'!I$3,'Course 5'!$I18," ")</f>
        <v xml:space="preserve"> </v>
      </c>
      <c r="J20" s="8" t="str">
        <f>IF('Course 5'!$H18='tab5'!J$3,'Course 5'!$I18," ")</f>
        <v xml:space="preserve"> </v>
      </c>
      <c r="K20" s="8" t="str">
        <f>IF('Course 5'!$H18='tab5'!K$3,'Course 5'!$I18," ")</f>
        <v xml:space="preserve"> </v>
      </c>
      <c r="L20" s="8" t="str">
        <f>IF('Course 5'!$H18='tab5'!L$3,'Course 5'!$I18," ")</f>
        <v xml:space="preserve"> </v>
      </c>
      <c r="M20" s="8" t="str">
        <f>IF('Course 5'!$H18='tab5'!M$3,'Course 5'!$I18," ")</f>
        <v xml:space="preserve"> </v>
      </c>
      <c r="N20" s="9" t="str">
        <f>IF('Course 5'!$H18='tab5'!N$3,'Course 5'!$I18," ")</f>
        <v xml:space="preserve"> </v>
      </c>
    </row>
    <row r="21" spans="2:14">
      <c r="B21">
        <v>17</v>
      </c>
      <c r="C21" s="7" t="str">
        <f>IF('Course 5'!$H19='tab5'!C$3,'Course 5'!$I19," ")</f>
        <v xml:space="preserve"> </v>
      </c>
      <c r="D21" s="8" t="str">
        <f>IF('Course 5'!$H19='tab5'!D$3,'Course 5'!$I19," ")</f>
        <v xml:space="preserve"> </v>
      </c>
      <c r="E21" s="8" t="str">
        <f>IF('Course 5'!$H19='tab5'!E$3,'Course 5'!$I19," ")</f>
        <v xml:space="preserve"> </v>
      </c>
      <c r="F21" s="8" t="str">
        <f>IF('Course 5'!$H19='tab5'!F$3,'Course 5'!$I19," ")</f>
        <v xml:space="preserve"> </v>
      </c>
      <c r="G21" s="8" t="str">
        <f>IF('Course 5'!$H19='tab5'!G$3,'Course 5'!$I19," ")</f>
        <v xml:space="preserve"> </v>
      </c>
      <c r="H21" s="8" t="str">
        <f>IF('Course 5'!$H19='tab5'!H$3,'Course 5'!$I19," ")</f>
        <v xml:space="preserve"> </v>
      </c>
      <c r="I21" s="8" t="str">
        <f>IF('Course 5'!$H19='tab5'!I$3,'Course 5'!$I19," ")</f>
        <v xml:space="preserve"> </v>
      </c>
      <c r="J21" s="8" t="str">
        <f>IF('Course 5'!$H19='tab5'!J$3,'Course 5'!$I19," ")</f>
        <v xml:space="preserve"> </v>
      </c>
      <c r="K21" s="8" t="str">
        <f>IF('Course 5'!$H19='tab5'!K$3,'Course 5'!$I19," ")</f>
        <v xml:space="preserve"> </v>
      </c>
      <c r="L21" s="8" t="str">
        <f>IF('Course 5'!$H19='tab5'!L$3,'Course 5'!$I19," ")</f>
        <v xml:space="preserve"> </v>
      </c>
      <c r="M21" s="8" t="str">
        <f>IF('Course 5'!$H19='tab5'!M$3,'Course 5'!$I19," ")</f>
        <v xml:space="preserve"> </v>
      </c>
      <c r="N21" s="9" t="str">
        <f>IF('Course 5'!$H19='tab5'!N$3,'Course 5'!$I19," ")</f>
        <v xml:space="preserve"> </v>
      </c>
    </row>
    <row r="22" spans="2:14">
      <c r="B22">
        <v>18</v>
      </c>
      <c r="C22" s="7" t="str">
        <f>IF('Course 5'!$H20='tab5'!C$3,'Course 5'!$I20," ")</f>
        <v xml:space="preserve"> </v>
      </c>
      <c r="D22" s="8" t="str">
        <f>IF('Course 5'!$H20='tab5'!D$3,'Course 5'!$I20," ")</f>
        <v xml:space="preserve"> </v>
      </c>
      <c r="E22" s="8" t="str">
        <f>IF('Course 5'!$H20='tab5'!E$3,'Course 5'!$I20," ")</f>
        <v xml:space="preserve"> </v>
      </c>
      <c r="F22" s="8" t="str">
        <f>IF('Course 5'!$H20='tab5'!F$3,'Course 5'!$I20," ")</f>
        <v xml:space="preserve"> </v>
      </c>
      <c r="G22" s="8" t="str">
        <f>IF('Course 5'!$H20='tab5'!G$3,'Course 5'!$I20," ")</f>
        <v xml:space="preserve"> </v>
      </c>
      <c r="H22" s="8" t="str">
        <f>IF('Course 5'!$H20='tab5'!H$3,'Course 5'!$I20," ")</f>
        <v xml:space="preserve"> </v>
      </c>
      <c r="I22" s="8" t="str">
        <f>IF('Course 5'!$H20='tab5'!I$3,'Course 5'!$I20," ")</f>
        <v xml:space="preserve"> </v>
      </c>
      <c r="J22" s="8" t="str">
        <f>IF('Course 5'!$H20='tab5'!J$3,'Course 5'!$I20," ")</f>
        <v xml:space="preserve"> </v>
      </c>
      <c r="K22" s="8" t="str">
        <f>IF('Course 5'!$H20='tab5'!K$3,'Course 5'!$I20," ")</f>
        <v xml:space="preserve"> </v>
      </c>
      <c r="L22" s="8" t="str">
        <f>IF('Course 5'!$H20='tab5'!L$3,'Course 5'!$I20," ")</f>
        <v xml:space="preserve"> </v>
      </c>
      <c r="M22" s="8" t="str">
        <f>IF('Course 5'!$H20='tab5'!M$3,'Course 5'!$I20," ")</f>
        <v xml:space="preserve"> </v>
      </c>
      <c r="N22" s="9" t="str">
        <f>IF('Course 5'!$H20='tab5'!N$3,'Course 5'!$I20," ")</f>
        <v xml:space="preserve"> </v>
      </c>
    </row>
    <row r="23" spans="2:14">
      <c r="B23">
        <v>19</v>
      </c>
      <c r="C23" s="7" t="str">
        <f>IF('Course 5'!$H21='tab5'!C$3,'Course 5'!$I21," ")</f>
        <v xml:space="preserve"> </v>
      </c>
      <c r="D23" s="8" t="str">
        <f>IF('Course 5'!$H21='tab5'!D$3,'Course 5'!$I21," ")</f>
        <v xml:space="preserve"> </v>
      </c>
      <c r="E23" s="8" t="str">
        <f>IF('Course 5'!$H21='tab5'!E$3,'Course 5'!$I21," ")</f>
        <v xml:space="preserve"> </v>
      </c>
      <c r="F23" s="8" t="str">
        <f>IF('Course 5'!$H21='tab5'!F$3,'Course 5'!$I21," ")</f>
        <v xml:space="preserve"> </v>
      </c>
      <c r="G23" s="8" t="str">
        <f>IF('Course 5'!$H21='tab5'!G$3,'Course 5'!$I21," ")</f>
        <v xml:space="preserve"> </v>
      </c>
      <c r="H23" s="8" t="str">
        <f>IF('Course 5'!$H21='tab5'!H$3,'Course 5'!$I21," ")</f>
        <v xml:space="preserve"> </v>
      </c>
      <c r="I23" s="8" t="str">
        <f>IF('Course 5'!$H21='tab5'!I$3,'Course 5'!$I21," ")</f>
        <v xml:space="preserve"> </v>
      </c>
      <c r="J23" s="8" t="str">
        <f>IF('Course 5'!$H21='tab5'!J$3,'Course 5'!$I21," ")</f>
        <v xml:space="preserve"> </v>
      </c>
      <c r="K23" s="8" t="str">
        <f>IF('Course 5'!$H21='tab5'!K$3,'Course 5'!$I21," ")</f>
        <v xml:space="preserve"> </v>
      </c>
      <c r="L23" s="8" t="str">
        <f>IF('Course 5'!$H21='tab5'!L$3,'Course 5'!$I21," ")</f>
        <v xml:space="preserve"> </v>
      </c>
      <c r="M23" s="8" t="str">
        <f>IF('Course 5'!$H21='tab5'!M$3,'Course 5'!$I21," ")</f>
        <v xml:space="preserve"> </v>
      </c>
      <c r="N23" s="9" t="str">
        <f>IF('Course 5'!$H21='tab5'!N$3,'Course 5'!$I21," ")</f>
        <v xml:space="preserve"> </v>
      </c>
    </row>
    <row r="24" spans="2:14">
      <c r="B24">
        <v>20</v>
      </c>
      <c r="C24" s="7" t="str">
        <f>IF('Course 5'!$H22='tab5'!C$3,'Course 5'!$I22," ")</f>
        <v xml:space="preserve"> </v>
      </c>
      <c r="D24" s="8" t="str">
        <f>IF('Course 5'!$H22='tab5'!D$3,'Course 5'!$I22," ")</f>
        <v xml:space="preserve"> </v>
      </c>
      <c r="E24" s="8" t="str">
        <f>IF('Course 5'!$H22='tab5'!E$3,'Course 5'!$I22," ")</f>
        <v xml:space="preserve"> </v>
      </c>
      <c r="F24" s="8" t="str">
        <f>IF('Course 5'!$H22='tab5'!F$3,'Course 5'!$I22," ")</f>
        <v xml:space="preserve"> </v>
      </c>
      <c r="G24" s="8" t="str">
        <f>IF('Course 5'!$H22='tab5'!G$3,'Course 5'!$I22," ")</f>
        <v xml:space="preserve"> </v>
      </c>
      <c r="H24" s="8" t="str">
        <f>IF('Course 5'!$H22='tab5'!H$3,'Course 5'!$I22," ")</f>
        <v xml:space="preserve"> </v>
      </c>
      <c r="I24" s="8" t="str">
        <f>IF('Course 5'!$H22='tab5'!I$3,'Course 5'!$I22," ")</f>
        <v xml:space="preserve"> </v>
      </c>
      <c r="J24" s="8" t="str">
        <f>IF('Course 5'!$H22='tab5'!J$3,'Course 5'!$I22," ")</f>
        <v xml:space="preserve"> </v>
      </c>
      <c r="K24" s="8" t="str">
        <f>IF('Course 5'!$H22='tab5'!K$3,'Course 5'!$I22," ")</f>
        <v xml:space="preserve"> </v>
      </c>
      <c r="L24" s="8" t="str">
        <f>IF('Course 5'!$H22='tab5'!L$3,'Course 5'!$I22," ")</f>
        <v xml:space="preserve"> </v>
      </c>
      <c r="M24" s="8" t="str">
        <f>IF('Course 5'!$H22='tab5'!M$3,'Course 5'!$I22," ")</f>
        <v xml:space="preserve"> </v>
      </c>
      <c r="N24" s="9" t="str">
        <f>IF('Course 5'!$H22='tab5'!N$3,'Course 5'!$I22," ")</f>
        <v xml:space="preserve"> </v>
      </c>
    </row>
    <row r="25" spans="2:14">
      <c r="B25">
        <v>21</v>
      </c>
      <c r="C25" s="7" t="str">
        <f>IF('Course 5'!$H23='tab5'!C$3,'Course 5'!$I23," ")</f>
        <v xml:space="preserve"> </v>
      </c>
      <c r="D25" s="8" t="str">
        <f>IF('Course 5'!$H23='tab5'!D$3,'Course 5'!$I23," ")</f>
        <v xml:space="preserve"> </v>
      </c>
      <c r="E25" s="8" t="str">
        <f>IF('Course 5'!$H23='tab5'!E$3,'Course 5'!$I23," ")</f>
        <v xml:space="preserve"> </v>
      </c>
      <c r="F25" s="8" t="str">
        <f>IF('Course 5'!$H23='tab5'!F$3,'Course 5'!$I23," ")</f>
        <v xml:space="preserve"> </v>
      </c>
      <c r="G25" s="8" t="str">
        <f>IF('Course 5'!$H23='tab5'!G$3,'Course 5'!$I23," ")</f>
        <v xml:space="preserve"> </v>
      </c>
      <c r="H25" s="8" t="str">
        <f>IF('Course 5'!$H23='tab5'!H$3,'Course 5'!$I23," ")</f>
        <v xml:space="preserve"> </v>
      </c>
      <c r="I25" s="8" t="str">
        <f>IF('Course 5'!$H23='tab5'!I$3,'Course 5'!$I23," ")</f>
        <v xml:space="preserve"> </v>
      </c>
      <c r="J25" s="8" t="str">
        <f>IF('Course 5'!$H23='tab5'!J$3,'Course 5'!$I23," ")</f>
        <v xml:space="preserve"> </v>
      </c>
      <c r="K25" s="8" t="str">
        <f>IF('Course 5'!$H23='tab5'!K$3,'Course 5'!$I23," ")</f>
        <v xml:space="preserve"> </v>
      </c>
      <c r="L25" s="8" t="str">
        <f>IF('Course 5'!$H23='tab5'!L$3,'Course 5'!$I23," ")</f>
        <v xml:space="preserve"> </v>
      </c>
      <c r="M25" s="8" t="str">
        <f>IF('Course 5'!$H23='tab5'!M$3,'Course 5'!$I23," ")</f>
        <v xml:space="preserve"> </v>
      </c>
      <c r="N25" s="9" t="str">
        <f>IF('Course 5'!$H23='tab5'!N$3,'Course 5'!$I23," ")</f>
        <v xml:space="preserve"> </v>
      </c>
    </row>
    <row r="26" spans="2:14">
      <c r="B26">
        <v>22</v>
      </c>
      <c r="C26" s="7" t="str">
        <f>IF('Course 5'!$H24='tab5'!C$3,'Course 5'!$I24," ")</f>
        <v xml:space="preserve"> </v>
      </c>
      <c r="D26" s="8" t="str">
        <f>IF('Course 5'!$H24='tab5'!D$3,'Course 5'!$I24," ")</f>
        <v xml:space="preserve"> </v>
      </c>
      <c r="E26" s="8" t="str">
        <f>IF('Course 5'!$H24='tab5'!E$3,'Course 5'!$I24," ")</f>
        <v xml:space="preserve"> </v>
      </c>
      <c r="F26" s="8" t="str">
        <f>IF('Course 5'!$H24='tab5'!F$3,'Course 5'!$I24," ")</f>
        <v xml:space="preserve"> </v>
      </c>
      <c r="G26" s="8" t="str">
        <f>IF('Course 5'!$H24='tab5'!G$3,'Course 5'!$I24," ")</f>
        <v xml:space="preserve"> </v>
      </c>
      <c r="H26" s="8" t="str">
        <f>IF('Course 5'!$H24='tab5'!H$3,'Course 5'!$I24," ")</f>
        <v xml:space="preserve"> </v>
      </c>
      <c r="I26" s="8" t="str">
        <f>IF('Course 5'!$H24='tab5'!I$3,'Course 5'!$I24," ")</f>
        <v xml:space="preserve"> </v>
      </c>
      <c r="J26" s="8" t="str">
        <f>IF('Course 5'!$H24='tab5'!J$3,'Course 5'!$I24," ")</f>
        <v xml:space="preserve"> </v>
      </c>
      <c r="K26" s="8" t="str">
        <f>IF('Course 5'!$H24='tab5'!K$3,'Course 5'!$I24," ")</f>
        <v xml:space="preserve"> </v>
      </c>
      <c r="L26" s="8" t="str">
        <f>IF('Course 5'!$H24='tab5'!L$3,'Course 5'!$I24," ")</f>
        <v xml:space="preserve"> </v>
      </c>
      <c r="M26" s="8" t="str">
        <f>IF('Course 5'!$H24='tab5'!M$3,'Course 5'!$I24," ")</f>
        <v xml:space="preserve"> </v>
      </c>
      <c r="N26" s="9" t="str">
        <f>IF('Course 5'!$H24='tab5'!N$3,'Course 5'!$I24," ")</f>
        <v xml:space="preserve"> </v>
      </c>
    </row>
    <row r="27" spans="2:14">
      <c r="B27">
        <v>23</v>
      </c>
      <c r="C27" s="7" t="str">
        <f>IF('Course 5'!$H25='tab5'!C$3,'Course 5'!$I25," ")</f>
        <v xml:space="preserve"> </v>
      </c>
      <c r="D27" s="8" t="str">
        <f>IF('Course 5'!$H25='tab5'!D$3,'Course 5'!$I25," ")</f>
        <v xml:space="preserve"> </v>
      </c>
      <c r="E27" s="8" t="str">
        <f>IF('Course 5'!$H25='tab5'!E$3,'Course 5'!$I25," ")</f>
        <v xml:space="preserve"> </v>
      </c>
      <c r="F27" s="8" t="str">
        <f>IF('Course 5'!$H25='tab5'!F$3,'Course 5'!$I25," ")</f>
        <v xml:space="preserve"> </v>
      </c>
      <c r="G27" s="8" t="str">
        <f>IF('Course 5'!$H25='tab5'!G$3,'Course 5'!$I25," ")</f>
        <v xml:space="preserve"> </v>
      </c>
      <c r="H27" s="8" t="str">
        <f>IF('Course 5'!$H25='tab5'!H$3,'Course 5'!$I25," ")</f>
        <v xml:space="preserve"> </v>
      </c>
      <c r="I27" s="8" t="str">
        <f>IF('Course 5'!$H25='tab5'!I$3,'Course 5'!$I25," ")</f>
        <v xml:space="preserve"> </v>
      </c>
      <c r="J27" s="8" t="str">
        <f>IF('Course 5'!$H25='tab5'!J$3,'Course 5'!$I25," ")</f>
        <v xml:space="preserve"> </v>
      </c>
      <c r="K27" s="8" t="str">
        <f>IF('Course 5'!$H25='tab5'!K$3,'Course 5'!$I25," ")</f>
        <v xml:space="preserve"> </v>
      </c>
      <c r="L27" s="8" t="str">
        <f>IF('Course 5'!$H25='tab5'!L$3,'Course 5'!$I25," ")</f>
        <v xml:space="preserve"> </v>
      </c>
      <c r="M27" s="8" t="str">
        <f>IF('Course 5'!$H25='tab5'!M$3,'Course 5'!$I25," ")</f>
        <v xml:space="preserve"> </v>
      </c>
      <c r="N27" s="9" t="str">
        <f>IF('Course 5'!$H25='tab5'!N$3,'Course 5'!$I25," ")</f>
        <v xml:space="preserve"> </v>
      </c>
    </row>
    <row r="28" spans="2:14">
      <c r="B28">
        <v>24</v>
      </c>
      <c r="C28" s="7" t="str">
        <f>IF('Course 5'!$H26='tab5'!C$3,'Course 5'!$I26," ")</f>
        <v xml:space="preserve"> </v>
      </c>
      <c r="D28" s="8" t="str">
        <f>IF('Course 5'!$H26='tab5'!D$3,'Course 5'!$I26," ")</f>
        <v xml:space="preserve"> </v>
      </c>
      <c r="E28" s="8" t="str">
        <f>IF('Course 5'!$H26='tab5'!E$3,'Course 5'!$I26," ")</f>
        <v xml:space="preserve"> </v>
      </c>
      <c r="F28" s="8" t="str">
        <f>IF('Course 5'!$H26='tab5'!F$3,'Course 5'!$I26," ")</f>
        <v xml:space="preserve"> </v>
      </c>
      <c r="G28" s="8" t="str">
        <f>IF('Course 5'!$H26='tab5'!G$3,'Course 5'!$I26," ")</f>
        <v xml:space="preserve"> </v>
      </c>
      <c r="H28" s="8" t="str">
        <f>IF('Course 5'!$H26='tab5'!H$3,'Course 5'!$I26," ")</f>
        <v xml:space="preserve"> </v>
      </c>
      <c r="I28" s="8" t="str">
        <f>IF('Course 5'!$H26='tab5'!I$3,'Course 5'!$I26," ")</f>
        <v xml:space="preserve"> </v>
      </c>
      <c r="J28" s="8" t="str">
        <f>IF('Course 5'!$H26='tab5'!J$3,'Course 5'!$I26," ")</f>
        <v xml:space="preserve"> </v>
      </c>
      <c r="K28" s="8" t="str">
        <f>IF('Course 5'!$H26='tab5'!K$3,'Course 5'!$I26," ")</f>
        <v xml:space="preserve"> </v>
      </c>
      <c r="L28" s="8" t="str">
        <f>IF('Course 5'!$H26='tab5'!L$3,'Course 5'!$I26," ")</f>
        <v xml:space="preserve"> </v>
      </c>
      <c r="M28" s="8" t="str">
        <f>IF('Course 5'!$H26='tab5'!M$3,'Course 5'!$I26," ")</f>
        <v xml:space="preserve"> </v>
      </c>
      <c r="N28" s="9" t="str">
        <f>IF('Course 5'!$H26='tab5'!N$3,'Course 5'!$I26," ")</f>
        <v xml:space="preserve"> </v>
      </c>
    </row>
    <row r="29" spans="2:14">
      <c r="B29">
        <v>25</v>
      </c>
      <c r="C29" s="7" t="str">
        <f>IF('Course 5'!$H27='tab5'!C$3,'Course 5'!$I27," ")</f>
        <v xml:space="preserve"> </v>
      </c>
      <c r="D29" s="8" t="str">
        <f>IF('Course 5'!$H27='tab5'!D$3,'Course 5'!$I27," ")</f>
        <v xml:space="preserve"> </v>
      </c>
      <c r="E29" s="8" t="str">
        <f>IF('Course 5'!$H27='tab5'!E$3,'Course 5'!$I27," ")</f>
        <v xml:space="preserve"> </v>
      </c>
      <c r="F29" s="8" t="str">
        <f>IF('Course 5'!$H27='tab5'!F$3,'Course 5'!$I27," ")</f>
        <v xml:space="preserve"> </v>
      </c>
      <c r="G29" s="8" t="str">
        <f>IF('Course 5'!$H27='tab5'!G$3,'Course 5'!$I27," ")</f>
        <v xml:space="preserve"> </v>
      </c>
      <c r="H29" s="8" t="str">
        <f>IF('Course 5'!$H27='tab5'!H$3,'Course 5'!$I27," ")</f>
        <v xml:space="preserve"> </v>
      </c>
      <c r="I29" s="8" t="str">
        <f>IF('Course 5'!$H27='tab5'!I$3,'Course 5'!$I27," ")</f>
        <v xml:space="preserve"> </v>
      </c>
      <c r="J29" s="8" t="str">
        <f>IF('Course 5'!$H27='tab5'!J$3,'Course 5'!$I27," ")</f>
        <v xml:space="preserve"> </v>
      </c>
      <c r="K29" s="8" t="str">
        <f>IF('Course 5'!$H27='tab5'!K$3,'Course 5'!$I27," ")</f>
        <v xml:space="preserve"> </v>
      </c>
      <c r="L29" s="8" t="str">
        <f>IF('Course 5'!$H27='tab5'!L$3,'Course 5'!$I27," ")</f>
        <v xml:space="preserve"> </v>
      </c>
      <c r="M29" s="8" t="str">
        <f>IF('Course 5'!$H27='tab5'!M$3,'Course 5'!$I27," ")</f>
        <v xml:space="preserve"> </v>
      </c>
      <c r="N29" s="9" t="str">
        <f>IF('Course 5'!$H27='tab5'!N$3,'Course 5'!$I27," ")</f>
        <v xml:space="preserve"> </v>
      </c>
    </row>
    <row r="30" spans="2:14">
      <c r="B30">
        <v>26</v>
      </c>
      <c r="C30" s="7" t="str">
        <f>IF('Course 5'!$H28='tab5'!C$3,'Course 5'!$I28," ")</f>
        <v xml:space="preserve"> </v>
      </c>
      <c r="D30" s="8" t="str">
        <f>IF('Course 5'!$H28='tab5'!D$3,'Course 5'!$I28," ")</f>
        <v xml:space="preserve"> </v>
      </c>
      <c r="E30" s="8" t="str">
        <f>IF('Course 5'!$H28='tab5'!E$3,'Course 5'!$I28," ")</f>
        <v xml:space="preserve"> </v>
      </c>
      <c r="F30" s="8" t="str">
        <f>IF('Course 5'!$H28='tab5'!F$3,'Course 5'!$I28," ")</f>
        <v xml:space="preserve"> </v>
      </c>
      <c r="G30" s="8" t="str">
        <f>IF('Course 5'!$H28='tab5'!G$3,'Course 5'!$I28," ")</f>
        <v xml:space="preserve"> </v>
      </c>
      <c r="H30" s="8" t="str">
        <f>IF('Course 5'!$H28='tab5'!H$3,'Course 5'!$I28," ")</f>
        <v xml:space="preserve"> </v>
      </c>
      <c r="I30" s="8" t="str">
        <f>IF('Course 5'!$H28='tab5'!I$3,'Course 5'!$I28," ")</f>
        <v xml:space="preserve"> </v>
      </c>
      <c r="J30" s="8" t="str">
        <f>IF('Course 5'!$H28='tab5'!J$3,'Course 5'!$I28," ")</f>
        <v xml:space="preserve"> </v>
      </c>
      <c r="K30" s="8" t="str">
        <f>IF('Course 5'!$H28='tab5'!K$3,'Course 5'!$I28," ")</f>
        <v xml:space="preserve"> </v>
      </c>
      <c r="L30" s="8" t="str">
        <f>IF('Course 5'!$H28='tab5'!L$3,'Course 5'!$I28," ")</f>
        <v xml:space="preserve"> </v>
      </c>
      <c r="M30" s="8" t="str">
        <f>IF('Course 5'!$H28='tab5'!M$3,'Course 5'!$I28," ")</f>
        <v xml:space="preserve"> </v>
      </c>
      <c r="N30" s="9" t="str">
        <f>IF('Course 5'!$H28='tab5'!N$3,'Course 5'!$I28," ")</f>
        <v xml:space="preserve"> </v>
      </c>
    </row>
    <row r="31" spans="2:14">
      <c r="B31">
        <v>27</v>
      </c>
      <c r="C31" s="7" t="str">
        <f>IF('Course 5'!$H29='tab5'!C$3,'Course 5'!$I29," ")</f>
        <v xml:space="preserve"> </v>
      </c>
      <c r="D31" s="8" t="str">
        <f>IF('Course 5'!$H29='tab5'!D$3,'Course 5'!$I29," ")</f>
        <v xml:space="preserve"> </v>
      </c>
      <c r="E31" s="8" t="str">
        <f>IF('Course 5'!$H29='tab5'!E$3,'Course 5'!$I29," ")</f>
        <v xml:space="preserve"> </v>
      </c>
      <c r="F31" s="8" t="str">
        <f>IF('Course 5'!$H29='tab5'!F$3,'Course 5'!$I29," ")</f>
        <v xml:space="preserve"> </v>
      </c>
      <c r="G31" s="8" t="str">
        <f>IF('Course 5'!$H29='tab5'!G$3,'Course 5'!$I29," ")</f>
        <v xml:space="preserve"> </v>
      </c>
      <c r="H31" s="8" t="str">
        <f>IF('Course 5'!$H29='tab5'!H$3,'Course 5'!$I29," ")</f>
        <v xml:space="preserve"> </v>
      </c>
      <c r="I31" s="8" t="str">
        <f>IF('Course 5'!$H29='tab5'!I$3,'Course 5'!$I29," ")</f>
        <v xml:space="preserve"> </v>
      </c>
      <c r="J31" s="8" t="str">
        <f>IF('Course 5'!$H29='tab5'!J$3,'Course 5'!$I29," ")</f>
        <v xml:space="preserve"> </v>
      </c>
      <c r="K31" s="8" t="str">
        <f>IF('Course 5'!$H29='tab5'!K$3,'Course 5'!$I29," ")</f>
        <v xml:space="preserve"> </v>
      </c>
      <c r="L31" s="8" t="str">
        <f>IF('Course 5'!$H29='tab5'!L$3,'Course 5'!$I29," ")</f>
        <v xml:space="preserve"> </v>
      </c>
      <c r="M31" s="8" t="str">
        <f>IF('Course 5'!$H29='tab5'!M$3,'Course 5'!$I29," ")</f>
        <v xml:space="preserve"> </v>
      </c>
      <c r="N31" s="9" t="str">
        <f>IF('Course 5'!$H29='tab5'!N$3,'Course 5'!$I29," ")</f>
        <v xml:space="preserve"> </v>
      </c>
    </row>
    <row r="32" spans="2:14">
      <c r="B32">
        <v>28</v>
      </c>
      <c r="C32" s="7" t="str">
        <f>IF('Course 5'!$H30='tab5'!C$3,'Course 5'!$I30," ")</f>
        <v xml:space="preserve"> </v>
      </c>
      <c r="D32" s="8" t="str">
        <f>IF('Course 5'!$H30='tab5'!D$3,'Course 5'!$I30," ")</f>
        <v xml:space="preserve"> </v>
      </c>
      <c r="E32" s="8" t="str">
        <f>IF('Course 5'!$H30='tab5'!E$3,'Course 5'!$I30," ")</f>
        <v xml:space="preserve"> </v>
      </c>
      <c r="F32" s="8" t="str">
        <f>IF('Course 5'!$H30='tab5'!F$3,'Course 5'!$I30," ")</f>
        <v xml:space="preserve"> </v>
      </c>
      <c r="G32" s="8" t="str">
        <f>IF('Course 5'!$H30='tab5'!G$3,'Course 5'!$I30," ")</f>
        <v xml:space="preserve"> </v>
      </c>
      <c r="H32" s="8" t="str">
        <f>IF('Course 5'!$H30='tab5'!H$3,'Course 5'!$I30," ")</f>
        <v xml:space="preserve"> </v>
      </c>
      <c r="I32" s="8" t="str">
        <f>IF('Course 5'!$H30='tab5'!I$3,'Course 5'!$I30," ")</f>
        <v xml:space="preserve"> </v>
      </c>
      <c r="J32" s="8" t="str">
        <f>IF('Course 5'!$H30='tab5'!J$3,'Course 5'!$I30," ")</f>
        <v xml:space="preserve"> </v>
      </c>
      <c r="K32" s="8" t="str">
        <f>IF('Course 5'!$H30='tab5'!K$3,'Course 5'!$I30," ")</f>
        <v xml:space="preserve"> </v>
      </c>
      <c r="L32" s="8" t="str">
        <f>IF('Course 5'!$H30='tab5'!L$3,'Course 5'!$I30," ")</f>
        <v xml:space="preserve"> </v>
      </c>
      <c r="M32" s="8" t="str">
        <f>IF('Course 5'!$H30='tab5'!M$3,'Course 5'!$I30," ")</f>
        <v xml:space="preserve"> </v>
      </c>
      <c r="N32" s="9" t="str">
        <f>IF('Course 5'!$H30='tab5'!N$3,'Course 5'!$I30," ")</f>
        <v xml:space="preserve"> </v>
      </c>
    </row>
    <row r="33" spans="2:14">
      <c r="B33">
        <v>29</v>
      </c>
      <c r="C33" s="7" t="str">
        <f>IF('Course 5'!$H31='tab5'!C$3,'Course 5'!$I31," ")</f>
        <v xml:space="preserve"> </v>
      </c>
      <c r="D33" s="8" t="str">
        <f>IF('Course 5'!$H31='tab5'!D$3,'Course 5'!$I31," ")</f>
        <v xml:space="preserve"> </v>
      </c>
      <c r="E33" s="8" t="str">
        <f>IF('Course 5'!$H31='tab5'!E$3,'Course 5'!$I31," ")</f>
        <v xml:space="preserve"> </v>
      </c>
      <c r="F33" s="8" t="str">
        <f>IF('Course 5'!$H31='tab5'!F$3,'Course 5'!$I31," ")</f>
        <v xml:space="preserve"> </v>
      </c>
      <c r="G33" s="8" t="str">
        <f>IF('Course 5'!$H31='tab5'!G$3,'Course 5'!$I31," ")</f>
        <v xml:space="preserve"> </v>
      </c>
      <c r="H33" s="8" t="str">
        <f>IF('Course 5'!$H31='tab5'!H$3,'Course 5'!$I31," ")</f>
        <v xml:space="preserve"> </v>
      </c>
      <c r="I33" s="8" t="str">
        <f>IF('Course 5'!$H31='tab5'!I$3,'Course 5'!$I31," ")</f>
        <v xml:space="preserve"> </v>
      </c>
      <c r="J33" s="8" t="str">
        <f>IF('Course 5'!$H31='tab5'!J$3,'Course 5'!$I31," ")</f>
        <v xml:space="preserve"> </v>
      </c>
      <c r="K33" s="8" t="str">
        <f>IF('Course 5'!$H31='tab5'!K$3,'Course 5'!$I31," ")</f>
        <v xml:space="preserve"> </v>
      </c>
      <c r="L33" s="8" t="str">
        <f>IF('Course 5'!$H31='tab5'!L$3,'Course 5'!$I31," ")</f>
        <v xml:space="preserve"> </v>
      </c>
      <c r="M33" s="8" t="str">
        <f>IF('Course 5'!$H31='tab5'!M$3,'Course 5'!$I31," ")</f>
        <v xml:space="preserve"> </v>
      </c>
      <c r="N33" s="9" t="str">
        <f>IF('Course 5'!$H31='tab5'!N$3,'Course 5'!$I31," ")</f>
        <v xml:space="preserve"> </v>
      </c>
    </row>
    <row r="34" spans="2:14">
      <c r="B34">
        <v>30</v>
      </c>
      <c r="C34" s="7" t="str">
        <f>IF('Course 5'!$H32='tab5'!C$3,'Course 5'!$I32," ")</f>
        <v xml:space="preserve"> </v>
      </c>
      <c r="D34" s="8" t="str">
        <f>IF('Course 5'!$H32='tab5'!D$3,'Course 5'!$I32," ")</f>
        <v xml:space="preserve"> </v>
      </c>
      <c r="E34" s="8" t="str">
        <f>IF('Course 5'!$H32='tab5'!E$3,'Course 5'!$I32," ")</f>
        <v xml:space="preserve"> </v>
      </c>
      <c r="F34" s="8" t="str">
        <f>IF('Course 5'!$H32='tab5'!F$3,'Course 5'!$I32," ")</f>
        <v xml:space="preserve"> </v>
      </c>
      <c r="G34" s="8" t="str">
        <f>IF('Course 5'!$H32='tab5'!G$3,'Course 5'!$I32," ")</f>
        <v xml:space="preserve"> </v>
      </c>
      <c r="H34" s="8" t="str">
        <f>IF('Course 5'!$H32='tab5'!H$3,'Course 5'!$I32," ")</f>
        <v xml:space="preserve"> </v>
      </c>
      <c r="I34" s="8" t="str">
        <f>IF('Course 5'!$H32='tab5'!I$3,'Course 5'!$I32," ")</f>
        <v xml:space="preserve"> </v>
      </c>
      <c r="J34" s="8" t="str">
        <f>IF('Course 5'!$H32='tab5'!J$3,'Course 5'!$I32," ")</f>
        <v xml:space="preserve"> </v>
      </c>
      <c r="K34" s="8" t="str">
        <f>IF('Course 5'!$H32='tab5'!K$3,'Course 5'!$I32," ")</f>
        <v xml:space="preserve"> </v>
      </c>
      <c r="L34" s="8" t="str">
        <f>IF('Course 5'!$H32='tab5'!L$3,'Course 5'!$I32," ")</f>
        <v xml:space="preserve"> </v>
      </c>
      <c r="M34" s="8" t="str">
        <f>IF('Course 5'!$H32='tab5'!M$3,'Course 5'!$I32," ")</f>
        <v xml:space="preserve"> </v>
      </c>
      <c r="N34" s="9" t="str">
        <f>IF('Course 5'!$H32='tab5'!N$3,'Course 5'!$I32," ")</f>
        <v xml:space="preserve"> </v>
      </c>
    </row>
    <row r="35" spans="2:14">
      <c r="B35">
        <v>31</v>
      </c>
      <c r="C35" s="7" t="str">
        <f>IF('Course 5'!$H33='tab5'!C$3,'Course 5'!$I33," ")</f>
        <v xml:space="preserve"> </v>
      </c>
      <c r="D35" s="8" t="str">
        <f>IF('Course 5'!$H33='tab5'!D$3,'Course 5'!$I33," ")</f>
        <v xml:space="preserve"> </v>
      </c>
      <c r="E35" s="8" t="str">
        <f>IF('Course 5'!$H33='tab5'!E$3,'Course 5'!$I33," ")</f>
        <v xml:space="preserve"> </v>
      </c>
      <c r="F35" s="8" t="str">
        <f>IF('Course 5'!$H33='tab5'!F$3,'Course 5'!$I33," ")</f>
        <v xml:space="preserve"> </v>
      </c>
      <c r="G35" s="8" t="str">
        <f>IF('Course 5'!$H33='tab5'!G$3,'Course 5'!$I33," ")</f>
        <v xml:space="preserve"> </v>
      </c>
      <c r="H35" s="8" t="str">
        <f>IF('Course 5'!$H33='tab5'!H$3,'Course 5'!$I33," ")</f>
        <v xml:space="preserve"> </v>
      </c>
      <c r="I35" s="8" t="str">
        <f>IF('Course 5'!$H33='tab5'!I$3,'Course 5'!$I33," ")</f>
        <v xml:space="preserve"> </v>
      </c>
      <c r="J35" s="8" t="str">
        <f>IF('Course 5'!$H33='tab5'!J$3,'Course 5'!$I33," ")</f>
        <v xml:space="preserve"> </v>
      </c>
      <c r="K35" s="8" t="str">
        <f>IF('Course 5'!$H33='tab5'!K$3,'Course 5'!$I33," ")</f>
        <v xml:space="preserve"> </v>
      </c>
      <c r="L35" s="8" t="str">
        <f>IF('Course 5'!$H33='tab5'!L$3,'Course 5'!$I33," ")</f>
        <v xml:space="preserve"> </v>
      </c>
      <c r="M35" s="8" t="str">
        <f>IF('Course 5'!$H33='tab5'!M$3,'Course 5'!$I33," ")</f>
        <v xml:space="preserve"> </v>
      </c>
      <c r="N35" s="9" t="str">
        <f>IF('Course 5'!$H33='tab5'!N$3,'Course 5'!$I33," ")</f>
        <v xml:space="preserve"> </v>
      </c>
    </row>
    <row r="36" spans="2:14">
      <c r="B36">
        <v>32</v>
      </c>
      <c r="C36" s="7" t="str">
        <f>IF('Course 5'!$H34='tab5'!C$3,'Course 5'!$I34," ")</f>
        <v xml:space="preserve"> </v>
      </c>
      <c r="D36" s="8" t="str">
        <f>IF('Course 5'!$H34='tab5'!D$3,'Course 5'!$I34," ")</f>
        <v xml:space="preserve"> </v>
      </c>
      <c r="E36" s="8" t="str">
        <f>IF('Course 5'!$H34='tab5'!E$3,'Course 5'!$I34," ")</f>
        <v xml:space="preserve"> </v>
      </c>
      <c r="F36" s="8" t="str">
        <f>IF('Course 5'!$H34='tab5'!F$3,'Course 5'!$I34," ")</f>
        <v xml:space="preserve"> </v>
      </c>
      <c r="G36" s="8" t="str">
        <f>IF('Course 5'!$H34='tab5'!G$3,'Course 5'!$I34," ")</f>
        <v xml:space="preserve"> </v>
      </c>
      <c r="H36" s="8" t="str">
        <f>IF('Course 5'!$H34='tab5'!H$3,'Course 5'!$I34," ")</f>
        <v xml:space="preserve"> </v>
      </c>
      <c r="I36" s="8" t="str">
        <f>IF('Course 5'!$H34='tab5'!I$3,'Course 5'!$I34," ")</f>
        <v xml:space="preserve"> </v>
      </c>
      <c r="J36" s="8" t="str">
        <f>IF('Course 5'!$H34='tab5'!J$3,'Course 5'!$I34," ")</f>
        <v xml:space="preserve"> </v>
      </c>
      <c r="K36" s="8" t="str">
        <f>IF('Course 5'!$H34='tab5'!K$3,'Course 5'!$I34," ")</f>
        <v xml:space="preserve"> </v>
      </c>
      <c r="L36" s="8" t="str">
        <f>IF('Course 5'!$H34='tab5'!L$3,'Course 5'!$I34," ")</f>
        <v xml:space="preserve"> </v>
      </c>
      <c r="M36" s="8" t="str">
        <f>IF('Course 5'!$H34='tab5'!M$3,'Course 5'!$I34," ")</f>
        <v xml:space="preserve"> </v>
      </c>
      <c r="N36" s="9" t="str">
        <f>IF('Course 5'!$H34='tab5'!N$3,'Course 5'!$I34," ")</f>
        <v xml:space="preserve"> </v>
      </c>
    </row>
    <row r="37" spans="2:14">
      <c r="B37">
        <v>33</v>
      </c>
      <c r="C37" s="7" t="str">
        <f>IF('Course 5'!$H35='tab5'!C$3,'Course 5'!$I35," ")</f>
        <v xml:space="preserve"> </v>
      </c>
      <c r="D37" s="8" t="str">
        <f>IF('Course 5'!$H35='tab5'!D$3,'Course 5'!$I35," ")</f>
        <v xml:space="preserve"> </v>
      </c>
      <c r="E37" s="8" t="str">
        <f>IF('Course 5'!$H35='tab5'!E$3,'Course 5'!$I35," ")</f>
        <v xml:space="preserve"> </v>
      </c>
      <c r="F37" s="8" t="str">
        <f>IF('Course 5'!$H35='tab5'!F$3,'Course 5'!$I35," ")</f>
        <v xml:space="preserve"> </v>
      </c>
      <c r="G37" s="8" t="str">
        <f>IF('Course 5'!$H35='tab5'!G$3,'Course 5'!$I35," ")</f>
        <v xml:space="preserve"> </v>
      </c>
      <c r="H37" s="8" t="str">
        <f>IF('Course 5'!$H35='tab5'!H$3,'Course 5'!$I35," ")</f>
        <v xml:space="preserve"> </v>
      </c>
      <c r="I37" s="8" t="str">
        <f>IF('Course 5'!$H35='tab5'!I$3,'Course 5'!$I35," ")</f>
        <v xml:space="preserve"> </v>
      </c>
      <c r="J37" s="8" t="str">
        <f>IF('Course 5'!$H35='tab5'!J$3,'Course 5'!$I35," ")</f>
        <v xml:space="preserve"> </v>
      </c>
      <c r="K37" s="8" t="str">
        <f>IF('Course 5'!$H35='tab5'!K$3,'Course 5'!$I35," ")</f>
        <v xml:space="preserve"> </v>
      </c>
      <c r="L37" s="8" t="str">
        <f>IF('Course 5'!$H35='tab5'!L$3,'Course 5'!$I35," ")</f>
        <v xml:space="preserve"> </v>
      </c>
      <c r="M37" s="8" t="str">
        <f>IF('Course 5'!$H35='tab5'!M$3,'Course 5'!$I35," ")</f>
        <v xml:space="preserve"> </v>
      </c>
      <c r="N37" s="9" t="str">
        <f>IF('Course 5'!$H35='tab5'!N$3,'Course 5'!$I35," ")</f>
        <v xml:space="preserve"> </v>
      </c>
    </row>
    <row r="38" spans="2:14">
      <c r="B38">
        <v>34</v>
      </c>
      <c r="C38" s="7" t="str">
        <f>IF('Course 5'!$H36='tab5'!C$3,'Course 5'!$I36," ")</f>
        <v xml:space="preserve"> </v>
      </c>
      <c r="D38" s="8" t="str">
        <f>IF('Course 5'!$H36='tab5'!D$3,'Course 5'!$I36," ")</f>
        <v xml:space="preserve"> </v>
      </c>
      <c r="E38" s="8" t="str">
        <f>IF('Course 5'!$H36='tab5'!E$3,'Course 5'!$I36," ")</f>
        <v xml:space="preserve"> </v>
      </c>
      <c r="F38" s="8" t="str">
        <f>IF('Course 5'!$H36='tab5'!F$3,'Course 5'!$I36," ")</f>
        <v xml:space="preserve"> </v>
      </c>
      <c r="G38" s="8" t="str">
        <f>IF('Course 5'!$H36='tab5'!G$3,'Course 5'!$I36," ")</f>
        <v xml:space="preserve"> </v>
      </c>
      <c r="H38" s="8" t="str">
        <f>IF('Course 5'!$H36='tab5'!H$3,'Course 5'!$I36," ")</f>
        <v xml:space="preserve"> </v>
      </c>
      <c r="I38" s="8" t="str">
        <f>IF('Course 5'!$H36='tab5'!I$3,'Course 5'!$I36," ")</f>
        <v xml:space="preserve"> </v>
      </c>
      <c r="J38" s="8" t="str">
        <f>IF('Course 5'!$H36='tab5'!J$3,'Course 5'!$I36," ")</f>
        <v xml:space="preserve"> </v>
      </c>
      <c r="K38" s="8" t="str">
        <f>IF('Course 5'!$H36='tab5'!K$3,'Course 5'!$I36," ")</f>
        <v xml:space="preserve"> </v>
      </c>
      <c r="L38" s="8" t="str">
        <f>IF('Course 5'!$H36='tab5'!L$3,'Course 5'!$I36," ")</f>
        <v xml:space="preserve"> </v>
      </c>
      <c r="M38" s="8" t="str">
        <f>IF('Course 5'!$H36='tab5'!M$3,'Course 5'!$I36," ")</f>
        <v xml:space="preserve"> </v>
      </c>
      <c r="N38" s="9" t="str">
        <f>IF('Course 5'!$H36='tab5'!N$3,'Course 5'!$I36," ")</f>
        <v xml:space="preserve"> </v>
      </c>
    </row>
    <row r="39" spans="2:14">
      <c r="B39">
        <v>35</v>
      </c>
      <c r="C39" s="7" t="str">
        <f>IF('Course 5'!$H37='tab5'!C$3,'Course 5'!$I37," ")</f>
        <v xml:space="preserve"> </v>
      </c>
      <c r="D39" s="8" t="str">
        <f>IF('Course 5'!$H37='tab5'!D$3,'Course 5'!$I37," ")</f>
        <v xml:space="preserve"> </v>
      </c>
      <c r="E39" s="8" t="str">
        <f>IF('Course 5'!$H37='tab5'!E$3,'Course 5'!$I37," ")</f>
        <v xml:space="preserve"> </v>
      </c>
      <c r="F39" s="8" t="str">
        <f>IF('Course 5'!$H37='tab5'!F$3,'Course 5'!$I37," ")</f>
        <v xml:space="preserve"> </v>
      </c>
      <c r="G39" s="8" t="str">
        <f>IF('Course 5'!$H37='tab5'!G$3,'Course 5'!$I37," ")</f>
        <v xml:space="preserve"> </v>
      </c>
      <c r="H39" s="8" t="str">
        <f>IF('Course 5'!$H37='tab5'!H$3,'Course 5'!$I37," ")</f>
        <v xml:space="preserve"> </v>
      </c>
      <c r="I39" s="8" t="str">
        <f>IF('Course 5'!$H37='tab5'!I$3,'Course 5'!$I37," ")</f>
        <v xml:space="preserve"> </v>
      </c>
      <c r="J39" s="8" t="str">
        <f>IF('Course 5'!$H37='tab5'!J$3,'Course 5'!$I37," ")</f>
        <v xml:space="preserve"> </v>
      </c>
      <c r="K39" s="8" t="str">
        <f>IF('Course 5'!$H37='tab5'!K$3,'Course 5'!$I37," ")</f>
        <v xml:space="preserve"> </v>
      </c>
      <c r="L39" s="8" t="str">
        <f>IF('Course 5'!$H37='tab5'!L$3,'Course 5'!$I37," ")</f>
        <v xml:space="preserve"> </v>
      </c>
      <c r="M39" s="8" t="str">
        <f>IF('Course 5'!$H37='tab5'!M$3,'Course 5'!$I37," ")</f>
        <v xml:space="preserve"> </v>
      </c>
      <c r="N39" s="9" t="str">
        <f>IF('Course 5'!$H37='tab5'!N$3,'Course 5'!$I37," ")</f>
        <v xml:space="preserve"> </v>
      </c>
    </row>
    <row r="40" spans="2:14">
      <c r="B40">
        <v>36</v>
      </c>
      <c r="C40" s="7" t="str">
        <f>IF('Course 5'!$H38='tab5'!C$3,'Course 5'!$I38," ")</f>
        <v xml:space="preserve"> </v>
      </c>
      <c r="D40" s="8" t="str">
        <f>IF('Course 5'!$H38='tab5'!D$3,'Course 5'!$I38," ")</f>
        <v xml:space="preserve"> </v>
      </c>
      <c r="E40" s="8" t="str">
        <f>IF('Course 5'!$H38='tab5'!E$3,'Course 5'!$I38," ")</f>
        <v xml:space="preserve"> </v>
      </c>
      <c r="F40" s="8" t="str">
        <f>IF('Course 5'!$H38='tab5'!F$3,'Course 5'!$I38," ")</f>
        <v xml:space="preserve"> </v>
      </c>
      <c r="G40" s="8" t="str">
        <f>IF('Course 5'!$H38='tab5'!G$3,'Course 5'!$I38," ")</f>
        <v xml:space="preserve"> </v>
      </c>
      <c r="H40" s="8" t="str">
        <f>IF('Course 5'!$H38='tab5'!H$3,'Course 5'!$I38," ")</f>
        <v xml:space="preserve"> </v>
      </c>
      <c r="I40" s="8" t="str">
        <f>IF('Course 5'!$H38='tab5'!I$3,'Course 5'!$I38," ")</f>
        <v xml:space="preserve"> </v>
      </c>
      <c r="J40" s="8" t="str">
        <f>IF('Course 5'!$H38='tab5'!J$3,'Course 5'!$I38," ")</f>
        <v xml:space="preserve"> </v>
      </c>
      <c r="K40" s="8" t="str">
        <f>IF('Course 5'!$H38='tab5'!K$3,'Course 5'!$I38," ")</f>
        <v xml:space="preserve"> </v>
      </c>
      <c r="L40" s="8" t="str">
        <f>IF('Course 5'!$H38='tab5'!L$3,'Course 5'!$I38," ")</f>
        <v xml:space="preserve"> </v>
      </c>
      <c r="M40" s="8" t="str">
        <f>IF('Course 5'!$H38='tab5'!M$3,'Course 5'!$I38," ")</f>
        <v xml:space="preserve"> </v>
      </c>
      <c r="N40" s="9" t="str">
        <f>IF('Course 5'!$H38='tab5'!N$3,'Course 5'!$I38," ")</f>
        <v xml:space="preserve"> </v>
      </c>
    </row>
    <row r="41" spans="2:14">
      <c r="B41">
        <v>37</v>
      </c>
      <c r="C41" s="7" t="str">
        <f>IF('Course 5'!$H39='tab5'!C$3,'Course 5'!$I39," ")</f>
        <v xml:space="preserve"> </v>
      </c>
      <c r="D41" s="8" t="str">
        <f>IF('Course 5'!$H39='tab5'!D$3,'Course 5'!$I39," ")</f>
        <v xml:space="preserve"> </v>
      </c>
      <c r="E41" s="8" t="str">
        <f>IF('Course 5'!$H39='tab5'!E$3,'Course 5'!$I39," ")</f>
        <v xml:space="preserve"> </v>
      </c>
      <c r="F41" s="8" t="str">
        <f>IF('Course 5'!$H39='tab5'!F$3,'Course 5'!$I39," ")</f>
        <v xml:space="preserve"> </v>
      </c>
      <c r="G41" s="8" t="str">
        <f>IF('Course 5'!$H39='tab5'!G$3,'Course 5'!$I39," ")</f>
        <v xml:space="preserve"> </v>
      </c>
      <c r="H41" s="8" t="str">
        <f>IF('Course 5'!$H39='tab5'!H$3,'Course 5'!$I39," ")</f>
        <v xml:space="preserve"> </v>
      </c>
      <c r="I41" s="8" t="str">
        <f>IF('Course 5'!$H39='tab5'!I$3,'Course 5'!$I39," ")</f>
        <v xml:space="preserve"> </v>
      </c>
      <c r="J41" s="8" t="str">
        <f>IF('Course 5'!$H39='tab5'!J$3,'Course 5'!$I39," ")</f>
        <v xml:space="preserve"> </v>
      </c>
      <c r="K41" s="8" t="str">
        <f>IF('Course 5'!$H39='tab5'!K$3,'Course 5'!$I39," ")</f>
        <v xml:space="preserve"> </v>
      </c>
      <c r="L41" s="8" t="str">
        <f>IF('Course 5'!$H39='tab5'!L$3,'Course 5'!$I39," ")</f>
        <v xml:space="preserve"> </v>
      </c>
      <c r="M41" s="8" t="str">
        <f>IF('Course 5'!$H39='tab5'!M$3,'Course 5'!$I39," ")</f>
        <v xml:space="preserve"> </v>
      </c>
      <c r="N41" s="9" t="str">
        <f>IF('Course 5'!$H39='tab5'!N$3,'Course 5'!$I39," ")</f>
        <v xml:space="preserve"> </v>
      </c>
    </row>
    <row r="42" spans="2:14">
      <c r="B42">
        <v>38</v>
      </c>
      <c r="C42" s="7" t="str">
        <f>IF('Course 5'!$H40='tab5'!C$3,'Course 5'!$I40," ")</f>
        <v xml:space="preserve"> </v>
      </c>
      <c r="D42" s="8" t="str">
        <f>IF('Course 5'!$H40='tab5'!D$3,'Course 5'!$I40," ")</f>
        <v xml:space="preserve"> </v>
      </c>
      <c r="E42" s="8" t="str">
        <f>IF('Course 5'!$H40='tab5'!E$3,'Course 5'!$I40," ")</f>
        <v xml:space="preserve"> </v>
      </c>
      <c r="F42" s="8" t="str">
        <f>IF('Course 5'!$H40='tab5'!F$3,'Course 5'!$I40," ")</f>
        <v xml:space="preserve"> </v>
      </c>
      <c r="G42" s="8" t="str">
        <f>IF('Course 5'!$H40='tab5'!G$3,'Course 5'!$I40," ")</f>
        <v xml:space="preserve"> </v>
      </c>
      <c r="H42" s="8" t="str">
        <f>IF('Course 5'!$H40='tab5'!H$3,'Course 5'!$I40," ")</f>
        <v xml:space="preserve"> </v>
      </c>
      <c r="I42" s="8" t="str">
        <f>IF('Course 5'!$H40='tab5'!I$3,'Course 5'!$I40," ")</f>
        <v xml:space="preserve"> </v>
      </c>
      <c r="J42" s="8" t="str">
        <f>IF('Course 5'!$H40='tab5'!J$3,'Course 5'!$I40," ")</f>
        <v xml:space="preserve"> </v>
      </c>
      <c r="K42" s="8" t="str">
        <f>IF('Course 5'!$H40='tab5'!K$3,'Course 5'!$I40," ")</f>
        <v xml:space="preserve"> </v>
      </c>
      <c r="L42" s="8" t="str">
        <f>IF('Course 5'!$H40='tab5'!L$3,'Course 5'!$I40," ")</f>
        <v xml:space="preserve"> </v>
      </c>
      <c r="M42" s="8" t="str">
        <f>IF('Course 5'!$H40='tab5'!M$3,'Course 5'!$I40," ")</f>
        <v xml:space="preserve"> </v>
      </c>
      <c r="N42" s="9" t="str">
        <f>IF('Course 5'!$H40='tab5'!N$3,'Course 5'!$I40," ")</f>
        <v xml:space="preserve"> </v>
      </c>
    </row>
    <row r="43" spans="2:14">
      <c r="B43">
        <v>39</v>
      </c>
      <c r="C43" s="7" t="str">
        <f>IF('Course 5'!$H41='tab5'!C$3,'Course 5'!$I41," ")</f>
        <v xml:space="preserve"> </v>
      </c>
      <c r="D43" s="8" t="str">
        <f>IF('Course 5'!$H41='tab5'!D$3,'Course 5'!$I41," ")</f>
        <v xml:space="preserve"> </v>
      </c>
      <c r="E43" s="8" t="str">
        <f>IF('Course 5'!$H41='tab5'!E$3,'Course 5'!$I41," ")</f>
        <v xml:space="preserve"> </v>
      </c>
      <c r="F43" s="8" t="str">
        <f>IF('Course 5'!$H41='tab5'!F$3,'Course 5'!$I41," ")</f>
        <v xml:space="preserve"> </v>
      </c>
      <c r="G43" s="8" t="str">
        <f>IF('Course 5'!$H41='tab5'!G$3,'Course 5'!$I41," ")</f>
        <v xml:space="preserve"> </v>
      </c>
      <c r="H43" s="8" t="str">
        <f>IF('Course 5'!$H41='tab5'!H$3,'Course 5'!$I41," ")</f>
        <v xml:space="preserve"> </v>
      </c>
      <c r="I43" s="8" t="str">
        <f>IF('Course 5'!$H41='tab5'!I$3,'Course 5'!$I41," ")</f>
        <v xml:space="preserve"> </v>
      </c>
      <c r="J43" s="8" t="str">
        <f>IF('Course 5'!$H41='tab5'!J$3,'Course 5'!$I41," ")</f>
        <v xml:space="preserve"> </v>
      </c>
      <c r="K43" s="8" t="str">
        <f>IF('Course 5'!$H41='tab5'!K$3,'Course 5'!$I41," ")</f>
        <v xml:space="preserve"> </v>
      </c>
      <c r="L43" s="8" t="str">
        <f>IF('Course 5'!$H41='tab5'!L$3,'Course 5'!$I41," ")</f>
        <v xml:space="preserve"> </v>
      </c>
      <c r="M43" s="8" t="str">
        <f>IF('Course 5'!$H41='tab5'!M$3,'Course 5'!$I41," ")</f>
        <v xml:space="preserve"> </v>
      </c>
      <c r="N43" s="9" t="str">
        <f>IF('Course 5'!$H41='tab5'!N$3,'Course 5'!$I41," ")</f>
        <v xml:space="preserve"> </v>
      </c>
    </row>
    <row r="44" spans="2:14">
      <c r="B44">
        <v>40</v>
      </c>
      <c r="C44" s="7" t="str">
        <f>IF('Course 5'!$H42='tab5'!C$3,'Course 5'!$I42," ")</f>
        <v xml:space="preserve"> </v>
      </c>
      <c r="D44" s="8" t="str">
        <f>IF('Course 5'!$H42='tab5'!D$3,'Course 5'!$I42," ")</f>
        <v xml:space="preserve"> </v>
      </c>
      <c r="E44" s="8" t="str">
        <f>IF('Course 5'!$H42='tab5'!E$3,'Course 5'!$I42," ")</f>
        <v xml:space="preserve"> </v>
      </c>
      <c r="F44" s="8" t="str">
        <f>IF('Course 5'!$H42='tab5'!F$3,'Course 5'!$I42," ")</f>
        <v xml:space="preserve"> </v>
      </c>
      <c r="G44" s="8" t="str">
        <f>IF('Course 5'!$H42='tab5'!G$3,'Course 5'!$I42," ")</f>
        <v xml:space="preserve"> </v>
      </c>
      <c r="H44" s="8" t="str">
        <f>IF('Course 5'!$H42='tab5'!H$3,'Course 5'!$I42," ")</f>
        <v xml:space="preserve"> </v>
      </c>
      <c r="I44" s="8" t="str">
        <f>IF('Course 5'!$H42='tab5'!I$3,'Course 5'!$I42," ")</f>
        <v xml:space="preserve"> </v>
      </c>
      <c r="J44" s="8" t="str">
        <f>IF('Course 5'!$H42='tab5'!J$3,'Course 5'!$I42," ")</f>
        <v xml:space="preserve"> </v>
      </c>
      <c r="K44" s="8" t="str">
        <f>IF('Course 5'!$H42='tab5'!K$3,'Course 5'!$I42," ")</f>
        <v xml:space="preserve"> </v>
      </c>
      <c r="L44" s="8" t="str">
        <f>IF('Course 5'!$H42='tab5'!L$3,'Course 5'!$I42," ")</f>
        <v xml:space="preserve"> </v>
      </c>
      <c r="M44" s="8" t="str">
        <f>IF('Course 5'!$H42='tab5'!M$3,'Course 5'!$I42," ")</f>
        <v xml:space="preserve"> </v>
      </c>
      <c r="N44" s="9" t="str">
        <f>IF('Course 5'!$H42='tab5'!N$3,'Course 5'!$I42," ")</f>
        <v xml:space="preserve"> </v>
      </c>
    </row>
    <row r="45" spans="2:14">
      <c r="B45">
        <v>41</v>
      </c>
      <c r="C45" s="7" t="str">
        <f>IF('Course 5'!$H43='tab5'!C$3,'Course 5'!$I43," ")</f>
        <v xml:space="preserve"> </v>
      </c>
      <c r="D45" s="8" t="str">
        <f>IF('Course 5'!$H43='tab5'!D$3,'Course 5'!$I43," ")</f>
        <v xml:space="preserve"> </v>
      </c>
      <c r="E45" s="8" t="str">
        <f>IF('Course 5'!$H43='tab5'!E$3,'Course 5'!$I43," ")</f>
        <v xml:space="preserve"> </v>
      </c>
      <c r="F45" s="8" t="str">
        <f>IF('Course 5'!$H43='tab5'!F$3,'Course 5'!$I43," ")</f>
        <v xml:space="preserve"> </v>
      </c>
      <c r="G45" s="8" t="str">
        <f>IF('Course 5'!$H43='tab5'!G$3,'Course 5'!$I43," ")</f>
        <v xml:space="preserve"> </v>
      </c>
      <c r="H45" s="8" t="str">
        <f>IF('Course 5'!$H43='tab5'!H$3,'Course 5'!$I43," ")</f>
        <v xml:space="preserve"> </v>
      </c>
      <c r="I45" s="8" t="str">
        <f>IF('Course 5'!$H43='tab5'!I$3,'Course 5'!$I43," ")</f>
        <v xml:space="preserve"> </v>
      </c>
      <c r="J45" s="8" t="str">
        <f>IF('Course 5'!$H43='tab5'!J$3,'Course 5'!$I43," ")</f>
        <v xml:space="preserve"> </v>
      </c>
      <c r="K45" s="8" t="str">
        <f>IF('Course 5'!$H43='tab5'!K$3,'Course 5'!$I43," ")</f>
        <v xml:space="preserve"> </v>
      </c>
      <c r="L45" s="8" t="str">
        <f>IF('Course 5'!$H43='tab5'!L$3,'Course 5'!$I43," ")</f>
        <v xml:space="preserve"> </v>
      </c>
      <c r="M45" s="8" t="str">
        <f>IF('Course 5'!$H43='tab5'!M$3,'Course 5'!$I43," ")</f>
        <v xml:space="preserve"> </v>
      </c>
      <c r="N45" s="9" t="str">
        <f>IF('Course 5'!$H43='tab5'!N$3,'Course 5'!$I43," ")</f>
        <v xml:space="preserve"> </v>
      </c>
    </row>
    <row r="46" spans="2:14">
      <c r="B46">
        <v>42</v>
      </c>
      <c r="C46" s="7" t="str">
        <f>IF('Course 5'!$H44='tab5'!C$3,'Course 5'!$I44," ")</f>
        <v xml:space="preserve"> </v>
      </c>
      <c r="D46" s="8" t="str">
        <f>IF('Course 5'!$H44='tab5'!D$3,'Course 5'!$I44," ")</f>
        <v xml:space="preserve"> </v>
      </c>
      <c r="E46" s="8" t="str">
        <f>IF('Course 5'!$H44='tab5'!E$3,'Course 5'!$I44," ")</f>
        <v xml:space="preserve"> </v>
      </c>
      <c r="F46" s="8" t="str">
        <f>IF('Course 5'!$H44='tab5'!F$3,'Course 5'!$I44," ")</f>
        <v xml:space="preserve"> </v>
      </c>
      <c r="G46" s="8" t="str">
        <f>IF('Course 5'!$H44='tab5'!G$3,'Course 5'!$I44," ")</f>
        <v xml:space="preserve"> </v>
      </c>
      <c r="H46" s="8" t="str">
        <f>IF('Course 5'!$H44='tab5'!H$3,'Course 5'!$I44," ")</f>
        <v xml:space="preserve"> </v>
      </c>
      <c r="I46" s="8" t="str">
        <f>IF('Course 5'!$H44='tab5'!I$3,'Course 5'!$I44," ")</f>
        <v xml:space="preserve"> </v>
      </c>
      <c r="J46" s="8" t="str">
        <f>IF('Course 5'!$H44='tab5'!J$3,'Course 5'!$I44," ")</f>
        <v xml:space="preserve"> </v>
      </c>
      <c r="K46" s="8" t="str">
        <f>IF('Course 5'!$H44='tab5'!K$3,'Course 5'!$I44," ")</f>
        <v xml:space="preserve"> </v>
      </c>
      <c r="L46" s="8" t="str">
        <f>IF('Course 5'!$H44='tab5'!L$3,'Course 5'!$I44," ")</f>
        <v xml:space="preserve"> </v>
      </c>
      <c r="M46" s="8" t="str">
        <f>IF('Course 5'!$H44='tab5'!M$3,'Course 5'!$I44," ")</f>
        <v xml:space="preserve"> </v>
      </c>
      <c r="N46" s="9" t="str">
        <f>IF('Course 5'!$H44='tab5'!N$3,'Course 5'!$I44," ")</f>
        <v xml:space="preserve"> </v>
      </c>
    </row>
    <row r="47" spans="2:14">
      <c r="B47">
        <v>43</v>
      </c>
      <c r="C47" s="7" t="str">
        <f>IF('Course 5'!$H45='tab5'!C$3,'Course 5'!$I45," ")</f>
        <v xml:space="preserve"> </v>
      </c>
      <c r="D47" s="8" t="str">
        <f>IF('Course 5'!$H45='tab5'!D$3,'Course 5'!$I45," ")</f>
        <v xml:space="preserve"> </v>
      </c>
      <c r="E47" s="8" t="str">
        <f>IF('Course 5'!$H45='tab5'!E$3,'Course 5'!$I45," ")</f>
        <v xml:space="preserve"> </v>
      </c>
      <c r="F47" s="8" t="str">
        <f>IF('Course 5'!$H45='tab5'!F$3,'Course 5'!$I45," ")</f>
        <v xml:space="preserve"> </v>
      </c>
      <c r="G47" s="8" t="str">
        <f>IF('Course 5'!$H45='tab5'!G$3,'Course 5'!$I45," ")</f>
        <v xml:space="preserve"> </v>
      </c>
      <c r="H47" s="8" t="str">
        <f>IF('Course 5'!$H45='tab5'!H$3,'Course 5'!$I45," ")</f>
        <v xml:space="preserve"> </v>
      </c>
      <c r="I47" s="8" t="str">
        <f>IF('Course 5'!$H45='tab5'!I$3,'Course 5'!$I45," ")</f>
        <v xml:space="preserve"> </v>
      </c>
      <c r="J47" s="8" t="str">
        <f>IF('Course 5'!$H45='tab5'!J$3,'Course 5'!$I45," ")</f>
        <v xml:space="preserve"> </v>
      </c>
      <c r="K47" s="8" t="str">
        <f>IF('Course 5'!$H45='tab5'!K$3,'Course 5'!$I45," ")</f>
        <v xml:space="preserve"> </v>
      </c>
      <c r="L47" s="8" t="str">
        <f>IF('Course 5'!$H45='tab5'!L$3,'Course 5'!$I45," ")</f>
        <v xml:space="preserve"> </v>
      </c>
      <c r="M47" s="8" t="str">
        <f>IF('Course 5'!$H45='tab5'!M$3,'Course 5'!$I45," ")</f>
        <v xml:space="preserve"> </v>
      </c>
      <c r="N47" s="9" t="str">
        <f>IF('Course 5'!$H45='tab5'!N$3,'Course 5'!$I45," ")</f>
        <v xml:space="preserve"> </v>
      </c>
    </row>
    <row r="48" spans="2:14">
      <c r="B48">
        <v>44</v>
      </c>
      <c r="C48" s="7" t="str">
        <f>IF('Course 5'!$H46='tab5'!C$3,'Course 5'!$I46," ")</f>
        <v xml:space="preserve"> </v>
      </c>
      <c r="D48" s="8" t="str">
        <f>IF('Course 5'!$H46='tab5'!D$3,'Course 5'!$I46," ")</f>
        <v xml:space="preserve"> </v>
      </c>
      <c r="E48" s="8" t="str">
        <f>IF('Course 5'!$H46='tab5'!E$3,'Course 5'!$I46," ")</f>
        <v xml:space="preserve"> </v>
      </c>
      <c r="F48" s="8" t="str">
        <f>IF('Course 5'!$H46='tab5'!F$3,'Course 5'!$I46," ")</f>
        <v xml:space="preserve"> </v>
      </c>
      <c r="G48" s="8" t="str">
        <f>IF('Course 5'!$H46='tab5'!G$3,'Course 5'!$I46," ")</f>
        <v xml:space="preserve"> </v>
      </c>
      <c r="H48" s="8" t="str">
        <f>IF('Course 5'!$H46='tab5'!H$3,'Course 5'!$I46," ")</f>
        <v xml:space="preserve"> </v>
      </c>
      <c r="I48" s="8" t="str">
        <f>IF('Course 5'!$H46='tab5'!I$3,'Course 5'!$I46," ")</f>
        <v xml:space="preserve"> </v>
      </c>
      <c r="J48" s="8" t="str">
        <f>IF('Course 5'!$H46='tab5'!J$3,'Course 5'!$I46," ")</f>
        <v xml:space="preserve"> </v>
      </c>
      <c r="K48" s="8" t="str">
        <f>IF('Course 5'!$H46='tab5'!K$3,'Course 5'!$I46," ")</f>
        <v xml:space="preserve"> </v>
      </c>
      <c r="L48" s="8" t="str">
        <f>IF('Course 5'!$H46='tab5'!L$3,'Course 5'!$I46," ")</f>
        <v xml:space="preserve"> </v>
      </c>
      <c r="M48" s="8" t="str">
        <f>IF('Course 5'!$H46='tab5'!M$3,'Course 5'!$I46," ")</f>
        <v xml:space="preserve"> </v>
      </c>
      <c r="N48" s="9" t="str">
        <f>IF('Course 5'!$H46='tab5'!N$3,'Course 5'!$I46," ")</f>
        <v xml:space="preserve"> </v>
      </c>
    </row>
    <row r="49" spans="2:14">
      <c r="B49">
        <v>45</v>
      </c>
      <c r="C49" s="7" t="str">
        <f>IF('Course 5'!$H47='tab5'!C$3,'Course 5'!$I47," ")</f>
        <v xml:space="preserve"> </v>
      </c>
      <c r="D49" s="8" t="str">
        <f>IF('Course 5'!$H47='tab5'!D$3,'Course 5'!$I47," ")</f>
        <v xml:space="preserve"> </v>
      </c>
      <c r="E49" s="8" t="str">
        <f>IF('Course 5'!$H47='tab5'!E$3,'Course 5'!$I47," ")</f>
        <v xml:space="preserve"> </v>
      </c>
      <c r="F49" s="8" t="str">
        <f>IF('Course 5'!$H47='tab5'!F$3,'Course 5'!$I47," ")</f>
        <v xml:space="preserve"> </v>
      </c>
      <c r="G49" s="8" t="str">
        <f>IF('Course 5'!$H47='tab5'!G$3,'Course 5'!$I47," ")</f>
        <v xml:space="preserve"> </v>
      </c>
      <c r="H49" s="8" t="str">
        <f>IF('Course 5'!$H47='tab5'!H$3,'Course 5'!$I47," ")</f>
        <v xml:space="preserve"> </v>
      </c>
      <c r="I49" s="8" t="str">
        <f>IF('Course 5'!$H47='tab5'!I$3,'Course 5'!$I47," ")</f>
        <v xml:space="preserve"> </v>
      </c>
      <c r="J49" s="8" t="str">
        <f>IF('Course 5'!$H47='tab5'!J$3,'Course 5'!$I47," ")</f>
        <v xml:space="preserve"> </v>
      </c>
      <c r="K49" s="8" t="str">
        <f>IF('Course 5'!$H47='tab5'!K$3,'Course 5'!$I47," ")</f>
        <v xml:space="preserve"> </v>
      </c>
      <c r="L49" s="8" t="str">
        <f>IF('Course 5'!$H47='tab5'!L$3,'Course 5'!$I47," ")</f>
        <v xml:space="preserve"> </v>
      </c>
      <c r="M49" s="8" t="str">
        <f>IF('Course 5'!$H47='tab5'!M$3,'Course 5'!$I47," ")</f>
        <v xml:space="preserve"> </v>
      </c>
      <c r="N49" s="9" t="str">
        <f>IF('Course 5'!$H47='tab5'!N$3,'Course 5'!$I47," ")</f>
        <v xml:space="preserve"> </v>
      </c>
    </row>
    <row r="50" spans="2:14">
      <c r="B50">
        <v>46</v>
      </c>
      <c r="C50" s="7" t="str">
        <f>IF('Course 5'!$H48='tab5'!C$3,'Course 5'!$I48," ")</f>
        <v xml:space="preserve"> </v>
      </c>
      <c r="D50" s="8" t="str">
        <f>IF('Course 5'!$H48='tab5'!D$3,'Course 5'!$I48," ")</f>
        <v xml:space="preserve"> </v>
      </c>
      <c r="E50" s="8" t="str">
        <f>IF('Course 5'!$H48='tab5'!E$3,'Course 5'!$I48," ")</f>
        <v xml:space="preserve"> </v>
      </c>
      <c r="F50" s="8" t="str">
        <f>IF('Course 5'!$H48='tab5'!F$3,'Course 5'!$I48," ")</f>
        <v xml:space="preserve"> </v>
      </c>
      <c r="G50" s="8" t="str">
        <f>IF('Course 5'!$H48='tab5'!G$3,'Course 5'!$I48," ")</f>
        <v xml:space="preserve"> </v>
      </c>
      <c r="H50" s="8" t="str">
        <f>IF('Course 5'!$H48='tab5'!H$3,'Course 5'!$I48," ")</f>
        <v xml:space="preserve"> </v>
      </c>
      <c r="I50" s="8" t="str">
        <f>IF('Course 5'!$H48='tab5'!I$3,'Course 5'!$I48," ")</f>
        <v xml:space="preserve"> </v>
      </c>
      <c r="J50" s="8" t="str">
        <f>IF('Course 5'!$H48='tab5'!J$3,'Course 5'!$I48," ")</f>
        <v xml:space="preserve"> </v>
      </c>
      <c r="K50" s="8" t="str">
        <f>IF('Course 5'!$H48='tab5'!K$3,'Course 5'!$I48," ")</f>
        <v xml:space="preserve"> </v>
      </c>
      <c r="L50" s="8" t="str">
        <f>IF('Course 5'!$H48='tab5'!L$3,'Course 5'!$I48," ")</f>
        <v xml:space="preserve"> </v>
      </c>
      <c r="M50" s="8" t="str">
        <f>IF('Course 5'!$H48='tab5'!M$3,'Course 5'!$I48," ")</f>
        <v xml:space="preserve"> </v>
      </c>
      <c r="N50" s="9" t="str">
        <f>IF('Course 5'!$H48='tab5'!N$3,'Course 5'!$I48," ")</f>
        <v xml:space="preserve"> </v>
      </c>
    </row>
    <row r="51" spans="2:14">
      <c r="B51">
        <v>47</v>
      </c>
      <c r="C51" s="7" t="str">
        <f>IF('Course 5'!$H49='tab5'!C$3,'Course 5'!$I49," ")</f>
        <v xml:space="preserve"> </v>
      </c>
      <c r="D51" s="8" t="str">
        <f>IF('Course 5'!$H49='tab5'!D$3,'Course 5'!$I49," ")</f>
        <v xml:space="preserve"> </v>
      </c>
      <c r="E51" s="8" t="str">
        <f>IF('Course 5'!$H49='tab5'!E$3,'Course 5'!$I49," ")</f>
        <v xml:space="preserve"> </v>
      </c>
      <c r="F51" s="8" t="str">
        <f>IF('Course 5'!$H49='tab5'!F$3,'Course 5'!$I49," ")</f>
        <v xml:space="preserve"> </v>
      </c>
      <c r="G51" s="8" t="str">
        <f>IF('Course 5'!$H49='tab5'!G$3,'Course 5'!$I49," ")</f>
        <v xml:space="preserve"> </v>
      </c>
      <c r="H51" s="8" t="str">
        <f>IF('Course 5'!$H49='tab5'!H$3,'Course 5'!$I49," ")</f>
        <v xml:space="preserve"> </v>
      </c>
      <c r="I51" s="8" t="str">
        <f>IF('Course 5'!$H49='tab5'!I$3,'Course 5'!$I49," ")</f>
        <v xml:space="preserve"> </v>
      </c>
      <c r="J51" s="8" t="str">
        <f>IF('Course 5'!$H49='tab5'!J$3,'Course 5'!$I49," ")</f>
        <v xml:space="preserve"> </v>
      </c>
      <c r="K51" s="8" t="str">
        <f>IF('Course 5'!$H49='tab5'!K$3,'Course 5'!$I49," ")</f>
        <v xml:space="preserve"> </v>
      </c>
      <c r="L51" s="8" t="str">
        <f>IF('Course 5'!$H49='tab5'!L$3,'Course 5'!$I49," ")</f>
        <v xml:space="preserve"> </v>
      </c>
      <c r="M51" s="8" t="str">
        <f>IF('Course 5'!$H49='tab5'!M$3,'Course 5'!$I49," ")</f>
        <v xml:space="preserve"> </v>
      </c>
      <c r="N51" s="9" t="str">
        <f>IF('Course 5'!$H49='tab5'!N$3,'Course 5'!$I49," ")</f>
        <v xml:space="preserve"> </v>
      </c>
    </row>
    <row r="52" spans="2:14">
      <c r="B52">
        <v>48</v>
      </c>
      <c r="C52" s="7" t="str">
        <f>IF('Course 5'!$H50='tab5'!C$3,'Course 5'!$I50," ")</f>
        <v xml:space="preserve"> </v>
      </c>
      <c r="D52" s="8" t="str">
        <f>IF('Course 5'!$H50='tab5'!D$3,'Course 5'!$I50," ")</f>
        <v xml:space="preserve"> </v>
      </c>
      <c r="E52" s="8" t="str">
        <f>IF('Course 5'!$H50='tab5'!E$3,'Course 5'!$I50," ")</f>
        <v xml:space="preserve"> </v>
      </c>
      <c r="F52" s="8" t="str">
        <f>IF('Course 5'!$H50='tab5'!F$3,'Course 5'!$I50," ")</f>
        <v xml:space="preserve"> </v>
      </c>
      <c r="G52" s="8" t="str">
        <f>IF('Course 5'!$H50='tab5'!G$3,'Course 5'!$I50," ")</f>
        <v xml:space="preserve"> </v>
      </c>
      <c r="H52" s="8" t="str">
        <f>IF('Course 5'!$H50='tab5'!H$3,'Course 5'!$I50," ")</f>
        <v xml:space="preserve"> </v>
      </c>
      <c r="I52" s="8" t="str">
        <f>IF('Course 5'!$H50='tab5'!I$3,'Course 5'!$I50," ")</f>
        <v xml:space="preserve"> </v>
      </c>
      <c r="J52" s="8" t="str">
        <f>IF('Course 5'!$H50='tab5'!J$3,'Course 5'!$I50," ")</f>
        <v xml:space="preserve"> </v>
      </c>
      <c r="K52" s="8" t="str">
        <f>IF('Course 5'!$H50='tab5'!K$3,'Course 5'!$I50," ")</f>
        <v xml:space="preserve"> </v>
      </c>
      <c r="L52" s="8" t="str">
        <f>IF('Course 5'!$H50='tab5'!L$3,'Course 5'!$I50," ")</f>
        <v xml:space="preserve"> </v>
      </c>
      <c r="M52" s="8" t="str">
        <f>IF('Course 5'!$H50='tab5'!M$3,'Course 5'!$I50," ")</f>
        <v xml:space="preserve"> </v>
      </c>
      <c r="N52" s="9" t="str">
        <f>IF('Course 5'!$H50='tab5'!N$3,'Course 5'!$I50," ")</f>
        <v xml:space="preserve"> </v>
      </c>
    </row>
    <row r="53" spans="2:14">
      <c r="B53">
        <v>49</v>
      </c>
      <c r="C53" s="7" t="str">
        <f>IF('Course 5'!$H51='tab5'!C$3,'Course 5'!$I51," ")</f>
        <v xml:space="preserve"> </v>
      </c>
      <c r="D53" s="8" t="str">
        <f>IF('Course 5'!$H51='tab5'!D$3,'Course 5'!$I51," ")</f>
        <v xml:space="preserve"> </v>
      </c>
      <c r="E53" s="8" t="str">
        <f>IF('Course 5'!$H51='tab5'!E$3,'Course 5'!$I51," ")</f>
        <v xml:space="preserve"> </v>
      </c>
      <c r="F53" s="8" t="str">
        <f>IF('Course 5'!$H51='tab5'!F$3,'Course 5'!$I51," ")</f>
        <v xml:space="preserve"> </v>
      </c>
      <c r="G53" s="8" t="str">
        <f>IF('Course 5'!$H51='tab5'!G$3,'Course 5'!$I51," ")</f>
        <v xml:space="preserve"> </v>
      </c>
      <c r="H53" s="8" t="str">
        <f>IF('Course 5'!$H51='tab5'!H$3,'Course 5'!$I51," ")</f>
        <v xml:space="preserve"> </v>
      </c>
      <c r="I53" s="8" t="str">
        <f>IF('Course 5'!$H51='tab5'!I$3,'Course 5'!$I51," ")</f>
        <v xml:space="preserve"> </v>
      </c>
      <c r="J53" s="8" t="str">
        <f>IF('Course 5'!$H51='tab5'!J$3,'Course 5'!$I51," ")</f>
        <v xml:space="preserve"> </v>
      </c>
      <c r="K53" s="8" t="str">
        <f>IF('Course 5'!$H51='tab5'!K$3,'Course 5'!$I51," ")</f>
        <v xml:space="preserve"> </v>
      </c>
      <c r="L53" s="8" t="str">
        <f>IF('Course 5'!$H51='tab5'!L$3,'Course 5'!$I51," ")</f>
        <v xml:space="preserve"> </v>
      </c>
      <c r="M53" s="8" t="str">
        <f>IF('Course 5'!$H51='tab5'!M$3,'Course 5'!$I51," ")</f>
        <v xml:space="preserve"> </v>
      </c>
      <c r="N53" s="9" t="str">
        <f>IF('Course 5'!$H51='tab5'!N$3,'Course 5'!$I51," ")</f>
        <v xml:space="preserve"> </v>
      </c>
    </row>
    <row r="54" spans="2:14">
      <c r="B54">
        <v>50</v>
      </c>
      <c r="C54" s="7" t="str">
        <f>IF('Course 5'!$H52='tab5'!C$3,'Course 5'!$I52," ")</f>
        <v xml:space="preserve"> </v>
      </c>
      <c r="D54" s="8" t="str">
        <f>IF('Course 5'!$H52='tab5'!D$3,'Course 5'!$I52," ")</f>
        <v xml:space="preserve"> </v>
      </c>
      <c r="E54" s="8" t="str">
        <f>IF('Course 5'!$H52='tab5'!E$3,'Course 5'!$I52," ")</f>
        <v xml:space="preserve"> </v>
      </c>
      <c r="F54" s="8" t="str">
        <f>IF('Course 5'!$H52='tab5'!F$3,'Course 5'!$I52," ")</f>
        <v xml:space="preserve"> </v>
      </c>
      <c r="G54" s="8" t="str">
        <f>IF('Course 5'!$H52='tab5'!G$3,'Course 5'!$I52," ")</f>
        <v xml:space="preserve"> </v>
      </c>
      <c r="H54" s="8" t="str">
        <f>IF('Course 5'!$H52='tab5'!H$3,'Course 5'!$I52," ")</f>
        <v xml:space="preserve"> </v>
      </c>
      <c r="I54" s="8" t="str">
        <f>IF('Course 5'!$H52='tab5'!I$3,'Course 5'!$I52," ")</f>
        <v xml:space="preserve"> </v>
      </c>
      <c r="J54" s="8" t="str">
        <f>IF('Course 5'!$H52='tab5'!J$3,'Course 5'!$I52," ")</f>
        <v xml:space="preserve"> </v>
      </c>
      <c r="K54" s="8" t="str">
        <f>IF('Course 5'!$H52='tab5'!K$3,'Course 5'!$I52," ")</f>
        <v xml:space="preserve"> </v>
      </c>
      <c r="L54" s="8" t="str">
        <f>IF('Course 5'!$H52='tab5'!L$3,'Course 5'!$I52," ")</f>
        <v xml:space="preserve"> </v>
      </c>
      <c r="M54" s="8" t="str">
        <f>IF('Course 5'!$H52='tab5'!M$3,'Course 5'!$I52," ")</f>
        <v xml:space="preserve"> </v>
      </c>
      <c r="N54" s="9" t="str">
        <f>IF('Course 5'!$H52='tab5'!N$3,'Course 5'!$I52," ")</f>
        <v xml:space="preserve"> </v>
      </c>
    </row>
    <row r="55" spans="2:14">
      <c r="B55">
        <v>51</v>
      </c>
      <c r="C55" s="7" t="str">
        <f>IF('Course 5'!$H53='tab5'!C$3,'Course 5'!$I53," ")</f>
        <v xml:space="preserve"> </v>
      </c>
      <c r="D55" s="8" t="str">
        <f>IF('Course 5'!$H53='tab5'!D$3,'Course 5'!$I53," ")</f>
        <v xml:space="preserve"> </v>
      </c>
      <c r="E55" s="8" t="str">
        <f>IF('Course 5'!$H53='tab5'!E$3,'Course 5'!$I53," ")</f>
        <v xml:space="preserve"> </v>
      </c>
      <c r="F55" s="8" t="str">
        <f>IF('Course 5'!$H53='tab5'!F$3,'Course 5'!$I53," ")</f>
        <v xml:space="preserve"> </v>
      </c>
      <c r="G55" s="8" t="str">
        <f>IF('Course 5'!$H53='tab5'!G$3,'Course 5'!$I53," ")</f>
        <v xml:space="preserve"> </v>
      </c>
      <c r="H55" s="8" t="str">
        <f>IF('Course 5'!$H53='tab5'!H$3,'Course 5'!$I53," ")</f>
        <v xml:space="preserve"> </v>
      </c>
      <c r="I55" s="8" t="str">
        <f>IF('Course 5'!$H53='tab5'!I$3,'Course 5'!$I53," ")</f>
        <v xml:space="preserve"> </v>
      </c>
      <c r="J55" s="8" t="str">
        <f>IF('Course 5'!$H53='tab5'!J$3,'Course 5'!$I53," ")</f>
        <v xml:space="preserve"> </v>
      </c>
      <c r="K55" s="8" t="str">
        <f>IF('Course 5'!$H53='tab5'!K$3,'Course 5'!$I53," ")</f>
        <v xml:space="preserve"> </v>
      </c>
      <c r="L55" s="8" t="str">
        <f>IF('Course 5'!$H53='tab5'!L$3,'Course 5'!$I53," ")</f>
        <v xml:space="preserve"> </v>
      </c>
      <c r="M55" s="8" t="str">
        <f>IF('Course 5'!$H53='tab5'!M$3,'Course 5'!$I53," ")</f>
        <v xml:space="preserve"> </v>
      </c>
      <c r="N55" s="9" t="str">
        <f>IF('Course 5'!$H53='tab5'!N$3,'Course 5'!$I53," ")</f>
        <v xml:space="preserve"> </v>
      </c>
    </row>
    <row r="56" spans="2:14">
      <c r="B56">
        <v>52</v>
      </c>
      <c r="C56" s="7" t="str">
        <f>IF('Course 5'!$H54='tab5'!C$3,'Course 5'!$I54," ")</f>
        <v xml:space="preserve"> </v>
      </c>
      <c r="D56" s="8" t="str">
        <f>IF('Course 5'!$H54='tab5'!D$3,'Course 5'!$I54," ")</f>
        <v xml:space="preserve"> </v>
      </c>
      <c r="E56" s="8" t="str">
        <f>IF('Course 5'!$H54='tab5'!E$3,'Course 5'!$I54," ")</f>
        <v xml:space="preserve"> </v>
      </c>
      <c r="F56" s="8" t="str">
        <f>IF('Course 5'!$H54='tab5'!F$3,'Course 5'!$I54," ")</f>
        <v xml:space="preserve"> </v>
      </c>
      <c r="G56" s="8" t="str">
        <f>IF('Course 5'!$H54='tab5'!G$3,'Course 5'!$I54," ")</f>
        <v xml:space="preserve"> </v>
      </c>
      <c r="H56" s="8" t="str">
        <f>IF('Course 5'!$H54='tab5'!H$3,'Course 5'!$I54," ")</f>
        <v xml:space="preserve"> </v>
      </c>
      <c r="I56" s="8" t="str">
        <f>IF('Course 5'!$H54='tab5'!I$3,'Course 5'!$I54," ")</f>
        <v xml:space="preserve"> </v>
      </c>
      <c r="J56" s="8" t="str">
        <f>IF('Course 5'!$H54='tab5'!J$3,'Course 5'!$I54," ")</f>
        <v xml:space="preserve"> </v>
      </c>
      <c r="K56" s="8" t="str">
        <f>IF('Course 5'!$H54='tab5'!K$3,'Course 5'!$I54," ")</f>
        <v xml:space="preserve"> </v>
      </c>
      <c r="L56" s="8" t="str">
        <f>IF('Course 5'!$H54='tab5'!L$3,'Course 5'!$I54," ")</f>
        <v xml:space="preserve"> </v>
      </c>
      <c r="M56" s="8" t="str">
        <f>IF('Course 5'!$H54='tab5'!M$3,'Course 5'!$I54," ")</f>
        <v xml:space="preserve"> </v>
      </c>
      <c r="N56" s="9" t="str">
        <f>IF('Course 5'!$H54='tab5'!N$3,'Course 5'!$I54," ")</f>
        <v xml:space="preserve"> </v>
      </c>
    </row>
    <row r="57" spans="2:14">
      <c r="B57">
        <v>53</v>
      </c>
      <c r="C57" s="7" t="str">
        <f>IF('Course 5'!$H55='tab5'!C$3,'Course 5'!$I55," ")</f>
        <v xml:space="preserve"> </v>
      </c>
      <c r="D57" s="8" t="str">
        <f>IF('Course 5'!$H55='tab5'!D$3,'Course 5'!$I55," ")</f>
        <v xml:space="preserve"> </v>
      </c>
      <c r="E57" s="8" t="str">
        <f>IF('Course 5'!$H55='tab5'!E$3,'Course 5'!$I55," ")</f>
        <v xml:space="preserve"> </v>
      </c>
      <c r="F57" s="8" t="str">
        <f>IF('Course 5'!$H55='tab5'!F$3,'Course 5'!$I55," ")</f>
        <v xml:space="preserve"> </v>
      </c>
      <c r="G57" s="8" t="str">
        <f>IF('Course 5'!$H55='tab5'!G$3,'Course 5'!$I55," ")</f>
        <v xml:space="preserve"> </v>
      </c>
      <c r="H57" s="8" t="str">
        <f>IF('Course 5'!$H55='tab5'!H$3,'Course 5'!$I55," ")</f>
        <v xml:space="preserve"> </v>
      </c>
      <c r="I57" s="8" t="str">
        <f>IF('Course 5'!$H55='tab5'!I$3,'Course 5'!$I55," ")</f>
        <v xml:space="preserve"> </v>
      </c>
      <c r="J57" s="8" t="str">
        <f>IF('Course 5'!$H55='tab5'!J$3,'Course 5'!$I55," ")</f>
        <v xml:space="preserve"> </v>
      </c>
      <c r="K57" s="8" t="str">
        <f>IF('Course 5'!$H55='tab5'!K$3,'Course 5'!$I55," ")</f>
        <v xml:space="preserve"> </v>
      </c>
      <c r="L57" s="8" t="str">
        <f>IF('Course 5'!$H55='tab5'!L$3,'Course 5'!$I55," ")</f>
        <v xml:space="preserve"> </v>
      </c>
      <c r="M57" s="8" t="str">
        <f>IF('Course 5'!$H55='tab5'!M$3,'Course 5'!$I55," ")</f>
        <v xml:space="preserve"> </v>
      </c>
      <c r="N57" s="9" t="str">
        <f>IF('Course 5'!$H55='tab5'!N$3,'Course 5'!$I55," ")</f>
        <v xml:space="preserve"> </v>
      </c>
    </row>
    <row r="58" spans="2:14">
      <c r="B58">
        <v>54</v>
      </c>
      <c r="C58" s="7" t="str">
        <f>IF('Course 5'!$H56='tab5'!C$3,'Course 5'!$I56," ")</f>
        <v xml:space="preserve"> </v>
      </c>
      <c r="D58" s="8" t="str">
        <f>IF('Course 5'!$H56='tab5'!D$3,'Course 5'!$I56," ")</f>
        <v xml:space="preserve"> </v>
      </c>
      <c r="E58" s="8" t="str">
        <f>IF('Course 5'!$H56='tab5'!E$3,'Course 5'!$I56," ")</f>
        <v xml:space="preserve"> </v>
      </c>
      <c r="F58" s="8" t="str">
        <f>IF('Course 5'!$H56='tab5'!F$3,'Course 5'!$I56," ")</f>
        <v xml:space="preserve"> </v>
      </c>
      <c r="G58" s="8" t="str">
        <f>IF('Course 5'!$H56='tab5'!G$3,'Course 5'!$I56," ")</f>
        <v xml:space="preserve"> </v>
      </c>
      <c r="H58" s="8" t="str">
        <f>IF('Course 5'!$H56='tab5'!H$3,'Course 5'!$I56," ")</f>
        <v xml:space="preserve"> </v>
      </c>
      <c r="I58" s="8" t="str">
        <f>IF('Course 5'!$H56='tab5'!I$3,'Course 5'!$I56," ")</f>
        <v xml:space="preserve"> </v>
      </c>
      <c r="J58" s="8" t="str">
        <f>IF('Course 5'!$H56='tab5'!J$3,'Course 5'!$I56," ")</f>
        <v xml:space="preserve"> </v>
      </c>
      <c r="K58" s="8" t="str">
        <f>IF('Course 5'!$H56='tab5'!K$3,'Course 5'!$I56," ")</f>
        <v xml:space="preserve"> </v>
      </c>
      <c r="L58" s="8" t="str">
        <f>IF('Course 5'!$H56='tab5'!L$3,'Course 5'!$I56," ")</f>
        <v xml:space="preserve"> </v>
      </c>
      <c r="M58" s="8" t="str">
        <f>IF('Course 5'!$H56='tab5'!M$3,'Course 5'!$I56," ")</f>
        <v xml:space="preserve"> </v>
      </c>
      <c r="N58" s="9" t="str">
        <f>IF('Course 5'!$H56='tab5'!N$3,'Course 5'!$I56," ")</f>
        <v xml:space="preserve"> </v>
      </c>
    </row>
    <row r="59" spans="2:14">
      <c r="B59">
        <v>55</v>
      </c>
      <c r="C59" s="7" t="str">
        <f>IF('Course 5'!$H57='tab5'!C$3,'Course 5'!$I57," ")</f>
        <v xml:space="preserve"> </v>
      </c>
      <c r="D59" s="8" t="str">
        <f>IF('Course 5'!$H57='tab5'!D$3,'Course 5'!$I57," ")</f>
        <v xml:space="preserve"> </v>
      </c>
      <c r="E59" s="8" t="str">
        <f>IF('Course 5'!$H57='tab5'!E$3,'Course 5'!$I57," ")</f>
        <v xml:space="preserve"> </v>
      </c>
      <c r="F59" s="8" t="str">
        <f>IF('Course 5'!$H57='tab5'!F$3,'Course 5'!$I57," ")</f>
        <v xml:space="preserve"> </v>
      </c>
      <c r="G59" s="8" t="str">
        <f>IF('Course 5'!$H57='tab5'!G$3,'Course 5'!$I57," ")</f>
        <v xml:space="preserve"> </v>
      </c>
      <c r="H59" s="8" t="str">
        <f>IF('Course 5'!$H57='tab5'!H$3,'Course 5'!$I57," ")</f>
        <v xml:space="preserve"> </v>
      </c>
      <c r="I59" s="8" t="str">
        <f>IF('Course 5'!$H57='tab5'!I$3,'Course 5'!$I57," ")</f>
        <v xml:space="preserve"> </v>
      </c>
      <c r="J59" s="8" t="str">
        <f>IF('Course 5'!$H57='tab5'!J$3,'Course 5'!$I57," ")</f>
        <v xml:space="preserve"> </v>
      </c>
      <c r="K59" s="8" t="str">
        <f>IF('Course 5'!$H57='tab5'!K$3,'Course 5'!$I57," ")</f>
        <v xml:space="preserve"> </v>
      </c>
      <c r="L59" s="8" t="str">
        <f>IF('Course 5'!$H57='tab5'!L$3,'Course 5'!$I57," ")</f>
        <v xml:space="preserve"> </v>
      </c>
      <c r="M59" s="8" t="str">
        <f>IF('Course 5'!$H57='tab5'!M$3,'Course 5'!$I57," ")</f>
        <v xml:space="preserve"> </v>
      </c>
      <c r="N59" s="9" t="str">
        <f>IF('Course 5'!$H57='tab5'!N$3,'Course 5'!$I57," ")</f>
        <v xml:space="preserve"> </v>
      </c>
    </row>
    <row r="60" spans="2:14">
      <c r="B60">
        <v>56</v>
      </c>
      <c r="C60" s="7" t="str">
        <f>IF('Course 5'!$H58='tab5'!C$3,'Course 5'!$I58," ")</f>
        <v xml:space="preserve"> </v>
      </c>
      <c r="D60" s="8" t="str">
        <f>IF('Course 5'!$H58='tab5'!D$3,'Course 5'!$I58," ")</f>
        <v xml:space="preserve"> </v>
      </c>
      <c r="E60" s="8" t="str">
        <f>IF('Course 5'!$H58='tab5'!E$3,'Course 5'!$I58," ")</f>
        <v xml:space="preserve"> </v>
      </c>
      <c r="F60" s="8" t="str">
        <f>IF('Course 5'!$H58='tab5'!F$3,'Course 5'!$I58," ")</f>
        <v xml:space="preserve"> </v>
      </c>
      <c r="G60" s="8" t="str">
        <f>IF('Course 5'!$H58='tab5'!G$3,'Course 5'!$I58," ")</f>
        <v xml:space="preserve"> </v>
      </c>
      <c r="H60" s="8" t="str">
        <f>IF('Course 5'!$H58='tab5'!H$3,'Course 5'!$I58," ")</f>
        <v xml:space="preserve"> </v>
      </c>
      <c r="I60" s="8" t="str">
        <f>IF('Course 5'!$H58='tab5'!I$3,'Course 5'!$I58," ")</f>
        <v xml:space="preserve"> </v>
      </c>
      <c r="J60" s="8" t="str">
        <f>IF('Course 5'!$H58='tab5'!J$3,'Course 5'!$I58," ")</f>
        <v xml:space="preserve"> </v>
      </c>
      <c r="K60" s="8" t="str">
        <f>IF('Course 5'!$H58='tab5'!K$3,'Course 5'!$I58," ")</f>
        <v xml:space="preserve"> </v>
      </c>
      <c r="L60" s="8" t="str">
        <f>IF('Course 5'!$H58='tab5'!L$3,'Course 5'!$I58," ")</f>
        <v xml:space="preserve"> </v>
      </c>
      <c r="M60" s="8" t="str">
        <f>IF('Course 5'!$H58='tab5'!M$3,'Course 5'!$I58," ")</f>
        <v xml:space="preserve"> </v>
      </c>
      <c r="N60" s="9" t="str">
        <f>IF('Course 5'!$H58='tab5'!N$3,'Course 5'!$I58," ")</f>
        <v xml:space="preserve"> </v>
      </c>
    </row>
    <row r="61" spans="2:14">
      <c r="B61">
        <v>57</v>
      </c>
      <c r="C61" s="7" t="str">
        <f>IF('Course 5'!$H59='tab5'!C$3,'Course 5'!$I59," ")</f>
        <v xml:space="preserve"> </v>
      </c>
      <c r="D61" s="8" t="str">
        <f>IF('Course 5'!$H59='tab5'!D$3,'Course 5'!$I59," ")</f>
        <v xml:space="preserve"> </v>
      </c>
      <c r="E61" s="8" t="str">
        <f>IF('Course 5'!$H59='tab5'!E$3,'Course 5'!$I59," ")</f>
        <v xml:space="preserve"> </v>
      </c>
      <c r="F61" s="8" t="str">
        <f>IF('Course 5'!$H59='tab5'!F$3,'Course 5'!$I59," ")</f>
        <v xml:space="preserve"> </v>
      </c>
      <c r="G61" s="8" t="str">
        <f>IF('Course 5'!$H59='tab5'!G$3,'Course 5'!$I59," ")</f>
        <v xml:space="preserve"> </v>
      </c>
      <c r="H61" s="8" t="str">
        <f>IF('Course 5'!$H59='tab5'!H$3,'Course 5'!$I59," ")</f>
        <v xml:space="preserve"> </v>
      </c>
      <c r="I61" s="8" t="str">
        <f>IF('Course 5'!$H59='tab5'!I$3,'Course 5'!$I59," ")</f>
        <v xml:space="preserve"> </v>
      </c>
      <c r="J61" s="8" t="str">
        <f>IF('Course 5'!$H59='tab5'!J$3,'Course 5'!$I59," ")</f>
        <v xml:space="preserve"> </v>
      </c>
      <c r="K61" s="8" t="str">
        <f>IF('Course 5'!$H59='tab5'!K$3,'Course 5'!$I59," ")</f>
        <v xml:space="preserve"> </v>
      </c>
      <c r="L61" s="8" t="str">
        <f>IF('Course 5'!$H59='tab5'!L$3,'Course 5'!$I59," ")</f>
        <v xml:space="preserve"> </v>
      </c>
      <c r="M61" s="8" t="str">
        <f>IF('Course 5'!$H59='tab5'!M$3,'Course 5'!$I59," ")</f>
        <v xml:space="preserve"> </v>
      </c>
      <c r="N61" s="9" t="str">
        <f>IF('Course 5'!$H59='tab5'!N$3,'Course 5'!$I59," ")</f>
        <v xml:space="preserve"> </v>
      </c>
    </row>
    <row r="62" spans="2:14">
      <c r="B62">
        <v>58</v>
      </c>
      <c r="C62" s="7" t="str">
        <f>IF('Course 5'!$H60='tab5'!C$3,'Course 5'!$I60," ")</f>
        <v xml:space="preserve"> </v>
      </c>
      <c r="D62" s="8" t="str">
        <f>IF('Course 5'!$H60='tab5'!D$3,'Course 5'!$I60," ")</f>
        <v xml:space="preserve"> </v>
      </c>
      <c r="E62" s="8" t="str">
        <f>IF('Course 5'!$H60='tab5'!E$3,'Course 5'!$I60," ")</f>
        <v xml:space="preserve"> </v>
      </c>
      <c r="F62" s="8" t="str">
        <f>IF('Course 5'!$H60='tab5'!F$3,'Course 5'!$I60," ")</f>
        <v xml:space="preserve"> </v>
      </c>
      <c r="G62" s="8" t="str">
        <f>IF('Course 5'!$H60='tab5'!G$3,'Course 5'!$I60," ")</f>
        <v xml:space="preserve"> </v>
      </c>
      <c r="H62" s="8" t="str">
        <f>IF('Course 5'!$H60='tab5'!H$3,'Course 5'!$I60," ")</f>
        <v xml:space="preserve"> </v>
      </c>
      <c r="I62" s="8" t="str">
        <f>IF('Course 5'!$H60='tab5'!I$3,'Course 5'!$I60," ")</f>
        <v xml:space="preserve"> </v>
      </c>
      <c r="J62" s="8" t="str">
        <f>IF('Course 5'!$H60='tab5'!J$3,'Course 5'!$I60," ")</f>
        <v xml:space="preserve"> </v>
      </c>
      <c r="K62" s="8" t="str">
        <f>IF('Course 5'!$H60='tab5'!K$3,'Course 5'!$I60," ")</f>
        <v xml:space="preserve"> </v>
      </c>
      <c r="L62" s="8" t="str">
        <f>IF('Course 5'!$H60='tab5'!L$3,'Course 5'!$I60," ")</f>
        <v xml:space="preserve"> </v>
      </c>
      <c r="M62" s="8" t="str">
        <f>IF('Course 5'!$H60='tab5'!M$3,'Course 5'!$I60," ")</f>
        <v xml:space="preserve"> </v>
      </c>
      <c r="N62" s="9" t="str">
        <f>IF('Course 5'!$H60='tab5'!N$3,'Course 5'!$I60," ")</f>
        <v xml:space="preserve"> </v>
      </c>
    </row>
    <row r="63" spans="2:14">
      <c r="B63">
        <v>59</v>
      </c>
      <c r="C63" s="7" t="str">
        <f>IF('Course 5'!$H61='tab5'!C$3,'Course 5'!$I61," ")</f>
        <v xml:space="preserve"> </v>
      </c>
      <c r="D63" s="8" t="str">
        <f>IF('Course 5'!$H61='tab5'!D$3,'Course 5'!$I61," ")</f>
        <v xml:space="preserve"> </v>
      </c>
      <c r="E63" s="8" t="str">
        <f>IF('Course 5'!$H61='tab5'!E$3,'Course 5'!$I61," ")</f>
        <v xml:space="preserve"> </v>
      </c>
      <c r="F63" s="8" t="str">
        <f>IF('Course 5'!$H61='tab5'!F$3,'Course 5'!$I61," ")</f>
        <v xml:space="preserve"> </v>
      </c>
      <c r="G63" s="8" t="str">
        <f>IF('Course 5'!$H61='tab5'!G$3,'Course 5'!$I61," ")</f>
        <v xml:space="preserve"> </v>
      </c>
      <c r="H63" s="8" t="str">
        <f>IF('Course 5'!$H61='tab5'!H$3,'Course 5'!$I61," ")</f>
        <v xml:space="preserve"> </v>
      </c>
      <c r="I63" s="8" t="str">
        <f>IF('Course 5'!$H61='tab5'!I$3,'Course 5'!$I61," ")</f>
        <v xml:space="preserve"> </v>
      </c>
      <c r="J63" s="8" t="str">
        <f>IF('Course 5'!$H61='tab5'!J$3,'Course 5'!$I61," ")</f>
        <v xml:space="preserve"> </v>
      </c>
      <c r="K63" s="8" t="str">
        <f>IF('Course 5'!$H61='tab5'!K$3,'Course 5'!$I61," ")</f>
        <v xml:space="preserve"> </v>
      </c>
      <c r="L63" s="8" t="str">
        <f>IF('Course 5'!$H61='tab5'!L$3,'Course 5'!$I61," ")</f>
        <v xml:space="preserve"> </v>
      </c>
      <c r="M63" s="8" t="str">
        <f>IF('Course 5'!$H61='tab5'!M$3,'Course 5'!$I61," ")</f>
        <v xml:space="preserve"> </v>
      </c>
      <c r="N63" s="9" t="str">
        <f>IF('Course 5'!$H61='tab5'!N$3,'Course 5'!$I61," ")</f>
        <v xml:space="preserve"> </v>
      </c>
    </row>
    <row r="64" spans="2:14">
      <c r="B64">
        <v>60</v>
      </c>
      <c r="C64" s="7" t="str">
        <f>IF('Course 5'!$H62='tab5'!C$3,'Course 5'!$I62," ")</f>
        <v xml:space="preserve"> </v>
      </c>
      <c r="D64" s="8" t="str">
        <f>IF('Course 5'!$H62='tab5'!D$3,'Course 5'!$I62," ")</f>
        <v xml:space="preserve"> </v>
      </c>
      <c r="E64" s="8" t="str">
        <f>IF('Course 5'!$H62='tab5'!E$3,'Course 5'!$I62," ")</f>
        <v xml:space="preserve"> </v>
      </c>
      <c r="F64" s="8" t="str">
        <f>IF('Course 5'!$H62='tab5'!F$3,'Course 5'!$I62," ")</f>
        <v xml:space="preserve"> </v>
      </c>
      <c r="G64" s="8" t="str">
        <f>IF('Course 5'!$H62='tab5'!G$3,'Course 5'!$I62," ")</f>
        <v xml:space="preserve"> </v>
      </c>
      <c r="H64" s="8" t="str">
        <f>IF('Course 5'!$H62='tab5'!H$3,'Course 5'!$I62," ")</f>
        <v xml:space="preserve"> </v>
      </c>
      <c r="I64" s="8" t="str">
        <f>IF('Course 5'!$H62='tab5'!I$3,'Course 5'!$I62," ")</f>
        <v xml:space="preserve"> </v>
      </c>
      <c r="J64" s="8" t="str">
        <f>IF('Course 5'!$H62='tab5'!J$3,'Course 5'!$I62," ")</f>
        <v xml:space="preserve"> </v>
      </c>
      <c r="K64" s="8" t="str">
        <f>IF('Course 5'!$H62='tab5'!K$3,'Course 5'!$I62," ")</f>
        <v xml:space="preserve"> </v>
      </c>
      <c r="L64" s="8" t="str">
        <f>IF('Course 5'!$H62='tab5'!L$3,'Course 5'!$I62," ")</f>
        <v xml:space="preserve"> </v>
      </c>
      <c r="M64" s="8" t="str">
        <f>IF('Course 5'!$H62='tab5'!M$3,'Course 5'!$I62," ")</f>
        <v xml:space="preserve"> </v>
      </c>
      <c r="N64" s="9" t="str">
        <f>IF('Course 5'!$H62='tab5'!N$3,'Course 5'!$I62," ")</f>
        <v xml:space="preserve"> </v>
      </c>
    </row>
    <row r="65" spans="2:14">
      <c r="B65">
        <v>61</v>
      </c>
      <c r="C65" s="7" t="str">
        <f>IF('Course 5'!$H63='tab5'!C$3,'Course 5'!$I63," ")</f>
        <v xml:space="preserve"> </v>
      </c>
      <c r="D65" s="8" t="str">
        <f>IF('Course 5'!$H63='tab5'!D$3,'Course 5'!$I63," ")</f>
        <v xml:space="preserve"> </v>
      </c>
      <c r="E65" s="8" t="str">
        <f>IF('Course 5'!$H63='tab5'!E$3,'Course 5'!$I63," ")</f>
        <v xml:space="preserve"> </v>
      </c>
      <c r="F65" s="8" t="str">
        <f>IF('Course 5'!$H63='tab5'!F$3,'Course 5'!$I63," ")</f>
        <v xml:space="preserve"> </v>
      </c>
      <c r="G65" s="8" t="str">
        <f>IF('Course 5'!$H63='tab5'!G$3,'Course 5'!$I63," ")</f>
        <v xml:space="preserve"> </v>
      </c>
      <c r="H65" s="8" t="str">
        <f>IF('Course 5'!$H63='tab5'!H$3,'Course 5'!$I63," ")</f>
        <v xml:space="preserve"> </v>
      </c>
      <c r="I65" s="8" t="str">
        <f>IF('Course 5'!$H63='tab5'!I$3,'Course 5'!$I63," ")</f>
        <v xml:space="preserve"> </v>
      </c>
      <c r="J65" s="8" t="str">
        <f>IF('Course 5'!$H63='tab5'!J$3,'Course 5'!$I63," ")</f>
        <v xml:space="preserve"> </v>
      </c>
      <c r="K65" s="8" t="str">
        <f>IF('Course 5'!$H63='tab5'!K$3,'Course 5'!$I63," ")</f>
        <v xml:space="preserve"> </v>
      </c>
      <c r="L65" s="8" t="str">
        <f>IF('Course 5'!$H63='tab5'!L$3,'Course 5'!$I63," ")</f>
        <v xml:space="preserve"> </v>
      </c>
      <c r="M65" s="8" t="str">
        <f>IF('Course 5'!$H63='tab5'!M$3,'Course 5'!$I63," ")</f>
        <v xml:space="preserve"> </v>
      </c>
      <c r="N65" s="9" t="str">
        <f>IF('Course 5'!$H63='tab5'!N$3,'Course 5'!$I63," ")</f>
        <v xml:space="preserve"> </v>
      </c>
    </row>
    <row r="66" spans="2:14">
      <c r="B66">
        <v>62</v>
      </c>
      <c r="C66" s="7" t="str">
        <f>IF('Course 5'!$H64='tab5'!C$3,'Course 5'!$I64," ")</f>
        <v xml:space="preserve"> </v>
      </c>
      <c r="D66" s="8" t="str">
        <f>IF('Course 5'!$H64='tab5'!D$3,'Course 5'!$I64," ")</f>
        <v xml:space="preserve"> </v>
      </c>
      <c r="E66" s="8" t="str">
        <f>IF('Course 5'!$H64='tab5'!E$3,'Course 5'!$I64," ")</f>
        <v xml:space="preserve"> </v>
      </c>
      <c r="F66" s="8" t="str">
        <f>IF('Course 5'!$H64='tab5'!F$3,'Course 5'!$I64," ")</f>
        <v xml:space="preserve"> </v>
      </c>
      <c r="G66" s="8" t="str">
        <f>IF('Course 5'!$H64='tab5'!G$3,'Course 5'!$I64," ")</f>
        <v xml:space="preserve"> </v>
      </c>
      <c r="H66" s="8" t="str">
        <f>IF('Course 5'!$H64='tab5'!H$3,'Course 5'!$I64," ")</f>
        <v xml:space="preserve"> </v>
      </c>
      <c r="I66" s="8" t="str">
        <f>IF('Course 5'!$H64='tab5'!I$3,'Course 5'!$I64," ")</f>
        <v xml:space="preserve"> </v>
      </c>
      <c r="J66" s="8" t="str">
        <f>IF('Course 5'!$H64='tab5'!J$3,'Course 5'!$I64," ")</f>
        <v xml:space="preserve"> </v>
      </c>
      <c r="K66" s="8" t="str">
        <f>IF('Course 5'!$H64='tab5'!K$3,'Course 5'!$I64," ")</f>
        <v xml:space="preserve"> </v>
      </c>
      <c r="L66" s="8" t="str">
        <f>IF('Course 5'!$H64='tab5'!L$3,'Course 5'!$I64," ")</f>
        <v xml:space="preserve"> </v>
      </c>
      <c r="M66" s="8" t="str">
        <f>IF('Course 5'!$H64='tab5'!M$3,'Course 5'!$I64," ")</f>
        <v xml:space="preserve"> </v>
      </c>
      <c r="N66" s="9" t="str">
        <f>IF('Course 5'!$H64='tab5'!N$3,'Course 5'!$I64," ")</f>
        <v xml:space="preserve"> </v>
      </c>
    </row>
    <row r="67" spans="2:14">
      <c r="B67">
        <v>63</v>
      </c>
      <c r="C67" s="7" t="str">
        <f>IF('Course 5'!$H65='tab5'!C$3,'Course 5'!$I65," ")</f>
        <v xml:space="preserve"> </v>
      </c>
      <c r="D67" s="8" t="str">
        <f>IF('Course 5'!$H65='tab5'!D$3,'Course 5'!$I65," ")</f>
        <v xml:space="preserve"> </v>
      </c>
      <c r="E67" s="8" t="str">
        <f>IF('Course 5'!$H65='tab5'!E$3,'Course 5'!$I65," ")</f>
        <v xml:space="preserve"> </v>
      </c>
      <c r="F67" s="8" t="str">
        <f>IF('Course 5'!$H65='tab5'!F$3,'Course 5'!$I65," ")</f>
        <v xml:space="preserve"> </v>
      </c>
      <c r="G67" s="8" t="str">
        <f>IF('Course 5'!$H65='tab5'!G$3,'Course 5'!$I65," ")</f>
        <v xml:space="preserve"> </v>
      </c>
      <c r="H67" s="8" t="str">
        <f>IF('Course 5'!$H65='tab5'!H$3,'Course 5'!$I65," ")</f>
        <v xml:space="preserve"> </v>
      </c>
      <c r="I67" s="8" t="str">
        <f>IF('Course 5'!$H65='tab5'!I$3,'Course 5'!$I65," ")</f>
        <v xml:space="preserve"> </v>
      </c>
      <c r="J67" s="8" t="str">
        <f>IF('Course 5'!$H65='tab5'!J$3,'Course 5'!$I65," ")</f>
        <v xml:space="preserve"> </v>
      </c>
      <c r="K67" s="8" t="str">
        <f>IF('Course 5'!$H65='tab5'!K$3,'Course 5'!$I65," ")</f>
        <v xml:space="preserve"> </v>
      </c>
      <c r="L67" s="8" t="str">
        <f>IF('Course 5'!$H65='tab5'!L$3,'Course 5'!$I65," ")</f>
        <v xml:space="preserve"> </v>
      </c>
      <c r="M67" s="8" t="str">
        <f>IF('Course 5'!$H65='tab5'!M$3,'Course 5'!$I65," ")</f>
        <v xml:space="preserve"> </v>
      </c>
      <c r="N67" s="9" t="str">
        <f>IF('Course 5'!$H65='tab5'!N$3,'Course 5'!$I65," ")</f>
        <v xml:space="preserve"> </v>
      </c>
    </row>
    <row r="68" spans="2:14">
      <c r="B68">
        <v>64</v>
      </c>
      <c r="C68" s="7" t="str">
        <f>IF('Course 5'!$H66='tab5'!C$3,'Course 5'!$I66," ")</f>
        <v xml:space="preserve"> </v>
      </c>
      <c r="D68" s="8" t="str">
        <f>IF('Course 5'!$H66='tab5'!D$3,'Course 5'!$I66," ")</f>
        <v xml:space="preserve"> </v>
      </c>
      <c r="E68" s="8" t="str">
        <f>IF('Course 5'!$H66='tab5'!E$3,'Course 5'!$I66," ")</f>
        <v xml:space="preserve"> </v>
      </c>
      <c r="F68" s="8" t="str">
        <f>IF('Course 5'!$H66='tab5'!F$3,'Course 5'!$I66," ")</f>
        <v xml:space="preserve"> </v>
      </c>
      <c r="G68" s="8" t="str">
        <f>IF('Course 5'!$H66='tab5'!G$3,'Course 5'!$I66," ")</f>
        <v xml:space="preserve"> </v>
      </c>
      <c r="H68" s="8" t="str">
        <f>IF('Course 5'!$H66='tab5'!H$3,'Course 5'!$I66," ")</f>
        <v xml:space="preserve"> </v>
      </c>
      <c r="I68" s="8" t="str">
        <f>IF('Course 5'!$H66='tab5'!I$3,'Course 5'!$I66," ")</f>
        <v xml:space="preserve"> </v>
      </c>
      <c r="J68" s="8" t="str">
        <f>IF('Course 5'!$H66='tab5'!J$3,'Course 5'!$I66," ")</f>
        <v xml:space="preserve"> </v>
      </c>
      <c r="K68" s="8" t="str">
        <f>IF('Course 5'!$H66='tab5'!K$3,'Course 5'!$I66," ")</f>
        <v xml:space="preserve"> </v>
      </c>
      <c r="L68" s="8" t="str">
        <f>IF('Course 5'!$H66='tab5'!L$3,'Course 5'!$I66," ")</f>
        <v xml:space="preserve"> </v>
      </c>
      <c r="M68" s="8" t="str">
        <f>IF('Course 5'!$H66='tab5'!M$3,'Course 5'!$I66," ")</f>
        <v xml:space="preserve"> </v>
      </c>
      <c r="N68" s="9" t="str">
        <f>IF('Course 5'!$H66='tab5'!N$3,'Course 5'!$I66," ")</f>
        <v xml:space="preserve"> </v>
      </c>
    </row>
    <row r="69" spans="2:14">
      <c r="B69">
        <v>65</v>
      </c>
      <c r="C69" s="7" t="str">
        <f>IF('Course 5'!$H67='tab5'!C$3,'Course 5'!$I67," ")</f>
        <v xml:space="preserve"> </v>
      </c>
      <c r="D69" s="8" t="str">
        <f>IF('Course 5'!$H67='tab5'!D$3,'Course 5'!$I67," ")</f>
        <v xml:space="preserve"> </v>
      </c>
      <c r="E69" s="8" t="str">
        <f>IF('Course 5'!$H67='tab5'!E$3,'Course 5'!$I67," ")</f>
        <v xml:space="preserve"> </v>
      </c>
      <c r="F69" s="8" t="str">
        <f>IF('Course 5'!$H67='tab5'!F$3,'Course 5'!$I67," ")</f>
        <v xml:space="preserve"> </v>
      </c>
      <c r="G69" s="8" t="str">
        <f>IF('Course 5'!$H67='tab5'!G$3,'Course 5'!$I67," ")</f>
        <v xml:space="preserve"> </v>
      </c>
      <c r="H69" s="8" t="str">
        <f>IF('Course 5'!$H67='tab5'!H$3,'Course 5'!$I67," ")</f>
        <v xml:space="preserve"> </v>
      </c>
      <c r="I69" s="8" t="str">
        <f>IF('Course 5'!$H67='tab5'!I$3,'Course 5'!$I67," ")</f>
        <v xml:space="preserve"> </v>
      </c>
      <c r="J69" s="8" t="str">
        <f>IF('Course 5'!$H67='tab5'!J$3,'Course 5'!$I67," ")</f>
        <v xml:space="preserve"> </v>
      </c>
      <c r="K69" s="8" t="str">
        <f>IF('Course 5'!$H67='tab5'!K$3,'Course 5'!$I67," ")</f>
        <v xml:space="preserve"> </v>
      </c>
      <c r="L69" s="8" t="str">
        <f>IF('Course 5'!$H67='tab5'!L$3,'Course 5'!$I67," ")</f>
        <v xml:space="preserve"> </v>
      </c>
      <c r="M69" s="8" t="str">
        <f>IF('Course 5'!$H67='tab5'!M$3,'Course 5'!$I67," ")</f>
        <v xml:space="preserve"> </v>
      </c>
      <c r="N69" s="9" t="str">
        <f>IF('Course 5'!$H67='tab5'!N$3,'Course 5'!$I67," ")</f>
        <v xml:space="preserve"> </v>
      </c>
    </row>
    <row r="70" spans="2:14">
      <c r="B70">
        <v>66</v>
      </c>
      <c r="C70" s="7" t="str">
        <f>IF('Course 5'!$H68='tab5'!C$3,'Course 5'!$I68," ")</f>
        <v xml:space="preserve"> </v>
      </c>
      <c r="D70" s="8" t="str">
        <f>IF('Course 5'!$H68='tab5'!D$3,'Course 5'!$I68," ")</f>
        <v xml:space="preserve"> </v>
      </c>
      <c r="E70" s="8" t="str">
        <f>IF('Course 5'!$H68='tab5'!E$3,'Course 5'!$I68," ")</f>
        <v xml:space="preserve"> </v>
      </c>
      <c r="F70" s="8" t="str">
        <f>IF('Course 5'!$H68='tab5'!F$3,'Course 5'!$I68," ")</f>
        <v xml:space="preserve"> </v>
      </c>
      <c r="G70" s="8" t="str">
        <f>IF('Course 5'!$H68='tab5'!G$3,'Course 5'!$I68," ")</f>
        <v xml:space="preserve"> </v>
      </c>
      <c r="H70" s="8" t="str">
        <f>IF('Course 5'!$H68='tab5'!H$3,'Course 5'!$I68," ")</f>
        <v xml:space="preserve"> </v>
      </c>
      <c r="I70" s="8" t="str">
        <f>IF('Course 5'!$H68='tab5'!I$3,'Course 5'!$I68," ")</f>
        <v xml:space="preserve"> </v>
      </c>
      <c r="J70" s="8" t="str">
        <f>IF('Course 5'!$H68='tab5'!J$3,'Course 5'!$I68," ")</f>
        <v xml:space="preserve"> </v>
      </c>
      <c r="K70" s="8" t="str">
        <f>IF('Course 5'!$H68='tab5'!K$3,'Course 5'!$I68," ")</f>
        <v xml:space="preserve"> </v>
      </c>
      <c r="L70" s="8" t="str">
        <f>IF('Course 5'!$H68='tab5'!L$3,'Course 5'!$I68," ")</f>
        <v xml:space="preserve"> </v>
      </c>
      <c r="M70" s="8" t="str">
        <f>IF('Course 5'!$H68='tab5'!M$3,'Course 5'!$I68," ")</f>
        <v xml:space="preserve"> </v>
      </c>
      <c r="N70" s="9" t="str">
        <f>IF('Course 5'!$H68='tab5'!N$3,'Course 5'!$I68," ")</f>
        <v xml:space="preserve"> </v>
      </c>
    </row>
    <row r="71" spans="2:14">
      <c r="B71">
        <v>67</v>
      </c>
      <c r="C71" s="7" t="str">
        <f>IF('Course 5'!$H69='tab5'!C$3,'Course 5'!$I69," ")</f>
        <v xml:space="preserve"> </v>
      </c>
      <c r="D71" s="8" t="str">
        <f>IF('Course 5'!$H69='tab5'!D$3,'Course 5'!$I69," ")</f>
        <v xml:space="preserve"> </v>
      </c>
      <c r="E71" s="8" t="str">
        <f>IF('Course 5'!$H69='tab5'!E$3,'Course 5'!$I69," ")</f>
        <v xml:space="preserve"> </v>
      </c>
      <c r="F71" s="8" t="str">
        <f>IF('Course 5'!$H69='tab5'!F$3,'Course 5'!$I69," ")</f>
        <v xml:space="preserve"> </v>
      </c>
      <c r="G71" s="8" t="str">
        <f>IF('Course 5'!$H69='tab5'!G$3,'Course 5'!$I69," ")</f>
        <v xml:space="preserve"> </v>
      </c>
      <c r="H71" s="8" t="str">
        <f>IF('Course 5'!$H69='tab5'!H$3,'Course 5'!$I69," ")</f>
        <v xml:space="preserve"> </v>
      </c>
      <c r="I71" s="8" t="str">
        <f>IF('Course 5'!$H69='tab5'!I$3,'Course 5'!$I69," ")</f>
        <v xml:space="preserve"> </v>
      </c>
      <c r="J71" s="8" t="str">
        <f>IF('Course 5'!$H69='tab5'!J$3,'Course 5'!$I69," ")</f>
        <v xml:space="preserve"> </v>
      </c>
      <c r="K71" s="8" t="str">
        <f>IF('Course 5'!$H69='tab5'!K$3,'Course 5'!$I69," ")</f>
        <v xml:space="preserve"> </v>
      </c>
      <c r="L71" s="8" t="str">
        <f>IF('Course 5'!$H69='tab5'!L$3,'Course 5'!$I69," ")</f>
        <v xml:space="preserve"> </v>
      </c>
      <c r="M71" s="8" t="str">
        <f>IF('Course 5'!$H69='tab5'!M$3,'Course 5'!$I69," ")</f>
        <v xml:space="preserve"> </v>
      </c>
      <c r="N71" s="9" t="str">
        <f>IF('Course 5'!$H69='tab5'!N$3,'Course 5'!$I69," ")</f>
        <v xml:space="preserve"> </v>
      </c>
    </row>
    <row r="72" spans="2:14">
      <c r="B72">
        <v>68</v>
      </c>
      <c r="C72" s="7" t="str">
        <f>IF('Course 5'!$H70='tab5'!C$3,'Course 5'!$I70," ")</f>
        <v xml:space="preserve"> </v>
      </c>
      <c r="D72" s="8" t="str">
        <f>IF('Course 5'!$H70='tab5'!D$3,'Course 5'!$I70," ")</f>
        <v xml:space="preserve"> </v>
      </c>
      <c r="E72" s="8" t="str">
        <f>IF('Course 5'!$H70='tab5'!E$3,'Course 5'!$I70," ")</f>
        <v xml:space="preserve"> </v>
      </c>
      <c r="F72" s="8" t="str">
        <f>IF('Course 5'!$H70='tab5'!F$3,'Course 5'!$I70," ")</f>
        <v xml:space="preserve"> </v>
      </c>
      <c r="G72" s="8" t="str">
        <f>IF('Course 5'!$H70='tab5'!G$3,'Course 5'!$I70," ")</f>
        <v xml:space="preserve"> </v>
      </c>
      <c r="H72" s="8" t="str">
        <f>IF('Course 5'!$H70='tab5'!H$3,'Course 5'!$I70," ")</f>
        <v xml:space="preserve"> </v>
      </c>
      <c r="I72" s="8" t="str">
        <f>IF('Course 5'!$H70='tab5'!I$3,'Course 5'!$I70," ")</f>
        <v xml:space="preserve"> </v>
      </c>
      <c r="J72" s="8" t="str">
        <f>IF('Course 5'!$H70='tab5'!J$3,'Course 5'!$I70," ")</f>
        <v xml:space="preserve"> </v>
      </c>
      <c r="K72" s="8" t="str">
        <f>IF('Course 5'!$H70='tab5'!K$3,'Course 5'!$I70," ")</f>
        <v xml:space="preserve"> </v>
      </c>
      <c r="L72" s="8" t="str">
        <f>IF('Course 5'!$H70='tab5'!L$3,'Course 5'!$I70," ")</f>
        <v xml:space="preserve"> </v>
      </c>
      <c r="M72" s="8" t="str">
        <f>IF('Course 5'!$H70='tab5'!M$3,'Course 5'!$I70," ")</f>
        <v xml:space="preserve"> </v>
      </c>
      <c r="N72" s="9" t="str">
        <f>IF('Course 5'!$H70='tab5'!N$3,'Course 5'!$I70," ")</f>
        <v xml:space="preserve"> </v>
      </c>
    </row>
    <row r="73" spans="2:14">
      <c r="B73">
        <v>69</v>
      </c>
      <c r="C73" s="7" t="str">
        <f>IF('Course 5'!$H71='tab5'!C$3,'Course 5'!$I71," ")</f>
        <v xml:space="preserve"> </v>
      </c>
      <c r="D73" s="8" t="str">
        <f>IF('Course 5'!$H71='tab5'!D$3,'Course 5'!$I71," ")</f>
        <v xml:space="preserve"> </v>
      </c>
      <c r="E73" s="8" t="str">
        <f>IF('Course 5'!$H71='tab5'!E$3,'Course 5'!$I71," ")</f>
        <v xml:space="preserve"> </v>
      </c>
      <c r="F73" s="8" t="str">
        <f>IF('Course 5'!$H71='tab5'!F$3,'Course 5'!$I71," ")</f>
        <v xml:space="preserve"> </v>
      </c>
      <c r="G73" s="8" t="str">
        <f>IF('Course 5'!$H71='tab5'!G$3,'Course 5'!$I71," ")</f>
        <v xml:space="preserve"> </v>
      </c>
      <c r="H73" s="8" t="str">
        <f>IF('Course 5'!$H71='tab5'!H$3,'Course 5'!$I71," ")</f>
        <v xml:space="preserve"> </v>
      </c>
      <c r="I73" s="8" t="str">
        <f>IF('Course 5'!$H71='tab5'!I$3,'Course 5'!$I71," ")</f>
        <v xml:space="preserve"> </v>
      </c>
      <c r="J73" s="8" t="str">
        <f>IF('Course 5'!$H71='tab5'!J$3,'Course 5'!$I71," ")</f>
        <v xml:space="preserve"> </v>
      </c>
      <c r="K73" s="8" t="str">
        <f>IF('Course 5'!$H71='tab5'!K$3,'Course 5'!$I71," ")</f>
        <v xml:space="preserve"> </v>
      </c>
      <c r="L73" s="8" t="str">
        <f>IF('Course 5'!$H71='tab5'!L$3,'Course 5'!$I71," ")</f>
        <v xml:space="preserve"> </v>
      </c>
      <c r="M73" s="8" t="str">
        <f>IF('Course 5'!$H71='tab5'!M$3,'Course 5'!$I71," ")</f>
        <v xml:space="preserve"> </v>
      </c>
      <c r="N73" s="9" t="str">
        <f>IF('Course 5'!$H71='tab5'!N$3,'Course 5'!$I71," ")</f>
        <v xml:space="preserve"> </v>
      </c>
    </row>
    <row r="74" spans="2:14">
      <c r="B74">
        <v>70</v>
      </c>
      <c r="C74" s="7" t="str">
        <f>IF('Course 5'!$H72='tab5'!C$3,'Course 5'!$I72," ")</f>
        <v xml:space="preserve"> </v>
      </c>
      <c r="D74" s="8" t="str">
        <f>IF('Course 5'!$H72='tab5'!D$3,'Course 5'!$I72," ")</f>
        <v xml:space="preserve"> </v>
      </c>
      <c r="E74" s="8" t="str">
        <f>IF('Course 5'!$H72='tab5'!E$3,'Course 5'!$I72," ")</f>
        <v xml:space="preserve"> </v>
      </c>
      <c r="F74" s="8" t="str">
        <f>IF('Course 5'!$H72='tab5'!F$3,'Course 5'!$I72," ")</f>
        <v xml:space="preserve"> </v>
      </c>
      <c r="G74" s="8" t="str">
        <f>IF('Course 5'!$H72='tab5'!G$3,'Course 5'!$I72," ")</f>
        <v xml:space="preserve"> </v>
      </c>
      <c r="H74" s="8" t="str">
        <f>IF('Course 5'!$H72='tab5'!H$3,'Course 5'!$I72," ")</f>
        <v xml:space="preserve"> </v>
      </c>
      <c r="I74" s="8" t="str">
        <f>IF('Course 5'!$H72='tab5'!I$3,'Course 5'!$I72," ")</f>
        <v xml:space="preserve"> </v>
      </c>
      <c r="J74" s="8" t="str">
        <f>IF('Course 5'!$H72='tab5'!J$3,'Course 5'!$I72," ")</f>
        <v xml:space="preserve"> </v>
      </c>
      <c r="K74" s="8" t="str">
        <f>IF('Course 5'!$H72='tab5'!K$3,'Course 5'!$I72," ")</f>
        <v xml:space="preserve"> </v>
      </c>
      <c r="L74" s="8" t="str">
        <f>IF('Course 5'!$H72='tab5'!L$3,'Course 5'!$I72," ")</f>
        <v xml:space="preserve"> </v>
      </c>
      <c r="M74" s="8" t="str">
        <f>IF('Course 5'!$H72='tab5'!M$3,'Course 5'!$I72," ")</f>
        <v xml:space="preserve"> </v>
      </c>
      <c r="N74" s="9" t="str">
        <f>IF('Course 5'!$H72='tab5'!N$3,'Course 5'!$I72," ")</f>
        <v xml:space="preserve"> </v>
      </c>
    </row>
    <row r="75" spans="2:14">
      <c r="B75">
        <v>71</v>
      </c>
      <c r="C75" s="7" t="str">
        <f>IF('Course 5'!$H73='tab5'!C$3,'Course 5'!$I73," ")</f>
        <v xml:space="preserve"> </v>
      </c>
      <c r="D75" s="8" t="str">
        <f>IF('Course 5'!$H73='tab5'!D$3,'Course 5'!$I73," ")</f>
        <v xml:space="preserve"> </v>
      </c>
      <c r="E75" s="8" t="str">
        <f>IF('Course 5'!$H73='tab5'!E$3,'Course 5'!$I73," ")</f>
        <v xml:space="preserve"> </v>
      </c>
      <c r="F75" s="8" t="str">
        <f>IF('Course 5'!$H73='tab5'!F$3,'Course 5'!$I73," ")</f>
        <v xml:space="preserve"> </v>
      </c>
      <c r="G75" s="8" t="str">
        <f>IF('Course 5'!$H73='tab5'!G$3,'Course 5'!$I73," ")</f>
        <v xml:space="preserve"> </v>
      </c>
      <c r="H75" s="8" t="str">
        <f>IF('Course 5'!$H73='tab5'!H$3,'Course 5'!$I73," ")</f>
        <v xml:space="preserve"> </v>
      </c>
      <c r="I75" s="8" t="str">
        <f>IF('Course 5'!$H73='tab5'!I$3,'Course 5'!$I73," ")</f>
        <v xml:space="preserve"> </v>
      </c>
      <c r="J75" s="8" t="str">
        <f>IF('Course 5'!$H73='tab5'!J$3,'Course 5'!$I73," ")</f>
        <v xml:space="preserve"> </v>
      </c>
      <c r="K75" s="8" t="str">
        <f>IF('Course 5'!$H73='tab5'!K$3,'Course 5'!$I73," ")</f>
        <v xml:space="preserve"> </v>
      </c>
      <c r="L75" s="8" t="str">
        <f>IF('Course 5'!$H73='tab5'!L$3,'Course 5'!$I73," ")</f>
        <v xml:space="preserve"> </v>
      </c>
      <c r="M75" s="8" t="str">
        <f>IF('Course 5'!$H73='tab5'!M$3,'Course 5'!$I73," ")</f>
        <v xml:space="preserve"> </v>
      </c>
      <c r="N75" s="9" t="str">
        <f>IF('Course 5'!$H73='tab5'!N$3,'Course 5'!$I73," ")</f>
        <v xml:space="preserve"> </v>
      </c>
    </row>
    <row r="76" spans="2:14">
      <c r="B76">
        <v>72</v>
      </c>
      <c r="C76" s="7" t="str">
        <f>IF('Course 5'!$H74='tab5'!C$3,'Course 5'!$I74," ")</f>
        <v xml:space="preserve"> </v>
      </c>
      <c r="D76" s="8" t="str">
        <f>IF('Course 5'!$H74='tab5'!D$3,'Course 5'!$I74," ")</f>
        <v xml:space="preserve"> </v>
      </c>
      <c r="E76" s="8" t="str">
        <f>IF('Course 5'!$H74='tab5'!E$3,'Course 5'!$I74," ")</f>
        <v xml:space="preserve"> </v>
      </c>
      <c r="F76" s="8" t="str">
        <f>IF('Course 5'!$H74='tab5'!F$3,'Course 5'!$I74," ")</f>
        <v xml:space="preserve"> </v>
      </c>
      <c r="G76" s="8" t="str">
        <f>IF('Course 5'!$H74='tab5'!G$3,'Course 5'!$I74," ")</f>
        <v xml:space="preserve"> </v>
      </c>
      <c r="H76" s="8" t="str">
        <f>IF('Course 5'!$H74='tab5'!H$3,'Course 5'!$I74," ")</f>
        <v xml:space="preserve"> </v>
      </c>
      <c r="I76" s="8" t="str">
        <f>IF('Course 5'!$H74='tab5'!I$3,'Course 5'!$I74," ")</f>
        <v xml:space="preserve"> </v>
      </c>
      <c r="J76" s="8" t="str">
        <f>IF('Course 5'!$H74='tab5'!J$3,'Course 5'!$I74," ")</f>
        <v xml:space="preserve"> </v>
      </c>
      <c r="K76" s="8" t="str">
        <f>IF('Course 5'!$H74='tab5'!K$3,'Course 5'!$I74," ")</f>
        <v xml:space="preserve"> </v>
      </c>
      <c r="L76" s="8" t="str">
        <f>IF('Course 5'!$H74='tab5'!L$3,'Course 5'!$I74," ")</f>
        <v xml:space="preserve"> </v>
      </c>
      <c r="M76" s="8" t="str">
        <f>IF('Course 5'!$H74='tab5'!M$3,'Course 5'!$I74," ")</f>
        <v xml:space="preserve"> </v>
      </c>
      <c r="N76" s="9" t="str">
        <f>IF('Course 5'!$H74='tab5'!N$3,'Course 5'!$I74," ")</f>
        <v xml:space="preserve"> </v>
      </c>
    </row>
    <row r="77" spans="2:14">
      <c r="B77">
        <v>73</v>
      </c>
      <c r="C77" s="7" t="str">
        <f>IF('Course 5'!$H75='tab5'!C$3,'Course 5'!$I75," ")</f>
        <v xml:space="preserve"> </v>
      </c>
      <c r="D77" s="8" t="str">
        <f>IF('Course 5'!$H75='tab5'!D$3,'Course 5'!$I75," ")</f>
        <v xml:space="preserve"> </v>
      </c>
      <c r="E77" s="8" t="str">
        <f>IF('Course 5'!$H75='tab5'!E$3,'Course 5'!$I75," ")</f>
        <v xml:space="preserve"> </v>
      </c>
      <c r="F77" s="8" t="str">
        <f>IF('Course 5'!$H75='tab5'!F$3,'Course 5'!$I75," ")</f>
        <v xml:space="preserve"> </v>
      </c>
      <c r="G77" s="8" t="str">
        <f>IF('Course 5'!$H75='tab5'!G$3,'Course 5'!$I75," ")</f>
        <v xml:space="preserve"> </v>
      </c>
      <c r="H77" s="8" t="str">
        <f>IF('Course 5'!$H75='tab5'!H$3,'Course 5'!$I75," ")</f>
        <v xml:space="preserve"> </v>
      </c>
      <c r="I77" s="8" t="str">
        <f>IF('Course 5'!$H75='tab5'!I$3,'Course 5'!$I75," ")</f>
        <v xml:space="preserve"> </v>
      </c>
      <c r="J77" s="8" t="str">
        <f>IF('Course 5'!$H75='tab5'!J$3,'Course 5'!$I75," ")</f>
        <v xml:space="preserve"> </v>
      </c>
      <c r="K77" s="8" t="str">
        <f>IF('Course 5'!$H75='tab5'!K$3,'Course 5'!$I75," ")</f>
        <v xml:space="preserve"> </v>
      </c>
      <c r="L77" s="8" t="str">
        <f>IF('Course 5'!$H75='tab5'!L$3,'Course 5'!$I75," ")</f>
        <v xml:space="preserve"> </v>
      </c>
      <c r="M77" s="8" t="str">
        <f>IF('Course 5'!$H75='tab5'!M$3,'Course 5'!$I75," ")</f>
        <v xml:space="preserve"> </v>
      </c>
      <c r="N77" s="9" t="str">
        <f>IF('Course 5'!$H75='tab5'!N$3,'Course 5'!$I75," ")</f>
        <v xml:space="preserve"> </v>
      </c>
    </row>
    <row r="78" spans="2:14">
      <c r="B78">
        <v>74</v>
      </c>
      <c r="C78" s="7" t="str">
        <f>IF('Course 5'!$H76='tab5'!C$3,'Course 5'!$I76," ")</f>
        <v xml:space="preserve"> </v>
      </c>
      <c r="D78" s="8" t="str">
        <f>IF('Course 5'!$H76='tab5'!D$3,'Course 5'!$I76," ")</f>
        <v xml:space="preserve"> </v>
      </c>
      <c r="E78" s="8" t="str">
        <f>IF('Course 5'!$H76='tab5'!E$3,'Course 5'!$I76," ")</f>
        <v xml:space="preserve"> </v>
      </c>
      <c r="F78" s="8" t="str">
        <f>IF('Course 5'!$H76='tab5'!F$3,'Course 5'!$I76," ")</f>
        <v xml:space="preserve"> </v>
      </c>
      <c r="G78" s="8" t="str">
        <f>IF('Course 5'!$H76='tab5'!G$3,'Course 5'!$I76," ")</f>
        <v xml:space="preserve"> </v>
      </c>
      <c r="H78" s="8" t="str">
        <f>IF('Course 5'!$H76='tab5'!H$3,'Course 5'!$I76," ")</f>
        <v xml:space="preserve"> </v>
      </c>
      <c r="I78" s="8" t="str">
        <f>IF('Course 5'!$H76='tab5'!I$3,'Course 5'!$I76," ")</f>
        <v xml:space="preserve"> </v>
      </c>
      <c r="J78" s="8" t="str">
        <f>IF('Course 5'!$H76='tab5'!J$3,'Course 5'!$I76," ")</f>
        <v xml:space="preserve"> </v>
      </c>
      <c r="K78" s="8" t="str">
        <f>IF('Course 5'!$H76='tab5'!K$3,'Course 5'!$I76," ")</f>
        <v xml:space="preserve"> </v>
      </c>
      <c r="L78" s="8" t="str">
        <f>IF('Course 5'!$H76='tab5'!L$3,'Course 5'!$I76," ")</f>
        <v xml:space="preserve"> </v>
      </c>
      <c r="M78" s="8" t="str">
        <f>IF('Course 5'!$H76='tab5'!M$3,'Course 5'!$I76," ")</f>
        <v xml:space="preserve"> </v>
      </c>
      <c r="N78" s="9" t="str">
        <f>IF('Course 5'!$H76='tab5'!N$3,'Course 5'!$I76," ")</f>
        <v xml:space="preserve"> </v>
      </c>
    </row>
    <row r="79" spans="2:14">
      <c r="B79">
        <v>75</v>
      </c>
      <c r="C79" s="7" t="str">
        <f>IF('Course 5'!$H77='tab5'!C$3,'Course 5'!$I77," ")</f>
        <v xml:space="preserve"> </v>
      </c>
      <c r="D79" s="8" t="str">
        <f>IF('Course 5'!$H77='tab5'!D$3,'Course 5'!$I77," ")</f>
        <v xml:space="preserve"> </v>
      </c>
      <c r="E79" s="8" t="str">
        <f>IF('Course 5'!$H77='tab5'!E$3,'Course 5'!$I77," ")</f>
        <v xml:space="preserve"> </v>
      </c>
      <c r="F79" s="8" t="str">
        <f>IF('Course 5'!$H77='tab5'!F$3,'Course 5'!$I77," ")</f>
        <v xml:space="preserve"> </v>
      </c>
      <c r="G79" s="8" t="str">
        <f>IF('Course 5'!$H77='tab5'!G$3,'Course 5'!$I77," ")</f>
        <v xml:space="preserve"> </v>
      </c>
      <c r="H79" s="8" t="str">
        <f>IF('Course 5'!$H77='tab5'!H$3,'Course 5'!$I77," ")</f>
        <v xml:space="preserve"> </v>
      </c>
      <c r="I79" s="8" t="str">
        <f>IF('Course 5'!$H77='tab5'!I$3,'Course 5'!$I77," ")</f>
        <v xml:space="preserve"> </v>
      </c>
      <c r="J79" s="8" t="str">
        <f>IF('Course 5'!$H77='tab5'!J$3,'Course 5'!$I77," ")</f>
        <v xml:space="preserve"> </v>
      </c>
      <c r="K79" s="8" t="str">
        <f>IF('Course 5'!$H77='tab5'!K$3,'Course 5'!$I77," ")</f>
        <v xml:space="preserve"> </v>
      </c>
      <c r="L79" s="8" t="str">
        <f>IF('Course 5'!$H77='tab5'!L$3,'Course 5'!$I77," ")</f>
        <v xml:space="preserve"> </v>
      </c>
      <c r="M79" s="8" t="str">
        <f>IF('Course 5'!$H77='tab5'!M$3,'Course 5'!$I77," ")</f>
        <v xml:space="preserve"> </v>
      </c>
      <c r="N79" s="9" t="str">
        <f>IF('Course 5'!$H77='tab5'!N$3,'Course 5'!$I77," ")</f>
        <v xml:space="preserve"> </v>
      </c>
    </row>
    <row r="80" spans="2:14">
      <c r="B80">
        <v>76</v>
      </c>
      <c r="C80" s="7" t="str">
        <f>IF('Course 5'!$H78='tab5'!C$3,'Course 5'!$I78," ")</f>
        <v xml:space="preserve"> </v>
      </c>
      <c r="D80" s="8" t="str">
        <f>IF('Course 5'!$H78='tab5'!D$3,'Course 5'!$I78," ")</f>
        <v xml:space="preserve"> </v>
      </c>
      <c r="E80" s="8" t="str">
        <f>IF('Course 5'!$H78='tab5'!E$3,'Course 5'!$I78," ")</f>
        <v xml:space="preserve"> </v>
      </c>
      <c r="F80" s="8" t="str">
        <f>IF('Course 5'!$H78='tab5'!F$3,'Course 5'!$I78," ")</f>
        <v xml:space="preserve"> </v>
      </c>
      <c r="G80" s="8" t="str">
        <f>IF('Course 5'!$H78='tab5'!G$3,'Course 5'!$I78," ")</f>
        <v xml:space="preserve"> </v>
      </c>
      <c r="H80" s="8" t="str">
        <f>IF('Course 5'!$H78='tab5'!H$3,'Course 5'!$I78," ")</f>
        <v xml:space="preserve"> </v>
      </c>
      <c r="I80" s="8" t="str">
        <f>IF('Course 5'!$H78='tab5'!I$3,'Course 5'!$I78," ")</f>
        <v xml:space="preserve"> </v>
      </c>
      <c r="J80" s="8" t="str">
        <f>IF('Course 5'!$H78='tab5'!J$3,'Course 5'!$I78," ")</f>
        <v xml:space="preserve"> </v>
      </c>
      <c r="K80" s="8" t="str">
        <f>IF('Course 5'!$H78='tab5'!K$3,'Course 5'!$I78," ")</f>
        <v xml:space="preserve"> </v>
      </c>
      <c r="L80" s="8" t="str">
        <f>IF('Course 5'!$H78='tab5'!L$3,'Course 5'!$I78," ")</f>
        <v xml:space="preserve"> </v>
      </c>
      <c r="M80" s="8" t="str">
        <f>IF('Course 5'!$H78='tab5'!M$3,'Course 5'!$I78," ")</f>
        <v xml:space="preserve"> </v>
      </c>
      <c r="N80" s="9" t="str">
        <f>IF('Course 5'!$H78='tab5'!N$3,'Course 5'!$I78," ")</f>
        <v xml:space="preserve"> </v>
      </c>
    </row>
    <row r="81" spans="2:14">
      <c r="B81">
        <v>77</v>
      </c>
      <c r="C81" s="7" t="str">
        <f>IF('Course 5'!$H79='tab5'!C$3,'Course 5'!$I79," ")</f>
        <v xml:space="preserve"> </v>
      </c>
      <c r="D81" s="8" t="str">
        <f>IF('Course 5'!$H79='tab5'!D$3,'Course 5'!$I79," ")</f>
        <v xml:space="preserve"> </v>
      </c>
      <c r="E81" s="8" t="str">
        <f>IF('Course 5'!$H79='tab5'!E$3,'Course 5'!$I79," ")</f>
        <v xml:space="preserve"> </v>
      </c>
      <c r="F81" s="8" t="str">
        <f>IF('Course 5'!$H79='tab5'!F$3,'Course 5'!$I79," ")</f>
        <v xml:space="preserve"> </v>
      </c>
      <c r="G81" s="8" t="str">
        <f>IF('Course 5'!$H79='tab5'!G$3,'Course 5'!$I79," ")</f>
        <v xml:space="preserve"> </v>
      </c>
      <c r="H81" s="8" t="str">
        <f>IF('Course 5'!$H79='tab5'!H$3,'Course 5'!$I79," ")</f>
        <v xml:space="preserve"> </v>
      </c>
      <c r="I81" s="8" t="str">
        <f>IF('Course 5'!$H79='tab5'!I$3,'Course 5'!$I79," ")</f>
        <v xml:space="preserve"> </v>
      </c>
      <c r="J81" s="8" t="str">
        <f>IF('Course 5'!$H79='tab5'!J$3,'Course 5'!$I79," ")</f>
        <v xml:space="preserve"> </v>
      </c>
      <c r="K81" s="8" t="str">
        <f>IF('Course 5'!$H79='tab5'!K$3,'Course 5'!$I79," ")</f>
        <v xml:space="preserve"> </v>
      </c>
      <c r="L81" s="8" t="str">
        <f>IF('Course 5'!$H79='tab5'!L$3,'Course 5'!$I79," ")</f>
        <v xml:space="preserve"> </v>
      </c>
      <c r="M81" s="8" t="str">
        <f>IF('Course 5'!$H79='tab5'!M$3,'Course 5'!$I79," ")</f>
        <v xml:space="preserve"> </v>
      </c>
      <c r="N81" s="9" t="str">
        <f>IF('Course 5'!$H79='tab5'!N$3,'Course 5'!$I79," ")</f>
        <v xml:space="preserve"> </v>
      </c>
    </row>
    <row r="82" spans="2:14">
      <c r="B82">
        <v>78</v>
      </c>
      <c r="C82" s="7" t="str">
        <f>IF('Course 5'!$H80='tab5'!C$3,'Course 5'!$I80," ")</f>
        <v xml:space="preserve"> </v>
      </c>
      <c r="D82" s="8" t="str">
        <f>IF('Course 5'!$H80='tab5'!D$3,'Course 5'!$I80," ")</f>
        <v xml:space="preserve"> </v>
      </c>
      <c r="E82" s="8" t="str">
        <f>IF('Course 5'!$H80='tab5'!E$3,'Course 5'!$I80," ")</f>
        <v xml:space="preserve"> </v>
      </c>
      <c r="F82" s="8" t="str">
        <f>IF('Course 5'!$H80='tab5'!F$3,'Course 5'!$I80," ")</f>
        <v xml:space="preserve"> </v>
      </c>
      <c r="G82" s="8" t="str">
        <f>IF('Course 5'!$H80='tab5'!G$3,'Course 5'!$I80," ")</f>
        <v xml:space="preserve"> </v>
      </c>
      <c r="H82" s="8" t="str">
        <f>IF('Course 5'!$H80='tab5'!H$3,'Course 5'!$I80," ")</f>
        <v xml:space="preserve"> </v>
      </c>
      <c r="I82" s="8" t="str">
        <f>IF('Course 5'!$H80='tab5'!I$3,'Course 5'!$I80," ")</f>
        <v xml:space="preserve"> </v>
      </c>
      <c r="J82" s="8" t="str">
        <f>IF('Course 5'!$H80='tab5'!J$3,'Course 5'!$I80," ")</f>
        <v xml:space="preserve"> </v>
      </c>
      <c r="K82" s="8" t="str">
        <f>IF('Course 5'!$H80='tab5'!K$3,'Course 5'!$I80," ")</f>
        <v xml:space="preserve"> </v>
      </c>
      <c r="L82" s="8" t="str">
        <f>IF('Course 5'!$H80='tab5'!L$3,'Course 5'!$I80," ")</f>
        <v xml:space="preserve"> </v>
      </c>
      <c r="M82" s="8" t="str">
        <f>IF('Course 5'!$H80='tab5'!M$3,'Course 5'!$I80," ")</f>
        <v xml:space="preserve"> </v>
      </c>
      <c r="N82" s="9" t="str">
        <f>IF('Course 5'!$H80='tab5'!N$3,'Course 5'!$I80," ")</f>
        <v xml:space="preserve"> </v>
      </c>
    </row>
    <row r="83" spans="2:14">
      <c r="B83">
        <v>79</v>
      </c>
      <c r="C83" s="7" t="str">
        <f>IF('Course 5'!$H81='tab5'!C$3,'Course 5'!$I81," ")</f>
        <v xml:space="preserve"> </v>
      </c>
      <c r="D83" s="8" t="str">
        <f>IF('Course 5'!$H81='tab5'!D$3,'Course 5'!$I81," ")</f>
        <v xml:space="preserve"> </v>
      </c>
      <c r="E83" s="8" t="str">
        <f>IF('Course 5'!$H81='tab5'!E$3,'Course 5'!$I81," ")</f>
        <v xml:space="preserve"> </v>
      </c>
      <c r="F83" s="8" t="str">
        <f>IF('Course 5'!$H81='tab5'!F$3,'Course 5'!$I81," ")</f>
        <v xml:space="preserve"> </v>
      </c>
      <c r="G83" s="8" t="str">
        <f>IF('Course 5'!$H81='tab5'!G$3,'Course 5'!$I81," ")</f>
        <v xml:space="preserve"> </v>
      </c>
      <c r="H83" s="8" t="str">
        <f>IF('Course 5'!$H81='tab5'!H$3,'Course 5'!$I81," ")</f>
        <v xml:space="preserve"> </v>
      </c>
      <c r="I83" s="8" t="str">
        <f>IF('Course 5'!$H81='tab5'!I$3,'Course 5'!$I81," ")</f>
        <v xml:space="preserve"> </v>
      </c>
      <c r="J83" s="8" t="str">
        <f>IF('Course 5'!$H81='tab5'!J$3,'Course 5'!$I81," ")</f>
        <v xml:space="preserve"> </v>
      </c>
      <c r="K83" s="8" t="str">
        <f>IF('Course 5'!$H81='tab5'!K$3,'Course 5'!$I81," ")</f>
        <v xml:space="preserve"> </v>
      </c>
      <c r="L83" s="8" t="str">
        <f>IF('Course 5'!$H81='tab5'!L$3,'Course 5'!$I81," ")</f>
        <v xml:space="preserve"> </v>
      </c>
      <c r="M83" s="8" t="str">
        <f>IF('Course 5'!$H81='tab5'!M$3,'Course 5'!$I81," ")</f>
        <v xml:space="preserve"> </v>
      </c>
      <c r="N83" s="9" t="str">
        <f>IF('Course 5'!$H81='tab5'!N$3,'Course 5'!$I81," ")</f>
        <v xml:space="preserve"> </v>
      </c>
    </row>
    <row r="84" spans="2:14">
      <c r="B84">
        <v>80</v>
      </c>
      <c r="C84" s="7" t="str">
        <f>IF('Course 5'!$H82='tab5'!C$3,'Course 5'!$I82," ")</f>
        <v xml:space="preserve"> </v>
      </c>
      <c r="D84" s="8" t="str">
        <f>IF('Course 5'!$H82='tab5'!D$3,'Course 5'!$I82," ")</f>
        <v xml:space="preserve"> </v>
      </c>
      <c r="E84" s="8" t="str">
        <f>IF('Course 5'!$H82='tab5'!E$3,'Course 5'!$I82," ")</f>
        <v xml:space="preserve"> </v>
      </c>
      <c r="F84" s="8" t="str">
        <f>IF('Course 5'!$H82='tab5'!F$3,'Course 5'!$I82," ")</f>
        <v xml:space="preserve"> </v>
      </c>
      <c r="G84" s="8" t="str">
        <f>IF('Course 5'!$H82='tab5'!G$3,'Course 5'!$I82," ")</f>
        <v xml:space="preserve"> </v>
      </c>
      <c r="H84" s="8" t="str">
        <f>IF('Course 5'!$H82='tab5'!H$3,'Course 5'!$I82," ")</f>
        <v xml:space="preserve"> </v>
      </c>
      <c r="I84" s="8" t="str">
        <f>IF('Course 5'!$H82='tab5'!I$3,'Course 5'!$I82," ")</f>
        <v xml:space="preserve"> </v>
      </c>
      <c r="J84" s="8" t="str">
        <f>IF('Course 5'!$H82='tab5'!J$3,'Course 5'!$I82," ")</f>
        <v xml:space="preserve"> </v>
      </c>
      <c r="K84" s="8" t="str">
        <f>IF('Course 5'!$H82='tab5'!K$3,'Course 5'!$I82," ")</f>
        <v xml:space="preserve"> </v>
      </c>
      <c r="L84" s="8" t="str">
        <f>IF('Course 5'!$H82='tab5'!L$3,'Course 5'!$I82," ")</f>
        <v xml:space="preserve"> </v>
      </c>
      <c r="M84" s="8" t="str">
        <f>IF('Course 5'!$H82='tab5'!M$3,'Course 5'!$I82," ")</f>
        <v xml:space="preserve"> </v>
      </c>
      <c r="N84" s="9" t="str">
        <f>IF('Course 5'!$H82='tab5'!N$3,'Course 5'!$I82," ")</f>
        <v xml:space="preserve"> </v>
      </c>
    </row>
    <row r="85" spans="2:14">
      <c r="B85">
        <v>81</v>
      </c>
      <c r="C85" s="7" t="str">
        <f>IF('Course 5'!$H83='tab5'!C$3,'Course 5'!$I83," ")</f>
        <v xml:space="preserve"> </v>
      </c>
      <c r="D85" s="8" t="str">
        <f>IF('Course 5'!$H83='tab5'!D$3,'Course 5'!$I83," ")</f>
        <v xml:space="preserve"> </v>
      </c>
      <c r="E85" s="8" t="str">
        <f>IF('Course 5'!$H83='tab5'!E$3,'Course 5'!$I83," ")</f>
        <v xml:space="preserve"> </v>
      </c>
      <c r="F85" s="8" t="str">
        <f>IF('Course 5'!$H83='tab5'!F$3,'Course 5'!$I83," ")</f>
        <v xml:space="preserve"> </v>
      </c>
      <c r="G85" s="8" t="str">
        <f>IF('Course 5'!$H83='tab5'!G$3,'Course 5'!$I83," ")</f>
        <v xml:space="preserve"> </v>
      </c>
      <c r="H85" s="8" t="str">
        <f>IF('Course 5'!$H83='tab5'!H$3,'Course 5'!$I83," ")</f>
        <v xml:space="preserve"> </v>
      </c>
      <c r="I85" s="8" t="str">
        <f>IF('Course 5'!$H83='tab5'!I$3,'Course 5'!$I83," ")</f>
        <v xml:space="preserve"> </v>
      </c>
      <c r="J85" s="8" t="str">
        <f>IF('Course 5'!$H83='tab5'!J$3,'Course 5'!$I83," ")</f>
        <v xml:space="preserve"> </v>
      </c>
      <c r="K85" s="8" t="str">
        <f>IF('Course 5'!$H83='tab5'!K$3,'Course 5'!$I83," ")</f>
        <v xml:space="preserve"> </v>
      </c>
      <c r="L85" s="8" t="str">
        <f>IF('Course 5'!$H83='tab5'!L$3,'Course 5'!$I83," ")</f>
        <v xml:space="preserve"> </v>
      </c>
      <c r="M85" s="8" t="str">
        <f>IF('Course 5'!$H83='tab5'!M$3,'Course 5'!$I83," ")</f>
        <v xml:space="preserve"> </v>
      </c>
      <c r="N85" s="9" t="str">
        <f>IF('Course 5'!$H83='tab5'!N$3,'Course 5'!$I83," ")</f>
        <v xml:space="preserve"> </v>
      </c>
    </row>
    <row r="86" spans="2:14">
      <c r="B86">
        <v>82</v>
      </c>
      <c r="C86" s="7" t="str">
        <f>IF('Course 5'!$H84='tab5'!C$3,'Course 5'!$I84," ")</f>
        <v xml:space="preserve"> </v>
      </c>
      <c r="D86" s="8" t="str">
        <f>IF('Course 5'!$H84='tab5'!D$3,'Course 5'!$I84," ")</f>
        <v xml:space="preserve"> </v>
      </c>
      <c r="E86" s="8" t="str">
        <f>IF('Course 5'!$H84='tab5'!E$3,'Course 5'!$I84," ")</f>
        <v xml:space="preserve"> </v>
      </c>
      <c r="F86" s="8" t="str">
        <f>IF('Course 5'!$H84='tab5'!F$3,'Course 5'!$I84," ")</f>
        <v xml:space="preserve"> </v>
      </c>
      <c r="G86" s="8" t="str">
        <f>IF('Course 5'!$H84='tab5'!G$3,'Course 5'!$I84," ")</f>
        <v xml:space="preserve"> </v>
      </c>
      <c r="H86" s="8" t="str">
        <f>IF('Course 5'!$H84='tab5'!H$3,'Course 5'!$I84," ")</f>
        <v xml:space="preserve"> </v>
      </c>
      <c r="I86" s="8" t="str">
        <f>IF('Course 5'!$H84='tab5'!I$3,'Course 5'!$I84," ")</f>
        <v xml:space="preserve"> </v>
      </c>
      <c r="J86" s="8" t="str">
        <f>IF('Course 5'!$H84='tab5'!J$3,'Course 5'!$I84," ")</f>
        <v xml:space="preserve"> </v>
      </c>
      <c r="K86" s="8" t="str">
        <f>IF('Course 5'!$H84='tab5'!K$3,'Course 5'!$I84," ")</f>
        <v xml:space="preserve"> </v>
      </c>
      <c r="L86" s="8" t="str">
        <f>IF('Course 5'!$H84='tab5'!L$3,'Course 5'!$I84," ")</f>
        <v xml:space="preserve"> </v>
      </c>
      <c r="M86" s="8" t="str">
        <f>IF('Course 5'!$H84='tab5'!M$3,'Course 5'!$I84," ")</f>
        <v xml:space="preserve"> </v>
      </c>
      <c r="N86" s="9" t="str">
        <f>IF('Course 5'!$H84='tab5'!N$3,'Course 5'!$I84," ")</f>
        <v xml:space="preserve"> </v>
      </c>
    </row>
    <row r="87" spans="2:14">
      <c r="B87">
        <v>83</v>
      </c>
      <c r="C87" s="7" t="str">
        <f>IF('Course 5'!$H85='tab5'!C$3,'Course 5'!$I85," ")</f>
        <v xml:space="preserve"> </v>
      </c>
      <c r="D87" s="8" t="str">
        <f>IF('Course 5'!$H85='tab5'!D$3,'Course 5'!$I85," ")</f>
        <v xml:space="preserve"> </v>
      </c>
      <c r="E87" s="8" t="str">
        <f>IF('Course 5'!$H85='tab5'!E$3,'Course 5'!$I85," ")</f>
        <v xml:space="preserve"> </v>
      </c>
      <c r="F87" s="8" t="str">
        <f>IF('Course 5'!$H85='tab5'!F$3,'Course 5'!$I85," ")</f>
        <v xml:space="preserve"> </v>
      </c>
      <c r="G87" s="8" t="str">
        <f>IF('Course 5'!$H85='tab5'!G$3,'Course 5'!$I85," ")</f>
        <v xml:space="preserve"> </v>
      </c>
      <c r="H87" s="8" t="str">
        <f>IF('Course 5'!$H85='tab5'!H$3,'Course 5'!$I85," ")</f>
        <v xml:space="preserve"> </v>
      </c>
      <c r="I87" s="8" t="str">
        <f>IF('Course 5'!$H85='tab5'!I$3,'Course 5'!$I85," ")</f>
        <v xml:space="preserve"> </v>
      </c>
      <c r="J87" s="8" t="str">
        <f>IF('Course 5'!$H85='tab5'!J$3,'Course 5'!$I85," ")</f>
        <v xml:space="preserve"> </v>
      </c>
      <c r="K87" s="8" t="str">
        <f>IF('Course 5'!$H85='tab5'!K$3,'Course 5'!$I85," ")</f>
        <v xml:space="preserve"> </v>
      </c>
      <c r="L87" s="8" t="str">
        <f>IF('Course 5'!$H85='tab5'!L$3,'Course 5'!$I85," ")</f>
        <v xml:space="preserve"> </v>
      </c>
      <c r="M87" s="8" t="str">
        <f>IF('Course 5'!$H85='tab5'!M$3,'Course 5'!$I85," ")</f>
        <v xml:space="preserve"> </v>
      </c>
      <c r="N87" s="9" t="str">
        <f>IF('Course 5'!$H85='tab5'!N$3,'Course 5'!$I85," ")</f>
        <v xml:space="preserve"> </v>
      </c>
    </row>
    <row r="88" spans="2:14">
      <c r="B88">
        <v>84</v>
      </c>
      <c r="C88" s="7" t="str">
        <f>IF('Course 5'!$H86='tab5'!C$3,'Course 5'!$I86," ")</f>
        <v xml:space="preserve"> </v>
      </c>
      <c r="D88" s="8" t="str">
        <f>IF('Course 5'!$H86='tab5'!D$3,'Course 5'!$I86," ")</f>
        <v xml:space="preserve"> </v>
      </c>
      <c r="E88" s="8" t="str">
        <f>IF('Course 5'!$H86='tab5'!E$3,'Course 5'!$I86," ")</f>
        <v xml:space="preserve"> </v>
      </c>
      <c r="F88" s="8" t="str">
        <f>IF('Course 5'!$H86='tab5'!F$3,'Course 5'!$I86," ")</f>
        <v xml:space="preserve"> </v>
      </c>
      <c r="G88" s="8" t="str">
        <f>IF('Course 5'!$H86='tab5'!G$3,'Course 5'!$I86," ")</f>
        <v xml:space="preserve"> </v>
      </c>
      <c r="H88" s="8" t="str">
        <f>IF('Course 5'!$H86='tab5'!H$3,'Course 5'!$I86," ")</f>
        <v xml:space="preserve"> </v>
      </c>
      <c r="I88" s="8" t="str">
        <f>IF('Course 5'!$H86='tab5'!I$3,'Course 5'!$I86," ")</f>
        <v xml:space="preserve"> </v>
      </c>
      <c r="J88" s="8" t="str">
        <f>IF('Course 5'!$H86='tab5'!J$3,'Course 5'!$I86," ")</f>
        <v xml:space="preserve"> </v>
      </c>
      <c r="K88" s="8" t="str">
        <f>IF('Course 5'!$H86='tab5'!K$3,'Course 5'!$I86," ")</f>
        <v xml:space="preserve"> </v>
      </c>
      <c r="L88" s="8" t="str">
        <f>IF('Course 5'!$H86='tab5'!L$3,'Course 5'!$I86," ")</f>
        <v xml:space="preserve"> </v>
      </c>
      <c r="M88" s="8" t="str">
        <f>IF('Course 5'!$H86='tab5'!M$3,'Course 5'!$I86," ")</f>
        <v xml:space="preserve"> </v>
      </c>
      <c r="N88" s="9" t="str">
        <f>IF('Course 5'!$H86='tab5'!N$3,'Course 5'!$I86," ")</f>
        <v xml:space="preserve"> </v>
      </c>
    </row>
    <row r="89" spans="2:14">
      <c r="B89">
        <v>85</v>
      </c>
      <c r="C89" s="7" t="str">
        <f>IF('Course 5'!$H87='tab5'!C$3,'Course 5'!$I87," ")</f>
        <v xml:space="preserve"> </v>
      </c>
      <c r="D89" s="8" t="str">
        <f>IF('Course 5'!$H87='tab5'!D$3,'Course 5'!$I87," ")</f>
        <v xml:space="preserve"> </v>
      </c>
      <c r="E89" s="8" t="str">
        <f>IF('Course 5'!$H87='tab5'!E$3,'Course 5'!$I87," ")</f>
        <v xml:space="preserve"> </v>
      </c>
      <c r="F89" s="8" t="str">
        <f>IF('Course 5'!$H87='tab5'!F$3,'Course 5'!$I87," ")</f>
        <v xml:space="preserve"> </v>
      </c>
      <c r="G89" s="8" t="str">
        <f>IF('Course 5'!$H87='tab5'!G$3,'Course 5'!$I87," ")</f>
        <v xml:space="preserve"> </v>
      </c>
      <c r="H89" s="8" t="str">
        <f>IF('Course 5'!$H87='tab5'!H$3,'Course 5'!$I87," ")</f>
        <v xml:space="preserve"> </v>
      </c>
      <c r="I89" s="8" t="str">
        <f>IF('Course 5'!$H87='tab5'!I$3,'Course 5'!$I87," ")</f>
        <v xml:space="preserve"> </v>
      </c>
      <c r="J89" s="8" t="str">
        <f>IF('Course 5'!$H87='tab5'!J$3,'Course 5'!$I87," ")</f>
        <v xml:space="preserve"> </v>
      </c>
      <c r="K89" s="8" t="str">
        <f>IF('Course 5'!$H87='tab5'!K$3,'Course 5'!$I87," ")</f>
        <v xml:space="preserve"> </v>
      </c>
      <c r="L89" s="8" t="str">
        <f>IF('Course 5'!$H87='tab5'!L$3,'Course 5'!$I87," ")</f>
        <v xml:space="preserve"> </v>
      </c>
      <c r="M89" s="8" t="str">
        <f>IF('Course 5'!$H87='tab5'!M$3,'Course 5'!$I87," ")</f>
        <v xml:space="preserve"> </v>
      </c>
      <c r="N89" s="9" t="str">
        <f>IF('Course 5'!$H87='tab5'!N$3,'Course 5'!$I87," ")</f>
        <v xml:space="preserve"> </v>
      </c>
    </row>
    <row r="90" spans="2:14">
      <c r="B90">
        <v>86</v>
      </c>
      <c r="C90" s="7" t="str">
        <f>IF('Course 5'!$H88='tab5'!C$3,'Course 5'!$I88," ")</f>
        <v xml:space="preserve"> </v>
      </c>
      <c r="D90" s="8" t="str">
        <f>IF('Course 5'!$H88='tab5'!D$3,'Course 5'!$I88," ")</f>
        <v xml:space="preserve"> </v>
      </c>
      <c r="E90" s="8" t="str">
        <f>IF('Course 5'!$H88='tab5'!E$3,'Course 5'!$I88," ")</f>
        <v xml:space="preserve"> </v>
      </c>
      <c r="F90" s="8" t="str">
        <f>IF('Course 5'!$H88='tab5'!F$3,'Course 5'!$I88," ")</f>
        <v xml:space="preserve"> </v>
      </c>
      <c r="G90" s="8" t="str">
        <f>IF('Course 5'!$H88='tab5'!G$3,'Course 5'!$I88," ")</f>
        <v xml:space="preserve"> </v>
      </c>
      <c r="H90" s="8" t="str">
        <f>IF('Course 5'!$H88='tab5'!H$3,'Course 5'!$I88," ")</f>
        <v xml:space="preserve"> </v>
      </c>
      <c r="I90" s="8" t="str">
        <f>IF('Course 5'!$H88='tab5'!I$3,'Course 5'!$I88," ")</f>
        <v xml:space="preserve"> </v>
      </c>
      <c r="J90" s="8" t="str">
        <f>IF('Course 5'!$H88='tab5'!J$3,'Course 5'!$I88," ")</f>
        <v xml:space="preserve"> </v>
      </c>
      <c r="K90" s="8" t="str">
        <f>IF('Course 5'!$H88='tab5'!K$3,'Course 5'!$I88," ")</f>
        <v xml:space="preserve"> </v>
      </c>
      <c r="L90" s="8" t="str">
        <f>IF('Course 5'!$H88='tab5'!L$3,'Course 5'!$I88," ")</f>
        <v xml:space="preserve"> </v>
      </c>
      <c r="M90" s="8" t="str">
        <f>IF('Course 5'!$H88='tab5'!M$3,'Course 5'!$I88," ")</f>
        <v xml:space="preserve"> </v>
      </c>
      <c r="N90" s="9" t="str">
        <f>IF('Course 5'!$H88='tab5'!N$3,'Course 5'!$I88," ")</f>
        <v xml:space="preserve"> </v>
      </c>
    </row>
    <row r="91" spans="2:14">
      <c r="B91">
        <v>87</v>
      </c>
      <c r="C91" s="7" t="str">
        <f>IF('Course 5'!$H89='tab5'!C$3,'Course 5'!$I89," ")</f>
        <v xml:space="preserve"> </v>
      </c>
      <c r="D91" s="8" t="str">
        <f>IF('Course 5'!$H89='tab5'!D$3,'Course 5'!$I89," ")</f>
        <v xml:space="preserve"> </v>
      </c>
      <c r="E91" s="8" t="str">
        <f>IF('Course 5'!$H89='tab5'!E$3,'Course 5'!$I89," ")</f>
        <v xml:space="preserve"> </v>
      </c>
      <c r="F91" s="8" t="str">
        <f>IF('Course 5'!$H89='tab5'!F$3,'Course 5'!$I89," ")</f>
        <v xml:space="preserve"> </v>
      </c>
      <c r="G91" s="8" t="str">
        <f>IF('Course 5'!$H89='tab5'!G$3,'Course 5'!$I89," ")</f>
        <v xml:space="preserve"> </v>
      </c>
      <c r="H91" s="8" t="str">
        <f>IF('Course 5'!$H89='tab5'!H$3,'Course 5'!$I89," ")</f>
        <v xml:space="preserve"> </v>
      </c>
      <c r="I91" s="8" t="str">
        <f>IF('Course 5'!$H89='tab5'!I$3,'Course 5'!$I89," ")</f>
        <v xml:space="preserve"> </v>
      </c>
      <c r="J91" s="8" t="str">
        <f>IF('Course 5'!$H89='tab5'!J$3,'Course 5'!$I89," ")</f>
        <v xml:space="preserve"> </v>
      </c>
      <c r="K91" s="8" t="str">
        <f>IF('Course 5'!$H89='tab5'!K$3,'Course 5'!$I89," ")</f>
        <v xml:space="preserve"> </v>
      </c>
      <c r="L91" s="8" t="str">
        <f>IF('Course 5'!$H89='tab5'!L$3,'Course 5'!$I89," ")</f>
        <v xml:space="preserve"> </v>
      </c>
      <c r="M91" s="8" t="str">
        <f>IF('Course 5'!$H89='tab5'!M$3,'Course 5'!$I89," ")</f>
        <v xml:space="preserve"> </v>
      </c>
      <c r="N91" s="9" t="str">
        <f>IF('Course 5'!$H89='tab5'!N$3,'Course 5'!$I89," ")</f>
        <v xml:space="preserve"> </v>
      </c>
    </row>
    <row r="92" spans="2:14">
      <c r="B92">
        <v>88</v>
      </c>
      <c r="C92" s="7" t="str">
        <f>IF('Course 5'!$H90='tab5'!C$3,'Course 5'!$I90," ")</f>
        <v xml:space="preserve"> </v>
      </c>
      <c r="D92" s="8" t="str">
        <f>IF('Course 5'!$H90='tab5'!D$3,'Course 5'!$I90," ")</f>
        <v xml:space="preserve"> </v>
      </c>
      <c r="E92" s="8" t="str">
        <f>IF('Course 5'!$H90='tab5'!E$3,'Course 5'!$I90," ")</f>
        <v xml:space="preserve"> </v>
      </c>
      <c r="F92" s="8" t="str">
        <f>IF('Course 5'!$H90='tab5'!F$3,'Course 5'!$I90," ")</f>
        <v xml:space="preserve"> </v>
      </c>
      <c r="G92" s="8" t="str">
        <f>IF('Course 5'!$H90='tab5'!G$3,'Course 5'!$I90," ")</f>
        <v xml:space="preserve"> </v>
      </c>
      <c r="H92" s="8" t="str">
        <f>IF('Course 5'!$H90='tab5'!H$3,'Course 5'!$I90," ")</f>
        <v xml:space="preserve"> </v>
      </c>
      <c r="I92" s="8" t="str">
        <f>IF('Course 5'!$H90='tab5'!I$3,'Course 5'!$I90," ")</f>
        <v xml:space="preserve"> </v>
      </c>
      <c r="J92" s="8" t="str">
        <f>IF('Course 5'!$H90='tab5'!J$3,'Course 5'!$I90," ")</f>
        <v xml:space="preserve"> </v>
      </c>
      <c r="K92" s="8" t="str">
        <f>IF('Course 5'!$H90='tab5'!K$3,'Course 5'!$I90," ")</f>
        <v xml:space="preserve"> </v>
      </c>
      <c r="L92" s="8" t="str">
        <f>IF('Course 5'!$H90='tab5'!L$3,'Course 5'!$I90," ")</f>
        <v xml:space="preserve"> </v>
      </c>
      <c r="M92" s="8" t="str">
        <f>IF('Course 5'!$H90='tab5'!M$3,'Course 5'!$I90," ")</f>
        <v xml:space="preserve"> </v>
      </c>
      <c r="N92" s="9" t="str">
        <f>IF('Course 5'!$H90='tab5'!N$3,'Course 5'!$I90," ")</f>
        <v xml:space="preserve"> </v>
      </c>
    </row>
    <row r="93" spans="2:14">
      <c r="B93">
        <v>89</v>
      </c>
      <c r="C93" s="7" t="str">
        <f>IF('Course 5'!$H91='tab5'!C$3,'Course 5'!$I91," ")</f>
        <v xml:space="preserve"> </v>
      </c>
      <c r="D93" s="8" t="str">
        <f>IF('Course 5'!$H91='tab5'!D$3,'Course 5'!$I91," ")</f>
        <v xml:space="preserve"> </v>
      </c>
      <c r="E93" s="8" t="str">
        <f>IF('Course 5'!$H91='tab5'!E$3,'Course 5'!$I91," ")</f>
        <v xml:space="preserve"> </v>
      </c>
      <c r="F93" s="8" t="str">
        <f>IF('Course 5'!$H91='tab5'!F$3,'Course 5'!$I91," ")</f>
        <v xml:space="preserve"> </v>
      </c>
      <c r="G93" s="8" t="str">
        <f>IF('Course 5'!$H91='tab5'!G$3,'Course 5'!$I91," ")</f>
        <v xml:space="preserve"> </v>
      </c>
      <c r="H93" s="8" t="str">
        <f>IF('Course 5'!$H91='tab5'!H$3,'Course 5'!$I91," ")</f>
        <v xml:space="preserve"> </v>
      </c>
      <c r="I93" s="8" t="str">
        <f>IF('Course 5'!$H91='tab5'!I$3,'Course 5'!$I91," ")</f>
        <v xml:space="preserve"> </v>
      </c>
      <c r="J93" s="8" t="str">
        <f>IF('Course 5'!$H91='tab5'!J$3,'Course 5'!$I91," ")</f>
        <v xml:space="preserve"> </v>
      </c>
      <c r="K93" s="8" t="str">
        <f>IF('Course 5'!$H91='tab5'!K$3,'Course 5'!$I91," ")</f>
        <v xml:space="preserve"> </v>
      </c>
      <c r="L93" s="8" t="str">
        <f>IF('Course 5'!$H91='tab5'!L$3,'Course 5'!$I91," ")</f>
        <v xml:space="preserve"> </v>
      </c>
      <c r="M93" s="8" t="str">
        <f>IF('Course 5'!$H91='tab5'!M$3,'Course 5'!$I91," ")</f>
        <v xml:space="preserve"> </v>
      </c>
      <c r="N93" s="9" t="str">
        <f>IF('Course 5'!$H91='tab5'!N$3,'Course 5'!$I91," ")</f>
        <v xml:space="preserve"> </v>
      </c>
    </row>
    <row r="94" spans="2:14">
      <c r="B94">
        <v>90</v>
      </c>
      <c r="C94" s="7" t="str">
        <f>IF('Course 5'!$H92='tab5'!C$3,'Course 5'!$I92," ")</f>
        <v xml:space="preserve"> </v>
      </c>
      <c r="D94" s="8" t="str">
        <f>IF('Course 5'!$H92='tab5'!D$3,'Course 5'!$I92," ")</f>
        <v xml:space="preserve"> </v>
      </c>
      <c r="E94" s="8" t="str">
        <f>IF('Course 5'!$H92='tab5'!E$3,'Course 5'!$I92," ")</f>
        <v xml:space="preserve"> </v>
      </c>
      <c r="F94" s="8" t="str">
        <f>IF('Course 5'!$H92='tab5'!F$3,'Course 5'!$I92," ")</f>
        <v xml:space="preserve"> </v>
      </c>
      <c r="G94" s="8" t="str">
        <f>IF('Course 5'!$H92='tab5'!G$3,'Course 5'!$I92," ")</f>
        <v xml:space="preserve"> </v>
      </c>
      <c r="H94" s="8" t="str">
        <f>IF('Course 5'!$H92='tab5'!H$3,'Course 5'!$I92," ")</f>
        <v xml:space="preserve"> </v>
      </c>
      <c r="I94" s="8" t="str">
        <f>IF('Course 5'!$H92='tab5'!I$3,'Course 5'!$I92," ")</f>
        <v xml:space="preserve"> </v>
      </c>
      <c r="J94" s="8" t="str">
        <f>IF('Course 5'!$H92='tab5'!J$3,'Course 5'!$I92," ")</f>
        <v xml:space="preserve"> </v>
      </c>
      <c r="K94" s="8" t="str">
        <f>IF('Course 5'!$H92='tab5'!K$3,'Course 5'!$I92," ")</f>
        <v xml:space="preserve"> </v>
      </c>
      <c r="L94" s="8" t="str">
        <f>IF('Course 5'!$H92='tab5'!L$3,'Course 5'!$I92," ")</f>
        <v xml:space="preserve"> </v>
      </c>
      <c r="M94" s="8" t="str">
        <f>IF('Course 5'!$H92='tab5'!M$3,'Course 5'!$I92," ")</f>
        <v xml:space="preserve"> </v>
      </c>
      <c r="N94" s="9" t="str">
        <f>IF('Course 5'!$H92='tab5'!N$3,'Course 5'!$I92," ")</f>
        <v xml:space="preserve"> </v>
      </c>
    </row>
    <row r="95" spans="2:14">
      <c r="B95">
        <v>91</v>
      </c>
      <c r="C95" s="7" t="str">
        <f>IF('Course 5'!$H93='tab5'!C$3,'Course 5'!$I93," ")</f>
        <v xml:space="preserve"> </v>
      </c>
      <c r="D95" s="8" t="str">
        <f>IF('Course 5'!$H93='tab5'!D$3,'Course 5'!$I93," ")</f>
        <v xml:space="preserve"> </v>
      </c>
      <c r="E95" s="8" t="str">
        <f>IF('Course 5'!$H93='tab5'!E$3,'Course 5'!$I93," ")</f>
        <v xml:space="preserve"> </v>
      </c>
      <c r="F95" s="8" t="str">
        <f>IF('Course 5'!$H93='tab5'!F$3,'Course 5'!$I93," ")</f>
        <v xml:space="preserve"> </v>
      </c>
      <c r="G95" s="8" t="str">
        <f>IF('Course 5'!$H93='tab5'!G$3,'Course 5'!$I93," ")</f>
        <v xml:space="preserve"> </v>
      </c>
      <c r="H95" s="8" t="str">
        <f>IF('Course 5'!$H93='tab5'!H$3,'Course 5'!$I93," ")</f>
        <v xml:space="preserve"> </v>
      </c>
      <c r="I95" s="8" t="str">
        <f>IF('Course 5'!$H93='tab5'!I$3,'Course 5'!$I93," ")</f>
        <v xml:space="preserve"> </v>
      </c>
      <c r="J95" s="8" t="str">
        <f>IF('Course 5'!$H93='tab5'!J$3,'Course 5'!$I93," ")</f>
        <v xml:space="preserve"> </v>
      </c>
      <c r="K95" s="8" t="str">
        <f>IF('Course 5'!$H93='tab5'!K$3,'Course 5'!$I93," ")</f>
        <v xml:space="preserve"> </v>
      </c>
      <c r="L95" s="8" t="str">
        <f>IF('Course 5'!$H93='tab5'!L$3,'Course 5'!$I93," ")</f>
        <v xml:space="preserve"> </v>
      </c>
      <c r="M95" s="8" t="str">
        <f>IF('Course 5'!$H93='tab5'!M$3,'Course 5'!$I93," ")</f>
        <v xml:space="preserve"> </v>
      </c>
      <c r="N95" s="9" t="str">
        <f>IF('Course 5'!$H93='tab5'!N$3,'Course 5'!$I93," ")</f>
        <v xml:space="preserve"> </v>
      </c>
    </row>
    <row r="96" spans="2:14">
      <c r="B96">
        <v>92</v>
      </c>
      <c r="C96" s="7" t="str">
        <f>IF('Course 5'!$H94='tab5'!C$3,'Course 5'!$I94," ")</f>
        <v xml:space="preserve"> </v>
      </c>
      <c r="D96" s="8" t="str">
        <f>IF('Course 5'!$H94='tab5'!D$3,'Course 5'!$I94," ")</f>
        <v xml:space="preserve"> </v>
      </c>
      <c r="E96" s="8" t="str">
        <f>IF('Course 5'!$H94='tab5'!E$3,'Course 5'!$I94," ")</f>
        <v xml:space="preserve"> </v>
      </c>
      <c r="F96" s="8" t="str">
        <f>IF('Course 5'!$H94='tab5'!F$3,'Course 5'!$I94," ")</f>
        <v xml:space="preserve"> </v>
      </c>
      <c r="G96" s="8" t="str">
        <f>IF('Course 5'!$H94='tab5'!G$3,'Course 5'!$I94," ")</f>
        <v xml:space="preserve"> </v>
      </c>
      <c r="H96" s="8" t="str">
        <f>IF('Course 5'!$H94='tab5'!H$3,'Course 5'!$I94," ")</f>
        <v xml:space="preserve"> </v>
      </c>
      <c r="I96" s="8" t="str">
        <f>IF('Course 5'!$H94='tab5'!I$3,'Course 5'!$I94," ")</f>
        <v xml:space="preserve"> </v>
      </c>
      <c r="J96" s="8" t="str">
        <f>IF('Course 5'!$H94='tab5'!J$3,'Course 5'!$I94," ")</f>
        <v xml:space="preserve"> </v>
      </c>
      <c r="K96" s="8" t="str">
        <f>IF('Course 5'!$H94='tab5'!K$3,'Course 5'!$I94," ")</f>
        <v xml:space="preserve"> </v>
      </c>
      <c r="L96" s="8" t="str">
        <f>IF('Course 5'!$H94='tab5'!L$3,'Course 5'!$I94," ")</f>
        <v xml:space="preserve"> </v>
      </c>
      <c r="M96" s="8" t="str">
        <f>IF('Course 5'!$H94='tab5'!M$3,'Course 5'!$I94," ")</f>
        <v xml:space="preserve"> </v>
      </c>
      <c r="N96" s="9" t="str">
        <f>IF('Course 5'!$H94='tab5'!N$3,'Course 5'!$I94," ")</f>
        <v xml:space="preserve"> </v>
      </c>
    </row>
    <row r="97" spans="2:14">
      <c r="B97">
        <v>93</v>
      </c>
      <c r="C97" s="7" t="str">
        <f>IF('Course 5'!$H95='tab5'!C$3,'Course 5'!$I95," ")</f>
        <v xml:space="preserve"> </v>
      </c>
      <c r="D97" s="8" t="str">
        <f>IF('Course 5'!$H95='tab5'!D$3,'Course 5'!$I95," ")</f>
        <v xml:space="preserve"> </v>
      </c>
      <c r="E97" s="8" t="str">
        <f>IF('Course 5'!$H95='tab5'!E$3,'Course 5'!$I95," ")</f>
        <v xml:space="preserve"> </v>
      </c>
      <c r="F97" s="8" t="str">
        <f>IF('Course 5'!$H95='tab5'!F$3,'Course 5'!$I95," ")</f>
        <v xml:space="preserve"> </v>
      </c>
      <c r="G97" s="8" t="str">
        <f>IF('Course 5'!$H95='tab5'!G$3,'Course 5'!$I95," ")</f>
        <v xml:space="preserve"> </v>
      </c>
      <c r="H97" s="8" t="str">
        <f>IF('Course 5'!$H95='tab5'!H$3,'Course 5'!$I95," ")</f>
        <v xml:space="preserve"> </v>
      </c>
      <c r="I97" s="8" t="str">
        <f>IF('Course 5'!$H95='tab5'!I$3,'Course 5'!$I95," ")</f>
        <v xml:space="preserve"> </v>
      </c>
      <c r="J97" s="8" t="str">
        <f>IF('Course 5'!$H95='tab5'!J$3,'Course 5'!$I95," ")</f>
        <v xml:space="preserve"> </v>
      </c>
      <c r="K97" s="8" t="str">
        <f>IF('Course 5'!$H95='tab5'!K$3,'Course 5'!$I95," ")</f>
        <v xml:space="preserve"> </v>
      </c>
      <c r="L97" s="8" t="str">
        <f>IF('Course 5'!$H95='tab5'!L$3,'Course 5'!$I95," ")</f>
        <v xml:space="preserve"> </v>
      </c>
      <c r="M97" s="8" t="str">
        <f>IF('Course 5'!$H95='tab5'!M$3,'Course 5'!$I95," ")</f>
        <v xml:space="preserve"> </v>
      </c>
      <c r="N97" s="9" t="str">
        <f>IF('Course 5'!$H95='tab5'!N$3,'Course 5'!$I95," ")</f>
        <v xml:space="preserve"> </v>
      </c>
    </row>
    <row r="98" spans="2:14">
      <c r="B98">
        <v>94</v>
      </c>
      <c r="C98" s="7" t="str">
        <f>IF('Course 5'!$H96='tab5'!C$3,'Course 5'!$I96," ")</f>
        <v xml:space="preserve"> </v>
      </c>
      <c r="D98" s="8" t="str">
        <f>IF('Course 5'!$H96='tab5'!D$3,'Course 5'!$I96," ")</f>
        <v xml:space="preserve"> </v>
      </c>
      <c r="E98" s="8" t="str">
        <f>IF('Course 5'!$H96='tab5'!E$3,'Course 5'!$I96," ")</f>
        <v xml:space="preserve"> </v>
      </c>
      <c r="F98" s="8" t="str">
        <f>IF('Course 5'!$H96='tab5'!F$3,'Course 5'!$I96," ")</f>
        <v xml:space="preserve"> </v>
      </c>
      <c r="G98" s="8" t="str">
        <f>IF('Course 5'!$H96='tab5'!G$3,'Course 5'!$I96," ")</f>
        <v xml:space="preserve"> </v>
      </c>
      <c r="H98" s="8" t="str">
        <f>IF('Course 5'!$H96='tab5'!H$3,'Course 5'!$I96," ")</f>
        <v xml:space="preserve"> </v>
      </c>
      <c r="I98" s="8" t="str">
        <f>IF('Course 5'!$H96='tab5'!I$3,'Course 5'!$I96," ")</f>
        <v xml:space="preserve"> </v>
      </c>
      <c r="J98" s="8" t="str">
        <f>IF('Course 5'!$H96='tab5'!J$3,'Course 5'!$I96," ")</f>
        <v xml:space="preserve"> </v>
      </c>
      <c r="K98" s="8" t="str">
        <f>IF('Course 5'!$H96='tab5'!K$3,'Course 5'!$I96," ")</f>
        <v xml:space="preserve"> </v>
      </c>
      <c r="L98" s="8" t="str">
        <f>IF('Course 5'!$H96='tab5'!L$3,'Course 5'!$I96," ")</f>
        <v xml:space="preserve"> </v>
      </c>
      <c r="M98" s="8" t="str">
        <f>IF('Course 5'!$H96='tab5'!M$3,'Course 5'!$I96," ")</f>
        <v xml:space="preserve"> </v>
      </c>
      <c r="N98" s="9" t="str">
        <f>IF('Course 5'!$H96='tab5'!N$3,'Course 5'!$I96," ")</f>
        <v xml:space="preserve"> </v>
      </c>
    </row>
    <row r="99" spans="2:14">
      <c r="B99">
        <v>95</v>
      </c>
      <c r="C99" s="7" t="str">
        <f>IF('Course 5'!$H97='tab5'!C$3,'Course 5'!$I97," ")</f>
        <v xml:space="preserve"> </v>
      </c>
      <c r="D99" s="8" t="str">
        <f>IF('Course 5'!$H97='tab5'!D$3,'Course 5'!$I97," ")</f>
        <v xml:space="preserve"> </v>
      </c>
      <c r="E99" s="8" t="str">
        <f>IF('Course 5'!$H97='tab5'!E$3,'Course 5'!$I97," ")</f>
        <v xml:space="preserve"> </v>
      </c>
      <c r="F99" s="8" t="str">
        <f>IF('Course 5'!$H97='tab5'!F$3,'Course 5'!$I97," ")</f>
        <v xml:space="preserve"> </v>
      </c>
      <c r="G99" s="8" t="str">
        <f>IF('Course 5'!$H97='tab5'!G$3,'Course 5'!$I97," ")</f>
        <v xml:space="preserve"> </v>
      </c>
      <c r="H99" s="8" t="str">
        <f>IF('Course 5'!$H97='tab5'!H$3,'Course 5'!$I97," ")</f>
        <v xml:space="preserve"> </v>
      </c>
      <c r="I99" s="8" t="str">
        <f>IF('Course 5'!$H97='tab5'!I$3,'Course 5'!$I97," ")</f>
        <v xml:space="preserve"> </v>
      </c>
      <c r="J99" s="8" t="str">
        <f>IF('Course 5'!$H97='tab5'!J$3,'Course 5'!$I97," ")</f>
        <v xml:space="preserve"> </v>
      </c>
      <c r="K99" s="8" t="str">
        <f>IF('Course 5'!$H97='tab5'!K$3,'Course 5'!$I97," ")</f>
        <v xml:space="preserve"> </v>
      </c>
      <c r="L99" s="8" t="str">
        <f>IF('Course 5'!$H97='tab5'!L$3,'Course 5'!$I97," ")</f>
        <v xml:space="preserve"> </v>
      </c>
      <c r="M99" s="8" t="str">
        <f>IF('Course 5'!$H97='tab5'!M$3,'Course 5'!$I97," ")</f>
        <v xml:space="preserve"> </v>
      </c>
      <c r="N99" s="9" t="str">
        <f>IF('Course 5'!$H97='tab5'!N$3,'Course 5'!$I97," ")</f>
        <v xml:space="preserve"> </v>
      </c>
    </row>
    <row r="100" spans="2:14">
      <c r="B100">
        <v>96</v>
      </c>
      <c r="C100" s="7" t="str">
        <f>IF('Course 5'!$H98='tab5'!C$3,'Course 5'!$I98," ")</f>
        <v xml:space="preserve"> </v>
      </c>
      <c r="D100" s="8" t="str">
        <f>IF('Course 5'!$H98='tab5'!D$3,'Course 5'!$I98," ")</f>
        <v xml:space="preserve"> </v>
      </c>
      <c r="E100" s="8" t="str">
        <f>IF('Course 5'!$H98='tab5'!E$3,'Course 5'!$I98," ")</f>
        <v xml:space="preserve"> </v>
      </c>
      <c r="F100" s="8" t="str">
        <f>IF('Course 5'!$H98='tab5'!F$3,'Course 5'!$I98," ")</f>
        <v xml:space="preserve"> </v>
      </c>
      <c r="G100" s="8" t="str">
        <f>IF('Course 5'!$H98='tab5'!G$3,'Course 5'!$I98," ")</f>
        <v xml:space="preserve"> </v>
      </c>
      <c r="H100" s="8" t="str">
        <f>IF('Course 5'!$H98='tab5'!H$3,'Course 5'!$I98," ")</f>
        <v xml:space="preserve"> </v>
      </c>
      <c r="I100" s="8" t="str">
        <f>IF('Course 5'!$H98='tab5'!I$3,'Course 5'!$I98," ")</f>
        <v xml:space="preserve"> </v>
      </c>
      <c r="J100" s="8" t="str">
        <f>IF('Course 5'!$H98='tab5'!J$3,'Course 5'!$I98," ")</f>
        <v xml:space="preserve"> </v>
      </c>
      <c r="K100" s="8" t="str">
        <f>IF('Course 5'!$H98='tab5'!K$3,'Course 5'!$I98," ")</f>
        <v xml:space="preserve"> </v>
      </c>
      <c r="L100" s="8" t="str">
        <f>IF('Course 5'!$H98='tab5'!L$3,'Course 5'!$I98," ")</f>
        <v xml:space="preserve"> </v>
      </c>
      <c r="M100" s="8" t="str">
        <f>IF('Course 5'!$H98='tab5'!M$3,'Course 5'!$I98," ")</f>
        <v xml:space="preserve"> </v>
      </c>
      <c r="N100" s="9" t="str">
        <f>IF('Course 5'!$H98='tab5'!N$3,'Course 5'!$I98," ")</f>
        <v xml:space="preserve"> </v>
      </c>
    </row>
    <row r="101" spans="2:14">
      <c r="B101">
        <v>97</v>
      </c>
      <c r="C101" s="7" t="str">
        <f>IF('Course 5'!$H99='tab5'!C$3,'Course 5'!$I99," ")</f>
        <v xml:space="preserve"> </v>
      </c>
      <c r="D101" s="8" t="str">
        <f>IF('Course 5'!$H99='tab5'!D$3,'Course 5'!$I99," ")</f>
        <v xml:space="preserve"> </v>
      </c>
      <c r="E101" s="8" t="str">
        <f>IF('Course 5'!$H99='tab5'!E$3,'Course 5'!$I99," ")</f>
        <v xml:space="preserve"> </v>
      </c>
      <c r="F101" s="8" t="str">
        <f>IF('Course 5'!$H99='tab5'!F$3,'Course 5'!$I99," ")</f>
        <v xml:space="preserve"> </v>
      </c>
      <c r="G101" s="8" t="str">
        <f>IF('Course 5'!$H99='tab5'!G$3,'Course 5'!$I99," ")</f>
        <v xml:space="preserve"> </v>
      </c>
      <c r="H101" s="8" t="str">
        <f>IF('Course 5'!$H99='tab5'!H$3,'Course 5'!$I99," ")</f>
        <v xml:space="preserve"> </v>
      </c>
      <c r="I101" s="8" t="str">
        <f>IF('Course 5'!$H99='tab5'!I$3,'Course 5'!$I99," ")</f>
        <v xml:space="preserve"> </v>
      </c>
      <c r="J101" s="8" t="str">
        <f>IF('Course 5'!$H99='tab5'!J$3,'Course 5'!$I99," ")</f>
        <v xml:space="preserve"> </v>
      </c>
      <c r="K101" s="8" t="str">
        <f>IF('Course 5'!$H99='tab5'!K$3,'Course 5'!$I99," ")</f>
        <v xml:space="preserve"> </v>
      </c>
      <c r="L101" s="8" t="str">
        <f>IF('Course 5'!$H99='tab5'!L$3,'Course 5'!$I99," ")</f>
        <v xml:space="preserve"> </v>
      </c>
      <c r="M101" s="8" t="str">
        <f>IF('Course 5'!$H99='tab5'!M$3,'Course 5'!$I99," ")</f>
        <v xml:space="preserve"> </v>
      </c>
      <c r="N101" s="9" t="str">
        <f>IF('Course 5'!$H99='tab5'!N$3,'Course 5'!$I99," ")</f>
        <v xml:space="preserve"> </v>
      </c>
    </row>
    <row r="102" spans="2:14">
      <c r="B102">
        <v>98</v>
      </c>
      <c r="C102" s="7" t="str">
        <f>IF('Course 5'!$H100='tab5'!C$3,'Course 5'!$I100," ")</f>
        <v xml:space="preserve"> </v>
      </c>
      <c r="D102" s="8" t="str">
        <f>IF('Course 5'!$H100='tab5'!D$3,'Course 5'!$I100," ")</f>
        <v xml:space="preserve"> </v>
      </c>
      <c r="E102" s="8" t="str">
        <f>IF('Course 5'!$H100='tab5'!E$3,'Course 5'!$I100," ")</f>
        <v xml:space="preserve"> </v>
      </c>
      <c r="F102" s="8" t="str">
        <f>IF('Course 5'!$H100='tab5'!F$3,'Course 5'!$I100," ")</f>
        <v xml:space="preserve"> </v>
      </c>
      <c r="G102" s="8" t="str">
        <f>IF('Course 5'!$H100='tab5'!G$3,'Course 5'!$I100," ")</f>
        <v xml:space="preserve"> </v>
      </c>
      <c r="H102" s="8" t="str">
        <f>IF('Course 5'!$H100='tab5'!H$3,'Course 5'!$I100," ")</f>
        <v xml:space="preserve"> </v>
      </c>
      <c r="I102" s="8" t="str">
        <f>IF('Course 5'!$H100='tab5'!I$3,'Course 5'!$I100," ")</f>
        <v xml:space="preserve"> </v>
      </c>
      <c r="J102" s="8" t="str">
        <f>IF('Course 5'!$H100='tab5'!J$3,'Course 5'!$I100," ")</f>
        <v xml:space="preserve"> </v>
      </c>
      <c r="K102" s="8" t="str">
        <f>IF('Course 5'!$H100='tab5'!K$3,'Course 5'!$I100," ")</f>
        <v xml:space="preserve"> </v>
      </c>
      <c r="L102" s="8" t="str">
        <f>IF('Course 5'!$H100='tab5'!L$3,'Course 5'!$I100," ")</f>
        <v xml:space="preserve"> </v>
      </c>
      <c r="M102" s="8" t="str">
        <f>IF('Course 5'!$H100='tab5'!M$3,'Course 5'!$I100," ")</f>
        <v xml:space="preserve"> </v>
      </c>
      <c r="N102" s="9" t="str">
        <f>IF('Course 5'!$H100='tab5'!N$3,'Course 5'!$I100," ")</f>
        <v xml:space="preserve"> </v>
      </c>
    </row>
    <row r="103" spans="2:14">
      <c r="B103">
        <v>99</v>
      </c>
      <c r="C103" s="7" t="str">
        <f>IF('Course 5'!$H101='tab5'!C$3,'Course 5'!$I101," ")</f>
        <v xml:space="preserve"> </v>
      </c>
      <c r="D103" s="8" t="str">
        <f>IF('Course 5'!$H101='tab5'!D$3,'Course 5'!$I101," ")</f>
        <v xml:space="preserve"> </v>
      </c>
      <c r="E103" s="8" t="str">
        <f>IF('Course 5'!$H101='tab5'!E$3,'Course 5'!$I101," ")</f>
        <v xml:space="preserve"> </v>
      </c>
      <c r="F103" s="8" t="str">
        <f>IF('Course 5'!$H101='tab5'!F$3,'Course 5'!$I101," ")</f>
        <v xml:space="preserve"> </v>
      </c>
      <c r="G103" s="8" t="str">
        <f>IF('Course 5'!$H101='tab5'!G$3,'Course 5'!$I101," ")</f>
        <v xml:space="preserve"> </v>
      </c>
      <c r="H103" s="8" t="str">
        <f>IF('Course 5'!$H101='tab5'!H$3,'Course 5'!$I101," ")</f>
        <v xml:space="preserve"> </v>
      </c>
      <c r="I103" s="8" t="str">
        <f>IF('Course 5'!$H101='tab5'!I$3,'Course 5'!$I101," ")</f>
        <v xml:space="preserve"> </v>
      </c>
      <c r="J103" s="8" t="str">
        <f>IF('Course 5'!$H101='tab5'!J$3,'Course 5'!$I101," ")</f>
        <v xml:space="preserve"> </v>
      </c>
      <c r="K103" s="8" t="str">
        <f>IF('Course 5'!$H101='tab5'!K$3,'Course 5'!$I101," ")</f>
        <v xml:space="preserve"> </v>
      </c>
      <c r="L103" s="8" t="str">
        <f>IF('Course 5'!$H101='tab5'!L$3,'Course 5'!$I101," ")</f>
        <v xml:space="preserve"> </v>
      </c>
      <c r="M103" s="8" t="str">
        <f>IF('Course 5'!$H101='tab5'!M$3,'Course 5'!$I101," ")</f>
        <v xml:space="preserve"> </v>
      </c>
      <c r="N103" s="9" t="str">
        <f>IF('Course 5'!$H101='tab5'!N$3,'Course 5'!$I101," ")</f>
        <v xml:space="preserve"> </v>
      </c>
    </row>
    <row r="104" spans="2:14">
      <c r="B104">
        <v>100</v>
      </c>
      <c r="C104" s="7" t="str">
        <f>IF('Course 5'!$H102='tab5'!C$3,'Course 5'!$I102," ")</f>
        <v xml:space="preserve"> </v>
      </c>
      <c r="D104" s="8" t="str">
        <f>IF('Course 5'!$H102='tab5'!D$3,'Course 5'!$I102," ")</f>
        <v xml:space="preserve"> </v>
      </c>
      <c r="E104" s="8" t="str">
        <f>IF('Course 5'!$H102='tab5'!E$3,'Course 5'!$I102," ")</f>
        <v xml:space="preserve"> </v>
      </c>
      <c r="F104" s="8" t="str">
        <f>IF('Course 5'!$H102='tab5'!F$3,'Course 5'!$I102," ")</f>
        <v xml:space="preserve"> </v>
      </c>
      <c r="G104" s="8" t="str">
        <f>IF('Course 5'!$H102='tab5'!G$3,'Course 5'!$I102," ")</f>
        <v xml:space="preserve"> </v>
      </c>
      <c r="H104" s="8" t="str">
        <f>IF('Course 5'!$H102='tab5'!H$3,'Course 5'!$I102," ")</f>
        <v xml:space="preserve"> </v>
      </c>
      <c r="I104" s="8" t="str">
        <f>IF('Course 5'!$H102='tab5'!I$3,'Course 5'!$I102," ")</f>
        <v xml:space="preserve"> </v>
      </c>
      <c r="J104" s="8" t="str">
        <f>IF('Course 5'!$H102='tab5'!J$3,'Course 5'!$I102," ")</f>
        <v xml:space="preserve"> </v>
      </c>
      <c r="K104" s="8" t="str">
        <f>IF('Course 5'!$H102='tab5'!K$3,'Course 5'!$I102," ")</f>
        <v xml:space="preserve"> </v>
      </c>
      <c r="L104" s="8" t="str">
        <f>IF('Course 5'!$H102='tab5'!L$3,'Course 5'!$I102," ")</f>
        <v xml:space="preserve"> </v>
      </c>
      <c r="M104" s="8" t="str">
        <f>IF('Course 5'!$H102='tab5'!M$3,'Course 5'!$I102," ")</f>
        <v xml:space="preserve"> </v>
      </c>
      <c r="N104" s="9" t="str">
        <f>IF('Course 5'!$H102='tab5'!N$3,'Course 5'!$I102," ")</f>
        <v xml:space="preserve"> </v>
      </c>
    </row>
    <row r="105" spans="2:14">
      <c r="B105">
        <v>101</v>
      </c>
      <c r="C105" s="7" t="str">
        <f>IF('Course 5'!$H103='tab5'!C$3,'Course 5'!$I103," ")</f>
        <v xml:space="preserve"> </v>
      </c>
      <c r="D105" s="8" t="str">
        <f>IF('Course 5'!$H103='tab5'!D$3,'Course 5'!$I103," ")</f>
        <v xml:space="preserve"> </v>
      </c>
      <c r="E105" s="8" t="str">
        <f>IF('Course 5'!$H103='tab5'!E$3,'Course 5'!$I103," ")</f>
        <v xml:space="preserve"> </v>
      </c>
      <c r="F105" s="8" t="str">
        <f>IF('Course 5'!$H103='tab5'!F$3,'Course 5'!$I103," ")</f>
        <v xml:space="preserve"> </v>
      </c>
      <c r="G105" s="8" t="str">
        <f>IF('Course 5'!$H103='tab5'!G$3,'Course 5'!$I103," ")</f>
        <v xml:space="preserve"> </v>
      </c>
      <c r="H105" s="8" t="str">
        <f>IF('Course 5'!$H103='tab5'!H$3,'Course 5'!$I103," ")</f>
        <v xml:space="preserve"> </v>
      </c>
      <c r="I105" s="8" t="str">
        <f>IF('Course 5'!$H103='tab5'!I$3,'Course 5'!$I103," ")</f>
        <v xml:space="preserve"> </v>
      </c>
      <c r="J105" s="8" t="str">
        <f>IF('Course 5'!$H103='tab5'!J$3,'Course 5'!$I103," ")</f>
        <v xml:space="preserve"> </v>
      </c>
      <c r="K105" s="8" t="str">
        <f>IF('Course 5'!$H103='tab5'!K$3,'Course 5'!$I103," ")</f>
        <v xml:space="preserve"> </v>
      </c>
      <c r="L105" s="8" t="str">
        <f>IF('Course 5'!$H103='tab5'!L$3,'Course 5'!$I103," ")</f>
        <v xml:space="preserve"> </v>
      </c>
      <c r="M105" s="8" t="str">
        <f>IF('Course 5'!$H103='tab5'!M$3,'Course 5'!$I103," ")</f>
        <v xml:space="preserve"> </v>
      </c>
      <c r="N105" s="9" t="str">
        <f>IF('Course 5'!$H103='tab5'!N$3,'Course 5'!$I103," ")</f>
        <v xml:space="preserve"> </v>
      </c>
    </row>
    <row r="106" spans="2:14">
      <c r="B106">
        <v>102</v>
      </c>
      <c r="C106" s="7" t="str">
        <f>IF('Course 5'!$H104='tab5'!C$3,'Course 5'!$I104," ")</f>
        <v xml:space="preserve"> </v>
      </c>
      <c r="D106" s="8" t="str">
        <f>IF('Course 5'!$H104='tab5'!D$3,'Course 5'!$I104," ")</f>
        <v xml:space="preserve"> </v>
      </c>
      <c r="E106" s="8" t="str">
        <f>IF('Course 5'!$H104='tab5'!E$3,'Course 5'!$I104," ")</f>
        <v xml:space="preserve"> </v>
      </c>
      <c r="F106" s="8" t="str">
        <f>IF('Course 5'!$H104='tab5'!F$3,'Course 5'!$I104," ")</f>
        <v xml:space="preserve"> </v>
      </c>
      <c r="G106" s="8" t="str">
        <f>IF('Course 5'!$H104='tab5'!G$3,'Course 5'!$I104," ")</f>
        <v xml:space="preserve"> </v>
      </c>
      <c r="H106" s="8" t="str">
        <f>IF('Course 5'!$H104='tab5'!H$3,'Course 5'!$I104," ")</f>
        <v xml:space="preserve"> </v>
      </c>
      <c r="I106" s="8" t="str">
        <f>IF('Course 5'!$H104='tab5'!I$3,'Course 5'!$I104," ")</f>
        <v xml:space="preserve"> </v>
      </c>
      <c r="J106" s="8" t="str">
        <f>IF('Course 5'!$H104='tab5'!J$3,'Course 5'!$I104," ")</f>
        <v xml:space="preserve"> </v>
      </c>
      <c r="K106" s="8" t="str">
        <f>IF('Course 5'!$H104='tab5'!K$3,'Course 5'!$I104," ")</f>
        <v xml:space="preserve"> </v>
      </c>
      <c r="L106" s="8" t="str">
        <f>IF('Course 5'!$H104='tab5'!L$3,'Course 5'!$I104," ")</f>
        <v xml:space="preserve"> </v>
      </c>
      <c r="M106" s="8" t="str">
        <f>IF('Course 5'!$H104='tab5'!M$3,'Course 5'!$I104," ")</f>
        <v xml:space="preserve"> </v>
      </c>
      <c r="N106" s="9" t="str">
        <f>IF('Course 5'!$H104='tab5'!N$3,'Course 5'!$I104," ")</f>
        <v xml:space="preserve"> </v>
      </c>
    </row>
    <row r="107" spans="2:14">
      <c r="B107">
        <v>103</v>
      </c>
      <c r="C107" s="7" t="str">
        <f>IF('Course 5'!$H105='tab5'!C$3,'Course 5'!$I105," ")</f>
        <v xml:space="preserve"> </v>
      </c>
      <c r="D107" s="8" t="str">
        <f>IF('Course 5'!$H105='tab5'!D$3,'Course 5'!$I105," ")</f>
        <v xml:space="preserve"> </v>
      </c>
      <c r="E107" s="8" t="str">
        <f>IF('Course 5'!$H105='tab5'!E$3,'Course 5'!$I105," ")</f>
        <v xml:space="preserve"> </v>
      </c>
      <c r="F107" s="8" t="str">
        <f>IF('Course 5'!$H105='tab5'!F$3,'Course 5'!$I105," ")</f>
        <v xml:space="preserve"> </v>
      </c>
      <c r="G107" s="8" t="str">
        <f>IF('Course 5'!$H105='tab5'!G$3,'Course 5'!$I105," ")</f>
        <v xml:space="preserve"> </v>
      </c>
      <c r="H107" s="8" t="str">
        <f>IF('Course 5'!$H105='tab5'!H$3,'Course 5'!$I105," ")</f>
        <v xml:space="preserve"> </v>
      </c>
      <c r="I107" s="8" t="str">
        <f>IF('Course 5'!$H105='tab5'!I$3,'Course 5'!$I105," ")</f>
        <v xml:space="preserve"> </v>
      </c>
      <c r="J107" s="8" t="str">
        <f>IF('Course 5'!$H105='tab5'!J$3,'Course 5'!$I105," ")</f>
        <v xml:space="preserve"> </v>
      </c>
      <c r="K107" s="8" t="str">
        <f>IF('Course 5'!$H105='tab5'!K$3,'Course 5'!$I105," ")</f>
        <v xml:space="preserve"> </v>
      </c>
      <c r="L107" s="8" t="str">
        <f>IF('Course 5'!$H105='tab5'!L$3,'Course 5'!$I105," ")</f>
        <v xml:space="preserve"> </v>
      </c>
      <c r="M107" s="8" t="str">
        <f>IF('Course 5'!$H105='tab5'!M$3,'Course 5'!$I105," ")</f>
        <v xml:space="preserve"> </v>
      </c>
      <c r="N107" s="9" t="str">
        <f>IF('Course 5'!$H105='tab5'!N$3,'Course 5'!$I105," ")</f>
        <v xml:space="preserve"> </v>
      </c>
    </row>
    <row r="108" spans="2:14">
      <c r="B108">
        <v>104</v>
      </c>
      <c r="C108" s="7" t="str">
        <f>IF('Course 5'!$H106='tab5'!C$3,'Course 5'!$I106," ")</f>
        <v xml:space="preserve"> </v>
      </c>
      <c r="D108" s="8" t="str">
        <f>IF('Course 5'!$H106='tab5'!D$3,'Course 5'!$I106," ")</f>
        <v xml:space="preserve"> </v>
      </c>
      <c r="E108" s="8" t="str">
        <f>IF('Course 5'!$H106='tab5'!E$3,'Course 5'!$I106," ")</f>
        <v xml:space="preserve"> </v>
      </c>
      <c r="F108" s="8" t="str">
        <f>IF('Course 5'!$H106='tab5'!F$3,'Course 5'!$I106," ")</f>
        <v xml:space="preserve"> </v>
      </c>
      <c r="G108" s="8" t="str">
        <f>IF('Course 5'!$H106='tab5'!G$3,'Course 5'!$I106," ")</f>
        <v xml:space="preserve"> </v>
      </c>
      <c r="H108" s="8" t="str">
        <f>IF('Course 5'!$H106='tab5'!H$3,'Course 5'!$I106," ")</f>
        <v xml:space="preserve"> </v>
      </c>
      <c r="I108" s="8" t="str">
        <f>IF('Course 5'!$H106='tab5'!I$3,'Course 5'!$I106," ")</f>
        <v xml:space="preserve"> </v>
      </c>
      <c r="J108" s="8" t="str">
        <f>IF('Course 5'!$H106='tab5'!J$3,'Course 5'!$I106," ")</f>
        <v xml:space="preserve"> </v>
      </c>
      <c r="K108" s="8" t="str">
        <f>IF('Course 5'!$H106='tab5'!K$3,'Course 5'!$I106," ")</f>
        <v xml:space="preserve"> </v>
      </c>
      <c r="L108" s="8" t="str">
        <f>IF('Course 5'!$H106='tab5'!L$3,'Course 5'!$I106," ")</f>
        <v xml:space="preserve"> </v>
      </c>
      <c r="M108" s="8" t="str">
        <f>IF('Course 5'!$H106='tab5'!M$3,'Course 5'!$I106," ")</f>
        <v xml:space="preserve"> </v>
      </c>
      <c r="N108" s="9" t="str">
        <f>IF('Course 5'!$H106='tab5'!N$3,'Course 5'!$I106," ")</f>
        <v xml:space="preserve"> </v>
      </c>
    </row>
    <row r="109" spans="2:14">
      <c r="B109">
        <v>105</v>
      </c>
      <c r="C109" s="7" t="str">
        <f>IF('Course 5'!$H107='tab5'!C$3,'Course 5'!$I107," ")</f>
        <v xml:space="preserve"> </v>
      </c>
      <c r="D109" s="8" t="str">
        <f>IF('Course 5'!$H107='tab5'!D$3,'Course 5'!$I107," ")</f>
        <v xml:space="preserve"> </v>
      </c>
      <c r="E109" s="8" t="str">
        <f>IF('Course 5'!$H107='tab5'!E$3,'Course 5'!$I107," ")</f>
        <v xml:space="preserve"> </v>
      </c>
      <c r="F109" s="8" t="str">
        <f>IF('Course 5'!$H107='tab5'!F$3,'Course 5'!$I107," ")</f>
        <v xml:space="preserve"> </v>
      </c>
      <c r="G109" s="8" t="str">
        <f>IF('Course 5'!$H107='tab5'!G$3,'Course 5'!$I107," ")</f>
        <v xml:space="preserve"> </v>
      </c>
      <c r="H109" s="8" t="str">
        <f>IF('Course 5'!$H107='tab5'!H$3,'Course 5'!$I107," ")</f>
        <v xml:space="preserve"> </v>
      </c>
      <c r="I109" s="8" t="str">
        <f>IF('Course 5'!$H107='tab5'!I$3,'Course 5'!$I107," ")</f>
        <v xml:space="preserve"> </v>
      </c>
      <c r="J109" s="8" t="str">
        <f>IF('Course 5'!$H107='tab5'!J$3,'Course 5'!$I107," ")</f>
        <v xml:space="preserve"> </v>
      </c>
      <c r="K109" s="8" t="str">
        <f>IF('Course 5'!$H107='tab5'!K$3,'Course 5'!$I107," ")</f>
        <v xml:space="preserve"> </v>
      </c>
      <c r="L109" s="8" t="str">
        <f>IF('Course 5'!$H107='tab5'!L$3,'Course 5'!$I107," ")</f>
        <v xml:space="preserve"> </v>
      </c>
      <c r="M109" s="8" t="str">
        <f>IF('Course 5'!$H107='tab5'!M$3,'Course 5'!$I107," ")</f>
        <v xml:space="preserve"> </v>
      </c>
      <c r="N109" s="9" t="str">
        <f>IF('Course 5'!$H107='tab5'!N$3,'Course 5'!$I107," ")</f>
        <v xml:space="preserve"> </v>
      </c>
    </row>
    <row r="110" spans="2:14">
      <c r="B110">
        <v>106</v>
      </c>
      <c r="C110" s="7" t="str">
        <f>IF('Course 5'!$H108='tab5'!C$3,'Course 5'!$I108," ")</f>
        <v xml:space="preserve"> </v>
      </c>
      <c r="D110" s="8" t="str">
        <f>IF('Course 5'!$H108='tab5'!D$3,'Course 5'!$I108," ")</f>
        <v xml:space="preserve"> </v>
      </c>
      <c r="E110" s="8" t="str">
        <f>IF('Course 5'!$H108='tab5'!E$3,'Course 5'!$I108," ")</f>
        <v xml:space="preserve"> </v>
      </c>
      <c r="F110" s="8" t="str">
        <f>IF('Course 5'!$H108='tab5'!F$3,'Course 5'!$I108," ")</f>
        <v xml:space="preserve"> </v>
      </c>
      <c r="G110" s="8" t="str">
        <f>IF('Course 5'!$H108='tab5'!G$3,'Course 5'!$I108," ")</f>
        <v xml:space="preserve"> </v>
      </c>
      <c r="H110" s="8" t="str">
        <f>IF('Course 5'!$H108='tab5'!H$3,'Course 5'!$I108," ")</f>
        <v xml:space="preserve"> </v>
      </c>
      <c r="I110" s="8" t="str">
        <f>IF('Course 5'!$H108='tab5'!I$3,'Course 5'!$I108," ")</f>
        <v xml:space="preserve"> </v>
      </c>
      <c r="J110" s="8" t="str">
        <f>IF('Course 5'!$H108='tab5'!J$3,'Course 5'!$I108," ")</f>
        <v xml:space="preserve"> </v>
      </c>
      <c r="K110" s="8" t="str">
        <f>IF('Course 5'!$H108='tab5'!K$3,'Course 5'!$I108," ")</f>
        <v xml:space="preserve"> </v>
      </c>
      <c r="L110" s="8" t="str">
        <f>IF('Course 5'!$H108='tab5'!L$3,'Course 5'!$I108," ")</f>
        <v xml:space="preserve"> </v>
      </c>
      <c r="M110" s="8" t="str">
        <f>IF('Course 5'!$H108='tab5'!M$3,'Course 5'!$I108," ")</f>
        <v xml:space="preserve"> </v>
      </c>
      <c r="N110" s="9" t="str">
        <f>IF('Course 5'!$H108='tab5'!N$3,'Course 5'!$I108," ")</f>
        <v xml:space="preserve"> </v>
      </c>
    </row>
    <row r="111" spans="2:14">
      <c r="B111">
        <v>107</v>
      </c>
      <c r="C111" s="7" t="str">
        <f>IF('Course 5'!$H109='tab5'!C$3,'Course 5'!$I109," ")</f>
        <v xml:space="preserve"> </v>
      </c>
      <c r="D111" s="8" t="str">
        <f>IF('Course 5'!$H109='tab5'!D$3,'Course 5'!$I109," ")</f>
        <v xml:space="preserve"> </v>
      </c>
      <c r="E111" s="8" t="str">
        <f>IF('Course 5'!$H109='tab5'!E$3,'Course 5'!$I109," ")</f>
        <v xml:space="preserve"> </v>
      </c>
      <c r="F111" s="8" t="str">
        <f>IF('Course 5'!$H109='tab5'!F$3,'Course 5'!$I109," ")</f>
        <v xml:space="preserve"> </v>
      </c>
      <c r="G111" s="8" t="str">
        <f>IF('Course 5'!$H109='tab5'!G$3,'Course 5'!$I109," ")</f>
        <v xml:space="preserve"> </v>
      </c>
      <c r="H111" s="8" t="str">
        <f>IF('Course 5'!$H109='tab5'!H$3,'Course 5'!$I109," ")</f>
        <v xml:space="preserve"> </v>
      </c>
      <c r="I111" s="8" t="str">
        <f>IF('Course 5'!$H109='tab5'!I$3,'Course 5'!$I109," ")</f>
        <v xml:space="preserve"> </v>
      </c>
      <c r="J111" s="8" t="str">
        <f>IF('Course 5'!$H109='tab5'!J$3,'Course 5'!$I109," ")</f>
        <v xml:space="preserve"> </v>
      </c>
      <c r="K111" s="8" t="str">
        <f>IF('Course 5'!$H109='tab5'!K$3,'Course 5'!$I109," ")</f>
        <v xml:space="preserve"> </v>
      </c>
      <c r="L111" s="8" t="str">
        <f>IF('Course 5'!$H109='tab5'!L$3,'Course 5'!$I109," ")</f>
        <v xml:space="preserve"> </v>
      </c>
      <c r="M111" s="8" t="str">
        <f>IF('Course 5'!$H109='tab5'!M$3,'Course 5'!$I109," ")</f>
        <v xml:space="preserve"> </v>
      </c>
      <c r="N111" s="9" t="str">
        <f>IF('Course 5'!$H109='tab5'!N$3,'Course 5'!$I109," ")</f>
        <v xml:space="preserve"> </v>
      </c>
    </row>
    <row r="112" spans="2:14">
      <c r="B112">
        <v>108</v>
      </c>
      <c r="C112" s="7" t="str">
        <f>IF('Course 5'!$H110='tab5'!C$3,'Course 5'!$I110," ")</f>
        <v xml:space="preserve"> </v>
      </c>
      <c r="D112" s="8" t="str">
        <f>IF('Course 5'!$H110='tab5'!D$3,'Course 5'!$I110," ")</f>
        <v xml:space="preserve"> </v>
      </c>
      <c r="E112" s="8" t="str">
        <f>IF('Course 5'!$H110='tab5'!E$3,'Course 5'!$I110," ")</f>
        <v xml:space="preserve"> </v>
      </c>
      <c r="F112" s="8" t="str">
        <f>IF('Course 5'!$H110='tab5'!F$3,'Course 5'!$I110," ")</f>
        <v xml:space="preserve"> </v>
      </c>
      <c r="G112" s="8" t="str">
        <f>IF('Course 5'!$H110='tab5'!G$3,'Course 5'!$I110," ")</f>
        <v xml:space="preserve"> </v>
      </c>
      <c r="H112" s="8" t="str">
        <f>IF('Course 5'!$H110='tab5'!H$3,'Course 5'!$I110," ")</f>
        <v xml:space="preserve"> </v>
      </c>
      <c r="I112" s="8" t="str">
        <f>IF('Course 5'!$H110='tab5'!I$3,'Course 5'!$I110," ")</f>
        <v xml:space="preserve"> </v>
      </c>
      <c r="J112" s="8" t="str">
        <f>IF('Course 5'!$H110='tab5'!J$3,'Course 5'!$I110," ")</f>
        <v xml:space="preserve"> </v>
      </c>
      <c r="K112" s="8" t="str">
        <f>IF('Course 5'!$H110='tab5'!K$3,'Course 5'!$I110," ")</f>
        <v xml:space="preserve"> </v>
      </c>
      <c r="L112" s="8" t="str">
        <f>IF('Course 5'!$H110='tab5'!L$3,'Course 5'!$I110," ")</f>
        <v xml:space="preserve"> </v>
      </c>
      <c r="M112" s="8" t="str">
        <f>IF('Course 5'!$H110='tab5'!M$3,'Course 5'!$I110," ")</f>
        <v xml:space="preserve"> </v>
      </c>
      <c r="N112" s="9" t="str">
        <f>IF('Course 5'!$H110='tab5'!N$3,'Course 5'!$I110," ")</f>
        <v xml:space="preserve"> </v>
      </c>
    </row>
    <row r="113" spans="2:14">
      <c r="B113">
        <v>109</v>
      </c>
      <c r="C113" s="7" t="str">
        <f>IF('Course 5'!$H111='tab5'!C$3,'Course 5'!$I111," ")</f>
        <v xml:space="preserve"> </v>
      </c>
      <c r="D113" s="8" t="str">
        <f>IF('Course 5'!$H111='tab5'!D$3,'Course 5'!$I111," ")</f>
        <v xml:space="preserve"> </v>
      </c>
      <c r="E113" s="8" t="str">
        <f>IF('Course 5'!$H111='tab5'!E$3,'Course 5'!$I111," ")</f>
        <v xml:space="preserve"> </v>
      </c>
      <c r="F113" s="8" t="str">
        <f>IF('Course 5'!$H111='tab5'!F$3,'Course 5'!$I111," ")</f>
        <v xml:space="preserve"> </v>
      </c>
      <c r="G113" s="8" t="str">
        <f>IF('Course 5'!$H111='tab5'!G$3,'Course 5'!$I111," ")</f>
        <v xml:space="preserve"> </v>
      </c>
      <c r="H113" s="8" t="str">
        <f>IF('Course 5'!$H111='tab5'!H$3,'Course 5'!$I111," ")</f>
        <v xml:space="preserve"> </v>
      </c>
      <c r="I113" s="8" t="str">
        <f>IF('Course 5'!$H111='tab5'!I$3,'Course 5'!$I111," ")</f>
        <v xml:space="preserve"> </v>
      </c>
      <c r="J113" s="8" t="str">
        <f>IF('Course 5'!$H111='tab5'!J$3,'Course 5'!$I111," ")</f>
        <v xml:space="preserve"> </v>
      </c>
      <c r="K113" s="8" t="str">
        <f>IF('Course 5'!$H111='tab5'!K$3,'Course 5'!$I111," ")</f>
        <v xml:space="preserve"> </v>
      </c>
      <c r="L113" s="8" t="str">
        <f>IF('Course 5'!$H111='tab5'!L$3,'Course 5'!$I111," ")</f>
        <v xml:space="preserve"> </v>
      </c>
      <c r="M113" s="8" t="str">
        <f>IF('Course 5'!$H111='tab5'!M$3,'Course 5'!$I111," ")</f>
        <v xml:space="preserve"> </v>
      </c>
      <c r="N113" s="9" t="str">
        <f>IF('Course 5'!$H111='tab5'!N$3,'Course 5'!$I111," ")</f>
        <v xml:space="preserve"> </v>
      </c>
    </row>
    <row r="114" spans="2:14">
      <c r="B114">
        <v>110</v>
      </c>
      <c r="C114" s="7" t="str">
        <f>IF('Course 5'!$H112='tab5'!C$3,'Course 5'!$I112," ")</f>
        <v xml:space="preserve"> </v>
      </c>
      <c r="D114" s="8" t="str">
        <f>IF('Course 5'!$H112='tab5'!D$3,'Course 5'!$I112," ")</f>
        <v xml:space="preserve"> </v>
      </c>
      <c r="E114" s="8" t="str">
        <f>IF('Course 5'!$H112='tab5'!E$3,'Course 5'!$I112," ")</f>
        <v xml:space="preserve"> </v>
      </c>
      <c r="F114" s="8" t="str">
        <f>IF('Course 5'!$H112='tab5'!F$3,'Course 5'!$I112," ")</f>
        <v xml:space="preserve"> </v>
      </c>
      <c r="G114" s="8" t="str">
        <f>IF('Course 5'!$H112='tab5'!G$3,'Course 5'!$I112," ")</f>
        <v xml:space="preserve"> </v>
      </c>
      <c r="H114" s="8" t="str">
        <f>IF('Course 5'!$H112='tab5'!H$3,'Course 5'!$I112," ")</f>
        <v xml:space="preserve"> </v>
      </c>
      <c r="I114" s="8" t="str">
        <f>IF('Course 5'!$H112='tab5'!I$3,'Course 5'!$I112," ")</f>
        <v xml:space="preserve"> </v>
      </c>
      <c r="J114" s="8" t="str">
        <f>IF('Course 5'!$H112='tab5'!J$3,'Course 5'!$I112," ")</f>
        <v xml:space="preserve"> </v>
      </c>
      <c r="K114" s="8" t="str">
        <f>IF('Course 5'!$H112='tab5'!K$3,'Course 5'!$I112," ")</f>
        <v xml:space="preserve"> </v>
      </c>
      <c r="L114" s="8" t="str">
        <f>IF('Course 5'!$H112='tab5'!L$3,'Course 5'!$I112," ")</f>
        <v xml:space="preserve"> </v>
      </c>
      <c r="M114" s="8" t="str">
        <f>IF('Course 5'!$H112='tab5'!M$3,'Course 5'!$I112," ")</f>
        <v xml:space="preserve"> </v>
      </c>
      <c r="N114" s="9" t="str">
        <f>IF('Course 5'!$H112='tab5'!N$3,'Course 5'!$I112," ")</f>
        <v xml:space="preserve"> </v>
      </c>
    </row>
    <row r="115" spans="2:14">
      <c r="B115">
        <v>111</v>
      </c>
      <c r="C115" s="7" t="str">
        <f>IF('Course 5'!$H113='tab5'!C$3,'Course 5'!$I113," ")</f>
        <v xml:space="preserve"> </v>
      </c>
      <c r="D115" s="8" t="str">
        <f>IF('Course 5'!$H113='tab5'!D$3,'Course 5'!$I113," ")</f>
        <v xml:space="preserve"> </v>
      </c>
      <c r="E115" s="8" t="str">
        <f>IF('Course 5'!$H113='tab5'!E$3,'Course 5'!$I113," ")</f>
        <v xml:space="preserve"> </v>
      </c>
      <c r="F115" s="8" t="str">
        <f>IF('Course 5'!$H113='tab5'!F$3,'Course 5'!$I113," ")</f>
        <v xml:space="preserve"> </v>
      </c>
      <c r="G115" s="8" t="str">
        <f>IF('Course 5'!$H113='tab5'!G$3,'Course 5'!$I113," ")</f>
        <v xml:space="preserve"> </v>
      </c>
      <c r="H115" s="8" t="str">
        <f>IF('Course 5'!$H113='tab5'!H$3,'Course 5'!$I113," ")</f>
        <v xml:space="preserve"> </v>
      </c>
      <c r="I115" s="8" t="str">
        <f>IF('Course 5'!$H113='tab5'!I$3,'Course 5'!$I113," ")</f>
        <v xml:space="preserve"> </v>
      </c>
      <c r="J115" s="8" t="str">
        <f>IF('Course 5'!$H113='tab5'!J$3,'Course 5'!$I113," ")</f>
        <v xml:space="preserve"> </v>
      </c>
      <c r="K115" s="8" t="str">
        <f>IF('Course 5'!$H113='tab5'!K$3,'Course 5'!$I113," ")</f>
        <v xml:space="preserve"> </v>
      </c>
      <c r="L115" s="8" t="str">
        <f>IF('Course 5'!$H113='tab5'!L$3,'Course 5'!$I113," ")</f>
        <v xml:space="preserve"> </v>
      </c>
      <c r="M115" s="8" t="str">
        <f>IF('Course 5'!$H113='tab5'!M$3,'Course 5'!$I113," ")</f>
        <v xml:space="preserve"> </v>
      </c>
      <c r="N115" s="9" t="str">
        <f>IF('Course 5'!$H113='tab5'!N$3,'Course 5'!$I113," ")</f>
        <v xml:space="preserve"> </v>
      </c>
    </row>
    <row r="116" spans="2:14">
      <c r="B116">
        <v>112</v>
      </c>
      <c r="C116" s="7" t="str">
        <f>IF('Course 5'!$H114='tab5'!C$3,'Course 5'!$I114," ")</f>
        <v xml:space="preserve"> </v>
      </c>
      <c r="D116" s="8" t="str">
        <f>IF('Course 5'!$H114='tab5'!D$3,'Course 5'!$I114," ")</f>
        <v xml:space="preserve"> </v>
      </c>
      <c r="E116" s="8" t="str">
        <f>IF('Course 5'!$H114='tab5'!E$3,'Course 5'!$I114," ")</f>
        <v xml:space="preserve"> </v>
      </c>
      <c r="F116" s="8" t="str">
        <f>IF('Course 5'!$H114='tab5'!F$3,'Course 5'!$I114," ")</f>
        <v xml:space="preserve"> </v>
      </c>
      <c r="G116" s="8" t="str">
        <f>IF('Course 5'!$H114='tab5'!G$3,'Course 5'!$I114," ")</f>
        <v xml:space="preserve"> </v>
      </c>
      <c r="H116" s="8" t="str">
        <f>IF('Course 5'!$H114='tab5'!H$3,'Course 5'!$I114," ")</f>
        <v xml:space="preserve"> </v>
      </c>
      <c r="I116" s="8" t="str">
        <f>IF('Course 5'!$H114='tab5'!I$3,'Course 5'!$I114," ")</f>
        <v xml:space="preserve"> </v>
      </c>
      <c r="J116" s="8" t="str">
        <f>IF('Course 5'!$H114='tab5'!J$3,'Course 5'!$I114," ")</f>
        <v xml:space="preserve"> </v>
      </c>
      <c r="K116" s="8" t="str">
        <f>IF('Course 5'!$H114='tab5'!K$3,'Course 5'!$I114," ")</f>
        <v xml:space="preserve"> </v>
      </c>
      <c r="L116" s="8" t="str">
        <f>IF('Course 5'!$H114='tab5'!L$3,'Course 5'!$I114," ")</f>
        <v xml:space="preserve"> </v>
      </c>
      <c r="M116" s="8" t="str">
        <f>IF('Course 5'!$H114='tab5'!M$3,'Course 5'!$I114," ")</f>
        <v xml:space="preserve"> </v>
      </c>
      <c r="N116" s="9" t="str">
        <f>IF('Course 5'!$H114='tab5'!N$3,'Course 5'!$I114," ")</f>
        <v xml:space="preserve"> </v>
      </c>
    </row>
    <row r="117" spans="2:14">
      <c r="B117">
        <v>113</v>
      </c>
      <c r="C117" s="7" t="str">
        <f>IF('Course 5'!$H115='tab5'!C$3,'Course 5'!$I115," ")</f>
        <v xml:space="preserve"> </v>
      </c>
      <c r="D117" s="8" t="str">
        <f>IF('Course 5'!$H115='tab5'!D$3,'Course 5'!$I115," ")</f>
        <v xml:space="preserve"> </v>
      </c>
      <c r="E117" s="8" t="str">
        <f>IF('Course 5'!$H115='tab5'!E$3,'Course 5'!$I115," ")</f>
        <v xml:space="preserve"> </v>
      </c>
      <c r="F117" s="8" t="str">
        <f>IF('Course 5'!$H115='tab5'!F$3,'Course 5'!$I115," ")</f>
        <v xml:space="preserve"> </v>
      </c>
      <c r="G117" s="8" t="str">
        <f>IF('Course 5'!$H115='tab5'!G$3,'Course 5'!$I115," ")</f>
        <v xml:space="preserve"> </v>
      </c>
      <c r="H117" s="8" t="str">
        <f>IF('Course 5'!$H115='tab5'!H$3,'Course 5'!$I115," ")</f>
        <v xml:space="preserve"> </v>
      </c>
      <c r="I117" s="8" t="str">
        <f>IF('Course 5'!$H115='tab5'!I$3,'Course 5'!$I115," ")</f>
        <v xml:space="preserve"> </v>
      </c>
      <c r="J117" s="8" t="str">
        <f>IF('Course 5'!$H115='tab5'!J$3,'Course 5'!$I115," ")</f>
        <v xml:space="preserve"> </v>
      </c>
      <c r="K117" s="8" t="str">
        <f>IF('Course 5'!$H115='tab5'!K$3,'Course 5'!$I115," ")</f>
        <v xml:space="preserve"> </v>
      </c>
      <c r="L117" s="8" t="str">
        <f>IF('Course 5'!$H115='tab5'!L$3,'Course 5'!$I115," ")</f>
        <v xml:space="preserve"> </v>
      </c>
      <c r="M117" s="8" t="str">
        <f>IF('Course 5'!$H115='tab5'!M$3,'Course 5'!$I115," ")</f>
        <v xml:space="preserve"> </v>
      </c>
      <c r="N117" s="9" t="str">
        <f>IF('Course 5'!$H115='tab5'!N$3,'Course 5'!$I115," ")</f>
        <v xml:space="preserve"> </v>
      </c>
    </row>
    <row r="118" spans="2:14">
      <c r="B118">
        <v>114</v>
      </c>
      <c r="C118" s="7" t="str">
        <f>IF('Course 5'!$H116='tab5'!C$3,'Course 5'!$I116," ")</f>
        <v xml:space="preserve"> </v>
      </c>
      <c r="D118" s="8" t="str">
        <f>IF('Course 5'!$H116='tab5'!D$3,'Course 5'!$I116," ")</f>
        <v xml:space="preserve"> </v>
      </c>
      <c r="E118" s="8" t="str">
        <f>IF('Course 5'!$H116='tab5'!E$3,'Course 5'!$I116," ")</f>
        <v xml:space="preserve"> </v>
      </c>
      <c r="F118" s="8" t="str">
        <f>IF('Course 5'!$H116='tab5'!F$3,'Course 5'!$I116," ")</f>
        <v xml:space="preserve"> </v>
      </c>
      <c r="G118" s="8" t="str">
        <f>IF('Course 5'!$H116='tab5'!G$3,'Course 5'!$I116," ")</f>
        <v xml:space="preserve"> </v>
      </c>
      <c r="H118" s="8" t="str">
        <f>IF('Course 5'!$H116='tab5'!H$3,'Course 5'!$I116," ")</f>
        <v xml:space="preserve"> </v>
      </c>
      <c r="I118" s="8" t="str">
        <f>IF('Course 5'!$H116='tab5'!I$3,'Course 5'!$I116," ")</f>
        <v xml:space="preserve"> </v>
      </c>
      <c r="J118" s="8" t="str">
        <f>IF('Course 5'!$H116='tab5'!J$3,'Course 5'!$I116," ")</f>
        <v xml:space="preserve"> </v>
      </c>
      <c r="K118" s="8" t="str">
        <f>IF('Course 5'!$H116='tab5'!K$3,'Course 5'!$I116," ")</f>
        <v xml:space="preserve"> </v>
      </c>
      <c r="L118" s="8" t="str">
        <f>IF('Course 5'!$H116='tab5'!L$3,'Course 5'!$I116," ")</f>
        <v xml:space="preserve"> </v>
      </c>
      <c r="M118" s="8" t="str">
        <f>IF('Course 5'!$H116='tab5'!M$3,'Course 5'!$I116," ")</f>
        <v xml:space="preserve"> </v>
      </c>
      <c r="N118" s="9" t="str">
        <f>IF('Course 5'!$H116='tab5'!N$3,'Course 5'!$I116," ")</f>
        <v xml:space="preserve"> </v>
      </c>
    </row>
    <row r="119" spans="2:14">
      <c r="B119">
        <v>115</v>
      </c>
      <c r="C119" s="7" t="str">
        <f>IF('Course 5'!$H117='tab5'!C$3,'Course 5'!$I117," ")</f>
        <v xml:space="preserve"> </v>
      </c>
      <c r="D119" s="8" t="str">
        <f>IF('Course 5'!$H117='tab5'!D$3,'Course 5'!$I117," ")</f>
        <v xml:space="preserve"> </v>
      </c>
      <c r="E119" s="8" t="str">
        <f>IF('Course 5'!$H117='tab5'!E$3,'Course 5'!$I117," ")</f>
        <v xml:space="preserve"> </v>
      </c>
      <c r="F119" s="8" t="str">
        <f>IF('Course 5'!$H117='tab5'!F$3,'Course 5'!$I117," ")</f>
        <v xml:space="preserve"> </v>
      </c>
      <c r="G119" s="8" t="str">
        <f>IF('Course 5'!$H117='tab5'!G$3,'Course 5'!$I117," ")</f>
        <v xml:space="preserve"> </v>
      </c>
      <c r="H119" s="8" t="str">
        <f>IF('Course 5'!$H117='tab5'!H$3,'Course 5'!$I117," ")</f>
        <v xml:space="preserve"> </v>
      </c>
      <c r="I119" s="8" t="str">
        <f>IF('Course 5'!$H117='tab5'!I$3,'Course 5'!$I117," ")</f>
        <v xml:space="preserve"> </v>
      </c>
      <c r="J119" s="8" t="str">
        <f>IF('Course 5'!$H117='tab5'!J$3,'Course 5'!$I117," ")</f>
        <v xml:space="preserve"> </v>
      </c>
      <c r="K119" s="8" t="str">
        <f>IF('Course 5'!$H117='tab5'!K$3,'Course 5'!$I117," ")</f>
        <v xml:space="preserve"> </v>
      </c>
      <c r="L119" s="8" t="str">
        <f>IF('Course 5'!$H117='tab5'!L$3,'Course 5'!$I117," ")</f>
        <v xml:space="preserve"> </v>
      </c>
      <c r="M119" s="8" t="str">
        <f>IF('Course 5'!$H117='tab5'!M$3,'Course 5'!$I117," ")</f>
        <v xml:space="preserve"> </v>
      </c>
      <c r="N119" s="9" t="str">
        <f>IF('Course 5'!$H117='tab5'!N$3,'Course 5'!$I117," ")</f>
        <v xml:space="preserve"> </v>
      </c>
    </row>
    <row r="120" spans="2:14">
      <c r="B120">
        <v>116</v>
      </c>
      <c r="C120" s="7" t="str">
        <f>IF('Course 5'!$H118='tab5'!C$3,'Course 5'!$I118," ")</f>
        <v xml:space="preserve"> </v>
      </c>
      <c r="D120" s="8" t="str">
        <f>IF('Course 5'!$H118='tab5'!D$3,'Course 5'!$I118," ")</f>
        <v xml:space="preserve"> </v>
      </c>
      <c r="E120" s="8" t="str">
        <f>IF('Course 5'!$H118='tab5'!E$3,'Course 5'!$I118," ")</f>
        <v xml:space="preserve"> </v>
      </c>
      <c r="F120" s="8" t="str">
        <f>IF('Course 5'!$H118='tab5'!F$3,'Course 5'!$I118," ")</f>
        <v xml:space="preserve"> </v>
      </c>
      <c r="G120" s="8" t="str">
        <f>IF('Course 5'!$H118='tab5'!G$3,'Course 5'!$I118," ")</f>
        <v xml:space="preserve"> </v>
      </c>
      <c r="H120" s="8" t="str">
        <f>IF('Course 5'!$H118='tab5'!H$3,'Course 5'!$I118," ")</f>
        <v xml:space="preserve"> </v>
      </c>
      <c r="I120" s="8" t="str">
        <f>IF('Course 5'!$H118='tab5'!I$3,'Course 5'!$I118," ")</f>
        <v xml:space="preserve"> </v>
      </c>
      <c r="J120" s="8" t="str">
        <f>IF('Course 5'!$H118='tab5'!J$3,'Course 5'!$I118," ")</f>
        <v xml:space="preserve"> </v>
      </c>
      <c r="K120" s="8" t="str">
        <f>IF('Course 5'!$H118='tab5'!K$3,'Course 5'!$I118," ")</f>
        <v xml:space="preserve"> </v>
      </c>
      <c r="L120" s="8" t="str">
        <f>IF('Course 5'!$H118='tab5'!L$3,'Course 5'!$I118," ")</f>
        <v xml:space="preserve"> </v>
      </c>
      <c r="M120" s="8" t="str">
        <f>IF('Course 5'!$H118='tab5'!M$3,'Course 5'!$I118," ")</f>
        <v xml:space="preserve"> </v>
      </c>
      <c r="N120" s="9" t="str">
        <f>IF('Course 5'!$H118='tab5'!N$3,'Course 5'!$I118," ")</f>
        <v xml:space="preserve"> </v>
      </c>
    </row>
    <row r="121" spans="2:14">
      <c r="B121">
        <v>117</v>
      </c>
      <c r="C121" s="7" t="str">
        <f>IF('Course 5'!$H119='tab5'!C$3,'Course 5'!$I119," ")</f>
        <v xml:space="preserve"> </v>
      </c>
      <c r="D121" s="8" t="str">
        <f>IF('Course 5'!$H119='tab5'!D$3,'Course 5'!$I119," ")</f>
        <v xml:space="preserve"> </v>
      </c>
      <c r="E121" s="8" t="str">
        <f>IF('Course 5'!$H119='tab5'!E$3,'Course 5'!$I119," ")</f>
        <v xml:space="preserve"> </v>
      </c>
      <c r="F121" s="8" t="str">
        <f>IF('Course 5'!$H119='tab5'!F$3,'Course 5'!$I119," ")</f>
        <v xml:space="preserve"> </v>
      </c>
      <c r="G121" s="8" t="str">
        <f>IF('Course 5'!$H119='tab5'!G$3,'Course 5'!$I119," ")</f>
        <v xml:space="preserve"> </v>
      </c>
      <c r="H121" s="8" t="str">
        <f>IF('Course 5'!$H119='tab5'!H$3,'Course 5'!$I119," ")</f>
        <v xml:space="preserve"> </v>
      </c>
      <c r="I121" s="8" t="str">
        <f>IF('Course 5'!$H119='tab5'!I$3,'Course 5'!$I119," ")</f>
        <v xml:space="preserve"> </v>
      </c>
      <c r="J121" s="8" t="str">
        <f>IF('Course 5'!$H119='tab5'!J$3,'Course 5'!$I119," ")</f>
        <v xml:space="preserve"> </v>
      </c>
      <c r="K121" s="8" t="str">
        <f>IF('Course 5'!$H119='tab5'!K$3,'Course 5'!$I119," ")</f>
        <v xml:space="preserve"> </v>
      </c>
      <c r="L121" s="8" t="str">
        <f>IF('Course 5'!$H119='tab5'!L$3,'Course 5'!$I119," ")</f>
        <v xml:space="preserve"> </v>
      </c>
      <c r="M121" s="8" t="str">
        <f>IF('Course 5'!$H119='tab5'!M$3,'Course 5'!$I119," ")</f>
        <v xml:space="preserve"> </v>
      </c>
      <c r="N121" s="9" t="str">
        <f>IF('Course 5'!$H119='tab5'!N$3,'Course 5'!$I119," ")</f>
        <v xml:space="preserve"> </v>
      </c>
    </row>
    <row r="122" spans="2:14">
      <c r="B122">
        <v>118</v>
      </c>
      <c r="C122" s="7" t="str">
        <f>IF('Course 5'!$H120='tab5'!C$3,'Course 5'!$I120," ")</f>
        <v xml:space="preserve"> </v>
      </c>
      <c r="D122" s="8" t="str">
        <f>IF('Course 5'!$H120='tab5'!D$3,'Course 5'!$I120," ")</f>
        <v xml:space="preserve"> </v>
      </c>
      <c r="E122" s="8" t="str">
        <f>IF('Course 5'!$H120='tab5'!E$3,'Course 5'!$I120," ")</f>
        <v xml:space="preserve"> </v>
      </c>
      <c r="F122" s="8" t="str">
        <f>IF('Course 5'!$H120='tab5'!F$3,'Course 5'!$I120," ")</f>
        <v xml:space="preserve"> </v>
      </c>
      <c r="G122" s="8" t="str">
        <f>IF('Course 5'!$H120='tab5'!G$3,'Course 5'!$I120," ")</f>
        <v xml:space="preserve"> </v>
      </c>
      <c r="H122" s="8" t="str">
        <f>IF('Course 5'!$H120='tab5'!H$3,'Course 5'!$I120," ")</f>
        <v xml:space="preserve"> </v>
      </c>
      <c r="I122" s="8" t="str">
        <f>IF('Course 5'!$H120='tab5'!I$3,'Course 5'!$I120," ")</f>
        <v xml:space="preserve"> </v>
      </c>
      <c r="J122" s="8" t="str">
        <f>IF('Course 5'!$H120='tab5'!J$3,'Course 5'!$I120," ")</f>
        <v xml:space="preserve"> </v>
      </c>
      <c r="K122" s="8" t="str">
        <f>IF('Course 5'!$H120='tab5'!K$3,'Course 5'!$I120," ")</f>
        <v xml:space="preserve"> </v>
      </c>
      <c r="L122" s="8" t="str">
        <f>IF('Course 5'!$H120='tab5'!L$3,'Course 5'!$I120," ")</f>
        <v xml:space="preserve"> </v>
      </c>
      <c r="M122" s="8" t="str">
        <f>IF('Course 5'!$H120='tab5'!M$3,'Course 5'!$I120," ")</f>
        <v xml:space="preserve"> </v>
      </c>
      <c r="N122" s="9" t="str">
        <f>IF('Course 5'!$H120='tab5'!N$3,'Course 5'!$I120," ")</f>
        <v xml:space="preserve"> </v>
      </c>
    </row>
    <row r="123" spans="2:14">
      <c r="B123">
        <v>119</v>
      </c>
      <c r="C123" s="7" t="str">
        <f>IF('Course 5'!$H121='tab5'!C$3,'Course 5'!$I121," ")</f>
        <v xml:space="preserve"> </v>
      </c>
      <c r="D123" s="8" t="str">
        <f>IF('Course 5'!$H121='tab5'!D$3,'Course 5'!$I121," ")</f>
        <v xml:space="preserve"> </v>
      </c>
      <c r="E123" s="8" t="str">
        <f>IF('Course 5'!$H121='tab5'!E$3,'Course 5'!$I121," ")</f>
        <v xml:space="preserve"> </v>
      </c>
      <c r="F123" s="8" t="str">
        <f>IF('Course 5'!$H121='tab5'!F$3,'Course 5'!$I121," ")</f>
        <v xml:space="preserve"> </v>
      </c>
      <c r="G123" s="8" t="str">
        <f>IF('Course 5'!$H121='tab5'!G$3,'Course 5'!$I121," ")</f>
        <v xml:space="preserve"> </v>
      </c>
      <c r="H123" s="8" t="str">
        <f>IF('Course 5'!$H121='tab5'!H$3,'Course 5'!$I121," ")</f>
        <v xml:space="preserve"> </v>
      </c>
      <c r="I123" s="8" t="str">
        <f>IF('Course 5'!$H121='tab5'!I$3,'Course 5'!$I121," ")</f>
        <v xml:space="preserve"> </v>
      </c>
      <c r="J123" s="8" t="str">
        <f>IF('Course 5'!$H121='tab5'!J$3,'Course 5'!$I121," ")</f>
        <v xml:space="preserve"> </v>
      </c>
      <c r="K123" s="8" t="str">
        <f>IF('Course 5'!$H121='tab5'!K$3,'Course 5'!$I121," ")</f>
        <v xml:space="preserve"> </v>
      </c>
      <c r="L123" s="8" t="str">
        <f>IF('Course 5'!$H121='tab5'!L$3,'Course 5'!$I121," ")</f>
        <v xml:space="preserve"> </v>
      </c>
      <c r="M123" s="8" t="str">
        <f>IF('Course 5'!$H121='tab5'!M$3,'Course 5'!$I121," ")</f>
        <v xml:space="preserve"> </v>
      </c>
      <c r="N123" s="9" t="str">
        <f>IF('Course 5'!$H121='tab5'!N$3,'Course 5'!$I121," ")</f>
        <v xml:space="preserve"> </v>
      </c>
    </row>
    <row r="124" spans="2:14">
      <c r="B124">
        <v>120</v>
      </c>
      <c r="C124" s="7" t="str">
        <f>IF('Course 5'!$H122='tab5'!C$3,'Course 5'!$I122," ")</f>
        <v xml:space="preserve"> </v>
      </c>
      <c r="D124" s="8" t="str">
        <f>IF('Course 5'!$H122='tab5'!D$3,'Course 5'!$I122," ")</f>
        <v xml:space="preserve"> </v>
      </c>
      <c r="E124" s="8" t="str">
        <f>IF('Course 5'!$H122='tab5'!E$3,'Course 5'!$I122," ")</f>
        <v xml:space="preserve"> </v>
      </c>
      <c r="F124" s="8" t="str">
        <f>IF('Course 5'!$H122='tab5'!F$3,'Course 5'!$I122," ")</f>
        <v xml:space="preserve"> </v>
      </c>
      <c r="G124" s="8" t="str">
        <f>IF('Course 5'!$H122='tab5'!G$3,'Course 5'!$I122," ")</f>
        <v xml:space="preserve"> </v>
      </c>
      <c r="H124" s="8" t="str">
        <f>IF('Course 5'!$H122='tab5'!H$3,'Course 5'!$I122," ")</f>
        <v xml:space="preserve"> </v>
      </c>
      <c r="I124" s="8" t="str">
        <f>IF('Course 5'!$H122='tab5'!I$3,'Course 5'!$I122," ")</f>
        <v xml:space="preserve"> </v>
      </c>
      <c r="J124" s="8" t="str">
        <f>IF('Course 5'!$H122='tab5'!J$3,'Course 5'!$I122," ")</f>
        <v xml:space="preserve"> </v>
      </c>
      <c r="K124" s="8" t="str">
        <f>IF('Course 5'!$H122='tab5'!K$3,'Course 5'!$I122," ")</f>
        <v xml:space="preserve"> </v>
      </c>
      <c r="L124" s="8" t="str">
        <f>IF('Course 5'!$H122='tab5'!L$3,'Course 5'!$I122," ")</f>
        <v xml:space="preserve"> </v>
      </c>
      <c r="M124" s="8" t="str">
        <f>IF('Course 5'!$H122='tab5'!M$3,'Course 5'!$I122," ")</f>
        <v xml:space="preserve"> </v>
      </c>
      <c r="N124" s="9" t="str">
        <f>IF('Course 5'!$H122='tab5'!N$3,'Course 5'!$I122," ")</f>
        <v xml:space="preserve"> </v>
      </c>
    </row>
    <row r="125" spans="2:14">
      <c r="B125">
        <v>121</v>
      </c>
      <c r="C125" s="7" t="str">
        <f>IF('Course 5'!$H123='tab5'!C$3,'Course 5'!$I123," ")</f>
        <v xml:space="preserve"> </v>
      </c>
      <c r="D125" s="8" t="str">
        <f>IF('Course 5'!$H123='tab5'!D$3,'Course 5'!$I123," ")</f>
        <v xml:space="preserve"> </v>
      </c>
      <c r="E125" s="8" t="str">
        <f>IF('Course 5'!$H123='tab5'!E$3,'Course 5'!$I123," ")</f>
        <v xml:space="preserve"> </v>
      </c>
      <c r="F125" s="8" t="str">
        <f>IF('Course 5'!$H123='tab5'!F$3,'Course 5'!$I123," ")</f>
        <v xml:space="preserve"> </v>
      </c>
      <c r="G125" s="8" t="str">
        <f>IF('Course 5'!$H123='tab5'!G$3,'Course 5'!$I123," ")</f>
        <v xml:space="preserve"> </v>
      </c>
      <c r="H125" s="8" t="str">
        <f>IF('Course 5'!$H123='tab5'!H$3,'Course 5'!$I123," ")</f>
        <v xml:space="preserve"> </v>
      </c>
      <c r="I125" s="8" t="str">
        <f>IF('Course 5'!$H123='tab5'!I$3,'Course 5'!$I123," ")</f>
        <v xml:space="preserve"> </v>
      </c>
      <c r="J125" s="8" t="str">
        <f>IF('Course 5'!$H123='tab5'!J$3,'Course 5'!$I123," ")</f>
        <v xml:space="preserve"> </v>
      </c>
      <c r="K125" s="8" t="str">
        <f>IF('Course 5'!$H123='tab5'!K$3,'Course 5'!$I123," ")</f>
        <v xml:space="preserve"> </v>
      </c>
      <c r="L125" s="8" t="str">
        <f>IF('Course 5'!$H123='tab5'!L$3,'Course 5'!$I123," ")</f>
        <v xml:space="preserve"> </v>
      </c>
      <c r="M125" s="8" t="str">
        <f>IF('Course 5'!$H123='tab5'!M$3,'Course 5'!$I123," ")</f>
        <v xml:space="preserve"> </v>
      </c>
      <c r="N125" s="9" t="str">
        <f>IF('Course 5'!$H123='tab5'!N$3,'Course 5'!$I123," ")</f>
        <v xml:space="preserve"> </v>
      </c>
    </row>
    <row r="126" spans="2:14">
      <c r="B126">
        <v>122</v>
      </c>
      <c r="C126" s="7" t="str">
        <f>IF('Course 5'!$H124='tab5'!C$3,'Course 5'!$I124," ")</f>
        <v xml:space="preserve"> </v>
      </c>
      <c r="D126" s="8" t="str">
        <f>IF('Course 5'!$H124='tab5'!D$3,'Course 5'!$I124," ")</f>
        <v xml:space="preserve"> </v>
      </c>
      <c r="E126" s="8" t="str">
        <f>IF('Course 5'!$H124='tab5'!E$3,'Course 5'!$I124," ")</f>
        <v xml:space="preserve"> </v>
      </c>
      <c r="F126" s="8" t="str">
        <f>IF('Course 5'!$H124='tab5'!F$3,'Course 5'!$I124," ")</f>
        <v xml:space="preserve"> </v>
      </c>
      <c r="G126" s="8" t="str">
        <f>IF('Course 5'!$H124='tab5'!G$3,'Course 5'!$I124," ")</f>
        <v xml:space="preserve"> </v>
      </c>
      <c r="H126" s="8" t="str">
        <f>IF('Course 5'!$H124='tab5'!H$3,'Course 5'!$I124," ")</f>
        <v xml:space="preserve"> </v>
      </c>
      <c r="I126" s="8" t="str">
        <f>IF('Course 5'!$H124='tab5'!I$3,'Course 5'!$I124," ")</f>
        <v xml:space="preserve"> </v>
      </c>
      <c r="J126" s="8" t="str">
        <f>IF('Course 5'!$H124='tab5'!J$3,'Course 5'!$I124," ")</f>
        <v xml:space="preserve"> </v>
      </c>
      <c r="K126" s="8" t="str">
        <f>IF('Course 5'!$H124='tab5'!K$3,'Course 5'!$I124," ")</f>
        <v xml:space="preserve"> </v>
      </c>
      <c r="L126" s="8" t="str">
        <f>IF('Course 5'!$H124='tab5'!L$3,'Course 5'!$I124," ")</f>
        <v xml:space="preserve"> </v>
      </c>
      <c r="M126" s="8" t="str">
        <f>IF('Course 5'!$H124='tab5'!M$3,'Course 5'!$I124," ")</f>
        <v xml:space="preserve"> </v>
      </c>
      <c r="N126" s="9" t="str">
        <f>IF('Course 5'!$H124='tab5'!N$3,'Course 5'!$I124," ")</f>
        <v xml:space="preserve"> </v>
      </c>
    </row>
    <row r="127" spans="2:14">
      <c r="B127">
        <v>123</v>
      </c>
      <c r="C127" s="7" t="str">
        <f>IF('Course 5'!$H125='tab5'!C$3,'Course 5'!$I125," ")</f>
        <v xml:space="preserve"> </v>
      </c>
      <c r="D127" s="8" t="str">
        <f>IF('Course 5'!$H125='tab5'!D$3,'Course 5'!$I125," ")</f>
        <v xml:space="preserve"> </v>
      </c>
      <c r="E127" s="8" t="str">
        <f>IF('Course 5'!$H125='tab5'!E$3,'Course 5'!$I125," ")</f>
        <v xml:space="preserve"> </v>
      </c>
      <c r="F127" s="8" t="str">
        <f>IF('Course 5'!$H125='tab5'!F$3,'Course 5'!$I125," ")</f>
        <v xml:space="preserve"> </v>
      </c>
      <c r="G127" s="8" t="str">
        <f>IF('Course 5'!$H125='tab5'!G$3,'Course 5'!$I125," ")</f>
        <v xml:space="preserve"> </v>
      </c>
      <c r="H127" s="8" t="str">
        <f>IF('Course 5'!$H125='tab5'!H$3,'Course 5'!$I125," ")</f>
        <v xml:space="preserve"> </v>
      </c>
      <c r="I127" s="8" t="str">
        <f>IF('Course 5'!$H125='tab5'!I$3,'Course 5'!$I125," ")</f>
        <v xml:space="preserve"> </v>
      </c>
      <c r="J127" s="8" t="str">
        <f>IF('Course 5'!$H125='tab5'!J$3,'Course 5'!$I125," ")</f>
        <v xml:space="preserve"> </v>
      </c>
      <c r="K127" s="8" t="str">
        <f>IF('Course 5'!$H125='tab5'!K$3,'Course 5'!$I125," ")</f>
        <v xml:space="preserve"> </v>
      </c>
      <c r="L127" s="8" t="str">
        <f>IF('Course 5'!$H125='tab5'!L$3,'Course 5'!$I125," ")</f>
        <v xml:space="preserve"> </v>
      </c>
      <c r="M127" s="8" t="str">
        <f>IF('Course 5'!$H125='tab5'!M$3,'Course 5'!$I125," ")</f>
        <v xml:space="preserve"> </v>
      </c>
      <c r="N127" s="9" t="str">
        <f>IF('Course 5'!$H125='tab5'!N$3,'Course 5'!$I125," ")</f>
        <v xml:space="preserve"> </v>
      </c>
    </row>
    <row r="128" spans="2:14">
      <c r="B128">
        <v>124</v>
      </c>
      <c r="C128" s="7" t="str">
        <f>IF('Course 5'!$H126='tab5'!C$3,'Course 5'!$I126," ")</f>
        <v xml:space="preserve"> </v>
      </c>
      <c r="D128" s="8" t="str">
        <f>IF('Course 5'!$H126='tab5'!D$3,'Course 5'!$I126," ")</f>
        <v xml:space="preserve"> </v>
      </c>
      <c r="E128" s="8" t="str">
        <f>IF('Course 5'!$H126='tab5'!E$3,'Course 5'!$I126," ")</f>
        <v xml:space="preserve"> </v>
      </c>
      <c r="F128" s="8" t="str">
        <f>IF('Course 5'!$H126='tab5'!F$3,'Course 5'!$I126," ")</f>
        <v xml:space="preserve"> </v>
      </c>
      <c r="G128" s="8" t="str">
        <f>IF('Course 5'!$H126='tab5'!G$3,'Course 5'!$I126," ")</f>
        <v xml:space="preserve"> </v>
      </c>
      <c r="H128" s="8" t="str">
        <f>IF('Course 5'!$H126='tab5'!H$3,'Course 5'!$I126," ")</f>
        <v xml:space="preserve"> </v>
      </c>
      <c r="I128" s="8" t="str">
        <f>IF('Course 5'!$H126='tab5'!I$3,'Course 5'!$I126," ")</f>
        <v xml:space="preserve"> </v>
      </c>
      <c r="J128" s="8" t="str">
        <f>IF('Course 5'!$H126='tab5'!J$3,'Course 5'!$I126," ")</f>
        <v xml:space="preserve"> </v>
      </c>
      <c r="K128" s="8" t="str">
        <f>IF('Course 5'!$H126='tab5'!K$3,'Course 5'!$I126," ")</f>
        <v xml:space="preserve"> </v>
      </c>
      <c r="L128" s="8" t="str">
        <f>IF('Course 5'!$H126='tab5'!L$3,'Course 5'!$I126," ")</f>
        <v xml:space="preserve"> </v>
      </c>
      <c r="M128" s="8" t="str">
        <f>IF('Course 5'!$H126='tab5'!M$3,'Course 5'!$I126," ")</f>
        <v xml:space="preserve"> </v>
      </c>
      <c r="N128" s="9" t="str">
        <f>IF('Course 5'!$H126='tab5'!N$3,'Course 5'!$I126," ")</f>
        <v xml:space="preserve"> </v>
      </c>
    </row>
    <row r="129" spans="2:14">
      <c r="B129">
        <v>125</v>
      </c>
      <c r="C129" s="7" t="str">
        <f>IF('Course 5'!$H127='tab5'!C$3,'Course 5'!$I127," ")</f>
        <v xml:space="preserve"> </v>
      </c>
      <c r="D129" s="8" t="str">
        <f>IF('Course 5'!$H127='tab5'!D$3,'Course 5'!$I127," ")</f>
        <v xml:space="preserve"> </v>
      </c>
      <c r="E129" s="8" t="str">
        <f>IF('Course 5'!$H127='tab5'!E$3,'Course 5'!$I127," ")</f>
        <v xml:space="preserve"> </v>
      </c>
      <c r="F129" s="8" t="str">
        <f>IF('Course 5'!$H127='tab5'!F$3,'Course 5'!$I127," ")</f>
        <v xml:space="preserve"> </v>
      </c>
      <c r="G129" s="8" t="str">
        <f>IF('Course 5'!$H127='tab5'!G$3,'Course 5'!$I127," ")</f>
        <v xml:space="preserve"> </v>
      </c>
      <c r="H129" s="8" t="str">
        <f>IF('Course 5'!$H127='tab5'!H$3,'Course 5'!$I127," ")</f>
        <v xml:space="preserve"> </v>
      </c>
      <c r="I129" s="8" t="str">
        <f>IF('Course 5'!$H127='tab5'!I$3,'Course 5'!$I127," ")</f>
        <v xml:space="preserve"> </v>
      </c>
      <c r="J129" s="8" t="str">
        <f>IF('Course 5'!$H127='tab5'!J$3,'Course 5'!$I127," ")</f>
        <v xml:space="preserve"> </v>
      </c>
      <c r="K129" s="8" t="str">
        <f>IF('Course 5'!$H127='tab5'!K$3,'Course 5'!$I127," ")</f>
        <v xml:space="preserve"> </v>
      </c>
      <c r="L129" s="8" t="str">
        <f>IF('Course 5'!$H127='tab5'!L$3,'Course 5'!$I127," ")</f>
        <v xml:space="preserve"> </v>
      </c>
      <c r="M129" s="8" t="str">
        <f>IF('Course 5'!$H127='tab5'!M$3,'Course 5'!$I127," ")</f>
        <v xml:space="preserve"> </v>
      </c>
      <c r="N129" s="9" t="str">
        <f>IF('Course 5'!$H127='tab5'!N$3,'Course 5'!$I127," ")</f>
        <v xml:space="preserve"> </v>
      </c>
    </row>
    <row r="130" spans="2:14">
      <c r="B130">
        <v>126</v>
      </c>
      <c r="C130" s="7" t="str">
        <f>IF('Course 5'!$H128='tab5'!C$3,'Course 5'!$I128," ")</f>
        <v xml:space="preserve"> </v>
      </c>
      <c r="D130" s="8" t="str">
        <f>IF('Course 5'!$H128='tab5'!D$3,'Course 5'!$I128," ")</f>
        <v xml:space="preserve"> </v>
      </c>
      <c r="E130" s="8" t="str">
        <f>IF('Course 5'!$H128='tab5'!E$3,'Course 5'!$I128," ")</f>
        <v xml:space="preserve"> </v>
      </c>
      <c r="F130" s="8" t="str">
        <f>IF('Course 5'!$H128='tab5'!F$3,'Course 5'!$I128," ")</f>
        <v xml:space="preserve"> </v>
      </c>
      <c r="G130" s="8" t="str">
        <f>IF('Course 5'!$H128='tab5'!G$3,'Course 5'!$I128," ")</f>
        <v xml:space="preserve"> </v>
      </c>
      <c r="H130" s="8" t="str">
        <f>IF('Course 5'!$H128='tab5'!H$3,'Course 5'!$I128," ")</f>
        <v xml:space="preserve"> </v>
      </c>
      <c r="I130" s="8" t="str">
        <f>IF('Course 5'!$H128='tab5'!I$3,'Course 5'!$I128," ")</f>
        <v xml:space="preserve"> </v>
      </c>
      <c r="J130" s="8" t="str">
        <f>IF('Course 5'!$H128='tab5'!J$3,'Course 5'!$I128," ")</f>
        <v xml:space="preserve"> </v>
      </c>
      <c r="K130" s="8" t="str">
        <f>IF('Course 5'!$H128='tab5'!K$3,'Course 5'!$I128," ")</f>
        <v xml:space="preserve"> </v>
      </c>
      <c r="L130" s="8" t="str">
        <f>IF('Course 5'!$H128='tab5'!L$3,'Course 5'!$I128," ")</f>
        <v xml:space="preserve"> </v>
      </c>
      <c r="M130" s="8" t="str">
        <f>IF('Course 5'!$H128='tab5'!M$3,'Course 5'!$I128," ")</f>
        <v xml:space="preserve"> </v>
      </c>
      <c r="N130" s="9" t="str">
        <f>IF('Course 5'!$H128='tab5'!N$3,'Course 5'!$I128," ")</f>
        <v xml:space="preserve"> </v>
      </c>
    </row>
    <row r="131" spans="2:14">
      <c r="B131">
        <v>127</v>
      </c>
      <c r="C131" s="7" t="str">
        <f>IF('Course 5'!$H129='tab5'!C$3,'Course 5'!$I129," ")</f>
        <v xml:space="preserve"> </v>
      </c>
      <c r="D131" s="8" t="str">
        <f>IF('Course 5'!$H129='tab5'!D$3,'Course 5'!$I129," ")</f>
        <v xml:space="preserve"> </v>
      </c>
      <c r="E131" s="8" t="str">
        <f>IF('Course 5'!$H129='tab5'!E$3,'Course 5'!$I129," ")</f>
        <v xml:space="preserve"> </v>
      </c>
      <c r="F131" s="8" t="str">
        <f>IF('Course 5'!$H129='tab5'!F$3,'Course 5'!$I129," ")</f>
        <v xml:space="preserve"> </v>
      </c>
      <c r="G131" s="8" t="str">
        <f>IF('Course 5'!$H129='tab5'!G$3,'Course 5'!$I129," ")</f>
        <v xml:space="preserve"> </v>
      </c>
      <c r="H131" s="8" t="str">
        <f>IF('Course 5'!$H129='tab5'!H$3,'Course 5'!$I129," ")</f>
        <v xml:space="preserve"> </v>
      </c>
      <c r="I131" s="8" t="str">
        <f>IF('Course 5'!$H129='tab5'!I$3,'Course 5'!$I129," ")</f>
        <v xml:space="preserve"> </v>
      </c>
      <c r="J131" s="8" t="str">
        <f>IF('Course 5'!$H129='tab5'!J$3,'Course 5'!$I129," ")</f>
        <v xml:space="preserve"> </v>
      </c>
      <c r="K131" s="8" t="str">
        <f>IF('Course 5'!$H129='tab5'!K$3,'Course 5'!$I129," ")</f>
        <v xml:space="preserve"> </v>
      </c>
      <c r="L131" s="8" t="str">
        <f>IF('Course 5'!$H129='tab5'!L$3,'Course 5'!$I129," ")</f>
        <v xml:space="preserve"> </v>
      </c>
      <c r="M131" s="8" t="str">
        <f>IF('Course 5'!$H129='tab5'!M$3,'Course 5'!$I129," ")</f>
        <v xml:space="preserve"> </v>
      </c>
      <c r="N131" s="9" t="str">
        <f>IF('Course 5'!$H129='tab5'!N$3,'Course 5'!$I129," ")</f>
        <v xml:space="preserve"> </v>
      </c>
    </row>
    <row r="132" spans="2:14">
      <c r="B132">
        <v>128</v>
      </c>
      <c r="C132" s="7" t="str">
        <f>IF('Course 5'!$H130='tab5'!C$3,'Course 5'!$I130," ")</f>
        <v xml:space="preserve"> </v>
      </c>
      <c r="D132" s="8" t="str">
        <f>IF('Course 5'!$H130='tab5'!D$3,'Course 5'!$I130," ")</f>
        <v xml:space="preserve"> </v>
      </c>
      <c r="E132" s="8" t="str">
        <f>IF('Course 5'!$H130='tab5'!E$3,'Course 5'!$I130," ")</f>
        <v xml:space="preserve"> </v>
      </c>
      <c r="F132" s="8" t="str">
        <f>IF('Course 5'!$H130='tab5'!F$3,'Course 5'!$I130," ")</f>
        <v xml:space="preserve"> </v>
      </c>
      <c r="G132" s="8" t="str">
        <f>IF('Course 5'!$H130='tab5'!G$3,'Course 5'!$I130," ")</f>
        <v xml:space="preserve"> </v>
      </c>
      <c r="H132" s="8" t="str">
        <f>IF('Course 5'!$H130='tab5'!H$3,'Course 5'!$I130," ")</f>
        <v xml:space="preserve"> </v>
      </c>
      <c r="I132" s="8" t="str">
        <f>IF('Course 5'!$H130='tab5'!I$3,'Course 5'!$I130," ")</f>
        <v xml:space="preserve"> </v>
      </c>
      <c r="J132" s="8" t="str">
        <f>IF('Course 5'!$H130='tab5'!J$3,'Course 5'!$I130," ")</f>
        <v xml:space="preserve"> </v>
      </c>
      <c r="K132" s="8" t="str">
        <f>IF('Course 5'!$H130='tab5'!K$3,'Course 5'!$I130," ")</f>
        <v xml:space="preserve"> </v>
      </c>
      <c r="L132" s="8" t="str">
        <f>IF('Course 5'!$H130='tab5'!L$3,'Course 5'!$I130," ")</f>
        <v xml:space="preserve"> </v>
      </c>
      <c r="M132" s="8" t="str">
        <f>IF('Course 5'!$H130='tab5'!M$3,'Course 5'!$I130," ")</f>
        <v xml:space="preserve"> </v>
      </c>
      <c r="N132" s="9" t="str">
        <f>IF('Course 5'!$H130='tab5'!N$3,'Course 5'!$I130," ")</f>
        <v xml:space="preserve"> </v>
      </c>
    </row>
    <row r="133" spans="2:14">
      <c r="B133">
        <v>129</v>
      </c>
      <c r="C133" s="7" t="str">
        <f>IF('Course 5'!$H131='tab5'!C$3,'Course 5'!$I131," ")</f>
        <v xml:space="preserve"> </v>
      </c>
      <c r="D133" s="8" t="str">
        <f>IF('Course 5'!$H131='tab5'!D$3,'Course 5'!$I131," ")</f>
        <v xml:space="preserve"> </v>
      </c>
      <c r="E133" s="8" t="str">
        <f>IF('Course 5'!$H131='tab5'!E$3,'Course 5'!$I131," ")</f>
        <v xml:space="preserve"> </v>
      </c>
      <c r="F133" s="8" t="str">
        <f>IF('Course 5'!$H131='tab5'!F$3,'Course 5'!$I131," ")</f>
        <v xml:space="preserve"> </v>
      </c>
      <c r="G133" s="8" t="str">
        <f>IF('Course 5'!$H131='tab5'!G$3,'Course 5'!$I131," ")</f>
        <v xml:space="preserve"> </v>
      </c>
      <c r="H133" s="8" t="str">
        <f>IF('Course 5'!$H131='tab5'!H$3,'Course 5'!$I131," ")</f>
        <v xml:space="preserve"> </v>
      </c>
      <c r="I133" s="8" t="str">
        <f>IF('Course 5'!$H131='tab5'!I$3,'Course 5'!$I131," ")</f>
        <v xml:space="preserve"> </v>
      </c>
      <c r="J133" s="8" t="str">
        <f>IF('Course 5'!$H131='tab5'!J$3,'Course 5'!$I131," ")</f>
        <v xml:space="preserve"> </v>
      </c>
      <c r="K133" s="8" t="str">
        <f>IF('Course 5'!$H131='tab5'!K$3,'Course 5'!$I131," ")</f>
        <v xml:space="preserve"> </v>
      </c>
      <c r="L133" s="8" t="str">
        <f>IF('Course 5'!$H131='tab5'!L$3,'Course 5'!$I131," ")</f>
        <v xml:space="preserve"> </v>
      </c>
      <c r="M133" s="8" t="str">
        <f>IF('Course 5'!$H131='tab5'!M$3,'Course 5'!$I131," ")</f>
        <v xml:space="preserve"> </v>
      </c>
      <c r="N133" s="9" t="str">
        <f>IF('Course 5'!$H131='tab5'!N$3,'Course 5'!$I131," ")</f>
        <v xml:space="preserve"> </v>
      </c>
    </row>
    <row r="134" spans="2:14">
      <c r="B134">
        <v>130</v>
      </c>
      <c r="C134" s="7" t="str">
        <f>IF('Course 5'!$H132='tab5'!C$3,'Course 5'!$I132," ")</f>
        <v xml:space="preserve"> </v>
      </c>
      <c r="D134" s="8" t="str">
        <f>IF('Course 5'!$H132='tab5'!D$3,'Course 5'!$I132," ")</f>
        <v xml:space="preserve"> </v>
      </c>
      <c r="E134" s="8" t="str">
        <f>IF('Course 5'!$H132='tab5'!E$3,'Course 5'!$I132," ")</f>
        <v xml:space="preserve"> </v>
      </c>
      <c r="F134" s="8" t="str">
        <f>IF('Course 5'!$H132='tab5'!F$3,'Course 5'!$I132," ")</f>
        <v xml:space="preserve"> </v>
      </c>
      <c r="G134" s="8" t="str">
        <f>IF('Course 5'!$H132='tab5'!G$3,'Course 5'!$I132," ")</f>
        <v xml:space="preserve"> </v>
      </c>
      <c r="H134" s="8" t="str">
        <f>IF('Course 5'!$H132='tab5'!H$3,'Course 5'!$I132," ")</f>
        <v xml:space="preserve"> </v>
      </c>
      <c r="I134" s="8" t="str">
        <f>IF('Course 5'!$H132='tab5'!I$3,'Course 5'!$I132," ")</f>
        <v xml:space="preserve"> </v>
      </c>
      <c r="J134" s="8" t="str">
        <f>IF('Course 5'!$H132='tab5'!J$3,'Course 5'!$I132," ")</f>
        <v xml:space="preserve"> </v>
      </c>
      <c r="K134" s="8" t="str">
        <f>IF('Course 5'!$H132='tab5'!K$3,'Course 5'!$I132," ")</f>
        <v xml:space="preserve"> </v>
      </c>
      <c r="L134" s="8" t="str">
        <f>IF('Course 5'!$H132='tab5'!L$3,'Course 5'!$I132," ")</f>
        <v xml:space="preserve"> </v>
      </c>
      <c r="M134" s="8" t="str">
        <f>IF('Course 5'!$H132='tab5'!M$3,'Course 5'!$I132," ")</f>
        <v xml:space="preserve"> </v>
      </c>
      <c r="N134" s="9" t="str">
        <f>IF('Course 5'!$H132='tab5'!N$3,'Course 5'!$I132," ")</f>
        <v xml:space="preserve"> </v>
      </c>
    </row>
    <row r="135" spans="2:14">
      <c r="B135">
        <v>131</v>
      </c>
      <c r="C135" s="7" t="str">
        <f>IF('Course 5'!$H133='tab5'!C$3,'Course 5'!$I133," ")</f>
        <v xml:space="preserve"> </v>
      </c>
      <c r="D135" s="8" t="str">
        <f>IF('Course 5'!$H133='tab5'!D$3,'Course 5'!$I133," ")</f>
        <v xml:space="preserve"> </v>
      </c>
      <c r="E135" s="8" t="str">
        <f>IF('Course 5'!$H133='tab5'!E$3,'Course 5'!$I133," ")</f>
        <v xml:space="preserve"> </v>
      </c>
      <c r="F135" s="8" t="str">
        <f>IF('Course 5'!$H133='tab5'!F$3,'Course 5'!$I133," ")</f>
        <v xml:space="preserve"> </v>
      </c>
      <c r="G135" s="8" t="str">
        <f>IF('Course 5'!$H133='tab5'!G$3,'Course 5'!$I133," ")</f>
        <v xml:space="preserve"> </v>
      </c>
      <c r="H135" s="8" t="str">
        <f>IF('Course 5'!$H133='tab5'!H$3,'Course 5'!$I133," ")</f>
        <v xml:space="preserve"> </v>
      </c>
      <c r="I135" s="8" t="str">
        <f>IF('Course 5'!$H133='tab5'!I$3,'Course 5'!$I133," ")</f>
        <v xml:space="preserve"> </v>
      </c>
      <c r="J135" s="8" t="str">
        <f>IF('Course 5'!$H133='tab5'!J$3,'Course 5'!$I133," ")</f>
        <v xml:space="preserve"> </v>
      </c>
      <c r="K135" s="8" t="str">
        <f>IF('Course 5'!$H133='tab5'!K$3,'Course 5'!$I133," ")</f>
        <v xml:space="preserve"> </v>
      </c>
      <c r="L135" s="8" t="str">
        <f>IF('Course 5'!$H133='tab5'!L$3,'Course 5'!$I133," ")</f>
        <v xml:space="preserve"> </v>
      </c>
      <c r="M135" s="8" t="str">
        <f>IF('Course 5'!$H133='tab5'!M$3,'Course 5'!$I133," ")</f>
        <v xml:space="preserve"> </v>
      </c>
      <c r="N135" s="9" t="str">
        <f>IF('Course 5'!$H133='tab5'!N$3,'Course 5'!$I133," ")</f>
        <v xml:space="preserve"> </v>
      </c>
    </row>
    <row r="136" spans="2:14">
      <c r="B136">
        <v>132</v>
      </c>
      <c r="C136" s="7" t="str">
        <f>IF('Course 5'!$H134='tab5'!C$3,'Course 5'!$I134," ")</f>
        <v xml:space="preserve"> </v>
      </c>
      <c r="D136" s="8" t="str">
        <f>IF('Course 5'!$H134='tab5'!D$3,'Course 5'!$I134," ")</f>
        <v xml:space="preserve"> </v>
      </c>
      <c r="E136" s="8" t="str">
        <f>IF('Course 5'!$H134='tab5'!E$3,'Course 5'!$I134," ")</f>
        <v xml:space="preserve"> </v>
      </c>
      <c r="F136" s="8" t="str">
        <f>IF('Course 5'!$H134='tab5'!F$3,'Course 5'!$I134," ")</f>
        <v xml:space="preserve"> </v>
      </c>
      <c r="G136" s="8" t="str">
        <f>IF('Course 5'!$H134='tab5'!G$3,'Course 5'!$I134," ")</f>
        <v xml:space="preserve"> </v>
      </c>
      <c r="H136" s="8" t="str">
        <f>IF('Course 5'!$H134='tab5'!H$3,'Course 5'!$I134," ")</f>
        <v xml:space="preserve"> </v>
      </c>
      <c r="I136" s="8" t="str">
        <f>IF('Course 5'!$H134='tab5'!I$3,'Course 5'!$I134," ")</f>
        <v xml:space="preserve"> </v>
      </c>
      <c r="J136" s="8" t="str">
        <f>IF('Course 5'!$H134='tab5'!J$3,'Course 5'!$I134," ")</f>
        <v xml:space="preserve"> </v>
      </c>
      <c r="K136" s="8" t="str">
        <f>IF('Course 5'!$H134='tab5'!K$3,'Course 5'!$I134," ")</f>
        <v xml:space="preserve"> </v>
      </c>
      <c r="L136" s="8" t="str">
        <f>IF('Course 5'!$H134='tab5'!L$3,'Course 5'!$I134," ")</f>
        <v xml:space="preserve"> </v>
      </c>
      <c r="M136" s="8" t="str">
        <f>IF('Course 5'!$H134='tab5'!M$3,'Course 5'!$I134," ")</f>
        <v xml:space="preserve"> </v>
      </c>
      <c r="N136" s="9" t="str">
        <f>IF('Course 5'!$H134='tab5'!N$3,'Course 5'!$I134," ")</f>
        <v xml:space="preserve"> </v>
      </c>
    </row>
    <row r="137" spans="2:14">
      <c r="B137">
        <v>133</v>
      </c>
      <c r="C137" s="7" t="str">
        <f>IF('Course 5'!$H135='tab5'!C$3,'Course 5'!$I135," ")</f>
        <v xml:space="preserve"> </v>
      </c>
      <c r="D137" s="8" t="str">
        <f>IF('Course 5'!$H135='tab5'!D$3,'Course 5'!$I135," ")</f>
        <v xml:space="preserve"> </v>
      </c>
      <c r="E137" s="8" t="str">
        <f>IF('Course 5'!$H135='tab5'!E$3,'Course 5'!$I135," ")</f>
        <v xml:space="preserve"> </v>
      </c>
      <c r="F137" s="8" t="str">
        <f>IF('Course 5'!$H135='tab5'!F$3,'Course 5'!$I135," ")</f>
        <v xml:space="preserve"> </v>
      </c>
      <c r="G137" s="8" t="str">
        <f>IF('Course 5'!$H135='tab5'!G$3,'Course 5'!$I135," ")</f>
        <v xml:space="preserve"> </v>
      </c>
      <c r="H137" s="8" t="str">
        <f>IF('Course 5'!$H135='tab5'!H$3,'Course 5'!$I135," ")</f>
        <v xml:space="preserve"> </v>
      </c>
      <c r="I137" s="8" t="str">
        <f>IF('Course 5'!$H135='tab5'!I$3,'Course 5'!$I135," ")</f>
        <v xml:space="preserve"> </v>
      </c>
      <c r="J137" s="8" t="str">
        <f>IF('Course 5'!$H135='tab5'!J$3,'Course 5'!$I135," ")</f>
        <v xml:space="preserve"> </v>
      </c>
      <c r="K137" s="8" t="str">
        <f>IF('Course 5'!$H135='tab5'!K$3,'Course 5'!$I135," ")</f>
        <v xml:space="preserve"> </v>
      </c>
      <c r="L137" s="8" t="str">
        <f>IF('Course 5'!$H135='tab5'!L$3,'Course 5'!$I135," ")</f>
        <v xml:space="preserve"> </v>
      </c>
      <c r="M137" s="8" t="str">
        <f>IF('Course 5'!$H135='tab5'!M$3,'Course 5'!$I135," ")</f>
        <v xml:space="preserve"> </v>
      </c>
      <c r="N137" s="9" t="str">
        <f>IF('Course 5'!$H135='tab5'!N$3,'Course 5'!$I135," ")</f>
        <v xml:space="preserve"> </v>
      </c>
    </row>
    <row r="138" spans="2:14">
      <c r="B138">
        <v>134</v>
      </c>
      <c r="C138" s="7" t="str">
        <f>IF('Course 5'!$H136='tab5'!C$3,'Course 5'!$I136," ")</f>
        <v xml:space="preserve"> </v>
      </c>
      <c r="D138" s="8" t="str">
        <f>IF('Course 5'!$H136='tab5'!D$3,'Course 5'!$I136," ")</f>
        <v xml:space="preserve"> </v>
      </c>
      <c r="E138" s="8" t="str">
        <f>IF('Course 5'!$H136='tab5'!E$3,'Course 5'!$I136," ")</f>
        <v xml:space="preserve"> </v>
      </c>
      <c r="F138" s="8" t="str">
        <f>IF('Course 5'!$H136='tab5'!F$3,'Course 5'!$I136," ")</f>
        <v xml:space="preserve"> </v>
      </c>
      <c r="G138" s="8" t="str">
        <f>IF('Course 5'!$H136='tab5'!G$3,'Course 5'!$I136," ")</f>
        <v xml:space="preserve"> </v>
      </c>
      <c r="H138" s="8" t="str">
        <f>IF('Course 5'!$H136='tab5'!H$3,'Course 5'!$I136," ")</f>
        <v xml:space="preserve"> </v>
      </c>
      <c r="I138" s="8" t="str">
        <f>IF('Course 5'!$H136='tab5'!I$3,'Course 5'!$I136," ")</f>
        <v xml:space="preserve"> </v>
      </c>
      <c r="J138" s="8" t="str">
        <f>IF('Course 5'!$H136='tab5'!J$3,'Course 5'!$I136," ")</f>
        <v xml:space="preserve"> </v>
      </c>
      <c r="K138" s="8" t="str">
        <f>IF('Course 5'!$H136='tab5'!K$3,'Course 5'!$I136," ")</f>
        <v xml:space="preserve"> </v>
      </c>
      <c r="L138" s="8" t="str">
        <f>IF('Course 5'!$H136='tab5'!L$3,'Course 5'!$I136," ")</f>
        <v xml:space="preserve"> </v>
      </c>
      <c r="M138" s="8" t="str">
        <f>IF('Course 5'!$H136='tab5'!M$3,'Course 5'!$I136," ")</f>
        <v xml:space="preserve"> </v>
      </c>
      <c r="N138" s="9" t="str">
        <f>IF('Course 5'!$H136='tab5'!N$3,'Course 5'!$I136," ")</f>
        <v xml:space="preserve"> </v>
      </c>
    </row>
    <row r="139" spans="2:14">
      <c r="B139">
        <v>135</v>
      </c>
      <c r="C139" s="7" t="str">
        <f>IF('Course 5'!$H137='tab5'!C$3,'Course 5'!$I137," ")</f>
        <v xml:space="preserve"> </v>
      </c>
      <c r="D139" s="8" t="str">
        <f>IF('Course 5'!$H137='tab5'!D$3,'Course 5'!$I137," ")</f>
        <v xml:space="preserve"> </v>
      </c>
      <c r="E139" s="8" t="str">
        <f>IF('Course 5'!$H137='tab5'!E$3,'Course 5'!$I137," ")</f>
        <v xml:space="preserve"> </v>
      </c>
      <c r="F139" s="8" t="str">
        <f>IF('Course 5'!$H137='tab5'!F$3,'Course 5'!$I137," ")</f>
        <v xml:space="preserve"> </v>
      </c>
      <c r="G139" s="8" t="str">
        <f>IF('Course 5'!$H137='tab5'!G$3,'Course 5'!$I137," ")</f>
        <v xml:space="preserve"> </v>
      </c>
      <c r="H139" s="8" t="str">
        <f>IF('Course 5'!$H137='tab5'!H$3,'Course 5'!$I137," ")</f>
        <v xml:space="preserve"> </v>
      </c>
      <c r="I139" s="8" t="str">
        <f>IF('Course 5'!$H137='tab5'!I$3,'Course 5'!$I137," ")</f>
        <v xml:space="preserve"> </v>
      </c>
      <c r="J139" s="8" t="str">
        <f>IF('Course 5'!$H137='tab5'!J$3,'Course 5'!$I137," ")</f>
        <v xml:space="preserve"> </v>
      </c>
      <c r="K139" s="8" t="str">
        <f>IF('Course 5'!$H137='tab5'!K$3,'Course 5'!$I137," ")</f>
        <v xml:space="preserve"> </v>
      </c>
      <c r="L139" s="8" t="str">
        <f>IF('Course 5'!$H137='tab5'!L$3,'Course 5'!$I137," ")</f>
        <v xml:space="preserve"> </v>
      </c>
      <c r="M139" s="8" t="str">
        <f>IF('Course 5'!$H137='tab5'!M$3,'Course 5'!$I137," ")</f>
        <v xml:space="preserve"> </v>
      </c>
      <c r="N139" s="9" t="str">
        <f>IF('Course 5'!$H137='tab5'!N$3,'Course 5'!$I137," ")</f>
        <v xml:space="preserve"> </v>
      </c>
    </row>
    <row r="140" spans="2:14">
      <c r="B140">
        <v>136</v>
      </c>
      <c r="C140" s="7" t="str">
        <f>IF('Course 5'!$H138='tab5'!C$3,'Course 5'!$I138," ")</f>
        <v xml:space="preserve"> </v>
      </c>
      <c r="D140" s="8" t="str">
        <f>IF('Course 5'!$H138='tab5'!D$3,'Course 5'!$I138," ")</f>
        <v xml:space="preserve"> </v>
      </c>
      <c r="E140" s="8" t="str">
        <f>IF('Course 5'!$H138='tab5'!E$3,'Course 5'!$I138," ")</f>
        <v xml:space="preserve"> </v>
      </c>
      <c r="F140" s="8" t="str">
        <f>IF('Course 5'!$H138='tab5'!F$3,'Course 5'!$I138," ")</f>
        <v xml:space="preserve"> </v>
      </c>
      <c r="G140" s="8" t="str">
        <f>IF('Course 5'!$H138='tab5'!G$3,'Course 5'!$I138," ")</f>
        <v xml:space="preserve"> </v>
      </c>
      <c r="H140" s="8" t="str">
        <f>IF('Course 5'!$H138='tab5'!H$3,'Course 5'!$I138," ")</f>
        <v xml:space="preserve"> </v>
      </c>
      <c r="I140" s="8" t="str">
        <f>IF('Course 5'!$H138='tab5'!I$3,'Course 5'!$I138," ")</f>
        <v xml:space="preserve"> </v>
      </c>
      <c r="J140" s="8" t="str">
        <f>IF('Course 5'!$H138='tab5'!J$3,'Course 5'!$I138," ")</f>
        <v xml:space="preserve"> </v>
      </c>
      <c r="K140" s="8" t="str">
        <f>IF('Course 5'!$H138='tab5'!K$3,'Course 5'!$I138," ")</f>
        <v xml:space="preserve"> </v>
      </c>
      <c r="L140" s="8" t="str">
        <f>IF('Course 5'!$H138='tab5'!L$3,'Course 5'!$I138," ")</f>
        <v xml:space="preserve"> </v>
      </c>
      <c r="M140" s="8" t="str">
        <f>IF('Course 5'!$H138='tab5'!M$3,'Course 5'!$I138," ")</f>
        <v xml:space="preserve"> </v>
      </c>
      <c r="N140" s="9" t="str">
        <f>IF('Course 5'!$H138='tab5'!N$3,'Course 5'!$I138," ")</f>
        <v xml:space="preserve"> </v>
      </c>
    </row>
    <row r="141" spans="2:14">
      <c r="B141">
        <v>137</v>
      </c>
      <c r="C141" s="7" t="str">
        <f>IF('Course 5'!$H139='tab5'!C$3,'Course 5'!$I139," ")</f>
        <v xml:space="preserve"> </v>
      </c>
      <c r="D141" s="8" t="str">
        <f>IF('Course 5'!$H139='tab5'!D$3,'Course 5'!$I139," ")</f>
        <v xml:space="preserve"> </v>
      </c>
      <c r="E141" s="8" t="str">
        <f>IF('Course 5'!$H139='tab5'!E$3,'Course 5'!$I139," ")</f>
        <v xml:space="preserve"> </v>
      </c>
      <c r="F141" s="8" t="str">
        <f>IF('Course 5'!$H139='tab5'!F$3,'Course 5'!$I139," ")</f>
        <v xml:space="preserve"> </v>
      </c>
      <c r="G141" s="8" t="str">
        <f>IF('Course 5'!$H139='tab5'!G$3,'Course 5'!$I139," ")</f>
        <v xml:space="preserve"> </v>
      </c>
      <c r="H141" s="8" t="str">
        <f>IF('Course 5'!$H139='tab5'!H$3,'Course 5'!$I139," ")</f>
        <v xml:space="preserve"> </v>
      </c>
      <c r="I141" s="8" t="str">
        <f>IF('Course 5'!$H139='tab5'!I$3,'Course 5'!$I139," ")</f>
        <v xml:space="preserve"> </v>
      </c>
      <c r="J141" s="8" t="str">
        <f>IF('Course 5'!$H139='tab5'!J$3,'Course 5'!$I139," ")</f>
        <v xml:space="preserve"> </v>
      </c>
      <c r="K141" s="8" t="str">
        <f>IF('Course 5'!$H139='tab5'!K$3,'Course 5'!$I139," ")</f>
        <v xml:space="preserve"> </v>
      </c>
      <c r="L141" s="8" t="str">
        <f>IF('Course 5'!$H139='tab5'!L$3,'Course 5'!$I139," ")</f>
        <v xml:space="preserve"> </v>
      </c>
      <c r="M141" s="8" t="str">
        <f>IF('Course 5'!$H139='tab5'!M$3,'Course 5'!$I139," ")</f>
        <v xml:space="preserve"> </v>
      </c>
      <c r="N141" s="9" t="str">
        <f>IF('Course 5'!$H139='tab5'!N$3,'Course 5'!$I139," ")</f>
        <v xml:space="preserve"> </v>
      </c>
    </row>
    <row r="142" spans="2:14">
      <c r="B142">
        <v>138</v>
      </c>
      <c r="C142" s="7" t="str">
        <f>IF('Course 5'!$H140='tab5'!C$3,'Course 5'!$I140," ")</f>
        <v xml:space="preserve"> </v>
      </c>
      <c r="D142" s="8" t="str">
        <f>IF('Course 5'!$H140='tab5'!D$3,'Course 5'!$I140," ")</f>
        <v xml:space="preserve"> </v>
      </c>
      <c r="E142" s="8" t="str">
        <f>IF('Course 5'!$H140='tab5'!E$3,'Course 5'!$I140," ")</f>
        <v xml:space="preserve"> </v>
      </c>
      <c r="F142" s="8" t="str">
        <f>IF('Course 5'!$H140='tab5'!F$3,'Course 5'!$I140," ")</f>
        <v xml:space="preserve"> </v>
      </c>
      <c r="G142" s="8" t="str">
        <f>IF('Course 5'!$H140='tab5'!G$3,'Course 5'!$I140," ")</f>
        <v xml:space="preserve"> </v>
      </c>
      <c r="H142" s="8" t="str">
        <f>IF('Course 5'!$H140='tab5'!H$3,'Course 5'!$I140," ")</f>
        <v xml:space="preserve"> </v>
      </c>
      <c r="I142" s="8" t="str">
        <f>IF('Course 5'!$H140='tab5'!I$3,'Course 5'!$I140," ")</f>
        <v xml:space="preserve"> </v>
      </c>
      <c r="J142" s="8" t="str">
        <f>IF('Course 5'!$H140='tab5'!J$3,'Course 5'!$I140," ")</f>
        <v xml:space="preserve"> </v>
      </c>
      <c r="K142" s="8" t="str">
        <f>IF('Course 5'!$H140='tab5'!K$3,'Course 5'!$I140," ")</f>
        <v xml:space="preserve"> </v>
      </c>
      <c r="L142" s="8" t="str">
        <f>IF('Course 5'!$H140='tab5'!L$3,'Course 5'!$I140," ")</f>
        <v xml:space="preserve"> </v>
      </c>
      <c r="M142" s="8" t="str">
        <f>IF('Course 5'!$H140='tab5'!M$3,'Course 5'!$I140," ")</f>
        <v xml:space="preserve"> </v>
      </c>
      <c r="N142" s="9" t="str">
        <f>IF('Course 5'!$H140='tab5'!N$3,'Course 5'!$I140," ")</f>
        <v xml:space="preserve"> </v>
      </c>
    </row>
    <row r="143" spans="2:14">
      <c r="B143">
        <v>139</v>
      </c>
      <c r="C143" s="7" t="str">
        <f>IF('Course 5'!$H141='tab5'!C$3,'Course 5'!$I141," ")</f>
        <v xml:space="preserve"> </v>
      </c>
      <c r="D143" s="8" t="str">
        <f>IF('Course 5'!$H141='tab5'!D$3,'Course 5'!$I141," ")</f>
        <v xml:space="preserve"> </v>
      </c>
      <c r="E143" s="8" t="str">
        <f>IF('Course 5'!$H141='tab5'!E$3,'Course 5'!$I141," ")</f>
        <v xml:space="preserve"> </v>
      </c>
      <c r="F143" s="8" t="str">
        <f>IF('Course 5'!$H141='tab5'!F$3,'Course 5'!$I141," ")</f>
        <v xml:space="preserve"> </v>
      </c>
      <c r="G143" s="8" t="str">
        <f>IF('Course 5'!$H141='tab5'!G$3,'Course 5'!$I141," ")</f>
        <v xml:space="preserve"> </v>
      </c>
      <c r="H143" s="8" t="str">
        <f>IF('Course 5'!$H141='tab5'!H$3,'Course 5'!$I141," ")</f>
        <v xml:space="preserve"> </v>
      </c>
      <c r="I143" s="8" t="str">
        <f>IF('Course 5'!$H141='tab5'!I$3,'Course 5'!$I141," ")</f>
        <v xml:space="preserve"> </v>
      </c>
      <c r="J143" s="8" t="str">
        <f>IF('Course 5'!$H141='tab5'!J$3,'Course 5'!$I141," ")</f>
        <v xml:space="preserve"> </v>
      </c>
      <c r="K143" s="8" t="str">
        <f>IF('Course 5'!$H141='tab5'!K$3,'Course 5'!$I141," ")</f>
        <v xml:space="preserve"> </v>
      </c>
      <c r="L143" s="8" t="str">
        <f>IF('Course 5'!$H141='tab5'!L$3,'Course 5'!$I141," ")</f>
        <v xml:space="preserve"> </v>
      </c>
      <c r="M143" s="8" t="str">
        <f>IF('Course 5'!$H141='tab5'!M$3,'Course 5'!$I141," ")</f>
        <v xml:space="preserve"> </v>
      </c>
      <c r="N143" s="9" t="str">
        <f>IF('Course 5'!$H141='tab5'!N$3,'Course 5'!$I141," ")</f>
        <v xml:space="preserve"> </v>
      </c>
    </row>
    <row r="144" spans="2:14">
      <c r="B144">
        <v>140</v>
      </c>
      <c r="C144" s="7" t="str">
        <f>IF('Course 5'!$H142='tab5'!C$3,'Course 5'!$I142," ")</f>
        <v xml:space="preserve"> </v>
      </c>
      <c r="D144" s="8" t="str">
        <f>IF('Course 5'!$H142='tab5'!D$3,'Course 5'!$I142," ")</f>
        <v xml:space="preserve"> </v>
      </c>
      <c r="E144" s="8" t="str">
        <f>IF('Course 5'!$H142='tab5'!E$3,'Course 5'!$I142," ")</f>
        <v xml:space="preserve"> </v>
      </c>
      <c r="F144" s="8" t="str">
        <f>IF('Course 5'!$H142='tab5'!F$3,'Course 5'!$I142," ")</f>
        <v xml:space="preserve"> </v>
      </c>
      <c r="G144" s="8" t="str">
        <f>IF('Course 5'!$H142='tab5'!G$3,'Course 5'!$I142," ")</f>
        <v xml:space="preserve"> </v>
      </c>
      <c r="H144" s="8" t="str">
        <f>IF('Course 5'!$H142='tab5'!H$3,'Course 5'!$I142," ")</f>
        <v xml:space="preserve"> </v>
      </c>
      <c r="I144" s="8" t="str">
        <f>IF('Course 5'!$H142='tab5'!I$3,'Course 5'!$I142," ")</f>
        <v xml:space="preserve"> </v>
      </c>
      <c r="J144" s="8" t="str">
        <f>IF('Course 5'!$H142='tab5'!J$3,'Course 5'!$I142," ")</f>
        <v xml:space="preserve"> </v>
      </c>
      <c r="K144" s="8" t="str">
        <f>IF('Course 5'!$H142='tab5'!K$3,'Course 5'!$I142," ")</f>
        <v xml:space="preserve"> </v>
      </c>
      <c r="L144" s="8" t="str">
        <f>IF('Course 5'!$H142='tab5'!L$3,'Course 5'!$I142," ")</f>
        <v xml:space="preserve"> </v>
      </c>
      <c r="M144" s="8" t="str">
        <f>IF('Course 5'!$H142='tab5'!M$3,'Course 5'!$I142," ")</f>
        <v xml:space="preserve"> </v>
      </c>
      <c r="N144" s="9" t="str">
        <f>IF('Course 5'!$H142='tab5'!N$3,'Course 5'!$I142," ")</f>
        <v xml:space="preserve"> </v>
      </c>
    </row>
    <row r="145" spans="2:14">
      <c r="B145">
        <v>141</v>
      </c>
      <c r="C145" s="7" t="str">
        <f>IF('Course 5'!$H143='tab5'!C$3,'Course 5'!$I143," ")</f>
        <v xml:space="preserve"> </v>
      </c>
      <c r="D145" s="8" t="str">
        <f>IF('Course 5'!$H143='tab5'!D$3,'Course 5'!$I143," ")</f>
        <v xml:space="preserve"> </v>
      </c>
      <c r="E145" s="8" t="str">
        <f>IF('Course 5'!$H143='tab5'!E$3,'Course 5'!$I143," ")</f>
        <v xml:space="preserve"> </v>
      </c>
      <c r="F145" s="8" t="str">
        <f>IF('Course 5'!$H143='tab5'!F$3,'Course 5'!$I143," ")</f>
        <v xml:space="preserve"> </v>
      </c>
      <c r="G145" s="8" t="str">
        <f>IF('Course 5'!$H143='tab5'!G$3,'Course 5'!$I143," ")</f>
        <v xml:space="preserve"> </v>
      </c>
      <c r="H145" s="8" t="str">
        <f>IF('Course 5'!$H143='tab5'!H$3,'Course 5'!$I143," ")</f>
        <v xml:space="preserve"> </v>
      </c>
      <c r="I145" s="8" t="str">
        <f>IF('Course 5'!$H143='tab5'!I$3,'Course 5'!$I143," ")</f>
        <v xml:space="preserve"> </v>
      </c>
      <c r="J145" s="8" t="str">
        <f>IF('Course 5'!$H143='tab5'!J$3,'Course 5'!$I143," ")</f>
        <v xml:space="preserve"> </v>
      </c>
      <c r="K145" s="8" t="str">
        <f>IF('Course 5'!$H143='tab5'!K$3,'Course 5'!$I143," ")</f>
        <v xml:space="preserve"> </v>
      </c>
      <c r="L145" s="8" t="str">
        <f>IF('Course 5'!$H143='tab5'!L$3,'Course 5'!$I143," ")</f>
        <v xml:space="preserve"> </v>
      </c>
      <c r="M145" s="8" t="str">
        <f>IF('Course 5'!$H143='tab5'!M$3,'Course 5'!$I143," ")</f>
        <v xml:space="preserve"> </v>
      </c>
      <c r="N145" s="9" t="str">
        <f>IF('Course 5'!$H143='tab5'!N$3,'Course 5'!$I143," ")</f>
        <v xml:space="preserve"> </v>
      </c>
    </row>
    <row r="146" spans="2:14">
      <c r="B146">
        <v>142</v>
      </c>
      <c r="C146" s="7" t="str">
        <f>IF('Course 5'!$H144='tab5'!C$3,'Course 5'!$I144," ")</f>
        <v xml:space="preserve"> </v>
      </c>
      <c r="D146" s="8" t="str">
        <f>IF('Course 5'!$H144='tab5'!D$3,'Course 5'!$I144," ")</f>
        <v xml:space="preserve"> </v>
      </c>
      <c r="E146" s="8" t="str">
        <f>IF('Course 5'!$H144='tab5'!E$3,'Course 5'!$I144," ")</f>
        <v xml:space="preserve"> </v>
      </c>
      <c r="F146" s="8" t="str">
        <f>IF('Course 5'!$H144='tab5'!F$3,'Course 5'!$I144," ")</f>
        <v xml:space="preserve"> </v>
      </c>
      <c r="G146" s="8" t="str">
        <f>IF('Course 5'!$H144='tab5'!G$3,'Course 5'!$I144," ")</f>
        <v xml:space="preserve"> </v>
      </c>
      <c r="H146" s="8" t="str">
        <f>IF('Course 5'!$H144='tab5'!H$3,'Course 5'!$I144," ")</f>
        <v xml:space="preserve"> </v>
      </c>
      <c r="I146" s="8" t="str">
        <f>IF('Course 5'!$H144='tab5'!I$3,'Course 5'!$I144," ")</f>
        <v xml:space="preserve"> </v>
      </c>
      <c r="J146" s="8" t="str">
        <f>IF('Course 5'!$H144='tab5'!J$3,'Course 5'!$I144," ")</f>
        <v xml:space="preserve"> </v>
      </c>
      <c r="K146" s="8" t="str">
        <f>IF('Course 5'!$H144='tab5'!K$3,'Course 5'!$I144," ")</f>
        <v xml:space="preserve"> </v>
      </c>
      <c r="L146" s="8" t="str">
        <f>IF('Course 5'!$H144='tab5'!L$3,'Course 5'!$I144," ")</f>
        <v xml:space="preserve"> </v>
      </c>
      <c r="M146" s="8" t="str">
        <f>IF('Course 5'!$H144='tab5'!M$3,'Course 5'!$I144," ")</f>
        <v xml:space="preserve"> </v>
      </c>
      <c r="N146" s="9" t="str">
        <f>IF('Course 5'!$H144='tab5'!N$3,'Course 5'!$I144," ")</f>
        <v xml:space="preserve"> </v>
      </c>
    </row>
    <row r="147" spans="2:14">
      <c r="B147">
        <v>143</v>
      </c>
      <c r="C147" s="7" t="str">
        <f>IF('Course 5'!$H145='tab5'!C$3,'Course 5'!$I145," ")</f>
        <v xml:space="preserve"> </v>
      </c>
      <c r="D147" s="8" t="str">
        <f>IF('Course 5'!$H145='tab5'!D$3,'Course 5'!$I145," ")</f>
        <v xml:space="preserve"> </v>
      </c>
      <c r="E147" s="8" t="str">
        <f>IF('Course 5'!$H145='tab5'!E$3,'Course 5'!$I145," ")</f>
        <v xml:space="preserve"> </v>
      </c>
      <c r="F147" s="8" t="str">
        <f>IF('Course 5'!$H145='tab5'!F$3,'Course 5'!$I145," ")</f>
        <v xml:space="preserve"> </v>
      </c>
      <c r="G147" s="8" t="str">
        <f>IF('Course 5'!$H145='tab5'!G$3,'Course 5'!$I145," ")</f>
        <v xml:space="preserve"> </v>
      </c>
      <c r="H147" s="8" t="str">
        <f>IF('Course 5'!$H145='tab5'!H$3,'Course 5'!$I145," ")</f>
        <v xml:space="preserve"> </v>
      </c>
      <c r="I147" s="8" t="str">
        <f>IF('Course 5'!$H145='tab5'!I$3,'Course 5'!$I145," ")</f>
        <v xml:space="preserve"> </v>
      </c>
      <c r="J147" s="8" t="str">
        <f>IF('Course 5'!$H145='tab5'!J$3,'Course 5'!$I145," ")</f>
        <v xml:space="preserve"> </v>
      </c>
      <c r="K147" s="8" t="str">
        <f>IF('Course 5'!$H145='tab5'!K$3,'Course 5'!$I145," ")</f>
        <v xml:space="preserve"> </v>
      </c>
      <c r="L147" s="8" t="str">
        <f>IF('Course 5'!$H145='tab5'!L$3,'Course 5'!$I145," ")</f>
        <v xml:space="preserve"> </v>
      </c>
      <c r="M147" s="8" t="str">
        <f>IF('Course 5'!$H145='tab5'!M$3,'Course 5'!$I145," ")</f>
        <v xml:space="preserve"> </v>
      </c>
      <c r="N147" s="9" t="str">
        <f>IF('Course 5'!$H145='tab5'!N$3,'Course 5'!$I145," ")</f>
        <v xml:space="preserve"> </v>
      </c>
    </row>
    <row r="148" spans="2:14">
      <c r="B148">
        <v>144</v>
      </c>
      <c r="C148" s="7" t="str">
        <f>IF('Course 5'!$H146='tab5'!C$3,'Course 5'!$I146," ")</f>
        <v xml:space="preserve"> </v>
      </c>
      <c r="D148" s="8" t="str">
        <f>IF('Course 5'!$H146='tab5'!D$3,'Course 5'!$I146," ")</f>
        <v xml:space="preserve"> </v>
      </c>
      <c r="E148" s="8" t="str">
        <f>IF('Course 5'!$H146='tab5'!E$3,'Course 5'!$I146," ")</f>
        <v xml:space="preserve"> </v>
      </c>
      <c r="F148" s="8" t="str">
        <f>IF('Course 5'!$H146='tab5'!F$3,'Course 5'!$I146," ")</f>
        <v xml:space="preserve"> </v>
      </c>
      <c r="G148" s="8" t="str">
        <f>IF('Course 5'!$H146='tab5'!G$3,'Course 5'!$I146," ")</f>
        <v xml:space="preserve"> </v>
      </c>
      <c r="H148" s="8" t="str">
        <f>IF('Course 5'!$H146='tab5'!H$3,'Course 5'!$I146," ")</f>
        <v xml:space="preserve"> </v>
      </c>
      <c r="I148" s="8" t="str">
        <f>IF('Course 5'!$H146='tab5'!I$3,'Course 5'!$I146," ")</f>
        <v xml:space="preserve"> </v>
      </c>
      <c r="J148" s="8" t="str">
        <f>IF('Course 5'!$H146='tab5'!J$3,'Course 5'!$I146," ")</f>
        <v xml:space="preserve"> </v>
      </c>
      <c r="K148" s="8" t="str">
        <f>IF('Course 5'!$H146='tab5'!K$3,'Course 5'!$I146," ")</f>
        <v xml:space="preserve"> </v>
      </c>
      <c r="L148" s="8" t="str">
        <f>IF('Course 5'!$H146='tab5'!L$3,'Course 5'!$I146," ")</f>
        <v xml:space="preserve"> </v>
      </c>
      <c r="M148" s="8" t="str">
        <f>IF('Course 5'!$H146='tab5'!M$3,'Course 5'!$I146," ")</f>
        <v xml:space="preserve"> </v>
      </c>
      <c r="N148" s="9" t="str">
        <f>IF('Course 5'!$H146='tab5'!N$3,'Course 5'!$I146," ")</f>
        <v xml:space="preserve"> </v>
      </c>
    </row>
    <row r="149" spans="2:14">
      <c r="B149">
        <v>145</v>
      </c>
      <c r="C149" s="7" t="str">
        <f>IF('Course 5'!$H147='tab5'!C$3,'Course 5'!$I147," ")</f>
        <v xml:space="preserve"> </v>
      </c>
      <c r="D149" s="8" t="str">
        <f>IF('Course 5'!$H147='tab5'!D$3,'Course 5'!$I147," ")</f>
        <v xml:space="preserve"> </v>
      </c>
      <c r="E149" s="8" t="str">
        <f>IF('Course 5'!$H147='tab5'!E$3,'Course 5'!$I147," ")</f>
        <v xml:space="preserve"> </v>
      </c>
      <c r="F149" s="8" t="str">
        <f>IF('Course 5'!$H147='tab5'!F$3,'Course 5'!$I147," ")</f>
        <v xml:space="preserve"> </v>
      </c>
      <c r="G149" s="8" t="str">
        <f>IF('Course 5'!$H147='tab5'!G$3,'Course 5'!$I147," ")</f>
        <v xml:space="preserve"> </v>
      </c>
      <c r="H149" s="8" t="str">
        <f>IF('Course 5'!$H147='tab5'!H$3,'Course 5'!$I147," ")</f>
        <v xml:space="preserve"> </v>
      </c>
      <c r="I149" s="8" t="str">
        <f>IF('Course 5'!$H147='tab5'!I$3,'Course 5'!$I147," ")</f>
        <v xml:space="preserve"> </v>
      </c>
      <c r="J149" s="8" t="str">
        <f>IF('Course 5'!$H147='tab5'!J$3,'Course 5'!$I147," ")</f>
        <v xml:space="preserve"> </v>
      </c>
      <c r="K149" s="8" t="str">
        <f>IF('Course 5'!$H147='tab5'!K$3,'Course 5'!$I147," ")</f>
        <v xml:space="preserve"> </v>
      </c>
      <c r="L149" s="8" t="str">
        <f>IF('Course 5'!$H147='tab5'!L$3,'Course 5'!$I147," ")</f>
        <v xml:space="preserve"> </v>
      </c>
      <c r="M149" s="8" t="str">
        <f>IF('Course 5'!$H147='tab5'!M$3,'Course 5'!$I147," ")</f>
        <v xml:space="preserve"> </v>
      </c>
      <c r="N149" s="9" t="str">
        <f>IF('Course 5'!$H147='tab5'!N$3,'Course 5'!$I147," ")</f>
        <v xml:space="preserve"> </v>
      </c>
    </row>
    <row r="150" spans="2:14">
      <c r="B150">
        <v>146</v>
      </c>
      <c r="C150" s="7" t="str">
        <f>IF('Course 5'!$H148='tab5'!C$3,'Course 5'!$I148," ")</f>
        <v xml:space="preserve"> </v>
      </c>
      <c r="D150" s="8" t="str">
        <f>IF('Course 5'!$H148='tab5'!D$3,'Course 5'!$I148," ")</f>
        <v xml:space="preserve"> </v>
      </c>
      <c r="E150" s="8" t="str">
        <f>IF('Course 5'!$H148='tab5'!E$3,'Course 5'!$I148," ")</f>
        <v xml:space="preserve"> </v>
      </c>
      <c r="F150" s="8" t="str">
        <f>IF('Course 5'!$H148='tab5'!F$3,'Course 5'!$I148," ")</f>
        <v xml:space="preserve"> </v>
      </c>
      <c r="G150" s="8" t="str">
        <f>IF('Course 5'!$H148='tab5'!G$3,'Course 5'!$I148," ")</f>
        <v xml:space="preserve"> </v>
      </c>
      <c r="H150" s="8" t="str">
        <f>IF('Course 5'!$H148='tab5'!H$3,'Course 5'!$I148," ")</f>
        <v xml:space="preserve"> </v>
      </c>
      <c r="I150" s="8" t="str">
        <f>IF('Course 5'!$H148='tab5'!I$3,'Course 5'!$I148," ")</f>
        <v xml:space="preserve"> </v>
      </c>
      <c r="J150" s="8" t="str">
        <f>IF('Course 5'!$H148='tab5'!J$3,'Course 5'!$I148," ")</f>
        <v xml:space="preserve"> </v>
      </c>
      <c r="K150" s="8" t="str">
        <f>IF('Course 5'!$H148='tab5'!K$3,'Course 5'!$I148," ")</f>
        <v xml:space="preserve"> </v>
      </c>
      <c r="L150" s="8" t="str">
        <f>IF('Course 5'!$H148='tab5'!L$3,'Course 5'!$I148," ")</f>
        <v xml:space="preserve"> </v>
      </c>
      <c r="M150" s="8" t="str">
        <f>IF('Course 5'!$H148='tab5'!M$3,'Course 5'!$I148," ")</f>
        <v xml:space="preserve"> </v>
      </c>
      <c r="N150" s="9" t="str">
        <f>IF('Course 5'!$H148='tab5'!N$3,'Course 5'!$I148," ")</f>
        <v xml:space="preserve"> </v>
      </c>
    </row>
    <row r="151" spans="2:14">
      <c r="B151">
        <v>147</v>
      </c>
      <c r="C151" s="7" t="str">
        <f>IF('Course 5'!$H149='tab5'!C$3,'Course 5'!$I149," ")</f>
        <v xml:space="preserve"> </v>
      </c>
      <c r="D151" s="8" t="str">
        <f>IF('Course 5'!$H149='tab5'!D$3,'Course 5'!$I149," ")</f>
        <v xml:space="preserve"> </v>
      </c>
      <c r="E151" s="8" t="str">
        <f>IF('Course 5'!$H149='tab5'!E$3,'Course 5'!$I149," ")</f>
        <v xml:space="preserve"> </v>
      </c>
      <c r="F151" s="8" t="str">
        <f>IF('Course 5'!$H149='tab5'!F$3,'Course 5'!$I149," ")</f>
        <v xml:space="preserve"> </v>
      </c>
      <c r="G151" s="8" t="str">
        <f>IF('Course 5'!$H149='tab5'!G$3,'Course 5'!$I149," ")</f>
        <v xml:space="preserve"> </v>
      </c>
      <c r="H151" s="8" t="str">
        <f>IF('Course 5'!$H149='tab5'!H$3,'Course 5'!$I149," ")</f>
        <v xml:space="preserve"> </v>
      </c>
      <c r="I151" s="8" t="str">
        <f>IF('Course 5'!$H149='tab5'!I$3,'Course 5'!$I149," ")</f>
        <v xml:space="preserve"> </v>
      </c>
      <c r="J151" s="8" t="str">
        <f>IF('Course 5'!$H149='tab5'!J$3,'Course 5'!$I149," ")</f>
        <v xml:space="preserve"> </v>
      </c>
      <c r="K151" s="8" t="str">
        <f>IF('Course 5'!$H149='tab5'!K$3,'Course 5'!$I149," ")</f>
        <v xml:space="preserve"> </v>
      </c>
      <c r="L151" s="8" t="str">
        <f>IF('Course 5'!$H149='tab5'!L$3,'Course 5'!$I149," ")</f>
        <v xml:space="preserve"> </v>
      </c>
      <c r="M151" s="8" t="str">
        <f>IF('Course 5'!$H149='tab5'!M$3,'Course 5'!$I149," ")</f>
        <v xml:space="preserve"> </v>
      </c>
      <c r="N151" s="9" t="str">
        <f>IF('Course 5'!$H149='tab5'!N$3,'Course 5'!$I149," ")</f>
        <v xml:space="preserve"> </v>
      </c>
    </row>
    <row r="152" spans="2:14">
      <c r="B152">
        <v>148</v>
      </c>
      <c r="C152" s="7" t="str">
        <f>IF('Course 5'!$H150='tab5'!C$3,'Course 5'!$I150," ")</f>
        <v xml:space="preserve"> </v>
      </c>
      <c r="D152" s="8" t="str">
        <f>IF('Course 5'!$H150='tab5'!D$3,'Course 5'!$I150," ")</f>
        <v xml:space="preserve"> </v>
      </c>
      <c r="E152" s="8" t="str">
        <f>IF('Course 5'!$H150='tab5'!E$3,'Course 5'!$I150," ")</f>
        <v xml:space="preserve"> </v>
      </c>
      <c r="F152" s="8" t="str">
        <f>IF('Course 5'!$H150='tab5'!F$3,'Course 5'!$I150," ")</f>
        <v xml:space="preserve"> </v>
      </c>
      <c r="G152" s="8" t="str">
        <f>IF('Course 5'!$H150='tab5'!G$3,'Course 5'!$I150," ")</f>
        <v xml:space="preserve"> </v>
      </c>
      <c r="H152" s="8" t="str">
        <f>IF('Course 5'!$H150='tab5'!H$3,'Course 5'!$I150," ")</f>
        <v xml:space="preserve"> </v>
      </c>
      <c r="I152" s="8" t="str">
        <f>IF('Course 5'!$H150='tab5'!I$3,'Course 5'!$I150," ")</f>
        <v xml:space="preserve"> </v>
      </c>
      <c r="J152" s="8" t="str">
        <f>IF('Course 5'!$H150='tab5'!J$3,'Course 5'!$I150," ")</f>
        <v xml:space="preserve"> </v>
      </c>
      <c r="K152" s="8" t="str">
        <f>IF('Course 5'!$H150='tab5'!K$3,'Course 5'!$I150," ")</f>
        <v xml:space="preserve"> </v>
      </c>
      <c r="L152" s="8" t="str">
        <f>IF('Course 5'!$H150='tab5'!L$3,'Course 5'!$I150," ")</f>
        <v xml:space="preserve"> </v>
      </c>
      <c r="M152" s="8" t="str">
        <f>IF('Course 5'!$H150='tab5'!M$3,'Course 5'!$I150," ")</f>
        <v xml:space="preserve"> </v>
      </c>
      <c r="N152" s="9" t="str">
        <f>IF('Course 5'!$H150='tab5'!N$3,'Course 5'!$I150," ")</f>
        <v xml:space="preserve"> </v>
      </c>
    </row>
    <row r="153" spans="2:14">
      <c r="B153">
        <v>149</v>
      </c>
      <c r="C153" s="7" t="str">
        <f>IF('Course 5'!$H151='tab5'!C$3,'Course 5'!$I151," ")</f>
        <v xml:space="preserve"> </v>
      </c>
      <c r="D153" s="8" t="str">
        <f>IF('Course 5'!$H151='tab5'!D$3,'Course 5'!$I151," ")</f>
        <v xml:space="preserve"> </v>
      </c>
      <c r="E153" s="8" t="str">
        <f>IF('Course 5'!$H151='tab5'!E$3,'Course 5'!$I151," ")</f>
        <v xml:space="preserve"> </v>
      </c>
      <c r="F153" s="8" t="str">
        <f>IF('Course 5'!$H151='tab5'!F$3,'Course 5'!$I151," ")</f>
        <v xml:space="preserve"> </v>
      </c>
      <c r="G153" s="8" t="str">
        <f>IF('Course 5'!$H151='tab5'!G$3,'Course 5'!$I151," ")</f>
        <v xml:space="preserve"> </v>
      </c>
      <c r="H153" s="8" t="str">
        <f>IF('Course 5'!$H151='tab5'!H$3,'Course 5'!$I151," ")</f>
        <v xml:space="preserve"> </v>
      </c>
      <c r="I153" s="8" t="str">
        <f>IF('Course 5'!$H151='tab5'!I$3,'Course 5'!$I151," ")</f>
        <v xml:space="preserve"> </v>
      </c>
      <c r="J153" s="8" t="str">
        <f>IF('Course 5'!$H151='tab5'!J$3,'Course 5'!$I151," ")</f>
        <v xml:space="preserve"> </v>
      </c>
      <c r="K153" s="8" t="str">
        <f>IF('Course 5'!$H151='tab5'!K$3,'Course 5'!$I151," ")</f>
        <v xml:space="preserve"> </v>
      </c>
      <c r="L153" s="8" t="str">
        <f>IF('Course 5'!$H151='tab5'!L$3,'Course 5'!$I151," ")</f>
        <v xml:space="preserve"> </v>
      </c>
      <c r="M153" s="8" t="str">
        <f>IF('Course 5'!$H151='tab5'!M$3,'Course 5'!$I151," ")</f>
        <v xml:space="preserve"> </v>
      </c>
      <c r="N153" s="9" t="str">
        <f>IF('Course 5'!$H151='tab5'!N$3,'Course 5'!$I151," ")</f>
        <v xml:space="preserve"> </v>
      </c>
    </row>
    <row r="154" spans="2:14">
      <c r="B154">
        <v>150</v>
      </c>
      <c r="C154" s="7" t="str">
        <f>IF('Course 5'!$H152='tab5'!C$3,'Course 5'!$I152," ")</f>
        <v xml:space="preserve"> </v>
      </c>
      <c r="D154" s="8" t="str">
        <f>IF('Course 5'!$H152='tab5'!D$3,'Course 5'!$I152," ")</f>
        <v xml:space="preserve"> </v>
      </c>
      <c r="E154" s="8" t="str">
        <f>IF('Course 5'!$H152='tab5'!E$3,'Course 5'!$I152," ")</f>
        <v xml:space="preserve"> </v>
      </c>
      <c r="F154" s="8" t="str">
        <f>IF('Course 5'!$H152='tab5'!F$3,'Course 5'!$I152," ")</f>
        <v xml:space="preserve"> </v>
      </c>
      <c r="G154" s="8" t="str">
        <f>IF('Course 5'!$H152='tab5'!G$3,'Course 5'!$I152," ")</f>
        <v xml:space="preserve"> </v>
      </c>
      <c r="H154" s="8" t="str">
        <f>IF('Course 5'!$H152='tab5'!H$3,'Course 5'!$I152," ")</f>
        <v xml:space="preserve"> </v>
      </c>
      <c r="I154" s="8" t="str">
        <f>IF('Course 5'!$H152='tab5'!I$3,'Course 5'!$I152," ")</f>
        <v xml:space="preserve"> </v>
      </c>
      <c r="J154" s="8" t="str">
        <f>IF('Course 5'!$H152='tab5'!J$3,'Course 5'!$I152," ")</f>
        <v xml:space="preserve"> </v>
      </c>
      <c r="K154" s="8" t="str">
        <f>IF('Course 5'!$H152='tab5'!K$3,'Course 5'!$I152," ")</f>
        <v xml:space="preserve"> </v>
      </c>
      <c r="L154" s="8" t="str">
        <f>IF('Course 5'!$H152='tab5'!L$3,'Course 5'!$I152," ")</f>
        <v xml:space="preserve"> </v>
      </c>
      <c r="M154" s="8" t="str">
        <f>IF('Course 5'!$H152='tab5'!M$3,'Course 5'!$I152," ")</f>
        <v xml:space="preserve"> </v>
      </c>
      <c r="N154" s="9" t="str">
        <f>IF('Course 5'!$H152='tab5'!N$3,'Course 5'!$I152," ")</f>
        <v xml:space="preserve"> </v>
      </c>
    </row>
    <row r="155" spans="2:14">
      <c r="B155">
        <v>151</v>
      </c>
      <c r="C155" s="7" t="str">
        <f>IF('Course 5'!$H153='tab5'!C$3,'Course 5'!$I153," ")</f>
        <v xml:space="preserve"> </v>
      </c>
      <c r="D155" s="8" t="str">
        <f>IF('Course 5'!$H153='tab5'!D$3,'Course 5'!$I153," ")</f>
        <v xml:space="preserve"> </v>
      </c>
      <c r="E155" s="8" t="str">
        <f>IF('Course 5'!$H153='tab5'!E$3,'Course 5'!$I153," ")</f>
        <v xml:space="preserve"> </v>
      </c>
      <c r="F155" s="8" t="str">
        <f>IF('Course 5'!$H153='tab5'!F$3,'Course 5'!$I153," ")</f>
        <v xml:space="preserve"> </v>
      </c>
      <c r="G155" s="8" t="str">
        <f>IF('Course 5'!$H153='tab5'!G$3,'Course 5'!$I153," ")</f>
        <v xml:space="preserve"> </v>
      </c>
      <c r="H155" s="8" t="str">
        <f>IF('Course 5'!$H153='tab5'!H$3,'Course 5'!$I153," ")</f>
        <v xml:space="preserve"> </v>
      </c>
      <c r="I155" s="8" t="str">
        <f>IF('Course 5'!$H153='tab5'!I$3,'Course 5'!$I153," ")</f>
        <v xml:space="preserve"> </v>
      </c>
      <c r="J155" s="8" t="str">
        <f>IF('Course 5'!$H153='tab5'!J$3,'Course 5'!$I153," ")</f>
        <v xml:space="preserve"> </v>
      </c>
      <c r="K155" s="8" t="str">
        <f>IF('Course 5'!$H153='tab5'!K$3,'Course 5'!$I153," ")</f>
        <v xml:space="preserve"> </v>
      </c>
      <c r="L155" s="8" t="str">
        <f>IF('Course 5'!$H153='tab5'!L$3,'Course 5'!$I153," ")</f>
        <v xml:space="preserve"> </v>
      </c>
      <c r="M155" s="8" t="str">
        <f>IF('Course 5'!$H153='tab5'!M$3,'Course 5'!$I153," ")</f>
        <v xml:space="preserve"> </v>
      </c>
      <c r="N155" s="9" t="str">
        <f>IF('Course 5'!$H153='tab5'!N$3,'Course 5'!$I153," ")</f>
        <v xml:space="preserve"> </v>
      </c>
    </row>
    <row r="156" spans="2:14">
      <c r="B156">
        <v>152</v>
      </c>
      <c r="C156" s="7" t="str">
        <f>IF('Course 5'!$H154='tab5'!C$3,'Course 5'!$I154," ")</f>
        <v xml:space="preserve"> </v>
      </c>
      <c r="D156" s="8" t="str">
        <f>IF('Course 5'!$H154='tab5'!D$3,'Course 5'!$I154," ")</f>
        <v xml:space="preserve"> </v>
      </c>
      <c r="E156" s="8" t="str">
        <f>IF('Course 5'!$H154='tab5'!E$3,'Course 5'!$I154," ")</f>
        <v xml:space="preserve"> </v>
      </c>
      <c r="F156" s="8" t="str">
        <f>IF('Course 5'!$H154='tab5'!F$3,'Course 5'!$I154," ")</f>
        <v xml:space="preserve"> </v>
      </c>
      <c r="G156" s="8" t="str">
        <f>IF('Course 5'!$H154='tab5'!G$3,'Course 5'!$I154," ")</f>
        <v xml:space="preserve"> </v>
      </c>
      <c r="H156" s="8" t="str">
        <f>IF('Course 5'!$H154='tab5'!H$3,'Course 5'!$I154," ")</f>
        <v xml:space="preserve"> </v>
      </c>
      <c r="I156" s="8" t="str">
        <f>IF('Course 5'!$H154='tab5'!I$3,'Course 5'!$I154," ")</f>
        <v xml:space="preserve"> </v>
      </c>
      <c r="J156" s="8" t="str">
        <f>IF('Course 5'!$H154='tab5'!J$3,'Course 5'!$I154," ")</f>
        <v xml:space="preserve"> </v>
      </c>
      <c r="K156" s="8" t="str">
        <f>IF('Course 5'!$H154='tab5'!K$3,'Course 5'!$I154," ")</f>
        <v xml:space="preserve"> </v>
      </c>
      <c r="L156" s="8" t="str">
        <f>IF('Course 5'!$H154='tab5'!L$3,'Course 5'!$I154," ")</f>
        <v xml:space="preserve"> </v>
      </c>
      <c r="M156" s="8" t="str">
        <f>IF('Course 5'!$H154='tab5'!M$3,'Course 5'!$I154," ")</f>
        <v xml:space="preserve"> </v>
      </c>
      <c r="N156" s="9" t="str">
        <f>IF('Course 5'!$H154='tab5'!N$3,'Course 5'!$I154," ")</f>
        <v xml:space="preserve"> </v>
      </c>
    </row>
    <row r="157" spans="2:14">
      <c r="B157">
        <v>153</v>
      </c>
      <c r="C157" s="7" t="str">
        <f>IF('Course 5'!$H155='tab5'!C$3,'Course 5'!$I155," ")</f>
        <v xml:space="preserve"> </v>
      </c>
      <c r="D157" s="8" t="str">
        <f>IF('Course 5'!$H155='tab5'!D$3,'Course 5'!$I155," ")</f>
        <v xml:space="preserve"> </v>
      </c>
      <c r="E157" s="8" t="str">
        <f>IF('Course 5'!$H155='tab5'!E$3,'Course 5'!$I155," ")</f>
        <v xml:space="preserve"> </v>
      </c>
      <c r="F157" s="8" t="str">
        <f>IF('Course 5'!$H155='tab5'!F$3,'Course 5'!$I155," ")</f>
        <v xml:space="preserve"> </v>
      </c>
      <c r="G157" s="8" t="str">
        <f>IF('Course 5'!$H155='tab5'!G$3,'Course 5'!$I155," ")</f>
        <v xml:space="preserve"> </v>
      </c>
      <c r="H157" s="8" t="str">
        <f>IF('Course 5'!$H155='tab5'!H$3,'Course 5'!$I155," ")</f>
        <v xml:space="preserve"> </v>
      </c>
      <c r="I157" s="8" t="str">
        <f>IF('Course 5'!$H155='tab5'!I$3,'Course 5'!$I155," ")</f>
        <v xml:space="preserve"> </v>
      </c>
      <c r="J157" s="8" t="str">
        <f>IF('Course 5'!$H155='tab5'!J$3,'Course 5'!$I155," ")</f>
        <v xml:space="preserve"> </v>
      </c>
      <c r="K157" s="8" t="str">
        <f>IF('Course 5'!$H155='tab5'!K$3,'Course 5'!$I155," ")</f>
        <v xml:space="preserve"> </v>
      </c>
      <c r="L157" s="8" t="str">
        <f>IF('Course 5'!$H155='tab5'!L$3,'Course 5'!$I155," ")</f>
        <v xml:space="preserve"> </v>
      </c>
      <c r="M157" s="8" t="str">
        <f>IF('Course 5'!$H155='tab5'!M$3,'Course 5'!$I155," ")</f>
        <v xml:space="preserve"> </v>
      </c>
      <c r="N157" s="9" t="str">
        <f>IF('Course 5'!$H155='tab5'!N$3,'Course 5'!$I155," ")</f>
        <v xml:space="preserve"> </v>
      </c>
    </row>
    <row r="158" spans="2:14">
      <c r="B158">
        <v>154</v>
      </c>
      <c r="C158" s="7" t="str">
        <f>IF('Course 5'!$H156='tab5'!C$3,'Course 5'!$I156," ")</f>
        <v xml:space="preserve"> </v>
      </c>
      <c r="D158" s="8" t="str">
        <f>IF('Course 5'!$H156='tab5'!D$3,'Course 5'!$I156," ")</f>
        <v xml:space="preserve"> </v>
      </c>
      <c r="E158" s="8" t="str">
        <f>IF('Course 5'!$H156='tab5'!E$3,'Course 5'!$I156," ")</f>
        <v xml:space="preserve"> </v>
      </c>
      <c r="F158" s="8" t="str">
        <f>IF('Course 5'!$H156='tab5'!F$3,'Course 5'!$I156," ")</f>
        <v xml:space="preserve"> </v>
      </c>
      <c r="G158" s="8" t="str">
        <f>IF('Course 5'!$H156='tab5'!G$3,'Course 5'!$I156," ")</f>
        <v xml:space="preserve"> </v>
      </c>
      <c r="H158" s="8" t="str">
        <f>IF('Course 5'!$H156='tab5'!H$3,'Course 5'!$I156," ")</f>
        <v xml:space="preserve"> </v>
      </c>
      <c r="I158" s="8" t="str">
        <f>IF('Course 5'!$H156='tab5'!I$3,'Course 5'!$I156," ")</f>
        <v xml:space="preserve"> </v>
      </c>
      <c r="J158" s="8" t="str">
        <f>IF('Course 5'!$H156='tab5'!J$3,'Course 5'!$I156," ")</f>
        <v xml:space="preserve"> </v>
      </c>
      <c r="K158" s="8" t="str">
        <f>IF('Course 5'!$H156='tab5'!K$3,'Course 5'!$I156," ")</f>
        <v xml:space="preserve"> </v>
      </c>
      <c r="L158" s="8" t="str">
        <f>IF('Course 5'!$H156='tab5'!L$3,'Course 5'!$I156," ")</f>
        <v xml:space="preserve"> </v>
      </c>
      <c r="M158" s="8" t="str">
        <f>IF('Course 5'!$H156='tab5'!M$3,'Course 5'!$I156," ")</f>
        <v xml:space="preserve"> </v>
      </c>
      <c r="N158" s="9" t="str">
        <f>IF('Course 5'!$H156='tab5'!N$3,'Course 5'!$I156," ")</f>
        <v xml:space="preserve"> </v>
      </c>
    </row>
    <row r="159" spans="2:14">
      <c r="B159">
        <v>155</v>
      </c>
      <c r="C159" s="7" t="str">
        <f>IF('Course 5'!$H157='tab5'!C$3,'Course 5'!$I157," ")</f>
        <v xml:space="preserve"> </v>
      </c>
      <c r="D159" s="8" t="str">
        <f>IF('Course 5'!$H157='tab5'!D$3,'Course 5'!$I157," ")</f>
        <v xml:space="preserve"> </v>
      </c>
      <c r="E159" s="8" t="str">
        <f>IF('Course 5'!$H157='tab5'!E$3,'Course 5'!$I157," ")</f>
        <v xml:space="preserve"> </v>
      </c>
      <c r="F159" s="8" t="str">
        <f>IF('Course 5'!$H157='tab5'!F$3,'Course 5'!$I157," ")</f>
        <v xml:space="preserve"> </v>
      </c>
      <c r="G159" s="8" t="str">
        <f>IF('Course 5'!$H157='tab5'!G$3,'Course 5'!$I157," ")</f>
        <v xml:space="preserve"> </v>
      </c>
      <c r="H159" s="8" t="str">
        <f>IF('Course 5'!$H157='tab5'!H$3,'Course 5'!$I157," ")</f>
        <v xml:space="preserve"> </v>
      </c>
      <c r="I159" s="8" t="str">
        <f>IF('Course 5'!$H157='tab5'!I$3,'Course 5'!$I157," ")</f>
        <v xml:space="preserve"> </v>
      </c>
      <c r="J159" s="8" t="str">
        <f>IF('Course 5'!$H157='tab5'!J$3,'Course 5'!$I157," ")</f>
        <v xml:space="preserve"> </v>
      </c>
      <c r="K159" s="8" t="str">
        <f>IF('Course 5'!$H157='tab5'!K$3,'Course 5'!$I157," ")</f>
        <v xml:space="preserve"> </v>
      </c>
      <c r="L159" s="8" t="str">
        <f>IF('Course 5'!$H157='tab5'!L$3,'Course 5'!$I157," ")</f>
        <v xml:space="preserve"> </v>
      </c>
      <c r="M159" s="8" t="str">
        <f>IF('Course 5'!$H157='tab5'!M$3,'Course 5'!$I157," ")</f>
        <v xml:space="preserve"> </v>
      </c>
      <c r="N159" s="9" t="str">
        <f>IF('Course 5'!$H157='tab5'!N$3,'Course 5'!$I157," ")</f>
        <v xml:space="preserve"> </v>
      </c>
    </row>
    <row r="160" spans="2:14">
      <c r="B160">
        <v>156</v>
      </c>
      <c r="C160" s="7" t="str">
        <f>IF('Course 5'!$H158='tab5'!C$3,'Course 5'!$I158," ")</f>
        <v xml:space="preserve"> </v>
      </c>
      <c r="D160" s="8" t="str">
        <f>IF('Course 5'!$H158='tab5'!D$3,'Course 5'!$I158," ")</f>
        <v xml:space="preserve"> </v>
      </c>
      <c r="E160" s="8" t="str">
        <f>IF('Course 5'!$H158='tab5'!E$3,'Course 5'!$I158," ")</f>
        <v xml:space="preserve"> </v>
      </c>
      <c r="F160" s="8" t="str">
        <f>IF('Course 5'!$H158='tab5'!F$3,'Course 5'!$I158," ")</f>
        <v xml:space="preserve"> </v>
      </c>
      <c r="G160" s="8" t="str">
        <f>IF('Course 5'!$H158='tab5'!G$3,'Course 5'!$I158," ")</f>
        <v xml:space="preserve"> </v>
      </c>
      <c r="H160" s="8" t="str">
        <f>IF('Course 5'!$H158='tab5'!H$3,'Course 5'!$I158," ")</f>
        <v xml:space="preserve"> </v>
      </c>
      <c r="I160" s="8" t="str">
        <f>IF('Course 5'!$H158='tab5'!I$3,'Course 5'!$I158," ")</f>
        <v xml:space="preserve"> </v>
      </c>
      <c r="J160" s="8" t="str">
        <f>IF('Course 5'!$H158='tab5'!J$3,'Course 5'!$I158," ")</f>
        <v xml:space="preserve"> </v>
      </c>
      <c r="K160" s="8" t="str">
        <f>IF('Course 5'!$H158='tab5'!K$3,'Course 5'!$I158," ")</f>
        <v xml:space="preserve"> </v>
      </c>
      <c r="L160" s="8" t="str">
        <f>IF('Course 5'!$H158='tab5'!L$3,'Course 5'!$I158," ")</f>
        <v xml:space="preserve"> </v>
      </c>
      <c r="M160" s="8" t="str">
        <f>IF('Course 5'!$H158='tab5'!M$3,'Course 5'!$I158," ")</f>
        <v xml:space="preserve"> </v>
      </c>
      <c r="N160" s="9" t="str">
        <f>IF('Course 5'!$H158='tab5'!N$3,'Course 5'!$I158," ")</f>
        <v xml:space="preserve"> </v>
      </c>
    </row>
    <row r="161" spans="2:14">
      <c r="B161">
        <v>157</v>
      </c>
      <c r="C161" s="7" t="str">
        <f>IF('Course 5'!$H159='tab5'!C$3,'Course 5'!$I159," ")</f>
        <v xml:space="preserve"> </v>
      </c>
      <c r="D161" s="8" t="str">
        <f>IF('Course 5'!$H159='tab5'!D$3,'Course 5'!$I159," ")</f>
        <v xml:space="preserve"> </v>
      </c>
      <c r="E161" s="8" t="str">
        <f>IF('Course 5'!$H159='tab5'!E$3,'Course 5'!$I159," ")</f>
        <v xml:space="preserve"> </v>
      </c>
      <c r="F161" s="8" t="str">
        <f>IF('Course 5'!$H159='tab5'!F$3,'Course 5'!$I159," ")</f>
        <v xml:space="preserve"> </v>
      </c>
      <c r="G161" s="8" t="str">
        <f>IF('Course 5'!$H159='tab5'!G$3,'Course 5'!$I159," ")</f>
        <v xml:space="preserve"> </v>
      </c>
      <c r="H161" s="8" t="str">
        <f>IF('Course 5'!$H159='tab5'!H$3,'Course 5'!$I159," ")</f>
        <v xml:space="preserve"> </v>
      </c>
      <c r="I161" s="8" t="str">
        <f>IF('Course 5'!$H159='tab5'!I$3,'Course 5'!$I159," ")</f>
        <v xml:space="preserve"> </v>
      </c>
      <c r="J161" s="8" t="str">
        <f>IF('Course 5'!$H159='tab5'!J$3,'Course 5'!$I159," ")</f>
        <v xml:space="preserve"> </v>
      </c>
      <c r="K161" s="8" t="str">
        <f>IF('Course 5'!$H159='tab5'!K$3,'Course 5'!$I159," ")</f>
        <v xml:space="preserve"> </v>
      </c>
      <c r="L161" s="8" t="str">
        <f>IF('Course 5'!$H159='tab5'!L$3,'Course 5'!$I159," ")</f>
        <v xml:space="preserve"> </v>
      </c>
      <c r="M161" s="8" t="str">
        <f>IF('Course 5'!$H159='tab5'!M$3,'Course 5'!$I159," ")</f>
        <v xml:space="preserve"> </v>
      </c>
      <c r="N161" s="9" t="str">
        <f>IF('Course 5'!$H159='tab5'!N$3,'Course 5'!$I159," ")</f>
        <v xml:space="preserve"> </v>
      </c>
    </row>
    <row r="162" spans="2:14">
      <c r="B162">
        <v>158</v>
      </c>
      <c r="C162" s="7" t="str">
        <f>IF('Course 5'!$H160='tab5'!C$3,'Course 5'!$I160," ")</f>
        <v xml:space="preserve"> </v>
      </c>
      <c r="D162" s="8" t="str">
        <f>IF('Course 5'!$H160='tab5'!D$3,'Course 5'!$I160," ")</f>
        <v xml:space="preserve"> </v>
      </c>
      <c r="E162" s="8" t="str">
        <f>IF('Course 5'!$H160='tab5'!E$3,'Course 5'!$I160," ")</f>
        <v xml:space="preserve"> </v>
      </c>
      <c r="F162" s="8" t="str">
        <f>IF('Course 5'!$H160='tab5'!F$3,'Course 5'!$I160," ")</f>
        <v xml:space="preserve"> </v>
      </c>
      <c r="G162" s="8" t="str">
        <f>IF('Course 5'!$H160='tab5'!G$3,'Course 5'!$I160," ")</f>
        <v xml:space="preserve"> </v>
      </c>
      <c r="H162" s="8" t="str">
        <f>IF('Course 5'!$H160='tab5'!H$3,'Course 5'!$I160," ")</f>
        <v xml:space="preserve"> </v>
      </c>
      <c r="I162" s="8" t="str">
        <f>IF('Course 5'!$H160='tab5'!I$3,'Course 5'!$I160," ")</f>
        <v xml:space="preserve"> </v>
      </c>
      <c r="J162" s="8" t="str">
        <f>IF('Course 5'!$H160='tab5'!J$3,'Course 5'!$I160," ")</f>
        <v xml:space="preserve"> </v>
      </c>
      <c r="K162" s="8" t="str">
        <f>IF('Course 5'!$H160='tab5'!K$3,'Course 5'!$I160," ")</f>
        <v xml:space="preserve"> </v>
      </c>
      <c r="L162" s="8" t="str">
        <f>IF('Course 5'!$H160='tab5'!L$3,'Course 5'!$I160," ")</f>
        <v xml:space="preserve"> </v>
      </c>
      <c r="M162" s="8" t="str">
        <f>IF('Course 5'!$H160='tab5'!M$3,'Course 5'!$I160," ")</f>
        <v xml:space="preserve"> </v>
      </c>
      <c r="N162" s="9" t="str">
        <f>IF('Course 5'!$H160='tab5'!N$3,'Course 5'!$I160," ")</f>
        <v xml:space="preserve"> </v>
      </c>
    </row>
    <row r="163" spans="2:14">
      <c r="B163">
        <v>159</v>
      </c>
      <c r="C163" s="7" t="str">
        <f>IF('Course 5'!$H161='tab5'!C$3,'Course 5'!$I161," ")</f>
        <v xml:space="preserve"> </v>
      </c>
      <c r="D163" s="8" t="str">
        <f>IF('Course 5'!$H161='tab5'!D$3,'Course 5'!$I161," ")</f>
        <v xml:space="preserve"> </v>
      </c>
      <c r="E163" s="8" t="str">
        <f>IF('Course 5'!$H161='tab5'!E$3,'Course 5'!$I161," ")</f>
        <v xml:space="preserve"> </v>
      </c>
      <c r="F163" s="8" t="str">
        <f>IF('Course 5'!$H161='tab5'!F$3,'Course 5'!$I161," ")</f>
        <v xml:space="preserve"> </v>
      </c>
      <c r="G163" s="8" t="str">
        <f>IF('Course 5'!$H161='tab5'!G$3,'Course 5'!$I161," ")</f>
        <v xml:space="preserve"> </v>
      </c>
      <c r="H163" s="8" t="str">
        <f>IF('Course 5'!$H161='tab5'!H$3,'Course 5'!$I161," ")</f>
        <v xml:space="preserve"> </v>
      </c>
      <c r="I163" s="8" t="str">
        <f>IF('Course 5'!$H161='tab5'!I$3,'Course 5'!$I161," ")</f>
        <v xml:space="preserve"> </v>
      </c>
      <c r="J163" s="8" t="str">
        <f>IF('Course 5'!$H161='tab5'!J$3,'Course 5'!$I161," ")</f>
        <v xml:space="preserve"> </v>
      </c>
      <c r="K163" s="8" t="str">
        <f>IF('Course 5'!$H161='tab5'!K$3,'Course 5'!$I161," ")</f>
        <v xml:space="preserve"> </v>
      </c>
      <c r="L163" s="8" t="str">
        <f>IF('Course 5'!$H161='tab5'!L$3,'Course 5'!$I161," ")</f>
        <v xml:space="preserve"> </v>
      </c>
      <c r="M163" s="8" t="str">
        <f>IF('Course 5'!$H161='tab5'!M$3,'Course 5'!$I161," ")</f>
        <v xml:space="preserve"> </v>
      </c>
      <c r="N163" s="9" t="str">
        <f>IF('Course 5'!$H161='tab5'!N$3,'Course 5'!$I161," ")</f>
        <v xml:space="preserve"> </v>
      </c>
    </row>
    <row r="164" spans="2:14">
      <c r="B164">
        <v>160</v>
      </c>
      <c r="C164" s="7" t="str">
        <f>IF('Course 5'!$H162='tab5'!C$3,'Course 5'!$I162," ")</f>
        <v xml:space="preserve"> </v>
      </c>
      <c r="D164" s="8" t="str">
        <f>IF('Course 5'!$H162='tab5'!D$3,'Course 5'!$I162," ")</f>
        <v xml:space="preserve"> </v>
      </c>
      <c r="E164" s="8" t="str">
        <f>IF('Course 5'!$H162='tab5'!E$3,'Course 5'!$I162," ")</f>
        <v xml:space="preserve"> </v>
      </c>
      <c r="F164" s="8" t="str">
        <f>IF('Course 5'!$H162='tab5'!F$3,'Course 5'!$I162," ")</f>
        <v xml:space="preserve"> </v>
      </c>
      <c r="G164" s="8" t="str">
        <f>IF('Course 5'!$H162='tab5'!G$3,'Course 5'!$I162," ")</f>
        <v xml:space="preserve"> </v>
      </c>
      <c r="H164" s="8" t="str">
        <f>IF('Course 5'!$H162='tab5'!H$3,'Course 5'!$I162," ")</f>
        <v xml:space="preserve"> </v>
      </c>
      <c r="I164" s="8" t="str">
        <f>IF('Course 5'!$H162='tab5'!I$3,'Course 5'!$I162," ")</f>
        <v xml:space="preserve"> </v>
      </c>
      <c r="J164" s="8" t="str">
        <f>IF('Course 5'!$H162='tab5'!J$3,'Course 5'!$I162," ")</f>
        <v xml:space="preserve"> </v>
      </c>
      <c r="K164" s="8" t="str">
        <f>IF('Course 5'!$H162='tab5'!K$3,'Course 5'!$I162," ")</f>
        <v xml:space="preserve"> </v>
      </c>
      <c r="L164" s="8" t="str">
        <f>IF('Course 5'!$H162='tab5'!L$3,'Course 5'!$I162," ")</f>
        <v xml:space="preserve"> </v>
      </c>
      <c r="M164" s="8" t="str">
        <f>IF('Course 5'!$H162='tab5'!M$3,'Course 5'!$I162," ")</f>
        <v xml:space="preserve"> </v>
      </c>
      <c r="N164" s="9" t="str">
        <f>IF('Course 5'!$H162='tab5'!N$3,'Course 5'!$I162," ")</f>
        <v xml:space="preserve"> </v>
      </c>
    </row>
    <row r="165" spans="2:14">
      <c r="B165">
        <v>161</v>
      </c>
      <c r="C165" s="7" t="str">
        <f>IF('Course 5'!$H163='tab5'!C$3,'Course 5'!$I163," ")</f>
        <v xml:space="preserve"> </v>
      </c>
      <c r="D165" s="8" t="str">
        <f>IF('Course 5'!$H163='tab5'!D$3,'Course 5'!$I163," ")</f>
        <v xml:space="preserve"> </v>
      </c>
      <c r="E165" s="8" t="str">
        <f>IF('Course 5'!$H163='tab5'!E$3,'Course 5'!$I163," ")</f>
        <v xml:space="preserve"> </v>
      </c>
      <c r="F165" s="8" t="str">
        <f>IF('Course 5'!$H163='tab5'!F$3,'Course 5'!$I163," ")</f>
        <v xml:space="preserve"> </v>
      </c>
      <c r="G165" s="8" t="str">
        <f>IF('Course 5'!$H163='tab5'!G$3,'Course 5'!$I163," ")</f>
        <v xml:space="preserve"> </v>
      </c>
      <c r="H165" s="8" t="str">
        <f>IF('Course 5'!$H163='tab5'!H$3,'Course 5'!$I163," ")</f>
        <v xml:space="preserve"> </v>
      </c>
      <c r="I165" s="8" t="str">
        <f>IF('Course 5'!$H163='tab5'!I$3,'Course 5'!$I163," ")</f>
        <v xml:space="preserve"> </v>
      </c>
      <c r="J165" s="8" t="str">
        <f>IF('Course 5'!$H163='tab5'!J$3,'Course 5'!$I163," ")</f>
        <v xml:space="preserve"> </v>
      </c>
      <c r="K165" s="8" t="str">
        <f>IF('Course 5'!$H163='tab5'!K$3,'Course 5'!$I163," ")</f>
        <v xml:space="preserve"> </v>
      </c>
      <c r="L165" s="8" t="str">
        <f>IF('Course 5'!$H163='tab5'!L$3,'Course 5'!$I163," ")</f>
        <v xml:space="preserve"> </v>
      </c>
      <c r="M165" s="8" t="str">
        <f>IF('Course 5'!$H163='tab5'!M$3,'Course 5'!$I163," ")</f>
        <v xml:space="preserve"> </v>
      </c>
      <c r="N165" s="9" t="str">
        <f>IF('Course 5'!$H163='tab5'!N$3,'Course 5'!$I163," ")</f>
        <v xml:space="preserve"> </v>
      </c>
    </row>
    <row r="166" spans="2:14">
      <c r="B166">
        <v>162</v>
      </c>
      <c r="C166" s="7" t="str">
        <f>IF('Course 5'!$H164='tab5'!C$3,'Course 5'!$I164," ")</f>
        <v xml:space="preserve"> </v>
      </c>
      <c r="D166" s="8" t="str">
        <f>IF('Course 5'!$H164='tab5'!D$3,'Course 5'!$I164," ")</f>
        <v xml:space="preserve"> </v>
      </c>
      <c r="E166" s="8" t="str">
        <f>IF('Course 5'!$H164='tab5'!E$3,'Course 5'!$I164," ")</f>
        <v xml:space="preserve"> </v>
      </c>
      <c r="F166" s="8" t="str">
        <f>IF('Course 5'!$H164='tab5'!F$3,'Course 5'!$I164," ")</f>
        <v xml:space="preserve"> </v>
      </c>
      <c r="G166" s="8" t="str">
        <f>IF('Course 5'!$H164='tab5'!G$3,'Course 5'!$I164," ")</f>
        <v xml:space="preserve"> </v>
      </c>
      <c r="H166" s="8" t="str">
        <f>IF('Course 5'!$H164='tab5'!H$3,'Course 5'!$I164," ")</f>
        <v xml:space="preserve"> </v>
      </c>
      <c r="I166" s="8" t="str">
        <f>IF('Course 5'!$H164='tab5'!I$3,'Course 5'!$I164," ")</f>
        <v xml:space="preserve"> </v>
      </c>
      <c r="J166" s="8" t="str">
        <f>IF('Course 5'!$H164='tab5'!J$3,'Course 5'!$I164," ")</f>
        <v xml:space="preserve"> </v>
      </c>
      <c r="K166" s="8" t="str">
        <f>IF('Course 5'!$H164='tab5'!K$3,'Course 5'!$I164," ")</f>
        <v xml:space="preserve"> </v>
      </c>
      <c r="L166" s="8" t="str">
        <f>IF('Course 5'!$H164='tab5'!L$3,'Course 5'!$I164," ")</f>
        <v xml:space="preserve"> </v>
      </c>
      <c r="M166" s="8" t="str">
        <f>IF('Course 5'!$H164='tab5'!M$3,'Course 5'!$I164," ")</f>
        <v xml:space="preserve"> </v>
      </c>
      <c r="N166" s="9" t="str">
        <f>IF('Course 5'!$H164='tab5'!N$3,'Course 5'!$I164," ")</f>
        <v xml:space="preserve"> </v>
      </c>
    </row>
    <row r="167" spans="2:14">
      <c r="B167">
        <v>163</v>
      </c>
      <c r="C167" s="7" t="str">
        <f>IF('Course 5'!$H165='tab5'!C$3,'Course 5'!$I165," ")</f>
        <v xml:space="preserve"> </v>
      </c>
      <c r="D167" s="8" t="str">
        <f>IF('Course 5'!$H165='tab5'!D$3,'Course 5'!$I165," ")</f>
        <v xml:space="preserve"> </v>
      </c>
      <c r="E167" s="8" t="str">
        <f>IF('Course 5'!$H165='tab5'!E$3,'Course 5'!$I165," ")</f>
        <v xml:space="preserve"> </v>
      </c>
      <c r="F167" s="8" t="str">
        <f>IF('Course 5'!$H165='tab5'!F$3,'Course 5'!$I165," ")</f>
        <v xml:space="preserve"> </v>
      </c>
      <c r="G167" s="8" t="str">
        <f>IF('Course 5'!$H165='tab5'!G$3,'Course 5'!$I165," ")</f>
        <v xml:space="preserve"> </v>
      </c>
      <c r="H167" s="8" t="str">
        <f>IF('Course 5'!$H165='tab5'!H$3,'Course 5'!$I165," ")</f>
        <v xml:space="preserve"> </v>
      </c>
      <c r="I167" s="8" t="str">
        <f>IF('Course 5'!$H165='tab5'!I$3,'Course 5'!$I165," ")</f>
        <v xml:space="preserve"> </v>
      </c>
      <c r="J167" s="8" t="str">
        <f>IF('Course 5'!$H165='tab5'!J$3,'Course 5'!$I165," ")</f>
        <v xml:space="preserve"> </v>
      </c>
      <c r="K167" s="8" t="str">
        <f>IF('Course 5'!$H165='tab5'!K$3,'Course 5'!$I165," ")</f>
        <v xml:space="preserve"> </v>
      </c>
      <c r="L167" s="8" t="str">
        <f>IF('Course 5'!$H165='tab5'!L$3,'Course 5'!$I165," ")</f>
        <v xml:space="preserve"> </v>
      </c>
      <c r="M167" s="8" t="str">
        <f>IF('Course 5'!$H165='tab5'!M$3,'Course 5'!$I165," ")</f>
        <v xml:space="preserve"> </v>
      </c>
      <c r="N167" s="9" t="str">
        <f>IF('Course 5'!$H165='tab5'!N$3,'Course 5'!$I165," ")</f>
        <v xml:space="preserve"> </v>
      </c>
    </row>
    <row r="168" spans="2:14">
      <c r="B168">
        <v>164</v>
      </c>
      <c r="C168" s="7" t="str">
        <f>IF('Course 5'!$H166='tab5'!C$3,'Course 5'!$I166," ")</f>
        <v xml:space="preserve"> </v>
      </c>
      <c r="D168" s="8" t="str">
        <f>IF('Course 5'!$H166='tab5'!D$3,'Course 5'!$I166," ")</f>
        <v xml:space="preserve"> </v>
      </c>
      <c r="E168" s="8" t="str">
        <f>IF('Course 5'!$H166='tab5'!E$3,'Course 5'!$I166," ")</f>
        <v xml:space="preserve"> </v>
      </c>
      <c r="F168" s="8" t="str">
        <f>IF('Course 5'!$H166='tab5'!F$3,'Course 5'!$I166," ")</f>
        <v xml:space="preserve"> </v>
      </c>
      <c r="G168" s="8" t="str">
        <f>IF('Course 5'!$H166='tab5'!G$3,'Course 5'!$I166," ")</f>
        <v xml:space="preserve"> </v>
      </c>
      <c r="H168" s="8" t="str">
        <f>IF('Course 5'!$H166='tab5'!H$3,'Course 5'!$I166," ")</f>
        <v xml:space="preserve"> </v>
      </c>
      <c r="I168" s="8" t="str">
        <f>IF('Course 5'!$H166='tab5'!I$3,'Course 5'!$I166," ")</f>
        <v xml:space="preserve"> </v>
      </c>
      <c r="J168" s="8" t="str">
        <f>IF('Course 5'!$H166='tab5'!J$3,'Course 5'!$I166," ")</f>
        <v xml:space="preserve"> </v>
      </c>
      <c r="K168" s="8" t="str">
        <f>IF('Course 5'!$H166='tab5'!K$3,'Course 5'!$I166," ")</f>
        <v xml:space="preserve"> </v>
      </c>
      <c r="L168" s="8" t="str">
        <f>IF('Course 5'!$H166='tab5'!L$3,'Course 5'!$I166," ")</f>
        <v xml:space="preserve"> </v>
      </c>
      <c r="M168" s="8" t="str">
        <f>IF('Course 5'!$H166='tab5'!M$3,'Course 5'!$I166," ")</f>
        <v xml:space="preserve"> </v>
      </c>
      <c r="N168" s="9" t="str">
        <f>IF('Course 5'!$H166='tab5'!N$3,'Course 5'!$I166," ")</f>
        <v xml:space="preserve"> </v>
      </c>
    </row>
    <row r="169" spans="2:14">
      <c r="B169">
        <v>165</v>
      </c>
      <c r="C169" s="7" t="str">
        <f>IF('Course 5'!$H167='tab5'!C$3,'Course 5'!$I167," ")</f>
        <v xml:space="preserve"> </v>
      </c>
      <c r="D169" s="8" t="str">
        <f>IF('Course 5'!$H167='tab5'!D$3,'Course 5'!$I167," ")</f>
        <v xml:space="preserve"> </v>
      </c>
      <c r="E169" s="8" t="str">
        <f>IF('Course 5'!$H167='tab5'!E$3,'Course 5'!$I167," ")</f>
        <v xml:space="preserve"> </v>
      </c>
      <c r="F169" s="8" t="str">
        <f>IF('Course 5'!$H167='tab5'!F$3,'Course 5'!$I167," ")</f>
        <v xml:space="preserve"> </v>
      </c>
      <c r="G169" s="8" t="str">
        <f>IF('Course 5'!$H167='tab5'!G$3,'Course 5'!$I167," ")</f>
        <v xml:space="preserve"> </v>
      </c>
      <c r="H169" s="8" t="str">
        <f>IF('Course 5'!$H167='tab5'!H$3,'Course 5'!$I167," ")</f>
        <v xml:space="preserve"> </v>
      </c>
      <c r="I169" s="8" t="str">
        <f>IF('Course 5'!$H167='tab5'!I$3,'Course 5'!$I167," ")</f>
        <v xml:space="preserve"> </v>
      </c>
      <c r="J169" s="8" t="str">
        <f>IF('Course 5'!$H167='tab5'!J$3,'Course 5'!$I167," ")</f>
        <v xml:space="preserve"> </v>
      </c>
      <c r="K169" s="8" t="str">
        <f>IF('Course 5'!$H167='tab5'!K$3,'Course 5'!$I167," ")</f>
        <v xml:space="preserve"> </v>
      </c>
      <c r="L169" s="8" t="str">
        <f>IF('Course 5'!$H167='tab5'!L$3,'Course 5'!$I167," ")</f>
        <v xml:space="preserve"> </v>
      </c>
      <c r="M169" s="8" t="str">
        <f>IF('Course 5'!$H167='tab5'!M$3,'Course 5'!$I167," ")</f>
        <v xml:space="preserve"> </v>
      </c>
      <c r="N169" s="9" t="str">
        <f>IF('Course 5'!$H167='tab5'!N$3,'Course 5'!$I167," ")</f>
        <v xml:space="preserve"> </v>
      </c>
    </row>
    <row r="170" spans="2:14">
      <c r="B170">
        <v>166</v>
      </c>
      <c r="C170" s="7" t="str">
        <f>IF('Course 5'!$H168='tab5'!C$3,'Course 5'!$I168," ")</f>
        <v xml:space="preserve"> </v>
      </c>
      <c r="D170" s="8" t="str">
        <f>IF('Course 5'!$H168='tab5'!D$3,'Course 5'!$I168," ")</f>
        <v xml:space="preserve"> </v>
      </c>
      <c r="E170" s="8" t="str">
        <f>IF('Course 5'!$H168='tab5'!E$3,'Course 5'!$I168," ")</f>
        <v xml:space="preserve"> </v>
      </c>
      <c r="F170" s="8" t="str">
        <f>IF('Course 5'!$H168='tab5'!F$3,'Course 5'!$I168," ")</f>
        <v xml:space="preserve"> </v>
      </c>
      <c r="G170" s="8" t="str">
        <f>IF('Course 5'!$H168='tab5'!G$3,'Course 5'!$I168," ")</f>
        <v xml:space="preserve"> </v>
      </c>
      <c r="H170" s="8" t="str">
        <f>IF('Course 5'!$H168='tab5'!H$3,'Course 5'!$I168," ")</f>
        <v xml:space="preserve"> </v>
      </c>
      <c r="I170" s="8" t="str">
        <f>IF('Course 5'!$H168='tab5'!I$3,'Course 5'!$I168," ")</f>
        <v xml:space="preserve"> </v>
      </c>
      <c r="J170" s="8" t="str">
        <f>IF('Course 5'!$H168='tab5'!J$3,'Course 5'!$I168," ")</f>
        <v xml:space="preserve"> </v>
      </c>
      <c r="K170" s="8" t="str">
        <f>IF('Course 5'!$H168='tab5'!K$3,'Course 5'!$I168," ")</f>
        <v xml:space="preserve"> </v>
      </c>
      <c r="L170" s="8" t="str">
        <f>IF('Course 5'!$H168='tab5'!L$3,'Course 5'!$I168," ")</f>
        <v xml:space="preserve"> </v>
      </c>
      <c r="M170" s="8" t="str">
        <f>IF('Course 5'!$H168='tab5'!M$3,'Course 5'!$I168," ")</f>
        <v xml:space="preserve"> </v>
      </c>
      <c r="N170" s="9" t="str">
        <f>IF('Course 5'!$H168='tab5'!N$3,'Course 5'!$I168," ")</f>
        <v xml:space="preserve"> </v>
      </c>
    </row>
    <row r="171" spans="2:14">
      <c r="B171">
        <v>167</v>
      </c>
      <c r="C171" s="7" t="str">
        <f>IF('Course 5'!$H169='tab5'!C$3,'Course 5'!$I169," ")</f>
        <v xml:space="preserve"> </v>
      </c>
      <c r="D171" s="8" t="str">
        <f>IF('Course 5'!$H169='tab5'!D$3,'Course 5'!$I169," ")</f>
        <v xml:space="preserve"> </v>
      </c>
      <c r="E171" s="8" t="str">
        <f>IF('Course 5'!$H169='tab5'!E$3,'Course 5'!$I169," ")</f>
        <v xml:space="preserve"> </v>
      </c>
      <c r="F171" s="8" t="str">
        <f>IF('Course 5'!$H169='tab5'!F$3,'Course 5'!$I169," ")</f>
        <v xml:space="preserve"> </v>
      </c>
      <c r="G171" s="8" t="str">
        <f>IF('Course 5'!$H169='tab5'!G$3,'Course 5'!$I169," ")</f>
        <v xml:space="preserve"> </v>
      </c>
      <c r="H171" s="8" t="str">
        <f>IF('Course 5'!$H169='tab5'!H$3,'Course 5'!$I169," ")</f>
        <v xml:space="preserve"> </v>
      </c>
      <c r="I171" s="8" t="str">
        <f>IF('Course 5'!$H169='tab5'!I$3,'Course 5'!$I169," ")</f>
        <v xml:space="preserve"> </v>
      </c>
      <c r="J171" s="8" t="str">
        <f>IF('Course 5'!$H169='tab5'!J$3,'Course 5'!$I169," ")</f>
        <v xml:space="preserve"> </v>
      </c>
      <c r="K171" s="8" t="str">
        <f>IF('Course 5'!$H169='tab5'!K$3,'Course 5'!$I169," ")</f>
        <v xml:space="preserve"> </v>
      </c>
      <c r="L171" s="8" t="str">
        <f>IF('Course 5'!$H169='tab5'!L$3,'Course 5'!$I169," ")</f>
        <v xml:space="preserve"> </v>
      </c>
      <c r="M171" s="8" t="str">
        <f>IF('Course 5'!$H169='tab5'!M$3,'Course 5'!$I169," ")</f>
        <v xml:space="preserve"> </v>
      </c>
      <c r="N171" s="9" t="str">
        <f>IF('Course 5'!$H169='tab5'!N$3,'Course 5'!$I169," ")</f>
        <v xml:space="preserve"> </v>
      </c>
    </row>
    <row r="172" spans="2:14">
      <c r="B172">
        <v>168</v>
      </c>
      <c r="C172" s="7" t="str">
        <f>IF('Course 5'!$H170='tab5'!C$3,'Course 5'!$I170," ")</f>
        <v xml:space="preserve"> </v>
      </c>
      <c r="D172" s="8" t="str">
        <f>IF('Course 5'!$H170='tab5'!D$3,'Course 5'!$I170," ")</f>
        <v xml:space="preserve"> </v>
      </c>
      <c r="E172" s="8" t="str">
        <f>IF('Course 5'!$H170='tab5'!E$3,'Course 5'!$I170," ")</f>
        <v xml:space="preserve"> </v>
      </c>
      <c r="F172" s="8" t="str">
        <f>IF('Course 5'!$H170='tab5'!F$3,'Course 5'!$I170," ")</f>
        <v xml:space="preserve"> </v>
      </c>
      <c r="G172" s="8" t="str">
        <f>IF('Course 5'!$H170='tab5'!G$3,'Course 5'!$I170," ")</f>
        <v xml:space="preserve"> </v>
      </c>
      <c r="H172" s="8" t="str">
        <f>IF('Course 5'!$H170='tab5'!H$3,'Course 5'!$I170," ")</f>
        <v xml:space="preserve"> </v>
      </c>
      <c r="I172" s="8" t="str">
        <f>IF('Course 5'!$H170='tab5'!I$3,'Course 5'!$I170," ")</f>
        <v xml:space="preserve"> </v>
      </c>
      <c r="J172" s="8" t="str">
        <f>IF('Course 5'!$H170='tab5'!J$3,'Course 5'!$I170," ")</f>
        <v xml:space="preserve"> </v>
      </c>
      <c r="K172" s="8" t="str">
        <f>IF('Course 5'!$H170='tab5'!K$3,'Course 5'!$I170," ")</f>
        <v xml:space="preserve"> </v>
      </c>
      <c r="L172" s="8" t="str">
        <f>IF('Course 5'!$H170='tab5'!L$3,'Course 5'!$I170," ")</f>
        <v xml:space="preserve"> </v>
      </c>
      <c r="M172" s="8" t="str">
        <f>IF('Course 5'!$H170='tab5'!M$3,'Course 5'!$I170," ")</f>
        <v xml:space="preserve"> </v>
      </c>
      <c r="N172" s="9" t="str">
        <f>IF('Course 5'!$H170='tab5'!N$3,'Course 5'!$I170," ")</f>
        <v xml:space="preserve"> </v>
      </c>
    </row>
    <row r="173" spans="2:14">
      <c r="B173">
        <v>169</v>
      </c>
      <c r="C173" s="7" t="str">
        <f>IF('Course 5'!$H171='tab5'!C$3,'Course 5'!$I171," ")</f>
        <v xml:space="preserve"> </v>
      </c>
      <c r="D173" s="8" t="str">
        <f>IF('Course 5'!$H171='tab5'!D$3,'Course 5'!$I171," ")</f>
        <v xml:space="preserve"> </v>
      </c>
      <c r="E173" s="8" t="str">
        <f>IF('Course 5'!$H171='tab5'!E$3,'Course 5'!$I171," ")</f>
        <v xml:space="preserve"> </v>
      </c>
      <c r="F173" s="8" t="str">
        <f>IF('Course 5'!$H171='tab5'!F$3,'Course 5'!$I171," ")</f>
        <v xml:space="preserve"> </v>
      </c>
      <c r="G173" s="8" t="str">
        <f>IF('Course 5'!$H171='tab5'!G$3,'Course 5'!$I171," ")</f>
        <v xml:space="preserve"> </v>
      </c>
      <c r="H173" s="8" t="str">
        <f>IF('Course 5'!$H171='tab5'!H$3,'Course 5'!$I171," ")</f>
        <v xml:space="preserve"> </v>
      </c>
      <c r="I173" s="8" t="str">
        <f>IF('Course 5'!$H171='tab5'!I$3,'Course 5'!$I171," ")</f>
        <v xml:space="preserve"> </v>
      </c>
      <c r="J173" s="8" t="str">
        <f>IF('Course 5'!$H171='tab5'!J$3,'Course 5'!$I171," ")</f>
        <v xml:space="preserve"> </v>
      </c>
      <c r="K173" s="8" t="str">
        <f>IF('Course 5'!$H171='tab5'!K$3,'Course 5'!$I171," ")</f>
        <v xml:space="preserve"> </v>
      </c>
      <c r="L173" s="8" t="str">
        <f>IF('Course 5'!$H171='tab5'!L$3,'Course 5'!$I171," ")</f>
        <v xml:space="preserve"> </v>
      </c>
      <c r="M173" s="8" t="str">
        <f>IF('Course 5'!$H171='tab5'!M$3,'Course 5'!$I171," ")</f>
        <v xml:space="preserve"> </v>
      </c>
      <c r="N173" s="9" t="str">
        <f>IF('Course 5'!$H171='tab5'!N$3,'Course 5'!$I171," ")</f>
        <v xml:space="preserve"> </v>
      </c>
    </row>
    <row r="174" spans="2:14">
      <c r="B174">
        <v>170</v>
      </c>
      <c r="C174" s="7" t="str">
        <f>IF('Course 5'!$H172='tab5'!C$3,'Course 5'!$I172," ")</f>
        <v xml:space="preserve"> </v>
      </c>
      <c r="D174" s="8" t="str">
        <f>IF('Course 5'!$H172='tab5'!D$3,'Course 5'!$I172," ")</f>
        <v xml:space="preserve"> </v>
      </c>
      <c r="E174" s="8" t="str">
        <f>IF('Course 5'!$H172='tab5'!E$3,'Course 5'!$I172," ")</f>
        <v xml:space="preserve"> </v>
      </c>
      <c r="F174" s="8" t="str">
        <f>IF('Course 5'!$H172='tab5'!F$3,'Course 5'!$I172," ")</f>
        <v xml:space="preserve"> </v>
      </c>
      <c r="G174" s="8" t="str">
        <f>IF('Course 5'!$H172='tab5'!G$3,'Course 5'!$I172," ")</f>
        <v xml:space="preserve"> </v>
      </c>
      <c r="H174" s="8" t="str">
        <f>IF('Course 5'!$H172='tab5'!H$3,'Course 5'!$I172," ")</f>
        <v xml:space="preserve"> </v>
      </c>
      <c r="I174" s="8" t="str">
        <f>IF('Course 5'!$H172='tab5'!I$3,'Course 5'!$I172," ")</f>
        <v xml:space="preserve"> </v>
      </c>
      <c r="J174" s="8" t="str">
        <f>IF('Course 5'!$H172='tab5'!J$3,'Course 5'!$I172," ")</f>
        <v xml:space="preserve"> </v>
      </c>
      <c r="K174" s="8" t="str">
        <f>IF('Course 5'!$H172='tab5'!K$3,'Course 5'!$I172," ")</f>
        <v xml:space="preserve"> </v>
      </c>
      <c r="L174" s="8" t="str">
        <f>IF('Course 5'!$H172='tab5'!L$3,'Course 5'!$I172," ")</f>
        <v xml:space="preserve"> </v>
      </c>
      <c r="M174" s="8" t="str">
        <f>IF('Course 5'!$H172='tab5'!M$3,'Course 5'!$I172," ")</f>
        <v xml:space="preserve"> </v>
      </c>
      <c r="N174" s="9" t="str">
        <f>IF('Course 5'!$H172='tab5'!N$3,'Course 5'!$I172," ")</f>
        <v xml:space="preserve"> </v>
      </c>
    </row>
    <row r="175" spans="2:14">
      <c r="B175">
        <v>171</v>
      </c>
      <c r="C175" s="7" t="str">
        <f>IF('Course 5'!$H173='tab5'!C$3,'Course 5'!$I173," ")</f>
        <v xml:space="preserve"> </v>
      </c>
      <c r="D175" s="8" t="str">
        <f>IF('Course 5'!$H173='tab5'!D$3,'Course 5'!$I173," ")</f>
        <v xml:space="preserve"> </v>
      </c>
      <c r="E175" s="8" t="str">
        <f>IF('Course 5'!$H173='tab5'!E$3,'Course 5'!$I173," ")</f>
        <v xml:space="preserve"> </v>
      </c>
      <c r="F175" s="8" t="str">
        <f>IF('Course 5'!$H173='tab5'!F$3,'Course 5'!$I173," ")</f>
        <v xml:space="preserve"> </v>
      </c>
      <c r="G175" s="8" t="str">
        <f>IF('Course 5'!$H173='tab5'!G$3,'Course 5'!$I173," ")</f>
        <v xml:space="preserve"> </v>
      </c>
      <c r="H175" s="8" t="str">
        <f>IF('Course 5'!$H173='tab5'!H$3,'Course 5'!$I173," ")</f>
        <v xml:space="preserve"> </v>
      </c>
      <c r="I175" s="8" t="str">
        <f>IF('Course 5'!$H173='tab5'!I$3,'Course 5'!$I173," ")</f>
        <v xml:space="preserve"> </v>
      </c>
      <c r="J175" s="8" t="str">
        <f>IF('Course 5'!$H173='tab5'!J$3,'Course 5'!$I173," ")</f>
        <v xml:space="preserve"> </v>
      </c>
      <c r="K175" s="8" t="str">
        <f>IF('Course 5'!$H173='tab5'!K$3,'Course 5'!$I173," ")</f>
        <v xml:space="preserve"> </v>
      </c>
      <c r="L175" s="8" t="str">
        <f>IF('Course 5'!$H173='tab5'!L$3,'Course 5'!$I173," ")</f>
        <v xml:space="preserve"> </v>
      </c>
      <c r="M175" s="8" t="str">
        <f>IF('Course 5'!$H173='tab5'!M$3,'Course 5'!$I173," ")</f>
        <v xml:space="preserve"> </v>
      </c>
      <c r="N175" s="9" t="str">
        <f>IF('Course 5'!$H173='tab5'!N$3,'Course 5'!$I173," ")</f>
        <v xml:space="preserve"> </v>
      </c>
    </row>
    <row r="176" spans="2:14">
      <c r="B176">
        <v>172</v>
      </c>
      <c r="C176" s="7" t="str">
        <f>IF('Course 5'!$H174='tab5'!C$3,'Course 5'!$I174," ")</f>
        <v xml:space="preserve"> </v>
      </c>
      <c r="D176" s="8" t="str">
        <f>IF('Course 5'!$H174='tab5'!D$3,'Course 5'!$I174," ")</f>
        <v xml:space="preserve"> </v>
      </c>
      <c r="E176" s="8" t="str">
        <f>IF('Course 5'!$H174='tab5'!E$3,'Course 5'!$I174," ")</f>
        <v xml:space="preserve"> </v>
      </c>
      <c r="F176" s="8" t="str">
        <f>IF('Course 5'!$H174='tab5'!F$3,'Course 5'!$I174," ")</f>
        <v xml:space="preserve"> </v>
      </c>
      <c r="G176" s="8" t="str">
        <f>IF('Course 5'!$H174='tab5'!G$3,'Course 5'!$I174," ")</f>
        <v xml:space="preserve"> </v>
      </c>
      <c r="H176" s="8" t="str">
        <f>IF('Course 5'!$H174='tab5'!H$3,'Course 5'!$I174," ")</f>
        <v xml:space="preserve"> </v>
      </c>
      <c r="I176" s="8" t="str">
        <f>IF('Course 5'!$H174='tab5'!I$3,'Course 5'!$I174," ")</f>
        <v xml:space="preserve"> </v>
      </c>
      <c r="J176" s="8" t="str">
        <f>IF('Course 5'!$H174='tab5'!J$3,'Course 5'!$I174," ")</f>
        <v xml:space="preserve"> </v>
      </c>
      <c r="K176" s="8" t="str">
        <f>IF('Course 5'!$H174='tab5'!K$3,'Course 5'!$I174," ")</f>
        <v xml:space="preserve"> </v>
      </c>
      <c r="L176" s="8" t="str">
        <f>IF('Course 5'!$H174='tab5'!L$3,'Course 5'!$I174," ")</f>
        <v xml:space="preserve"> </v>
      </c>
      <c r="M176" s="8" t="str">
        <f>IF('Course 5'!$H174='tab5'!M$3,'Course 5'!$I174," ")</f>
        <v xml:space="preserve"> </v>
      </c>
      <c r="N176" s="9" t="str">
        <f>IF('Course 5'!$H174='tab5'!N$3,'Course 5'!$I174," ")</f>
        <v xml:space="preserve"> </v>
      </c>
    </row>
    <row r="177" spans="2:14">
      <c r="B177">
        <v>173</v>
      </c>
      <c r="C177" s="7" t="str">
        <f>IF('Course 5'!$H175='tab5'!C$3,'Course 5'!$I175," ")</f>
        <v xml:space="preserve"> </v>
      </c>
      <c r="D177" s="8" t="str">
        <f>IF('Course 5'!$H175='tab5'!D$3,'Course 5'!$I175," ")</f>
        <v xml:space="preserve"> </v>
      </c>
      <c r="E177" s="8" t="str">
        <f>IF('Course 5'!$H175='tab5'!E$3,'Course 5'!$I175," ")</f>
        <v xml:space="preserve"> </v>
      </c>
      <c r="F177" s="8" t="str">
        <f>IF('Course 5'!$H175='tab5'!F$3,'Course 5'!$I175," ")</f>
        <v xml:space="preserve"> </v>
      </c>
      <c r="G177" s="8" t="str">
        <f>IF('Course 5'!$H175='tab5'!G$3,'Course 5'!$I175," ")</f>
        <v xml:space="preserve"> </v>
      </c>
      <c r="H177" s="8" t="str">
        <f>IF('Course 5'!$H175='tab5'!H$3,'Course 5'!$I175," ")</f>
        <v xml:space="preserve"> </v>
      </c>
      <c r="I177" s="8" t="str">
        <f>IF('Course 5'!$H175='tab5'!I$3,'Course 5'!$I175," ")</f>
        <v xml:space="preserve"> </v>
      </c>
      <c r="J177" s="8" t="str">
        <f>IF('Course 5'!$H175='tab5'!J$3,'Course 5'!$I175," ")</f>
        <v xml:space="preserve"> </v>
      </c>
      <c r="K177" s="8" t="str">
        <f>IF('Course 5'!$H175='tab5'!K$3,'Course 5'!$I175," ")</f>
        <v xml:space="preserve"> </v>
      </c>
      <c r="L177" s="8" t="str">
        <f>IF('Course 5'!$H175='tab5'!L$3,'Course 5'!$I175," ")</f>
        <v xml:space="preserve"> </v>
      </c>
      <c r="M177" s="8" t="str">
        <f>IF('Course 5'!$H175='tab5'!M$3,'Course 5'!$I175," ")</f>
        <v xml:space="preserve"> </v>
      </c>
      <c r="N177" s="9" t="str">
        <f>IF('Course 5'!$H175='tab5'!N$3,'Course 5'!$I175," ")</f>
        <v xml:space="preserve"> </v>
      </c>
    </row>
    <row r="178" spans="2:14">
      <c r="B178">
        <v>174</v>
      </c>
      <c r="C178" s="7" t="str">
        <f>IF('Course 5'!$H176='tab5'!C$3,'Course 5'!$I176," ")</f>
        <v xml:space="preserve"> </v>
      </c>
      <c r="D178" s="8" t="str">
        <f>IF('Course 5'!$H176='tab5'!D$3,'Course 5'!$I176," ")</f>
        <v xml:space="preserve"> </v>
      </c>
      <c r="E178" s="8" t="str">
        <f>IF('Course 5'!$H176='tab5'!E$3,'Course 5'!$I176," ")</f>
        <v xml:space="preserve"> </v>
      </c>
      <c r="F178" s="8" t="str">
        <f>IF('Course 5'!$H176='tab5'!F$3,'Course 5'!$I176," ")</f>
        <v xml:space="preserve"> </v>
      </c>
      <c r="G178" s="8" t="str">
        <f>IF('Course 5'!$H176='tab5'!G$3,'Course 5'!$I176," ")</f>
        <v xml:space="preserve"> </v>
      </c>
      <c r="H178" s="8" t="str">
        <f>IF('Course 5'!$H176='tab5'!H$3,'Course 5'!$I176," ")</f>
        <v xml:space="preserve"> </v>
      </c>
      <c r="I178" s="8" t="str">
        <f>IF('Course 5'!$H176='tab5'!I$3,'Course 5'!$I176," ")</f>
        <v xml:space="preserve"> </v>
      </c>
      <c r="J178" s="8" t="str">
        <f>IF('Course 5'!$H176='tab5'!J$3,'Course 5'!$I176," ")</f>
        <v xml:space="preserve"> </v>
      </c>
      <c r="K178" s="8" t="str">
        <f>IF('Course 5'!$H176='tab5'!K$3,'Course 5'!$I176," ")</f>
        <v xml:space="preserve"> </v>
      </c>
      <c r="L178" s="8" t="str">
        <f>IF('Course 5'!$H176='tab5'!L$3,'Course 5'!$I176," ")</f>
        <v xml:space="preserve"> </v>
      </c>
      <c r="M178" s="8" t="str">
        <f>IF('Course 5'!$H176='tab5'!M$3,'Course 5'!$I176," ")</f>
        <v xml:space="preserve"> </v>
      </c>
      <c r="N178" s="9" t="str">
        <f>IF('Course 5'!$H176='tab5'!N$3,'Course 5'!$I176," ")</f>
        <v xml:space="preserve"> </v>
      </c>
    </row>
    <row r="179" spans="2:14">
      <c r="B179">
        <v>175</v>
      </c>
      <c r="C179" s="7" t="str">
        <f>IF('Course 5'!$H177='tab5'!C$3,'Course 5'!$I177," ")</f>
        <v xml:space="preserve"> </v>
      </c>
      <c r="D179" s="8" t="str">
        <f>IF('Course 5'!$H177='tab5'!D$3,'Course 5'!$I177," ")</f>
        <v xml:space="preserve"> </v>
      </c>
      <c r="E179" s="8" t="str">
        <f>IF('Course 5'!$H177='tab5'!E$3,'Course 5'!$I177," ")</f>
        <v xml:space="preserve"> </v>
      </c>
      <c r="F179" s="8" t="str">
        <f>IF('Course 5'!$H177='tab5'!F$3,'Course 5'!$I177," ")</f>
        <v xml:space="preserve"> </v>
      </c>
      <c r="G179" s="8" t="str">
        <f>IF('Course 5'!$H177='tab5'!G$3,'Course 5'!$I177," ")</f>
        <v xml:space="preserve"> </v>
      </c>
      <c r="H179" s="8" t="str">
        <f>IF('Course 5'!$H177='tab5'!H$3,'Course 5'!$I177," ")</f>
        <v xml:space="preserve"> </v>
      </c>
      <c r="I179" s="8" t="str">
        <f>IF('Course 5'!$H177='tab5'!I$3,'Course 5'!$I177," ")</f>
        <v xml:space="preserve"> </v>
      </c>
      <c r="J179" s="8" t="str">
        <f>IF('Course 5'!$H177='tab5'!J$3,'Course 5'!$I177," ")</f>
        <v xml:space="preserve"> </v>
      </c>
      <c r="K179" s="8" t="str">
        <f>IF('Course 5'!$H177='tab5'!K$3,'Course 5'!$I177," ")</f>
        <v xml:space="preserve"> </v>
      </c>
      <c r="L179" s="8" t="str">
        <f>IF('Course 5'!$H177='tab5'!L$3,'Course 5'!$I177," ")</f>
        <v xml:space="preserve"> </v>
      </c>
      <c r="M179" s="8" t="str">
        <f>IF('Course 5'!$H177='tab5'!M$3,'Course 5'!$I177," ")</f>
        <v xml:space="preserve"> </v>
      </c>
      <c r="N179" s="9" t="str">
        <f>IF('Course 5'!$H177='tab5'!N$3,'Course 5'!$I177," ")</f>
        <v xml:space="preserve"> </v>
      </c>
    </row>
    <row r="180" spans="2:14">
      <c r="B180">
        <v>176</v>
      </c>
      <c r="C180" s="7" t="str">
        <f>IF('Course 5'!$H178='tab5'!C$3,'Course 5'!$I178," ")</f>
        <v xml:space="preserve"> </v>
      </c>
      <c r="D180" s="8" t="str">
        <f>IF('Course 5'!$H178='tab5'!D$3,'Course 5'!$I178," ")</f>
        <v xml:space="preserve"> </v>
      </c>
      <c r="E180" s="8" t="str">
        <f>IF('Course 5'!$H178='tab5'!E$3,'Course 5'!$I178," ")</f>
        <v xml:space="preserve"> </v>
      </c>
      <c r="F180" s="8" t="str">
        <f>IF('Course 5'!$H178='tab5'!F$3,'Course 5'!$I178," ")</f>
        <v xml:space="preserve"> </v>
      </c>
      <c r="G180" s="8" t="str">
        <f>IF('Course 5'!$H178='tab5'!G$3,'Course 5'!$I178," ")</f>
        <v xml:space="preserve"> </v>
      </c>
      <c r="H180" s="8" t="str">
        <f>IF('Course 5'!$H178='tab5'!H$3,'Course 5'!$I178," ")</f>
        <v xml:space="preserve"> </v>
      </c>
      <c r="I180" s="8" t="str">
        <f>IF('Course 5'!$H178='tab5'!I$3,'Course 5'!$I178," ")</f>
        <v xml:space="preserve"> </v>
      </c>
      <c r="J180" s="8" t="str">
        <f>IF('Course 5'!$H178='tab5'!J$3,'Course 5'!$I178," ")</f>
        <v xml:space="preserve"> </v>
      </c>
      <c r="K180" s="8" t="str">
        <f>IF('Course 5'!$H178='tab5'!K$3,'Course 5'!$I178," ")</f>
        <v xml:space="preserve"> </v>
      </c>
      <c r="L180" s="8" t="str">
        <f>IF('Course 5'!$H178='tab5'!L$3,'Course 5'!$I178," ")</f>
        <v xml:space="preserve"> </v>
      </c>
      <c r="M180" s="8" t="str">
        <f>IF('Course 5'!$H178='tab5'!M$3,'Course 5'!$I178," ")</f>
        <v xml:space="preserve"> </v>
      </c>
      <c r="N180" s="9" t="str">
        <f>IF('Course 5'!$H178='tab5'!N$3,'Course 5'!$I178," ")</f>
        <v xml:space="preserve"> </v>
      </c>
    </row>
    <row r="181" spans="2:14">
      <c r="B181">
        <v>177</v>
      </c>
      <c r="C181" s="7" t="str">
        <f>IF('Course 5'!$H179='tab5'!C$3,'Course 5'!$I179," ")</f>
        <v xml:space="preserve"> </v>
      </c>
      <c r="D181" s="8" t="str">
        <f>IF('Course 5'!$H179='tab5'!D$3,'Course 5'!$I179," ")</f>
        <v xml:space="preserve"> </v>
      </c>
      <c r="E181" s="8" t="str">
        <f>IF('Course 5'!$H179='tab5'!E$3,'Course 5'!$I179," ")</f>
        <v xml:space="preserve"> </v>
      </c>
      <c r="F181" s="8" t="str">
        <f>IF('Course 5'!$H179='tab5'!F$3,'Course 5'!$I179," ")</f>
        <v xml:space="preserve"> </v>
      </c>
      <c r="G181" s="8" t="str">
        <f>IF('Course 5'!$H179='tab5'!G$3,'Course 5'!$I179," ")</f>
        <v xml:space="preserve"> </v>
      </c>
      <c r="H181" s="8" t="str">
        <f>IF('Course 5'!$H179='tab5'!H$3,'Course 5'!$I179," ")</f>
        <v xml:space="preserve"> </v>
      </c>
      <c r="I181" s="8" t="str">
        <f>IF('Course 5'!$H179='tab5'!I$3,'Course 5'!$I179," ")</f>
        <v xml:space="preserve"> </v>
      </c>
      <c r="J181" s="8" t="str">
        <f>IF('Course 5'!$H179='tab5'!J$3,'Course 5'!$I179," ")</f>
        <v xml:space="preserve"> </v>
      </c>
      <c r="K181" s="8" t="str">
        <f>IF('Course 5'!$H179='tab5'!K$3,'Course 5'!$I179," ")</f>
        <v xml:space="preserve"> </v>
      </c>
      <c r="L181" s="8" t="str">
        <f>IF('Course 5'!$H179='tab5'!L$3,'Course 5'!$I179," ")</f>
        <v xml:space="preserve"> </v>
      </c>
      <c r="M181" s="8" t="str">
        <f>IF('Course 5'!$H179='tab5'!M$3,'Course 5'!$I179," ")</f>
        <v xml:space="preserve"> </v>
      </c>
      <c r="N181" s="9" t="str">
        <f>IF('Course 5'!$H179='tab5'!N$3,'Course 5'!$I179," ")</f>
        <v xml:space="preserve"> </v>
      </c>
    </row>
    <row r="182" spans="2:14">
      <c r="B182">
        <v>178</v>
      </c>
      <c r="C182" s="7" t="str">
        <f>IF('Course 5'!$H180='tab5'!C$3,'Course 5'!$I180," ")</f>
        <v xml:space="preserve"> </v>
      </c>
      <c r="D182" s="8" t="str">
        <f>IF('Course 5'!$H180='tab5'!D$3,'Course 5'!$I180," ")</f>
        <v xml:space="preserve"> </v>
      </c>
      <c r="E182" s="8" t="str">
        <f>IF('Course 5'!$H180='tab5'!E$3,'Course 5'!$I180," ")</f>
        <v xml:space="preserve"> </v>
      </c>
      <c r="F182" s="8" t="str">
        <f>IF('Course 5'!$H180='tab5'!F$3,'Course 5'!$I180," ")</f>
        <v xml:space="preserve"> </v>
      </c>
      <c r="G182" s="8" t="str">
        <f>IF('Course 5'!$H180='tab5'!G$3,'Course 5'!$I180," ")</f>
        <v xml:space="preserve"> </v>
      </c>
      <c r="H182" s="8" t="str">
        <f>IF('Course 5'!$H180='tab5'!H$3,'Course 5'!$I180," ")</f>
        <v xml:space="preserve"> </v>
      </c>
      <c r="I182" s="8" t="str">
        <f>IF('Course 5'!$H180='tab5'!I$3,'Course 5'!$I180," ")</f>
        <v xml:space="preserve"> </v>
      </c>
      <c r="J182" s="8" t="str">
        <f>IF('Course 5'!$H180='tab5'!J$3,'Course 5'!$I180," ")</f>
        <v xml:space="preserve"> </v>
      </c>
      <c r="K182" s="8" t="str">
        <f>IF('Course 5'!$H180='tab5'!K$3,'Course 5'!$I180," ")</f>
        <v xml:space="preserve"> </v>
      </c>
      <c r="L182" s="8" t="str">
        <f>IF('Course 5'!$H180='tab5'!L$3,'Course 5'!$I180," ")</f>
        <v xml:space="preserve"> </v>
      </c>
      <c r="M182" s="8" t="str">
        <f>IF('Course 5'!$H180='tab5'!M$3,'Course 5'!$I180," ")</f>
        <v xml:space="preserve"> </v>
      </c>
      <c r="N182" s="9" t="str">
        <f>IF('Course 5'!$H180='tab5'!N$3,'Course 5'!$I180," ")</f>
        <v xml:space="preserve"> </v>
      </c>
    </row>
    <row r="183" spans="2:14">
      <c r="B183">
        <v>179</v>
      </c>
      <c r="C183" s="7" t="str">
        <f>IF('Course 5'!$H181='tab5'!C$3,'Course 5'!$I181," ")</f>
        <v xml:space="preserve"> </v>
      </c>
      <c r="D183" s="8" t="str">
        <f>IF('Course 5'!$H181='tab5'!D$3,'Course 5'!$I181," ")</f>
        <v xml:space="preserve"> </v>
      </c>
      <c r="E183" s="8" t="str">
        <f>IF('Course 5'!$H181='tab5'!E$3,'Course 5'!$I181," ")</f>
        <v xml:space="preserve"> </v>
      </c>
      <c r="F183" s="8" t="str">
        <f>IF('Course 5'!$H181='tab5'!F$3,'Course 5'!$I181," ")</f>
        <v xml:space="preserve"> </v>
      </c>
      <c r="G183" s="8" t="str">
        <f>IF('Course 5'!$H181='tab5'!G$3,'Course 5'!$I181," ")</f>
        <v xml:space="preserve"> </v>
      </c>
      <c r="H183" s="8" t="str">
        <f>IF('Course 5'!$H181='tab5'!H$3,'Course 5'!$I181," ")</f>
        <v xml:space="preserve"> </v>
      </c>
      <c r="I183" s="8" t="str">
        <f>IF('Course 5'!$H181='tab5'!I$3,'Course 5'!$I181," ")</f>
        <v xml:space="preserve"> </v>
      </c>
      <c r="J183" s="8" t="str">
        <f>IF('Course 5'!$H181='tab5'!J$3,'Course 5'!$I181," ")</f>
        <v xml:space="preserve"> </v>
      </c>
      <c r="K183" s="8" t="str">
        <f>IF('Course 5'!$H181='tab5'!K$3,'Course 5'!$I181," ")</f>
        <v xml:space="preserve"> </v>
      </c>
      <c r="L183" s="8" t="str">
        <f>IF('Course 5'!$H181='tab5'!L$3,'Course 5'!$I181," ")</f>
        <v xml:space="preserve"> </v>
      </c>
      <c r="M183" s="8" t="str">
        <f>IF('Course 5'!$H181='tab5'!M$3,'Course 5'!$I181," ")</f>
        <v xml:space="preserve"> </v>
      </c>
      <c r="N183" s="9" t="str">
        <f>IF('Course 5'!$H181='tab5'!N$3,'Course 5'!$I181," ")</f>
        <v xml:space="preserve"> </v>
      </c>
    </row>
    <row r="184" spans="2:14">
      <c r="B184">
        <v>180</v>
      </c>
      <c r="C184" s="7" t="str">
        <f>IF('Course 5'!$H182='tab5'!C$3,'Course 5'!$I182," ")</f>
        <v xml:space="preserve"> </v>
      </c>
      <c r="D184" s="8" t="str">
        <f>IF('Course 5'!$H182='tab5'!D$3,'Course 5'!$I182," ")</f>
        <v xml:space="preserve"> </v>
      </c>
      <c r="E184" s="8" t="str">
        <f>IF('Course 5'!$H182='tab5'!E$3,'Course 5'!$I182," ")</f>
        <v xml:space="preserve"> </v>
      </c>
      <c r="F184" s="8" t="str">
        <f>IF('Course 5'!$H182='tab5'!F$3,'Course 5'!$I182," ")</f>
        <v xml:space="preserve"> </v>
      </c>
      <c r="G184" s="8" t="str">
        <f>IF('Course 5'!$H182='tab5'!G$3,'Course 5'!$I182," ")</f>
        <v xml:space="preserve"> </v>
      </c>
      <c r="H184" s="8" t="str">
        <f>IF('Course 5'!$H182='tab5'!H$3,'Course 5'!$I182," ")</f>
        <v xml:space="preserve"> </v>
      </c>
      <c r="I184" s="8" t="str">
        <f>IF('Course 5'!$H182='tab5'!I$3,'Course 5'!$I182," ")</f>
        <v xml:space="preserve"> </v>
      </c>
      <c r="J184" s="8" t="str">
        <f>IF('Course 5'!$H182='tab5'!J$3,'Course 5'!$I182," ")</f>
        <v xml:space="preserve"> </v>
      </c>
      <c r="K184" s="8" t="str">
        <f>IF('Course 5'!$H182='tab5'!K$3,'Course 5'!$I182," ")</f>
        <v xml:space="preserve"> </v>
      </c>
      <c r="L184" s="8" t="str">
        <f>IF('Course 5'!$H182='tab5'!L$3,'Course 5'!$I182," ")</f>
        <v xml:space="preserve"> </v>
      </c>
      <c r="M184" s="8" t="str">
        <f>IF('Course 5'!$H182='tab5'!M$3,'Course 5'!$I182," ")</f>
        <v xml:space="preserve"> </v>
      </c>
      <c r="N184" s="9" t="str">
        <f>IF('Course 5'!$H182='tab5'!N$3,'Course 5'!$I182," ")</f>
        <v xml:space="preserve"> </v>
      </c>
    </row>
    <row r="185" spans="2:14">
      <c r="B185">
        <v>181</v>
      </c>
      <c r="C185" s="7" t="str">
        <f>IF('Course 5'!$H183='tab5'!C$3,'Course 5'!$I183," ")</f>
        <v xml:space="preserve"> </v>
      </c>
      <c r="D185" s="8" t="str">
        <f>IF('Course 5'!$H183='tab5'!D$3,'Course 5'!$I183," ")</f>
        <v xml:space="preserve"> </v>
      </c>
      <c r="E185" s="8" t="str">
        <f>IF('Course 5'!$H183='tab5'!E$3,'Course 5'!$I183," ")</f>
        <v xml:space="preserve"> </v>
      </c>
      <c r="F185" s="8" t="str">
        <f>IF('Course 5'!$H183='tab5'!F$3,'Course 5'!$I183," ")</f>
        <v xml:space="preserve"> </v>
      </c>
      <c r="G185" s="8" t="str">
        <f>IF('Course 5'!$H183='tab5'!G$3,'Course 5'!$I183," ")</f>
        <v xml:space="preserve"> </v>
      </c>
      <c r="H185" s="8" t="str">
        <f>IF('Course 5'!$H183='tab5'!H$3,'Course 5'!$I183," ")</f>
        <v xml:space="preserve"> </v>
      </c>
      <c r="I185" s="8" t="str">
        <f>IF('Course 5'!$H183='tab5'!I$3,'Course 5'!$I183," ")</f>
        <v xml:space="preserve"> </v>
      </c>
      <c r="J185" s="8" t="str">
        <f>IF('Course 5'!$H183='tab5'!J$3,'Course 5'!$I183," ")</f>
        <v xml:space="preserve"> </v>
      </c>
      <c r="K185" s="8" t="str">
        <f>IF('Course 5'!$H183='tab5'!K$3,'Course 5'!$I183," ")</f>
        <v xml:space="preserve"> </v>
      </c>
      <c r="L185" s="8" t="str">
        <f>IF('Course 5'!$H183='tab5'!L$3,'Course 5'!$I183," ")</f>
        <v xml:space="preserve"> </v>
      </c>
      <c r="M185" s="8" t="str">
        <f>IF('Course 5'!$H183='tab5'!M$3,'Course 5'!$I183," ")</f>
        <v xml:space="preserve"> </v>
      </c>
      <c r="N185" s="9" t="str">
        <f>IF('Course 5'!$H183='tab5'!N$3,'Course 5'!$I183," ")</f>
        <v xml:space="preserve"> </v>
      </c>
    </row>
    <row r="186" spans="2:14">
      <c r="B186">
        <v>182</v>
      </c>
      <c r="C186" s="7" t="str">
        <f>IF('Course 5'!$H184='tab5'!C$3,'Course 5'!$I184," ")</f>
        <v xml:space="preserve"> </v>
      </c>
      <c r="D186" s="8" t="str">
        <f>IF('Course 5'!$H184='tab5'!D$3,'Course 5'!$I184," ")</f>
        <v xml:space="preserve"> </v>
      </c>
      <c r="E186" s="8" t="str">
        <f>IF('Course 5'!$H184='tab5'!E$3,'Course 5'!$I184," ")</f>
        <v xml:space="preserve"> </v>
      </c>
      <c r="F186" s="8" t="str">
        <f>IF('Course 5'!$H184='tab5'!F$3,'Course 5'!$I184," ")</f>
        <v xml:space="preserve"> </v>
      </c>
      <c r="G186" s="8" t="str">
        <f>IF('Course 5'!$H184='tab5'!G$3,'Course 5'!$I184," ")</f>
        <v xml:space="preserve"> </v>
      </c>
      <c r="H186" s="8" t="str">
        <f>IF('Course 5'!$H184='tab5'!H$3,'Course 5'!$I184," ")</f>
        <v xml:space="preserve"> </v>
      </c>
      <c r="I186" s="8" t="str">
        <f>IF('Course 5'!$H184='tab5'!I$3,'Course 5'!$I184," ")</f>
        <v xml:space="preserve"> </v>
      </c>
      <c r="J186" s="8" t="str">
        <f>IF('Course 5'!$H184='tab5'!J$3,'Course 5'!$I184," ")</f>
        <v xml:space="preserve"> </v>
      </c>
      <c r="K186" s="8" t="str">
        <f>IF('Course 5'!$H184='tab5'!K$3,'Course 5'!$I184," ")</f>
        <v xml:space="preserve"> </v>
      </c>
      <c r="L186" s="8" t="str">
        <f>IF('Course 5'!$H184='tab5'!L$3,'Course 5'!$I184," ")</f>
        <v xml:space="preserve"> </v>
      </c>
      <c r="M186" s="8" t="str">
        <f>IF('Course 5'!$H184='tab5'!M$3,'Course 5'!$I184," ")</f>
        <v xml:space="preserve"> </v>
      </c>
      <c r="N186" s="9" t="str">
        <f>IF('Course 5'!$H184='tab5'!N$3,'Course 5'!$I184," ")</f>
        <v xml:space="preserve"> </v>
      </c>
    </row>
    <row r="187" spans="2:14">
      <c r="B187">
        <v>183</v>
      </c>
      <c r="C187" s="7" t="str">
        <f>IF('Course 5'!$H185='tab5'!C$3,'Course 5'!$I185," ")</f>
        <v xml:space="preserve"> </v>
      </c>
      <c r="D187" s="8" t="str">
        <f>IF('Course 5'!$H185='tab5'!D$3,'Course 5'!$I185," ")</f>
        <v xml:space="preserve"> </v>
      </c>
      <c r="E187" s="8" t="str">
        <f>IF('Course 5'!$H185='tab5'!E$3,'Course 5'!$I185," ")</f>
        <v xml:space="preserve"> </v>
      </c>
      <c r="F187" s="8" t="str">
        <f>IF('Course 5'!$H185='tab5'!F$3,'Course 5'!$I185," ")</f>
        <v xml:space="preserve"> </v>
      </c>
      <c r="G187" s="8" t="str">
        <f>IF('Course 5'!$H185='tab5'!G$3,'Course 5'!$I185," ")</f>
        <v xml:space="preserve"> </v>
      </c>
      <c r="H187" s="8" t="str">
        <f>IF('Course 5'!$H185='tab5'!H$3,'Course 5'!$I185," ")</f>
        <v xml:space="preserve"> </v>
      </c>
      <c r="I187" s="8" t="str">
        <f>IF('Course 5'!$H185='tab5'!I$3,'Course 5'!$I185," ")</f>
        <v xml:space="preserve"> </v>
      </c>
      <c r="J187" s="8" t="str">
        <f>IF('Course 5'!$H185='tab5'!J$3,'Course 5'!$I185," ")</f>
        <v xml:space="preserve"> </v>
      </c>
      <c r="K187" s="8" t="str">
        <f>IF('Course 5'!$H185='tab5'!K$3,'Course 5'!$I185," ")</f>
        <v xml:space="preserve"> </v>
      </c>
      <c r="L187" s="8" t="str">
        <f>IF('Course 5'!$H185='tab5'!L$3,'Course 5'!$I185," ")</f>
        <v xml:space="preserve"> </v>
      </c>
      <c r="M187" s="8" t="str">
        <f>IF('Course 5'!$H185='tab5'!M$3,'Course 5'!$I185," ")</f>
        <v xml:space="preserve"> </v>
      </c>
      <c r="N187" s="9" t="str">
        <f>IF('Course 5'!$H185='tab5'!N$3,'Course 5'!$I185," ")</f>
        <v xml:space="preserve"> </v>
      </c>
    </row>
    <row r="188" spans="2:14">
      <c r="B188">
        <v>184</v>
      </c>
      <c r="C188" s="7" t="str">
        <f>IF('Course 5'!$H186='tab5'!C$3,'Course 5'!$I186," ")</f>
        <v xml:space="preserve"> </v>
      </c>
      <c r="D188" s="8" t="str">
        <f>IF('Course 5'!$H186='tab5'!D$3,'Course 5'!$I186," ")</f>
        <v xml:space="preserve"> </v>
      </c>
      <c r="E188" s="8" t="str">
        <f>IF('Course 5'!$H186='tab5'!E$3,'Course 5'!$I186," ")</f>
        <v xml:space="preserve"> </v>
      </c>
      <c r="F188" s="8" t="str">
        <f>IF('Course 5'!$H186='tab5'!F$3,'Course 5'!$I186," ")</f>
        <v xml:space="preserve"> </v>
      </c>
      <c r="G188" s="8" t="str">
        <f>IF('Course 5'!$H186='tab5'!G$3,'Course 5'!$I186," ")</f>
        <v xml:space="preserve"> </v>
      </c>
      <c r="H188" s="8" t="str">
        <f>IF('Course 5'!$H186='tab5'!H$3,'Course 5'!$I186," ")</f>
        <v xml:space="preserve"> </v>
      </c>
      <c r="I188" s="8" t="str">
        <f>IF('Course 5'!$H186='tab5'!I$3,'Course 5'!$I186," ")</f>
        <v xml:space="preserve"> </v>
      </c>
      <c r="J188" s="8" t="str">
        <f>IF('Course 5'!$H186='tab5'!J$3,'Course 5'!$I186," ")</f>
        <v xml:space="preserve"> </v>
      </c>
      <c r="K188" s="8" t="str">
        <f>IF('Course 5'!$H186='tab5'!K$3,'Course 5'!$I186," ")</f>
        <v xml:space="preserve"> </v>
      </c>
      <c r="L188" s="8" t="str">
        <f>IF('Course 5'!$H186='tab5'!L$3,'Course 5'!$I186," ")</f>
        <v xml:space="preserve"> </v>
      </c>
      <c r="M188" s="8" t="str">
        <f>IF('Course 5'!$H186='tab5'!M$3,'Course 5'!$I186," ")</f>
        <v xml:space="preserve"> </v>
      </c>
      <c r="N188" s="9" t="str">
        <f>IF('Course 5'!$H186='tab5'!N$3,'Course 5'!$I186," ")</f>
        <v xml:space="preserve"> </v>
      </c>
    </row>
    <row r="189" spans="2:14">
      <c r="B189">
        <v>185</v>
      </c>
      <c r="C189" s="7" t="str">
        <f>IF('Course 5'!$H187='tab5'!C$3,'Course 5'!$I187," ")</f>
        <v xml:space="preserve"> </v>
      </c>
      <c r="D189" s="8" t="str">
        <f>IF('Course 5'!$H187='tab5'!D$3,'Course 5'!$I187," ")</f>
        <v xml:space="preserve"> </v>
      </c>
      <c r="E189" s="8" t="str">
        <f>IF('Course 5'!$H187='tab5'!E$3,'Course 5'!$I187," ")</f>
        <v xml:space="preserve"> </v>
      </c>
      <c r="F189" s="8" t="str">
        <f>IF('Course 5'!$H187='tab5'!F$3,'Course 5'!$I187," ")</f>
        <v xml:space="preserve"> </v>
      </c>
      <c r="G189" s="8" t="str">
        <f>IF('Course 5'!$H187='tab5'!G$3,'Course 5'!$I187," ")</f>
        <v xml:space="preserve"> </v>
      </c>
      <c r="H189" s="8" t="str">
        <f>IF('Course 5'!$H187='tab5'!H$3,'Course 5'!$I187," ")</f>
        <v xml:space="preserve"> </v>
      </c>
      <c r="I189" s="8" t="str">
        <f>IF('Course 5'!$H187='tab5'!I$3,'Course 5'!$I187," ")</f>
        <v xml:space="preserve"> </v>
      </c>
      <c r="J189" s="8" t="str">
        <f>IF('Course 5'!$H187='tab5'!J$3,'Course 5'!$I187," ")</f>
        <v xml:space="preserve"> </v>
      </c>
      <c r="K189" s="8" t="str">
        <f>IF('Course 5'!$H187='tab5'!K$3,'Course 5'!$I187," ")</f>
        <v xml:space="preserve"> </v>
      </c>
      <c r="L189" s="8" t="str">
        <f>IF('Course 5'!$H187='tab5'!L$3,'Course 5'!$I187," ")</f>
        <v xml:space="preserve"> </v>
      </c>
      <c r="M189" s="8" t="str">
        <f>IF('Course 5'!$H187='tab5'!M$3,'Course 5'!$I187," ")</f>
        <v xml:space="preserve"> </v>
      </c>
      <c r="N189" s="9" t="str">
        <f>IF('Course 5'!$H187='tab5'!N$3,'Course 5'!$I187," ")</f>
        <v xml:space="preserve"> </v>
      </c>
    </row>
    <row r="190" spans="2:14">
      <c r="B190">
        <v>186</v>
      </c>
      <c r="C190" s="7" t="str">
        <f>IF('Course 5'!$H188='tab5'!C$3,'Course 5'!$I188," ")</f>
        <v xml:space="preserve"> </v>
      </c>
      <c r="D190" s="8" t="str">
        <f>IF('Course 5'!$H188='tab5'!D$3,'Course 5'!$I188," ")</f>
        <v xml:space="preserve"> </v>
      </c>
      <c r="E190" s="8" t="str">
        <f>IF('Course 5'!$H188='tab5'!E$3,'Course 5'!$I188," ")</f>
        <v xml:space="preserve"> </v>
      </c>
      <c r="F190" s="8" t="str">
        <f>IF('Course 5'!$H188='tab5'!F$3,'Course 5'!$I188," ")</f>
        <v xml:space="preserve"> </v>
      </c>
      <c r="G190" s="8" t="str">
        <f>IF('Course 5'!$H188='tab5'!G$3,'Course 5'!$I188," ")</f>
        <v xml:space="preserve"> </v>
      </c>
      <c r="H190" s="8" t="str">
        <f>IF('Course 5'!$H188='tab5'!H$3,'Course 5'!$I188," ")</f>
        <v xml:space="preserve"> </v>
      </c>
      <c r="I190" s="8" t="str">
        <f>IF('Course 5'!$H188='tab5'!I$3,'Course 5'!$I188," ")</f>
        <v xml:space="preserve"> </v>
      </c>
      <c r="J190" s="8" t="str">
        <f>IF('Course 5'!$H188='tab5'!J$3,'Course 5'!$I188," ")</f>
        <v xml:space="preserve"> </v>
      </c>
      <c r="K190" s="8" t="str">
        <f>IF('Course 5'!$H188='tab5'!K$3,'Course 5'!$I188," ")</f>
        <v xml:space="preserve"> </v>
      </c>
      <c r="L190" s="8" t="str">
        <f>IF('Course 5'!$H188='tab5'!L$3,'Course 5'!$I188," ")</f>
        <v xml:space="preserve"> </v>
      </c>
      <c r="M190" s="8" t="str">
        <f>IF('Course 5'!$H188='tab5'!M$3,'Course 5'!$I188," ")</f>
        <v xml:space="preserve"> </v>
      </c>
      <c r="N190" s="9" t="str">
        <f>IF('Course 5'!$H188='tab5'!N$3,'Course 5'!$I188," ")</f>
        <v xml:space="preserve"> </v>
      </c>
    </row>
    <row r="191" spans="2:14">
      <c r="B191">
        <v>187</v>
      </c>
      <c r="C191" s="7" t="str">
        <f>IF('Course 5'!$H189='tab5'!C$3,'Course 5'!$I189," ")</f>
        <v xml:space="preserve"> </v>
      </c>
      <c r="D191" s="8" t="str">
        <f>IF('Course 5'!$H189='tab5'!D$3,'Course 5'!$I189," ")</f>
        <v xml:space="preserve"> </v>
      </c>
      <c r="E191" s="8" t="str">
        <f>IF('Course 5'!$H189='tab5'!E$3,'Course 5'!$I189," ")</f>
        <v xml:space="preserve"> </v>
      </c>
      <c r="F191" s="8" t="str">
        <f>IF('Course 5'!$H189='tab5'!F$3,'Course 5'!$I189," ")</f>
        <v xml:space="preserve"> </v>
      </c>
      <c r="G191" s="8" t="str">
        <f>IF('Course 5'!$H189='tab5'!G$3,'Course 5'!$I189," ")</f>
        <v xml:space="preserve"> </v>
      </c>
      <c r="H191" s="8" t="str">
        <f>IF('Course 5'!$H189='tab5'!H$3,'Course 5'!$I189," ")</f>
        <v xml:space="preserve"> </v>
      </c>
      <c r="I191" s="8" t="str">
        <f>IF('Course 5'!$H189='tab5'!I$3,'Course 5'!$I189," ")</f>
        <v xml:space="preserve"> </v>
      </c>
      <c r="J191" s="8" t="str">
        <f>IF('Course 5'!$H189='tab5'!J$3,'Course 5'!$I189," ")</f>
        <v xml:space="preserve"> </v>
      </c>
      <c r="K191" s="8" t="str">
        <f>IF('Course 5'!$H189='tab5'!K$3,'Course 5'!$I189," ")</f>
        <v xml:space="preserve"> </v>
      </c>
      <c r="L191" s="8" t="str">
        <f>IF('Course 5'!$H189='tab5'!L$3,'Course 5'!$I189," ")</f>
        <v xml:space="preserve"> </v>
      </c>
      <c r="M191" s="8" t="str">
        <f>IF('Course 5'!$H189='tab5'!M$3,'Course 5'!$I189," ")</f>
        <v xml:space="preserve"> </v>
      </c>
      <c r="N191" s="9" t="str">
        <f>IF('Course 5'!$H189='tab5'!N$3,'Course 5'!$I189," ")</f>
        <v xml:space="preserve"> </v>
      </c>
    </row>
    <row r="192" spans="2:14">
      <c r="B192">
        <v>188</v>
      </c>
      <c r="C192" s="7" t="str">
        <f>IF('Course 5'!$H190='tab5'!C$3,'Course 5'!$I190," ")</f>
        <v xml:space="preserve"> </v>
      </c>
      <c r="D192" s="8" t="str">
        <f>IF('Course 5'!$H190='tab5'!D$3,'Course 5'!$I190," ")</f>
        <v xml:space="preserve"> </v>
      </c>
      <c r="E192" s="8" t="str">
        <f>IF('Course 5'!$H190='tab5'!E$3,'Course 5'!$I190," ")</f>
        <v xml:space="preserve"> </v>
      </c>
      <c r="F192" s="8" t="str">
        <f>IF('Course 5'!$H190='tab5'!F$3,'Course 5'!$I190," ")</f>
        <v xml:space="preserve"> </v>
      </c>
      <c r="G192" s="8" t="str">
        <f>IF('Course 5'!$H190='tab5'!G$3,'Course 5'!$I190," ")</f>
        <v xml:space="preserve"> </v>
      </c>
      <c r="H192" s="8" t="str">
        <f>IF('Course 5'!$H190='tab5'!H$3,'Course 5'!$I190," ")</f>
        <v xml:space="preserve"> </v>
      </c>
      <c r="I192" s="8" t="str">
        <f>IF('Course 5'!$H190='tab5'!I$3,'Course 5'!$I190," ")</f>
        <v xml:space="preserve"> </v>
      </c>
      <c r="J192" s="8" t="str">
        <f>IF('Course 5'!$H190='tab5'!J$3,'Course 5'!$I190," ")</f>
        <v xml:space="preserve"> </v>
      </c>
      <c r="K192" s="8" t="str">
        <f>IF('Course 5'!$H190='tab5'!K$3,'Course 5'!$I190," ")</f>
        <v xml:space="preserve"> </v>
      </c>
      <c r="L192" s="8" t="str">
        <f>IF('Course 5'!$H190='tab5'!L$3,'Course 5'!$I190," ")</f>
        <v xml:space="preserve"> </v>
      </c>
      <c r="M192" s="8" t="str">
        <f>IF('Course 5'!$H190='tab5'!M$3,'Course 5'!$I190," ")</f>
        <v xml:space="preserve"> </v>
      </c>
      <c r="N192" s="9" t="str">
        <f>IF('Course 5'!$H190='tab5'!N$3,'Course 5'!$I190," ")</f>
        <v xml:space="preserve"> </v>
      </c>
    </row>
    <row r="193" spans="2:14">
      <c r="B193">
        <v>189</v>
      </c>
      <c r="C193" s="7" t="str">
        <f>IF('Course 5'!$H191='tab5'!C$3,'Course 5'!$I191," ")</f>
        <v xml:space="preserve"> </v>
      </c>
      <c r="D193" s="8" t="str">
        <f>IF('Course 5'!$H191='tab5'!D$3,'Course 5'!$I191," ")</f>
        <v xml:space="preserve"> </v>
      </c>
      <c r="E193" s="8" t="str">
        <f>IF('Course 5'!$H191='tab5'!E$3,'Course 5'!$I191," ")</f>
        <v xml:space="preserve"> </v>
      </c>
      <c r="F193" s="8" t="str">
        <f>IF('Course 5'!$H191='tab5'!F$3,'Course 5'!$I191," ")</f>
        <v xml:space="preserve"> </v>
      </c>
      <c r="G193" s="8" t="str">
        <f>IF('Course 5'!$H191='tab5'!G$3,'Course 5'!$I191," ")</f>
        <v xml:space="preserve"> </v>
      </c>
      <c r="H193" s="8" t="str">
        <f>IF('Course 5'!$H191='tab5'!H$3,'Course 5'!$I191," ")</f>
        <v xml:space="preserve"> </v>
      </c>
      <c r="I193" s="8" t="str">
        <f>IF('Course 5'!$H191='tab5'!I$3,'Course 5'!$I191," ")</f>
        <v xml:space="preserve"> </v>
      </c>
      <c r="J193" s="8" t="str">
        <f>IF('Course 5'!$H191='tab5'!J$3,'Course 5'!$I191," ")</f>
        <v xml:space="preserve"> </v>
      </c>
      <c r="K193" s="8" t="str">
        <f>IF('Course 5'!$H191='tab5'!K$3,'Course 5'!$I191," ")</f>
        <v xml:space="preserve"> </v>
      </c>
      <c r="L193" s="8" t="str">
        <f>IF('Course 5'!$H191='tab5'!L$3,'Course 5'!$I191," ")</f>
        <v xml:space="preserve"> </v>
      </c>
      <c r="M193" s="8" t="str">
        <f>IF('Course 5'!$H191='tab5'!M$3,'Course 5'!$I191," ")</f>
        <v xml:space="preserve"> </v>
      </c>
      <c r="N193" s="9" t="str">
        <f>IF('Course 5'!$H191='tab5'!N$3,'Course 5'!$I191," ")</f>
        <v xml:space="preserve"> </v>
      </c>
    </row>
    <row r="194" spans="2:14">
      <c r="B194">
        <v>190</v>
      </c>
      <c r="C194" s="7" t="str">
        <f>IF('Course 5'!$H192='tab5'!C$3,'Course 5'!$I192," ")</f>
        <v xml:space="preserve"> </v>
      </c>
      <c r="D194" s="8" t="str">
        <f>IF('Course 5'!$H192='tab5'!D$3,'Course 5'!$I192," ")</f>
        <v xml:space="preserve"> </v>
      </c>
      <c r="E194" s="8" t="str">
        <f>IF('Course 5'!$H192='tab5'!E$3,'Course 5'!$I192," ")</f>
        <v xml:space="preserve"> </v>
      </c>
      <c r="F194" s="8" t="str">
        <f>IF('Course 5'!$H192='tab5'!F$3,'Course 5'!$I192," ")</f>
        <v xml:space="preserve"> </v>
      </c>
      <c r="G194" s="8" t="str">
        <f>IF('Course 5'!$H192='tab5'!G$3,'Course 5'!$I192," ")</f>
        <v xml:space="preserve"> </v>
      </c>
      <c r="H194" s="8" t="str">
        <f>IF('Course 5'!$H192='tab5'!H$3,'Course 5'!$I192," ")</f>
        <v xml:space="preserve"> </v>
      </c>
      <c r="I194" s="8" t="str">
        <f>IF('Course 5'!$H192='tab5'!I$3,'Course 5'!$I192," ")</f>
        <v xml:space="preserve"> </v>
      </c>
      <c r="J194" s="8" t="str">
        <f>IF('Course 5'!$H192='tab5'!J$3,'Course 5'!$I192," ")</f>
        <v xml:space="preserve"> </v>
      </c>
      <c r="K194" s="8" t="str">
        <f>IF('Course 5'!$H192='tab5'!K$3,'Course 5'!$I192," ")</f>
        <v xml:space="preserve"> </v>
      </c>
      <c r="L194" s="8" t="str">
        <f>IF('Course 5'!$H192='tab5'!L$3,'Course 5'!$I192," ")</f>
        <v xml:space="preserve"> </v>
      </c>
      <c r="M194" s="8" t="str">
        <f>IF('Course 5'!$H192='tab5'!M$3,'Course 5'!$I192," ")</f>
        <v xml:space="preserve"> </v>
      </c>
      <c r="N194" s="9" t="str">
        <f>IF('Course 5'!$H192='tab5'!N$3,'Course 5'!$I192," ")</f>
        <v xml:space="preserve"> </v>
      </c>
    </row>
    <row r="195" spans="2:14">
      <c r="B195">
        <v>191</v>
      </c>
      <c r="C195" s="7" t="str">
        <f>IF('Course 5'!$H193='tab5'!C$3,'Course 5'!$I193," ")</f>
        <v xml:space="preserve"> </v>
      </c>
      <c r="D195" s="8" t="str">
        <f>IF('Course 5'!$H193='tab5'!D$3,'Course 5'!$I193," ")</f>
        <v xml:space="preserve"> </v>
      </c>
      <c r="E195" s="8" t="str">
        <f>IF('Course 5'!$H193='tab5'!E$3,'Course 5'!$I193," ")</f>
        <v xml:space="preserve"> </v>
      </c>
      <c r="F195" s="8" t="str">
        <f>IF('Course 5'!$H193='tab5'!F$3,'Course 5'!$I193," ")</f>
        <v xml:space="preserve"> </v>
      </c>
      <c r="G195" s="8" t="str">
        <f>IF('Course 5'!$H193='tab5'!G$3,'Course 5'!$I193," ")</f>
        <v xml:space="preserve"> </v>
      </c>
      <c r="H195" s="8" t="str">
        <f>IF('Course 5'!$H193='tab5'!H$3,'Course 5'!$I193," ")</f>
        <v xml:space="preserve"> </v>
      </c>
      <c r="I195" s="8" t="str">
        <f>IF('Course 5'!$H193='tab5'!I$3,'Course 5'!$I193," ")</f>
        <v xml:space="preserve"> </v>
      </c>
      <c r="J195" s="8" t="str">
        <f>IF('Course 5'!$H193='tab5'!J$3,'Course 5'!$I193," ")</f>
        <v xml:space="preserve"> </v>
      </c>
      <c r="K195" s="8" t="str">
        <f>IF('Course 5'!$H193='tab5'!K$3,'Course 5'!$I193," ")</f>
        <v xml:space="preserve"> </v>
      </c>
      <c r="L195" s="8" t="str">
        <f>IF('Course 5'!$H193='tab5'!L$3,'Course 5'!$I193," ")</f>
        <v xml:space="preserve"> </v>
      </c>
      <c r="M195" s="8" t="str">
        <f>IF('Course 5'!$H193='tab5'!M$3,'Course 5'!$I193," ")</f>
        <v xml:space="preserve"> </v>
      </c>
      <c r="N195" s="9" t="str">
        <f>IF('Course 5'!$H193='tab5'!N$3,'Course 5'!$I193," ")</f>
        <v xml:space="preserve"> </v>
      </c>
    </row>
    <row r="196" spans="2:14">
      <c r="B196">
        <v>192</v>
      </c>
      <c r="C196" s="7" t="str">
        <f>IF('Course 5'!$H194='tab5'!C$3,'Course 5'!$I194," ")</f>
        <v xml:space="preserve"> </v>
      </c>
      <c r="D196" s="8" t="str">
        <f>IF('Course 5'!$H194='tab5'!D$3,'Course 5'!$I194," ")</f>
        <v xml:space="preserve"> </v>
      </c>
      <c r="E196" s="8" t="str">
        <f>IF('Course 5'!$H194='tab5'!E$3,'Course 5'!$I194," ")</f>
        <v xml:space="preserve"> </v>
      </c>
      <c r="F196" s="8" t="str">
        <f>IF('Course 5'!$H194='tab5'!F$3,'Course 5'!$I194," ")</f>
        <v xml:space="preserve"> </v>
      </c>
      <c r="G196" s="8" t="str">
        <f>IF('Course 5'!$H194='tab5'!G$3,'Course 5'!$I194," ")</f>
        <v xml:space="preserve"> </v>
      </c>
      <c r="H196" s="8" t="str">
        <f>IF('Course 5'!$H194='tab5'!H$3,'Course 5'!$I194," ")</f>
        <v xml:space="preserve"> </v>
      </c>
      <c r="I196" s="8" t="str">
        <f>IF('Course 5'!$H194='tab5'!I$3,'Course 5'!$I194," ")</f>
        <v xml:space="preserve"> </v>
      </c>
      <c r="J196" s="8" t="str">
        <f>IF('Course 5'!$H194='tab5'!J$3,'Course 5'!$I194," ")</f>
        <v xml:space="preserve"> </v>
      </c>
      <c r="K196" s="8" t="str">
        <f>IF('Course 5'!$H194='tab5'!K$3,'Course 5'!$I194," ")</f>
        <v xml:space="preserve"> </v>
      </c>
      <c r="L196" s="8" t="str">
        <f>IF('Course 5'!$H194='tab5'!L$3,'Course 5'!$I194," ")</f>
        <v xml:space="preserve"> </v>
      </c>
      <c r="M196" s="8" t="str">
        <f>IF('Course 5'!$H194='tab5'!M$3,'Course 5'!$I194," ")</f>
        <v xml:space="preserve"> </v>
      </c>
      <c r="N196" s="9" t="str">
        <f>IF('Course 5'!$H194='tab5'!N$3,'Course 5'!$I194," ")</f>
        <v xml:space="preserve"> </v>
      </c>
    </row>
    <row r="197" spans="2:14">
      <c r="B197">
        <v>193</v>
      </c>
      <c r="C197" s="7" t="str">
        <f>IF('Course 5'!$H195='tab5'!C$3,'Course 5'!$I195," ")</f>
        <v xml:space="preserve"> </v>
      </c>
      <c r="D197" s="8" t="str">
        <f>IF('Course 5'!$H195='tab5'!D$3,'Course 5'!$I195," ")</f>
        <v xml:space="preserve"> </v>
      </c>
      <c r="E197" s="8" t="str">
        <f>IF('Course 5'!$H195='tab5'!E$3,'Course 5'!$I195," ")</f>
        <v xml:space="preserve"> </v>
      </c>
      <c r="F197" s="8" t="str">
        <f>IF('Course 5'!$H195='tab5'!F$3,'Course 5'!$I195," ")</f>
        <v xml:space="preserve"> </v>
      </c>
      <c r="G197" s="8" t="str">
        <f>IF('Course 5'!$H195='tab5'!G$3,'Course 5'!$I195," ")</f>
        <v xml:space="preserve"> </v>
      </c>
      <c r="H197" s="8" t="str">
        <f>IF('Course 5'!$H195='tab5'!H$3,'Course 5'!$I195," ")</f>
        <v xml:space="preserve"> </v>
      </c>
      <c r="I197" s="8" t="str">
        <f>IF('Course 5'!$H195='tab5'!I$3,'Course 5'!$I195," ")</f>
        <v xml:space="preserve"> </v>
      </c>
      <c r="J197" s="8" t="str">
        <f>IF('Course 5'!$H195='tab5'!J$3,'Course 5'!$I195," ")</f>
        <v xml:space="preserve"> </v>
      </c>
      <c r="K197" s="8" t="str">
        <f>IF('Course 5'!$H195='tab5'!K$3,'Course 5'!$I195," ")</f>
        <v xml:space="preserve"> </v>
      </c>
      <c r="L197" s="8" t="str">
        <f>IF('Course 5'!$H195='tab5'!L$3,'Course 5'!$I195," ")</f>
        <v xml:space="preserve"> </v>
      </c>
      <c r="M197" s="8" t="str">
        <f>IF('Course 5'!$H195='tab5'!M$3,'Course 5'!$I195," ")</f>
        <v xml:space="preserve"> </v>
      </c>
      <c r="N197" s="9" t="str">
        <f>IF('Course 5'!$H195='tab5'!N$3,'Course 5'!$I195," ")</f>
        <v xml:space="preserve"> </v>
      </c>
    </row>
    <row r="198" spans="2:14">
      <c r="B198">
        <v>194</v>
      </c>
      <c r="C198" s="7" t="str">
        <f>IF('Course 5'!$H196='tab5'!C$3,'Course 5'!$I196," ")</f>
        <v xml:space="preserve"> </v>
      </c>
      <c r="D198" s="8" t="str">
        <f>IF('Course 5'!$H196='tab5'!D$3,'Course 5'!$I196," ")</f>
        <v xml:space="preserve"> </v>
      </c>
      <c r="E198" s="8" t="str">
        <f>IF('Course 5'!$H196='tab5'!E$3,'Course 5'!$I196," ")</f>
        <v xml:space="preserve"> </v>
      </c>
      <c r="F198" s="8" t="str">
        <f>IF('Course 5'!$H196='tab5'!F$3,'Course 5'!$I196," ")</f>
        <v xml:space="preserve"> </v>
      </c>
      <c r="G198" s="8" t="str">
        <f>IF('Course 5'!$H196='tab5'!G$3,'Course 5'!$I196," ")</f>
        <v xml:space="preserve"> </v>
      </c>
      <c r="H198" s="8" t="str">
        <f>IF('Course 5'!$H196='tab5'!H$3,'Course 5'!$I196," ")</f>
        <v xml:space="preserve"> </v>
      </c>
      <c r="I198" s="8" t="str">
        <f>IF('Course 5'!$H196='tab5'!I$3,'Course 5'!$I196," ")</f>
        <v xml:space="preserve"> </v>
      </c>
      <c r="J198" s="8" t="str">
        <f>IF('Course 5'!$H196='tab5'!J$3,'Course 5'!$I196," ")</f>
        <v xml:space="preserve"> </v>
      </c>
      <c r="K198" s="8" t="str">
        <f>IF('Course 5'!$H196='tab5'!K$3,'Course 5'!$I196," ")</f>
        <v xml:space="preserve"> </v>
      </c>
      <c r="L198" s="8" t="str">
        <f>IF('Course 5'!$H196='tab5'!L$3,'Course 5'!$I196," ")</f>
        <v xml:space="preserve"> </v>
      </c>
      <c r="M198" s="8" t="str">
        <f>IF('Course 5'!$H196='tab5'!M$3,'Course 5'!$I196," ")</f>
        <v xml:space="preserve"> </v>
      </c>
      <c r="N198" s="9" t="str">
        <f>IF('Course 5'!$H196='tab5'!N$3,'Course 5'!$I196," ")</f>
        <v xml:space="preserve"> </v>
      </c>
    </row>
    <row r="199" spans="2:14">
      <c r="B199">
        <v>195</v>
      </c>
      <c r="C199" s="7" t="str">
        <f>IF('Course 5'!$H197='tab5'!C$3,'Course 5'!$I197," ")</f>
        <v xml:space="preserve"> </v>
      </c>
      <c r="D199" s="8" t="str">
        <f>IF('Course 5'!$H197='tab5'!D$3,'Course 5'!$I197," ")</f>
        <v xml:space="preserve"> </v>
      </c>
      <c r="E199" s="8" t="str">
        <f>IF('Course 5'!$H197='tab5'!E$3,'Course 5'!$I197," ")</f>
        <v xml:space="preserve"> </v>
      </c>
      <c r="F199" s="8" t="str">
        <f>IF('Course 5'!$H197='tab5'!F$3,'Course 5'!$I197," ")</f>
        <v xml:space="preserve"> </v>
      </c>
      <c r="G199" s="8" t="str">
        <f>IF('Course 5'!$H197='tab5'!G$3,'Course 5'!$I197," ")</f>
        <v xml:space="preserve"> </v>
      </c>
      <c r="H199" s="8" t="str">
        <f>IF('Course 5'!$H197='tab5'!H$3,'Course 5'!$I197," ")</f>
        <v xml:space="preserve"> </v>
      </c>
      <c r="I199" s="8" t="str">
        <f>IF('Course 5'!$H197='tab5'!I$3,'Course 5'!$I197," ")</f>
        <v xml:space="preserve"> </v>
      </c>
      <c r="J199" s="8" t="str">
        <f>IF('Course 5'!$H197='tab5'!J$3,'Course 5'!$I197," ")</f>
        <v xml:space="preserve"> </v>
      </c>
      <c r="K199" s="8" t="str">
        <f>IF('Course 5'!$H197='tab5'!K$3,'Course 5'!$I197," ")</f>
        <v xml:space="preserve"> </v>
      </c>
      <c r="L199" s="8" t="str">
        <f>IF('Course 5'!$H197='tab5'!L$3,'Course 5'!$I197," ")</f>
        <v xml:space="preserve"> </v>
      </c>
      <c r="M199" s="8" t="str">
        <f>IF('Course 5'!$H197='tab5'!M$3,'Course 5'!$I197," ")</f>
        <v xml:space="preserve"> </v>
      </c>
      <c r="N199" s="9" t="str">
        <f>IF('Course 5'!$H197='tab5'!N$3,'Course 5'!$I197," ")</f>
        <v xml:space="preserve"> </v>
      </c>
    </row>
    <row r="200" spans="2:14">
      <c r="B200">
        <v>196</v>
      </c>
      <c r="C200" s="7" t="str">
        <f>IF('Course 5'!$H198='tab5'!C$3,'Course 5'!$I198," ")</f>
        <v xml:space="preserve"> </v>
      </c>
      <c r="D200" s="8" t="str">
        <f>IF('Course 5'!$H198='tab5'!D$3,'Course 5'!$I198," ")</f>
        <v xml:space="preserve"> </v>
      </c>
      <c r="E200" s="8" t="str">
        <f>IF('Course 5'!$H198='tab5'!E$3,'Course 5'!$I198," ")</f>
        <v xml:space="preserve"> </v>
      </c>
      <c r="F200" s="8" t="str">
        <f>IF('Course 5'!$H198='tab5'!F$3,'Course 5'!$I198," ")</f>
        <v xml:space="preserve"> </v>
      </c>
      <c r="G200" s="8" t="str">
        <f>IF('Course 5'!$H198='tab5'!G$3,'Course 5'!$I198," ")</f>
        <v xml:space="preserve"> </v>
      </c>
      <c r="H200" s="8" t="str">
        <f>IF('Course 5'!$H198='tab5'!H$3,'Course 5'!$I198," ")</f>
        <v xml:space="preserve"> </v>
      </c>
      <c r="I200" s="8" t="str">
        <f>IF('Course 5'!$H198='tab5'!I$3,'Course 5'!$I198," ")</f>
        <v xml:space="preserve"> </v>
      </c>
      <c r="J200" s="8" t="str">
        <f>IF('Course 5'!$H198='tab5'!J$3,'Course 5'!$I198," ")</f>
        <v xml:space="preserve"> </v>
      </c>
      <c r="K200" s="8" t="str">
        <f>IF('Course 5'!$H198='tab5'!K$3,'Course 5'!$I198," ")</f>
        <v xml:space="preserve"> </v>
      </c>
      <c r="L200" s="8" t="str">
        <f>IF('Course 5'!$H198='tab5'!L$3,'Course 5'!$I198," ")</f>
        <v xml:space="preserve"> </v>
      </c>
      <c r="M200" s="8" t="str">
        <f>IF('Course 5'!$H198='tab5'!M$3,'Course 5'!$I198," ")</f>
        <v xml:space="preserve"> </v>
      </c>
      <c r="N200" s="9" t="str">
        <f>IF('Course 5'!$H198='tab5'!N$3,'Course 5'!$I198," ")</f>
        <v xml:space="preserve"> </v>
      </c>
    </row>
    <row r="201" spans="2:14">
      <c r="B201">
        <v>197</v>
      </c>
      <c r="C201" s="7" t="str">
        <f>IF('Course 5'!$H199='tab5'!C$3,'Course 5'!$I199," ")</f>
        <v xml:space="preserve"> </v>
      </c>
      <c r="D201" s="8" t="str">
        <f>IF('Course 5'!$H199='tab5'!D$3,'Course 5'!$I199," ")</f>
        <v xml:space="preserve"> </v>
      </c>
      <c r="E201" s="8" t="str">
        <f>IF('Course 5'!$H199='tab5'!E$3,'Course 5'!$I199," ")</f>
        <v xml:space="preserve"> </v>
      </c>
      <c r="F201" s="8" t="str">
        <f>IF('Course 5'!$H199='tab5'!F$3,'Course 5'!$I199," ")</f>
        <v xml:space="preserve"> </v>
      </c>
      <c r="G201" s="8" t="str">
        <f>IF('Course 5'!$H199='tab5'!G$3,'Course 5'!$I199," ")</f>
        <v xml:space="preserve"> </v>
      </c>
      <c r="H201" s="8" t="str">
        <f>IF('Course 5'!$H199='tab5'!H$3,'Course 5'!$I199," ")</f>
        <v xml:space="preserve"> </v>
      </c>
      <c r="I201" s="8" t="str">
        <f>IF('Course 5'!$H199='tab5'!I$3,'Course 5'!$I199," ")</f>
        <v xml:space="preserve"> </v>
      </c>
      <c r="J201" s="8" t="str">
        <f>IF('Course 5'!$H199='tab5'!J$3,'Course 5'!$I199," ")</f>
        <v xml:space="preserve"> </v>
      </c>
      <c r="K201" s="8" t="str">
        <f>IF('Course 5'!$H199='tab5'!K$3,'Course 5'!$I199," ")</f>
        <v xml:space="preserve"> </v>
      </c>
      <c r="L201" s="8" t="str">
        <f>IF('Course 5'!$H199='tab5'!L$3,'Course 5'!$I199," ")</f>
        <v xml:space="preserve"> </v>
      </c>
      <c r="M201" s="8" t="str">
        <f>IF('Course 5'!$H199='tab5'!M$3,'Course 5'!$I199," ")</f>
        <v xml:space="preserve"> </v>
      </c>
      <c r="N201" s="9" t="str">
        <f>IF('Course 5'!$H199='tab5'!N$3,'Course 5'!$I199," ")</f>
        <v xml:space="preserve"> </v>
      </c>
    </row>
    <row r="202" spans="2:14">
      <c r="B202">
        <v>198</v>
      </c>
      <c r="C202" s="7" t="str">
        <f>IF('Course 5'!$H200='tab5'!C$3,'Course 5'!$I200," ")</f>
        <v xml:space="preserve"> </v>
      </c>
      <c r="D202" s="8" t="str">
        <f>IF('Course 5'!$H200='tab5'!D$3,'Course 5'!$I200," ")</f>
        <v xml:space="preserve"> </v>
      </c>
      <c r="E202" s="8" t="str">
        <f>IF('Course 5'!$H200='tab5'!E$3,'Course 5'!$I200," ")</f>
        <v xml:space="preserve"> </v>
      </c>
      <c r="F202" s="8" t="str">
        <f>IF('Course 5'!$H200='tab5'!F$3,'Course 5'!$I200," ")</f>
        <v xml:space="preserve"> </v>
      </c>
      <c r="G202" s="8" t="str">
        <f>IF('Course 5'!$H200='tab5'!G$3,'Course 5'!$I200," ")</f>
        <v xml:space="preserve"> </v>
      </c>
      <c r="H202" s="8" t="str">
        <f>IF('Course 5'!$H200='tab5'!H$3,'Course 5'!$I200," ")</f>
        <v xml:space="preserve"> </v>
      </c>
      <c r="I202" s="8" t="str">
        <f>IF('Course 5'!$H200='tab5'!I$3,'Course 5'!$I200," ")</f>
        <v xml:space="preserve"> </v>
      </c>
      <c r="J202" s="8" t="str">
        <f>IF('Course 5'!$H200='tab5'!J$3,'Course 5'!$I200," ")</f>
        <v xml:space="preserve"> </v>
      </c>
      <c r="K202" s="8" t="str">
        <f>IF('Course 5'!$H200='tab5'!K$3,'Course 5'!$I200," ")</f>
        <v xml:space="preserve"> </v>
      </c>
      <c r="L202" s="8" t="str">
        <f>IF('Course 5'!$H200='tab5'!L$3,'Course 5'!$I200," ")</f>
        <v xml:space="preserve"> </v>
      </c>
      <c r="M202" s="8" t="str">
        <f>IF('Course 5'!$H200='tab5'!M$3,'Course 5'!$I200," ")</f>
        <v xml:space="preserve"> </v>
      </c>
      <c r="N202" s="9" t="str">
        <f>IF('Course 5'!$H200='tab5'!N$3,'Course 5'!$I200," ")</f>
        <v xml:space="preserve"> </v>
      </c>
    </row>
    <row r="203" spans="2:14">
      <c r="B203">
        <v>199</v>
      </c>
      <c r="C203" s="7" t="str">
        <f>IF('Course 5'!$H201='tab5'!C$3,'Course 5'!$I201," ")</f>
        <v xml:space="preserve"> </v>
      </c>
      <c r="D203" s="8" t="str">
        <f>IF('Course 5'!$H201='tab5'!D$3,'Course 5'!$I201," ")</f>
        <v xml:space="preserve"> </v>
      </c>
      <c r="E203" s="8" t="str">
        <f>IF('Course 5'!$H201='tab5'!E$3,'Course 5'!$I201," ")</f>
        <v xml:space="preserve"> </v>
      </c>
      <c r="F203" s="8" t="str">
        <f>IF('Course 5'!$H201='tab5'!F$3,'Course 5'!$I201," ")</f>
        <v xml:space="preserve"> </v>
      </c>
      <c r="G203" s="8" t="str">
        <f>IF('Course 5'!$H201='tab5'!G$3,'Course 5'!$I201," ")</f>
        <v xml:space="preserve"> </v>
      </c>
      <c r="H203" s="8" t="str">
        <f>IF('Course 5'!$H201='tab5'!H$3,'Course 5'!$I201," ")</f>
        <v xml:space="preserve"> </v>
      </c>
      <c r="I203" s="8" t="str">
        <f>IF('Course 5'!$H201='tab5'!I$3,'Course 5'!$I201," ")</f>
        <v xml:space="preserve"> </v>
      </c>
      <c r="J203" s="8" t="str">
        <f>IF('Course 5'!$H201='tab5'!J$3,'Course 5'!$I201," ")</f>
        <v xml:space="preserve"> </v>
      </c>
      <c r="K203" s="8" t="str">
        <f>IF('Course 5'!$H201='tab5'!K$3,'Course 5'!$I201," ")</f>
        <v xml:space="preserve"> </v>
      </c>
      <c r="L203" s="8" t="str">
        <f>IF('Course 5'!$H201='tab5'!L$3,'Course 5'!$I201," ")</f>
        <v xml:space="preserve"> </v>
      </c>
      <c r="M203" s="8" t="str">
        <f>IF('Course 5'!$H201='tab5'!M$3,'Course 5'!$I201," ")</f>
        <v xml:space="preserve"> </v>
      </c>
      <c r="N203" s="9" t="str">
        <f>IF('Course 5'!$H201='tab5'!N$3,'Course 5'!$I201," ")</f>
        <v xml:space="preserve"> </v>
      </c>
    </row>
    <row r="204" spans="2:14">
      <c r="B204">
        <v>200</v>
      </c>
      <c r="C204" s="7" t="str">
        <f>IF('Course 5'!$H202='tab5'!C$3,'Course 5'!$I202," ")</f>
        <v xml:space="preserve"> </v>
      </c>
      <c r="D204" s="8" t="str">
        <f>IF('Course 5'!$H202='tab5'!D$3,'Course 5'!$I202," ")</f>
        <v xml:space="preserve"> </v>
      </c>
      <c r="E204" s="8" t="str">
        <f>IF('Course 5'!$H202='tab5'!E$3,'Course 5'!$I202," ")</f>
        <v xml:space="preserve"> </v>
      </c>
      <c r="F204" s="8" t="str">
        <f>IF('Course 5'!$H202='tab5'!F$3,'Course 5'!$I202," ")</f>
        <v xml:space="preserve"> </v>
      </c>
      <c r="G204" s="8" t="str">
        <f>IF('Course 5'!$H202='tab5'!G$3,'Course 5'!$I202," ")</f>
        <v xml:space="preserve"> </v>
      </c>
      <c r="H204" s="8" t="str">
        <f>IF('Course 5'!$H202='tab5'!H$3,'Course 5'!$I202," ")</f>
        <v xml:space="preserve"> </v>
      </c>
      <c r="I204" s="8" t="str">
        <f>IF('Course 5'!$H202='tab5'!I$3,'Course 5'!$I202," ")</f>
        <v xml:space="preserve"> </v>
      </c>
      <c r="J204" s="8" t="str">
        <f>IF('Course 5'!$H202='tab5'!J$3,'Course 5'!$I202," ")</f>
        <v xml:space="preserve"> </v>
      </c>
      <c r="K204" s="8" t="str">
        <f>IF('Course 5'!$H202='tab5'!K$3,'Course 5'!$I202," ")</f>
        <v xml:space="preserve"> </v>
      </c>
      <c r="L204" s="8" t="str">
        <f>IF('Course 5'!$H202='tab5'!L$3,'Course 5'!$I202," ")</f>
        <v xml:space="preserve"> </v>
      </c>
      <c r="M204" s="8" t="str">
        <f>IF('Course 5'!$H202='tab5'!M$3,'Course 5'!$I202," ")</f>
        <v xml:space="preserve"> </v>
      </c>
      <c r="N204" s="9" t="str">
        <f>IF('Course 5'!$H202='tab5'!N$3,'Course 5'!$I202," ")</f>
        <v xml:space="preserve"> </v>
      </c>
    </row>
    <row r="205" spans="2:14">
      <c r="B205">
        <v>201</v>
      </c>
      <c r="C205" s="7" t="str">
        <f>IF('Course 5'!$H203='tab5'!C$3,'Course 5'!$I203," ")</f>
        <v xml:space="preserve"> </v>
      </c>
      <c r="D205" s="8" t="str">
        <f>IF('Course 5'!$H203='tab5'!D$3,'Course 5'!$I203," ")</f>
        <v xml:space="preserve"> </v>
      </c>
      <c r="E205" s="8" t="str">
        <f>IF('Course 5'!$H203='tab5'!E$3,'Course 5'!$I203," ")</f>
        <v xml:space="preserve"> </v>
      </c>
      <c r="F205" s="8" t="str">
        <f>IF('Course 5'!$H203='tab5'!F$3,'Course 5'!$I203," ")</f>
        <v xml:space="preserve"> </v>
      </c>
      <c r="G205" s="8" t="str">
        <f>IF('Course 5'!$H203='tab5'!G$3,'Course 5'!$I203," ")</f>
        <v xml:space="preserve"> </v>
      </c>
      <c r="H205" s="8" t="str">
        <f>IF('Course 5'!$H203='tab5'!H$3,'Course 5'!$I203," ")</f>
        <v xml:space="preserve"> </v>
      </c>
      <c r="I205" s="8" t="str">
        <f>IF('Course 5'!$H203='tab5'!I$3,'Course 5'!$I203," ")</f>
        <v xml:space="preserve"> </v>
      </c>
      <c r="J205" s="8" t="str">
        <f>IF('Course 5'!$H203='tab5'!J$3,'Course 5'!$I203," ")</f>
        <v xml:space="preserve"> </v>
      </c>
      <c r="K205" s="8" t="str">
        <f>IF('Course 5'!$H203='tab5'!K$3,'Course 5'!$I203," ")</f>
        <v xml:space="preserve"> </v>
      </c>
      <c r="L205" s="8" t="str">
        <f>IF('Course 5'!$H203='tab5'!L$3,'Course 5'!$I203," ")</f>
        <v xml:space="preserve"> </v>
      </c>
      <c r="M205" s="8" t="str">
        <f>IF('Course 5'!$H203='tab5'!M$3,'Course 5'!$I203," ")</f>
        <v xml:space="preserve"> </v>
      </c>
      <c r="N205" s="9" t="str">
        <f>IF('Course 5'!$H203='tab5'!N$3,'Course 5'!$I203," ")</f>
        <v xml:space="preserve"> </v>
      </c>
    </row>
    <row r="206" spans="2:14">
      <c r="B206">
        <v>202</v>
      </c>
      <c r="C206" s="7" t="str">
        <f>IF('Course 5'!$H204='tab5'!C$3,'Course 5'!$I204," ")</f>
        <v xml:space="preserve"> </v>
      </c>
      <c r="D206" s="8" t="str">
        <f>IF('Course 5'!$H204='tab5'!D$3,'Course 5'!$I204," ")</f>
        <v xml:space="preserve"> </v>
      </c>
      <c r="E206" s="8" t="str">
        <f>IF('Course 5'!$H204='tab5'!E$3,'Course 5'!$I204," ")</f>
        <v xml:space="preserve"> </v>
      </c>
      <c r="F206" s="8" t="str">
        <f>IF('Course 5'!$H204='tab5'!F$3,'Course 5'!$I204," ")</f>
        <v xml:space="preserve"> </v>
      </c>
      <c r="G206" s="8" t="str">
        <f>IF('Course 5'!$H204='tab5'!G$3,'Course 5'!$I204," ")</f>
        <v xml:space="preserve"> </v>
      </c>
      <c r="H206" s="8" t="str">
        <f>IF('Course 5'!$H204='tab5'!H$3,'Course 5'!$I204," ")</f>
        <v xml:space="preserve"> </v>
      </c>
      <c r="I206" s="8" t="str">
        <f>IF('Course 5'!$H204='tab5'!I$3,'Course 5'!$I204," ")</f>
        <v xml:space="preserve"> </v>
      </c>
      <c r="J206" s="8" t="str">
        <f>IF('Course 5'!$H204='tab5'!J$3,'Course 5'!$I204," ")</f>
        <v xml:space="preserve"> </v>
      </c>
      <c r="K206" s="8" t="str">
        <f>IF('Course 5'!$H204='tab5'!K$3,'Course 5'!$I204," ")</f>
        <v xml:space="preserve"> </v>
      </c>
      <c r="L206" s="8" t="str">
        <f>IF('Course 5'!$H204='tab5'!L$3,'Course 5'!$I204," ")</f>
        <v xml:space="preserve"> </v>
      </c>
      <c r="M206" s="8" t="str">
        <f>IF('Course 5'!$H204='tab5'!M$3,'Course 5'!$I204," ")</f>
        <v xml:space="preserve"> </v>
      </c>
      <c r="N206" s="9" t="str">
        <f>IF('Course 5'!$H204='tab5'!N$3,'Course 5'!$I204," ")</f>
        <v xml:space="preserve"> </v>
      </c>
    </row>
    <row r="207" spans="2:14">
      <c r="B207">
        <v>203</v>
      </c>
      <c r="C207" s="7" t="str">
        <f>IF('Course 5'!$H205='tab5'!C$3,'Course 5'!$I205," ")</f>
        <v xml:space="preserve"> </v>
      </c>
      <c r="D207" s="8" t="str">
        <f>IF('Course 5'!$H205='tab5'!D$3,'Course 5'!$I205," ")</f>
        <v xml:space="preserve"> </v>
      </c>
      <c r="E207" s="8" t="str">
        <f>IF('Course 5'!$H205='tab5'!E$3,'Course 5'!$I205," ")</f>
        <v xml:space="preserve"> </v>
      </c>
      <c r="F207" s="8" t="str">
        <f>IF('Course 5'!$H205='tab5'!F$3,'Course 5'!$I205," ")</f>
        <v xml:space="preserve"> </v>
      </c>
      <c r="G207" s="8" t="str">
        <f>IF('Course 5'!$H205='tab5'!G$3,'Course 5'!$I205," ")</f>
        <v xml:space="preserve"> </v>
      </c>
      <c r="H207" s="8" t="str">
        <f>IF('Course 5'!$H205='tab5'!H$3,'Course 5'!$I205," ")</f>
        <v xml:space="preserve"> </v>
      </c>
      <c r="I207" s="8" t="str">
        <f>IF('Course 5'!$H205='tab5'!I$3,'Course 5'!$I205," ")</f>
        <v xml:space="preserve"> </v>
      </c>
      <c r="J207" s="8" t="str">
        <f>IF('Course 5'!$H205='tab5'!J$3,'Course 5'!$I205," ")</f>
        <v xml:space="preserve"> </v>
      </c>
      <c r="K207" s="8" t="str">
        <f>IF('Course 5'!$H205='tab5'!K$3,'Course 5'!$I205," ")</f>
        <v xml:space="preserve"> </v>
      </c>
      <c r="L207" s="8" t="str">
        <f>IF('Course 5'!$H205='tab5'!L$3,'Course 5'!$I205," ")</f>
        <v xml:space="preserve"> </v>
      </c>
      <c r="M207" s="8" t="str">
        <f>IF('Course 5'!$H205='tab5'!M$3,'Course 5'!$I205," ")</f>
        <v xml:space="preserve"> </v>
      </c>
      <c r="N207" s="9" t="str">
        <f>IF('Course 5'!$H205='tab5'!N$3,'Course 5'!$I205," ")</f>
        <v xml:space="preserve"> </v>
      </c>
    </row>
    <row r="208" spans="2:14">
      <c r="B208">
        <v>204</v>
      </c>
      <c r="C208" s="7" t="str">
        <f>IF('Course 5'!$H206='tab5'!C$3,'Course 5'!$I206," ")</f>
        <v xml:space="preserve"> </v>
      </c>
      <c r="D208" s="8" t="str">
        <f>IF('Course 5'!$H206='tab5'!D$3,'Course 5'!$I206," ")</f>
        <v xml:space="preserve"> </v>
      </c>
      <c r="E208" s="8" t="str">
        <f>IF('Course 5'!$H206='tab5'!E$3,'Course 5'!$I206," ")</f>
        <v xml:space="preserve"> </v>
      </c>
      <c r="F208" s="8" t="str">
        <f>IF('Course 5'!$H206='tab5'!F$3,'Course 5'!$I206," ")</f>
        <v xml:space="preserve"> </v>
      </c>
      <c r="G208" s="8" t="str">
        <f>IF('Course 5'!$H206='tab5'!G$3,'Course 5'!$I206," ")</f>
        <v xml:space="preserve"> </v>
      </c>
      <c r="H208" s="8" t="str">
        <f>IF('Course 5'!$H206='tab5'!H$3,'Course 5'!$I206," ")</f>
        <v xml:space="preserve"> </v>
      </c>
      <c r="I208" s="8" t="str">
        <f>IF('Course 5'!$H206='tab5'!I$3,'Course 5'!$I206," ")</f>
        <v xml:space="preserve"> </v>
      </c>
      <c r="J208" s="8" t="str">
        <f>IF('Course 5'!$H206='tab5'!J$3,'Course 5'!$I206," ")</f>
        <v xml:space="preserve"> </v>
      </c>
      <c r="K208" s="8" t="str">
        <f>IF('Course 5'!$H206='tab5'!K$3,'Course 5'!$I206," ")</f>
        <v xml:space="preserve"> </v>
      </c>
      <c r="L208" s="8" t="str">
        <f>IF('Course 5'!$H206='tab5'!L$3,'Course 5'!$I206," ")</f>
        <v xml:space="preserve"> </v>
      </c>
      <c r="M208" s="8" t="str">
        <f>IF('Course 5'!$H206='tab5'!M$3,'Course 5'!$I206," ")</f>
        <v xml:space="preserve"> </v>
      </c>
      <c r="N208" s="9" t="str">
        <f>IF('Course 5'!$H206='tab5'!N$3,'Course 5'!$I206," ")</f>
        <v xml:space="preserve"> </v>
      </c>
    </row>
    <row r="209" spans="2:14">
      <c r="B209">
        <v>205</v>
      </c>
      <c r="C209" s="7" t="str">
        <f>IF('Course 5'!$H207='tab5'!C$3,'Course 5'!$I207," ")</f>
        <v xml:space="preserve"> </v>
      </c>
      <c r="D209" s="8" t="str">
        <f>IF('Course 5'!$H207='tab5'!D$3,'Course 5'!$I207," ")</f>
        <v xml:space="preserve"> </v>
      </c>
      <c r="E209" s="8" t="str">
        <f>IF('Course 5'!$H207='tab5'!E$3,'Course 5'!$I207," ")</f>
        <v xml:space="preserve"> </v>
      </c>
      <c r="F209" s="8" t="str">
        <f>IF('Course 5'!$H207='tab5'!F$3,'Course 5'!$I207," ")</f>
        <v xml:space="preserve"> </v>
      </c>
      <c r="G209" s="8" t="str">
        <f>IF('Course 5'!$H207='tab5'!G$3,'Course 5'!$I207," ")</f>
        <v xml:space="preserve"> </v>
      </c>
      <c r="H209" s="8" t="str">
        <f>IF('Course 5'!$H207='tab5'!H$3,'Course 5'!$I207," ")</f>
        <v xml:space="preserve"> </v>
      </c>
      <c r="I209" s="8" t="str">
        <f>IF('Course 5'!$H207='tab5'!I$3,'Course 5'!$I207," ")</f>
        <v xml:space="preserve"> </v>
      </c>
      <c r="J209" s="8" t="str">
        <f>IF('Course 5'!$H207='tab5'!J$3,'Course 5'!$I207," ")</f>
        <v xml:space="preserve"> </v>
      </c>
      <c r="K209" s="8" t="str">
        <f>IF('Course 5'!$H207='tab5'!K$3,'Course 5'!$I207," ")</f>
        <v xml:space="preserve"> </v>
      </c>
      <c r="L209" s="8" t="str">
        <f>IF('Course 5'!$H207='tab5'!L$3,'Course 5'!$I207," ")</f>
        <v xml:space="preserve"> </v>
      </c>
      <c r="M209" s="8" t="str">
        <f>IF('Course 5'!$H207='tab5'!M$3,'Course 5'!$I207," ")</f>
        <v xml:space="preserve"> </v>
      </c>
      <c r="N209" s="9" t="str">
        <f>IF('Course 5'!$H207='tab5'!N$3,'Course 5'!$I207," ")</f>
        <v xml:space="preserve"> </v>
      </c>
    </row>
    <row r="210" spans="2:14">
      <c r="B210">
        <v>206</v>
      </c>
      <c r="C210" s="7" t="str">
        <f>IF('Course 5'!$H208='tab5'!C$3,'Course 5'!$I208," ")</f>
        <v xml:space="preserve"> </v>
      </c>
      <c r="D210" s="8" t="str">
        <f>IF('Course 5'!$H208='tab5'!D$3,'Course 5'!$I208," ")</f>
        <v xml:space="preserve"> </v>
      </c>
      <c r="E210" s="8" t="str">
        <f>IF('Course 5'!$H208='tab5'!E$3,'Course 5'!$I208," ")</f>
        <v xml:space="preserve"> </v>
      </c>
      <c r="F210" s="8" t="str">
        <f>IF('Course 5'!$H208='tab5'!F$3,'Course 5'!$I208," ")</f>
        <v xml:space="preserve"> </v>
      </c>
      <c r="G210" s="8" t="str">
        <f>IF('Course 5'!$H208='tab5'!G$3,'Course 5'!$I208," ")</f>
        <v xml:space="preserve"> </v>
      </c>
      <c r="H210" s="8" t="str">
        <f>IF('Course 5'!$H208='tab5'!H$3,'Course 5'!$I208," ")</f>
        <v xml:space="preserve"> </v>
      </c>
      <c r="I210" s="8" t="str">
        <f>IF('Course 5'!$H208='tab5'!I$3,'Course 5'!$I208," ")</f>
        <v xml:space="preserve"> </v>
      </c>
      <c r="J210" s="8" t="str">
        <f>IF('Course 5'!$H208='tab5'!J$3,'Course 5'!$I208," ")</f>
        <v xml:space="preserve"> </v>
      </c>
      <c r="K210" s="8" t="str">
        <f>IF('Course 5'!$H208='tab5'!K$3,'Course 5'!$I208," ")</f>
        <v xml:space="preserve"> </v>
      </c>
      <c r="L210" s="8" t="str">
        <f>IF('Course 5'!$H208='tab5'!L$3,'Course 5'!$I208," ")</f>
        <v xml:space="preserve"> </v>
      </c>
      <c r="M210" s="8" t="str">
        <f>IF('Course 5'!$H208='tab5'!M$3,'Course 5'!$I208," ")</f>
        <v xml:space="preserve"> </v>
      </c>
      <c r="N210" s="9" t="str">
        <f>IF('Course 5'!$H208='tab5'!N$3,'Course 5'!$I208," ")</f>
        <v xml:space="preserve"> </v>
      </c>
    </row>
    <row r="211" spans="2:14">
      <c r="B211">
        <v>207</v>
      </c>
      <c r="C211" s="7" t="str">
        <f>IF('Course 5'!$H209='tab5'!C$3,'Course 5'!$I209," ")</f>
        <v xml:space="preserve"> </v>
      </c>
      <c r="D211" s="8" t="str">
        <f>IF('Course 5'!$H209='tab5'!D$3,'Course 5'!$I209," ")</f>
        <v xml:space="preserve"> </v>
      </c>
      <c r="E211" s="8" t="str">
        <f>IF('Course 5'!$H209='tab5'!E$3,'Course 5'!$I209," ")</f>
        <v xml:space="preserve"> </v>
      </c>
      <c r="F211" s="8" t="str">
        <f>IF('Course 5'!$H209='tab5'!F$3,'Course 5'!$I209," ")</f>
        <v xml:space="preserve"> </v>
      </c>
      <c r="G211" s="8" t="str">
        <f>IF('Course 5'!$H209='tab5'!G$3,'Course 5'!$I209," ")</f>
        <v xml:space="preserve"> </v>
      </c>
      <c r="H211" s="8" t="str">
        <f>IF('Course 5'!$H209='tab5'!H$3,'Course 5'!$I209," ")</f>
        <v xml:space="preserve"> </v>
      </c>
      <c r="I211" s="8" t="str">
        <f>IF('Course 5'!$H209='tab5'!I$3,'Course 5'!$I209," ")</f>
        <v xml:space="preserve"> </v>
      </c>
      <c r="J211" s="8" t="str">
        <f>IF('Course 5'!$H209='tab5'!J$3,'Course 5'!$I209," ")</f>
        <v xml:space="preserve"> </v>
      </c>
      <c r="K211" s="8" t="str">
        <f>IF('Course 5'!$H209='tab5'!K$3,'Course 5'!$I209," ")</f>
        <v xml:space="preserve"> </v>
      </c>
      <c r="L211" s="8" t="str">
        <f>IF('Course 5'!$H209='tab5'!L$3,'Course 5'!$I209," ")</f>
        <v xml:space="preserve"> </v>
      </c>
      <c r="M211" s="8" t="str">
        <f>IF('Course 5'!$H209='tab5'!M$3,'Course 5'!$I209," ")</f>
        <v xml:space="preserve"> </v>
      </c>
      <c r="N211" s="9" t="str">
        <f>IF('Course 5'!$H209='tab5'!N$3,'Course 5'!$I209," ")</f>
        <v xml:space="preserve"> </v>
      </c>
    </row>
    <row r="212" spans="2:14">
      <c r="B212">
        <v>208</v>
      </c>
      <c r="C212" s="7" t="str">
        <f>IF('Course 5'!$H210='tab5'!C$3,'Course 5'!$I210," ")</f>
        <v xml:space="preserve"> </v>
      </c>
      <c r="D212" s="8" t="str">
        <f>IF('Course 5'!$H210='tab5'!D$3,'Course 5'!$I210," ")</f>
        <v xml:space="preserve"> </v>
      </c>
      <c r="E212" s="8" t="str">
        <f>IF('Course 5'!$H210='tab5'!E$3,'Course 5'!$I210," ")</f>
        <v xml:space="preserve"> </v>
      </c>
      <c r="F212" s="8" t="str">
        <f>IF('Course 5'!$H210='tab5'!F$3,'Course 5'!$I210," ")</f>
        <v xml:space="preserve"> </v>
      </c>
      <c r="G212" s="8" t="str">
        <f>IF('Course 5'!$H210='tab5'!G$3,'Course 5'!$I210," ")</f>
        <v xml:space="preserve"> </v>
      </c>
      <c r="H212" s="8" t="str">
        <f>IF('Course 5'!$H210='tab5'!H$3,'Course 5'!$I210," ")</f>
        <v xml:space="preserve"> </v>
      </c>
      <c r="I212" s="8" t="str">
        <f>IF('Course 5'!$H210='tab5'!I$3,'Course 5'!$I210," ")</f>
        <v xml:space="preserve"> </v>
      </c>
      <c r="J212" s="8" t="str">
        <f>IF('Course 5'!$H210='tab5'!J$3,'Course 5'!$I210," ")</f>
        <v xml:space="preserve"> </v>
      </c>
      <c r="K212" s="8" t="str">
        <f>IF('Course 5'!$H210='tab5'!K$3,'Course 5'!$I210," ")</f>
        <v xml:space="preserve"> </v>
      </c>
      <c r="L212" s="8" t="str">
        <f>IF('Course 5'!$H210='tab5'!L$3,'Course 5'!$I210," ")</f>
        <v xml:space="preserve"> </v>
      </c>
      <c r="M212" s="8" t="str">
        <f>IF('Course 5'!$H210='tab5'!M$3,'Course 5'!$I210," ")</f>
        <v xml:space="preserve"> </v>
      </c>
      <c r="N212" s="9" t="str">
        <f>IF('Course 5'!$H210='tab5'!N$3,'Course 5'!$I210," ")</f>
        <v xml:space="preserve"> </v>
      </c>
    </row>
    <row r="213" spans="2:14">
      <c r="B213">
        <v>209</v>
      </c>
      <c r="C213" s="7" t="str">
        <f>IF('Course 5'!$H211='tab5'!C$3,'Course 5'!$I211," ")</f>
        <v xml:space="preserve"> </v>
      </c>
      <c r="D213" s="8" t="str">
        <f>IF('Course 5'!$H211='tab5'!D$3,'Course 5'!$I211," ")</f>
        <v xml:space="preserve"> </v>
      </c>
      <c r="E213" s="8" t="str">
        <f>IF('Course 5'!$H211='tab5'!E$3,'Course 5'!$I211," ")</f>
        <v xml:space="preserve"> </v>
      </c>
      <c r="F213" s="8" t="str">
        <f>IF('Course 5'!$H211='tab5'!F$3,'Course 5'!$I211," ")</f>
        <v xml:space="preserve"> </v>
      </c>
      <c r="G213" s="8" t="str">
        <f>IF('Course 5'!$H211='tab5'!G$3,'Course 5'!$I211," ")</f>
        <v xml:space="preserve"> </v>
      </c>
      <c r="H213" s="8" t="str">
        <f>IF('Course 5'!$H211='tab5'!H$3,'Course 5'!$I211," ")</f>
        <v xml:space="preserve"> </v>
      </c>
      <c r="I213" s="8" t="str">
        <f>IF('Course 5'!$H211='tab5'!I$3,'Course 5'!$I211," ")</f>
        <v xml:space="preserve"> </v>
      </c>
      <c r="J213" s="8" t="str">
        <f>IF('Course 5'!$H211='tab5'!J$3,'Course 5'!$I211," ")</f>
        <v xml:space="preserve"> </v>
      </c>
      <c r="K213" s="8" t="str">
        <f>IF('Course 5'!$H211='tab5'!K$3,'Course 5'!$I211," ")</f>
        <v xml:space="preserve"> </v>
      </c>
      <c r="L213" s="8" t="str">
        <f>IF('Course 5'!$H211='tab5'!L$3,'Course 5'!$I211," ")</f>
        <v xml:space="preserve"> </v>
      </c>
      <c r="M213" s="8" t="str">
        <f>IF('Course 5'!$H211='tab5'!M$3,'Course 5'!$I211," ")</f>
        <v xml:space="preserve"> </v>
      </c>
      <c r="N213" s="9" t="str">
        <f>IF('Course 5'!$H211='tab5'!N$3,'Course 5'!$I211," ")</f>
        <v xml:space="preserve"> </v>
      </c>
    </row>
    <row r="214" spans="2:14">
      <c r="B214">
        <v>210</v>
      </c>
      <c r="C214" s="7" t="str">
        <f>IF('Course 5'!$H212='tab5'!C$3,'Course 5'!$I212," ")</f>
        <v xml:space="preserve"> </v>
      </c>
      <c r="D214" s="8" t="str">
        <f>IF('Course 5'!$H212='tab5'!D$3,'Course 5'!$I212," ")</f>
        <v xml:space="preserve"> </v>
      </c>
      <c r="E214" s="8" t="str">
        <f>IF('Course 5'!$H212='tab5'!E$3,'Course 5'!$I212," ")</f>
        <v xml:space="preserve"> </v>
      </c>
      <c r="F214" s="8" t="str">
        <f>IF('Course 5'!$H212='tab5'!F$3,'Course 5'!$I212," ")</f>
        <v xml:space="preserve"> </v>
      </c>
      <c r="G214" s="8" t="str">
        <f>IF('Course 5'!$H212='tab5'!G$3,'Course 5'!$I212," ")</f>
        <v xml:space="preserve"> </v>
      </c>
      <c r="H214" s="8" t="str">
        <f>IF('Course 5'!$H212='tab5'!H$3,'Course 5'!$I212," ")</f>
        <v xml:space="preserve"> </v>
      </c>
      <c r="I214" s="8" t="str">
        <f>IF('Course 5'!$H212='tab5'!I$3,'Course 5'!$I212," ")</f>
        <v xml:space="preserve"> </v>
      </c>
      <c r="J214" s="8" t="str">
        <f>IF('Course 5'!$H212='tab5'!J$3,'Course 5'!$I212," ")</f>
        <v xml:space="preserve"> </v>
      </c>
      <c r="K214" s="8" t="str">
        <f>IF('Course 5'!$H212='tab5'!K$3,'Course 5'!$I212," ")</f>
        <v xml:space="preserve"> </v>
      </c>
      <c r="L214" s="8" t="str">
        <f>IF('Course 5'!$H212='tab5'!L$3,'Course 5'!$I212," ")</f>
        <v xml:space="preserve"> </v>
      </c>
      <c r="M214" s="8" t="str">
        <f>IF('Course 5'!$H212='tab5'!M$3,'Course 5'!$I212," ")</f>
        <v xml:space="preserve"> </v>
      </c>
      <c r="N214" s="9" t="str">
        <f>IF('Course 5'!$H212='tab5'!N$3,'Course 5'!$I212," ")</f>
        <v xml:space="preserve"> </v>
      </c>
    </row>
    <row r="215" spans="2:14">
      <c r="B215">
        <v>211</v>
      </c>
      <c r="C215" s="7" t="str">
        <f>IF('Course 5'!$H213='tab5'!C$3,'Course 5'!$I213," ")</f>
        <v xml:space="preserve"> </v>
      </c>
      <c r="D215" s="8" t="str">
        <f>IF('Course 5'!$H213='tab5'!D$3,'Course 5'!$I213," ")</f>
        <v xml:space="preserve"> </v>
      </c>
      <c r="E215" s="8" t="str">
        <f>IF('Course 5'!$H213='tab5'!E$3,'Course 5'!$I213," ")</f>
        <v xml:space="preserve"> </v>
      </c>
      <c r="F215" s="8" t="str">
        <f>IF('Course 5'!$H213='tab5'!F$3,'Course 5'!$I213," ")</f>
        <v xml:space="preserve"> </v>
      </c>
      <c r="G215" s="8" t="str">
        <f>IF('Course 5'!$H213='tab5'!G$3,'Course 5'!$I213," ")</f>
        <v xml:space="preserve"> </v>
      </c>
      <c r="H215" s="8" t="str">
        <f>IF('Course 5'!$H213='tab5'!H$3,'Course 5'!$I213," ")</f>
        <v xml:space="preserve"> </v>
      </c>
      <c r="I215" s="8" t="str">
        <f>IF('Course 5'!$H213='tab5'!I$3,'Course 5'!$I213," ")</f>
        <v xml:space="preserve"> </v>
      </c>
      <c r="J215" s="8" t="str">
        <f>IF('Course 5'!$H213='tab5'!J$3,'Course 5'!$I213," ")</f>
        <v xml:space="preserve"> </v>
      </c>
      <c r="K215" s="8" t="str">
        <f>IF('Course 5'!$H213='tab5'!K$3,'Course 5'!$I213," ")</f>
        <v xml:space="preserve"> </v>
      </c>
      <c r="L215" s="8" t="str">
        <f>IF('Course 5'!$H213='tab5'!L$3,'Course 5'!$I213," ")</f>
        <v xml:space="preserve"> </v>
      </c>
      <c r="M215" s="8" t="str">
        <f>IF('Course 5'!$H213='tab5'!M$3,'Course 5'!$I213," ")</f>
        <v xml:space="preserve"> </v>
      </c>
      <c r="N215" s="9" t="str">
        <f>IF('Course 5'!$H213='tab5'!N$3,'Course 5'!$I213," ")</f>
        <v xml:space="preserve"> </v>
      </c>
    </row>
    <row r="216" spans="2:14">
      <c r="B216">
        <v>212</v>
      </c>
      <c r="C216" s="7" t="str">
        <f>IF('Course 5'!$H214='tab5'!C$3,'Course 5'!$I214," ")</f>
        <v xml:space="preserve"> </v>
      </c>
      <c r="D216" s="8" t="str">
        <f>IF('Course 5'!$H214='tab5'!D$3,'Course 5'!$I214," ")</f>
        <v xml:space="preserve"> </v>
      </c>
      <c r="E216" s="8" t="str">
        <f>IF('Course 5'!$H214='tab5'!E$3,'Course 5'!$I214," ")</f>
        <v xml:space="preserve"> </v>
      </c>
      <c r="F216" s="8" t="str">
        <f>IF('Course 5'!$H214='tab5'!F$3,'Course 5'!$I214," ")</f>
        <v xml:space="preserve"> </v>
      </c>
      <c r="G216" s="8" t="str">
        <f>IF('Course 5'!$H214='tab5'!G$3,'Course 5'!$I214," ")</f>
        <v xml:space="preserve"> </v>
      </c>
      <c r="H216" s="8" t="str">
        <f>IF('Course 5'!$H214='tab5'!H$3,'Course 5'!$I214," ")</f>
        <v xml:space="preserve"> </v>
      </c>
      <c r="I216" s="8" t="str">
        <f>IF('Course 5'!$H214='tab5'!I$3,'Course 5'!$I214," ")</f>
        <v xml:space="preserve"> </v>
      </c>
      <c r="J216" s="8" t="str">
        <f>IF('Course 5'!$H214='tab5'!J$3,'Course 5'!$I214," ")</f>
        <v xml:space="preserve"> </v>
      </c>
      <c r="K216" s="8" t="str">
        <f>IF('Course 5'!$H214='tab5'!K$3,'Course 5'!$I214," ")</f>
        <v xml:space="preserve"> </v>
      </c>
      <c r="L216" s="8" t="str">
        <f>IF('Course 5'!$H214='tab5'!L$3,'Course 5'!$I214," ")</f>
        <v xml:space="preserve"> </v>
      </c>
      <c r="M216" s="8" t="str">
        <f>IF('Course 5'!$H214='tab5'!M$3,'Course 5'!$I214," ")</f>
        <v xml:space="preserve"> </v>
      </c>
      <c r="N216" s="9" t="str">
        <f>IF('Course 5'!$H214='tab5'!N$3,'Course 5'!$I214," ")</f>
        <v xml:space="preserve"> </v>
      </c>
    </row>
    <row r="217" spans="2:14">
      <c r="B217">
        <v>213</v>
      </c>
      <c r="C217" s="7" t="str">
        <f>IF('Course 5'!$H215='tab5'!C$3,'Course 5'!$I215," ")</f>
        <v xml:space="preserve"> </v>
      </c>
      <c r="D217" s="8" t="str">
        <f>IF('Course 5'!$H215='tab5'!D$3,'Course 5'!$I215," ")</f>
        <v xml:space="preserve"> </v>
      </c>
      <c r="E217" s="8" t="str">
        <f>IF('Course 5'!$H215='tab5'!E$3,'Course 5'!$I215," ")</f>
        <v xml:space="preserve"> </v>
      </c>
      <c r="F217" s="8" t="str">
        <f>IF('Course 5'!$H215='tab5'!F$3,'Course 5'!$I215," ")</f>
        <v xml:space="preserve"> </v>
      </c>
      <c r="G217" s="8" t="str">
        <f>IF('Course 5'!$H215='tab5'!G$3,'Course 5'!$I215," ")</f>
        <v xml:space="preserve"> </v>
      </c>
      <c r="H217" s="8" t="str">
        <f>IF('Course 5'!$H215='tab5'!H$3,'Course 5'!$I215," ")</f>
        <v xml:space="preserve"> </v>
      </c>
      <c r="I217" s="8" t="str">
        <f>IF('Course 5'!$H215='tab5'!I$3,'Course 5'!$I215," ")</f>
        <v xml:space="preserve"> </v>
      </c>
      <c r="J217" s="8" t="str">
        <f>IF('Course 5'!$H215='tab5'!J$3,'Course 5'!$I215," ")</f>
        <v xml:space="preserve"> </v>
      </c>
      <c r="K217" s="8" t="str">
        <f>IF('Course 5'!$H215='tab5'!K$3,'Course 5'!$I215," ")</f>
        <v xml:space="preserve"> </v>
      </c>
      <c r="L217" s="8" t="str">
        <f>IF('Course 5'!$H215='tab5'!L$3,'Course 5'!$I215," ")</f>
        <v xml:space="preserve"> </v>
      </c>
      <c r="M217" s="8" t="str">
        <f>IF('Course 5'!$H215='tab5'!M$3,'Course 5'!$I215," ")</f>
        <v xml:space="preserve"> </v>
      </c>
      <c r="N217" s="9" t="str">
        <f>IF('Course 5'!$H215='tab5'!N$3,'Course 5'!$I215," ")</f>
        <v xml:space="preserve"> </v>
      </c>
    </row>
    <row r="218" spans="2:14">
      <c r="B218">
        <v>214</v>
      </c>
      <c r="C218" s="7" t="str">
        <f>IF('Course 5'!$H216='tab5'!C$3,'Course 5'!$I216," ")</f>
        <v xml:space="preserve"> </v>
      </c>
      <c r="D218" s="8" t="str">
        <f>IF('Course 5'!$H216='tab5'!D$3,'Course 5'!$I216," ")</f>
        <v xml:space="preserve"> </v>
      </c>
      <c r="E218" s="8" t="str">
        <f>IF('Course 5'!$H216='tab5'!E$3,'Course 5'!$I216," ")</f>
        <v xml:space="preserve"> </v>
      </c>
      <c r="F218" s="8" t="str">
        <f>IF('Course 5'!$H216='tab5'!F$3,'Course 5'!$I216," ")</f>
        <v xml:space="preserve"> </v>
      </c>
      <c r="G218" s="8" t="str">
        <f>IF('Course 5'!$H216='tab5'!G$3,'Course 5'!$I216," ")</f>
        <v xml:space="preserve"> </v>
      </c>
      <c r="H218" s="8" t="str">
        <f>IF('Course 5'!$H216='tab5'!H$3,'Course 5'!$I216," ")</f>
        <v xml:space="preserve"> </v>
      </c>
      <c r="I218" s="8" t="str">
        <f>IF('Course 5'!$H216='tab5'!I$3,'Course 5'!$I216," ")</f>
        <v xml:space="preserve"> </v>
      </c>
      <c r="J218" s="8" t="str">
        <f>IF('Course 5'!$H216='tab5'!J$3,'Course 5'!$I216," ")</f>
        <v xml:space="preserve"> </v>
      </c>
      <c r="K218" s="8" t="str">
        <f>IF('Course 5'!$H216='tab5'!K$3,'Course 5'!$I216," ")</f>
        <v xml:space="preserve"> </v>
      </c>
      <c r="L218" s="8" t="str">
        <f>IF('Course 5'!$H216='tab5'!L$3,'Course 5'!$I216," ")</f>
        <v xml:space="preserve"> </v>
      </c>
      <c r="M218" s="8" t="str">
        <f>IF('Course 5'!$H216='tab5'!M$3,'Course 5'!$I216," ")</f>
        <v xml:space="preserve"> </v>
      </c>
      <c r="N218" s="9" t="str">
        <f>IF('Course 5'!$H216='tab5'!N$3,'Course 5'!$I216," ")</f>
        <v xml:space="preserve"> </v>
      </c>
    </row>
    <row r="219" spans="2:14">
      <c r="B219">
        <v>215</v>
      </c>
      <c r="C219" s="7" t="str">
        <f>IF('Course 5'!$H217='tab5'!C$3,'Course 5'!$I217," ")</f>
        <v xml:space="preserve"> </v>
      </c>
      <c r="D219" s="8" t="str">
        <f>IF('Course 5'!$H217='tab5'!D$3,'Course 5'!$I217," ")</f>
        <v xml:space="preserve"> </v>
      </c>
      <c r="E219" s="8" t="str">
        <f>IF('Course 5'!$H217='tab5'!E$3,'Course 5'!$I217," ")</f>
        <v xml:space="preserve"> </v>
      </c>
      <c r="F219" s="8" t="str">
        <f>IF('Course 5'!$H217='tab5'!F$3,'Course 5'!$I217," ")</f>
        <v xml:space="preserve"> </v>
      </c>
      <c r="G219" s="8" t="str">
        <f>IF('Course 5'!$H217='tab5'!G$3,'Course 5'!$I217," ")</f>
        <v xml:space="preserve"> </v>
      </c>
      <c r="H219" s="8" t="str">
        <f>IF('Course 5'!$H217='tab5'!H$3,'Course 5'!$I217," ")</f>
        <v xml:space="preserve"> </v>
      </c>
      <c r="I219" s="8" t="str">
        <f>IF('Course 5'!$H217='tab5'!I$3,'Course 5'!$I217," ")</f>
        <v xml:space="preserve"> </v>
      </c>
      <c r="J219" s="8" t="str">
        <f>IF('Course 5'!$H217='tab5'!J$3,'Course 5'!$I217," ")</f>
        <v xml:space="preserve"> </v>
      </c>
      <c r="K219" s="8" t="str">
        <f>IF('Course 5'!$H217='tab5'!K$3,'Course 5'!$I217," ")</f>
        <v xml:space="preserve"> </v>
      </c>
      <c r="L219" s="8" t="str">
        <f>IF('Course 5'!$H217='tab5'!L$3,'Course 5'!$I217," ")</f>
        <v xml:space="preserve"> </v>
      </c>
      <c r="M219" s="8" t="str">
        <f>IF('Course 5'!$H217='tab5'!M$3,'Course 5'!$I217," ")</f>
        <v xml:space="preserve"> </v>
      </c>
      <c r="N219" s="9" t="str">
        <f>IF('Course 5'!$H217='tab5'!N$3,'Course 5'!$I217," ")</f>
        <v xml:space="preserve"> </v>
      </c>
    </row>
    <row r="220" spans="2:14">
      <c r="B220">
        <v>216</v>
      </c>
      <c r="C220" s="7" t="str">
        <f>IF('Course 5'!$H218='tab5'!C$3,'Course 5'!$I218," ")</f>
        <v xml:space="preserve"> </v>
      </c>
      <c r="D220" s="8" t="str">
        <f>IF('Course 5'!$H218='tab5'!D$3,'Course 5'!$I218," ")</f>
        <v xml:space="preserve"> </v>
      </c>
      <c r="E220" s="8" t="str">
        <f>IF('Course 5'!$H218='tab5'!E$3,'Course 5'!$I218," ")</f>
        <v xml:space="preserve"> </v>
      </c>
      <c r="F220" s="8" t="str">
        <f>IF('Course 5'!$H218='tab5'!F$3,'Course 5'!$I218," ")</f>
        <v xml:space="preserve"> </v>
      </c>
      <c r="G220" s="8" t="str">
        <f>IF('Course 5'!$H218='tab5'!G$3,'Course 5'!$I218," ")</f>
        <v xml:space="preserve"> </v>
      </c>
      <c r="H220" s="8" t="str">
        <f>IF('Course 5'!$H218='tab5'!H$3,'Course 5'!$I218," ")</f>
        <v xml:space="preserve"> </v>
      </c>
      <c r="I220" s="8" t="str">
        <f>IF('Course 5'!$H218='tab5'!I$3,'Course 5'!$I218," ")</f>
        <v xml:space="preserve"> </v>
      </c>
      <c r="J220" s="8" t="str">
        <f>IF('Course 5'!$H218='tab5'!J$3,'Course 5'!$I218," ")</f>
        <v xml:space="preserve"> </v>
      </c>
      <c r="K220" s="8" t="str">
        <f>IF('Course 5'!$H218='tab5'!K$3,'Course 5'!$I218," ")</f>
        <v xml:space="preserve"> </v>
      </c>
      <c r="L220" s="8" t="str">
        <f>IF('Course 5'!$H218='tab5'!L$3,'Course 5'!$I218," ")</f>
        <v xml:space="preserve"> </v>
      </c>
      <c r="M220" s="8" t="str">
        <f>IF('Course 5'!$H218='tab5'!M$3,'Course 5'!$I218," ")</f>
        <v xml:space="preserve"> </v>
      </c>
      <c r="N220" s="9" t="str">
        <f>IF('Course 5'!$H218='tab5'!N$3,'Course 5'!$I218," ")</f>
        <v xml:space="preserve"> </v>
      </c>
    </row>
    <row r="221" spans="2:14">
      <c r="B221">
        <v>217</v>
      </c>
      <c r="C221" s="7" t="str">
        <f>IF('Course 5'!$H219='tab5'!C$3,'Course 5'!$I219," ")</f>
        <v xml:space="preserve"> </v>
      </c>
      <c r="D221" s="8" t="str">
        <f>IF('Course 5'!$H219='tab5'!D$3,'Course 5'!$I219," ")</f>
        <v xml:space="preserve"> </v>
      </c>
      <c r="E221" s="8" t="str">
        <f>IF('Course 5'!$H219='tab5'!E$3,'Course 5'!$I219," ")</f>
        <v xml:space="preserve"> </v>
      </c>
      <c r="F221" s="8" t="str">
        <f>IF('Course 5'!$H219='tab5'!F$3,'Course 5'!$I219," ")</f>
        <v xml:space="preserve"> </v>
      </c>
      <c r="G221" s="8" t="str">
        <f>IF('Course 5'!$H219='tab5'!G$3,'Course 5'!$I219," ")</f>
        <v xml:space="preserve"> </v>
      </c>
      <c r="H221" s="8" t="str">
        <f>IF('Course 5'!$H219='tab5'!H$3,'Course 5'!$I219," ")</f>
        <v xml:space="preserve"> </v>
      </c>
      <c r="I221" s="8" t="str">
        <f>IF('Course 5'!$H219='tab5'!I$3,'Course 5'!$I219," ")</f>
        <v xml:space="preserve"> </v>
      </c>
      <c r="J221" s="8" t="str">
        <f>IF('Course 5'!$H219='tab5'!J$3,'Course 5'!$I219," ")</f>
        <v xml:space="preserve"> </v>
      </c>
      <c r="K221" s="8" t="str">
        <f>IF('Course 5'!$H219='tab5'!K$3,'Course 5'!$I219," ")</f>
        <v xml:space="preserve"> </v>
      </c>
      <c r="L221" s="8" t="str">
        <f>IF('Course 5'!$H219='tab5'!L$3,'Course 5'!$I219," ")</f>
        <v xml:space="preserve"> </v>
      </c>
      <c r="M221" s="8" t="str">
        <f>IF('Course 5'!$H219='tab5'!M$3,'Course 5'!$I219," ")</f>
        <v xml:space="preserve"> </v>
      </c>
      <c r="N221" s="9" t="str">
        <f>IF('Course 5'!$H219='tab5'!N$3,'Course 5'!$I219," ")</f>
        <v xml:space="preserve"> </v>
      </c>
    </row>
    <row r="222" spans="2:14">
      <c r="B222">
        <v>218</v>
      </c>
      <c r="C222" s="7" t="str">
        <f>IF('Course 5'!$H220='tab5'!C$3,'Course 5'!$I220," ")</f>
        <v xml:space="preserve"> </v>
      </c>
      <c r="D222" s="8" t="str">
        <f>IF('Course 5'!$H220='tab5'!D$3,'Course 5'!$I220," ")</f>
        <v xml:space="preserve"> </v>
      </c>
      <c r="E222" s="8" t="str">
        <f>IF('Course 5'!$H220='tab5'!E$3,'Course 5'!$I220," ")</f>
        <v xml:space="preserve"> </v>
      </c>
      <c r="F222" s="8" t="str">
        <f>IF('Course 5'!$H220='tab5'!F$3,'Course 5'!$I220," ")</f>
        <v xml:space="preserve"> </v>
      </c>
      <c r="G222" s="8" t="str">
        <f>IF('Course 5'!$H220='tab5'!G$3,'Course 5'!$I220," ")</f>
        <v xml:space="preserve"> </v>
      </c>
      <c r="H222" s="8" t="str">
        <f>IF('Course 5'!$H220='tab5'!H$3,'Course 5'!$I220," ")</f>
        <v xml:space="preserve"> </v>
      </c>
      <c r="I222" s="8" t="str">
        <f>IF('Course 5'!$H220='tab5'!I$3,'Course 5'!$I220," ")</f>
        <v xml:space="preserve"> </v>
      </c>
      <c r="J222" s="8" t="str">
        <f>IF('Course 5'!$H220='tab5'!J$3,'Course 5'!$I220," ")</f>
        <v xml:space="preserve"> </v>
      </c>
      <c r="K222" s="8" t="str">
        <f>IF('Course 5'!$H220='tab5'!K$3,'Course 5'!$I220," ")</f>
        <v xml:space="preserve"> </v>
      </c>
      <c r="L222" s="8" t="str">
        <f>IF('Course 5'!$H220='tab5'!L$3,'Course 5'!$I220," ")</f>
        <v xml:space="preserve"> </v>
      </c>
      <c r="M222" s="8" t="str">
        <f>IF('Course 5'!$H220='tab5'!M$3,'Course 5'!$I220," ")</f>
        <v xml:space="preserve"> </v>
      </c>
      <c r="N222" s="9" t="str">
        <f>IF('Course 5'!$H220='tab5'!N$3,'Course 5'!$I220," ")</f>
        <v xml:space="preserve"> </v>
      </c>
    </row>
    <row r="223" spans="2:14">
      <c r="B223">
        <v>219</v>
      </c>
      <c r="C223" s="7" t="str">
        <f>IF('Course 5'!$H221='tab5'!C$3,'Course 5'!$I221," ")</f>
        <v xml:space="preserve"> </v>
      </c>
      <c r="D223" s="8" t="str">
        <f>IF('Course 5'!$H221='tab5'!D$3,'Course 5'!$I221," ")</f>
        <v xml:space="preserve"> </v>
      </c>
      <c r="E223" s="8" t="str">
        <f>IF('Course 5'!$H221='tab5'!E$3,'Course 5'!$I221," ")</f>
        <v xml:space="preserve"> </v>
      </c>
      <c r="F223" s="8" t="str">
        <f>IF('Course 5'!$H221='tab5'!F$3,'Course 5'!$I221," ")</f>
        <v xml:space="preserve"> </v>
      </c>
      <c r="G223" s="8" t="str">
        <f>IF('Course 5'!$H221='tab5'!G$3,'Course 5'!$I221," ")</f>
        <v xml:space="preserve"> </v>
      </c>
      <c r="H223" s="8" t="str">
        <f>IF('Course 5'!$H221='tab5'!H$3,'Course 5'!$I221," ")</f>
        <v xml:space="preserve"> </v>
      </c>
      <c r="I223" s="8" t="str">
        <f>IF('Course 5'!$H221='tab5'!I$3,'Course 5'!$I221," ")</f>
        <v xml:space="preserve"> </v>
      </c>
      <c r="J223" s="8" t="str">
        <f>IF('Course 5'!$H221='tab5'!J$3,'Course 5'!$I221," ")</f>
        <v xml:space="preserve"> </v>
      </c>
      <c r="K223" s="8" t="str">
        <f>IF('Course 5'!$H221='tab5'!K$3,'Course 5'!$I221," ")</f>
        <v xml:space="preserve"> </v>
      </c>
      <c r="L223" s="8" t="str">
        <f>IF('Course 5'!$H221='tab5'!L$3,'Course 5'!$I221," ")</f>
        <v xml:space="preserve"> </v>
      </c>
      <c r="M223" s="8" t="str">
        <f>IF('Course 5'!$H221='tab5'!M$3,'Course 5'!$I221," ")</f>
        <v xml:space="preserve"> </v>
      </c>
      <c r="N223" s="9" t="str">
        <f>IF('Course 5'!$H221='tab5'!N$3,'Course 5'!$I221," ")</f>
        <v xml:space="preserve"> </v>
      </c>
    </row>
    <row r="224" spans="2:14">
      <c r="B224">
        <v>220</v>
      </c>
      <c r="C224" s="7" t="str">
        <f>IF('Course 5'!$H222='tab5'!C$3,'Course 5'!$I222," ")</f>
        <v xml:space="preserve"> </v>
      </c>
      <c r="D224" s="8" t="str">
        <f>IF('Course 5'!$H222='tab5'!D$3,'Course 5'!$I222," ")</f>
        <v xml:space="preserve"> </v>
      </c>
      <c r="E224" s="8" t="str">
        <f>IF('Course 5'!$H222='tab5'!E$3,'Course 5'!$I222," ")</f>
        <v xml:space="preserve"> </v>
      </c>
      <c r="F224" s="8" t="str">
        <f>IF('Course 5'!$H222='tab5'!F$3,'Course 5'!$I222," ")</f>
        <v xml:space="preserve"> </v>
      </c>
      <c r="G224" s="8" t="str">
        <f>IF('Course 5'!$H222='tab5'!G$3,'Course 5'!$I222," ")</f>
        <v xml:space="preserve"> </v>
      </c>
      <c r="H224" s="8" t="str">
        <f>IF('Course 5'!$H222='tab5'!H$3,'Course 5'!$I222," ")</f>
        <v xml:space="preserve"> </v>
      </c>
      <c r="I224" s="8" t="str">
        <f>IF('Course 5'!$H222='tab5'!I$3,'Course 5'!$I222," ")</f>
        <v xml:space="preserve"> </v>
      </c>
      <c r="J224" s="8" t="str">
        <f>IF('Course 5'!$H222='tab5'!J$3,'Course 5'!$I222," ")</f>
        <v xml:space="preserve"> </v>
      </c>
      <c r="K224" s="8" t="str">
        <f>IF('Course 5'!$H222='tab5'!K$3,'Course 5'!$I222," ")</f>
        <v xml:space="preserve"> </v>
      </c>
      <c r="L224" s="8" t="str">
        <f>IF('Course 5'!$H222='tab5'!L$3,'Course 5'!$I222," ")</f>
        <v xml:space="preserve"> </v>
      </c>
      <c r="M224" s="8" t="str">
        <f>IF('Course 5'!$H222='tab5'!M$3,'Course 5'!$I222," ")</f>
        <v xml:space="preserve"> </v>
      </c>
      <c r="N224" s="9" t="str">
        <f>IF('Course 5'!$H222='tab5'!N$3,'Course 5'!$I222," ")</f>
        <v xml:space="preserve"> </v>
      </c>
    </row>
    <row r="225" spans="2:14">
      <c r="B225">
        <v>221</v>
      </c>
      <c r="C225" s="7" t="str">
        <f>IF('Course 5'!$H223='tab5'!C$3,'Course 5'!$I223," ")</f>
        <v xml:space="preserve"> </v>
      </c>
      <c r="D225" s="8" t="str">
        <f>IF('Course 5'!$H223='tab5'!D$3,'Course 5'!$I223," ")</f>
        <v xml:space="preserve"> </v>
      </c>
      <c r="E225" s="8" t="str">
        <f>IF('Course 5'!$H223='tab5'!E$3,'Course 5'!$I223," ")</f>
        <v xml:space="preserve"> </v>
      </c>
      <c r="F225" s="8" t="str">
        <f>IF('Course 5'!$H223='tab5'!F$3,'Course 5'!$I223," ")</f>
        <v xml:space="preserve"> </v>
      </c>
      <c r="G225" s="8" t="str">
        <f>IF('Course 5'!$H223='tab5'!G$3,'Course 5'!$I223," ")</f>
        <v xml:space="preserve"> </v>
      </c>
      <c r="H225" s="8" t="str">
        <f>IF('Course 5'!$H223='tab5'!H$3,'Course 5'!$I223," ")</f>
        <v xml:space="preserve"> </v>
      </c>
      <c r="I225" s="8" t="str">
        <f>IF('Course 5'!$H223='tab5'!I$3,'Course 5'!$I223," ")</f>
        <v xml:space="preserve"> </v>
      </c>
      <c r="J225" s="8" t="str">
        <f>IF('Course 5'!$H223='tab5'!J$3,'Course 5'!$I223," ")</f>
        <v xml:space="preserve"> </v>
      </c>
      <c r="K225" s="8" t="str">
        <f>IF('Course 5'!$H223='tab5'!K$3,'Course 5'!$I223," ")</f>
        <v xml:space="preserve"> </v>
      </c>
      <c r="L225" s="8" t="str">
        <f>IF('Course 5'!$H223='tab5'!L$3,'Course 5'!$I223," ")</f>
        <v xml:space="preserve"> </v>
      </c>
      <c r="M225" s="8" t="str">
        <f>IF('Course 5'!$H223='tab5'!M$3,'Course 5'!$I223," ")</f>
        <v xml:space="preserve"> </v>
      </c>
      <c r="N225" s="9" t="str">
        <f>IF('Course 5'!$H223='tab5'!N$3,'Course 5'!$I223," ")</f>
        <v xml:space="preserve"> </v>
      </c>
    </row>
    <row r="226" spans="2:14">
      <c r="B226">
        <v>222</v>
      </c>
      <c r="C226" s="7" t="str">
        <f>IF('Course 5'!$H224='tab5'!C$3,'Course 5'!$I224," ")</f>
        <v xml:space="preserve"> </v>
      </c>
      <c r="D226" s="8" t="str">
        <f>IF('Course 5'!$H224='tab5'!D$3,'Course 5'!$I224," ")</f>
        <v xml:space="preserve"> </v>
      </c>
      <c r="E226" s="8" t="str">
        <f>IF('Course 5'!$H224='tab5'!E$3,'Course 5'!$I224," ")</f>
        <v xml:space="preserve"> </v>
      </c>
      <c r="F226" s="8" t="str">
        <f>IF('Course 5'!$H224='tab5'!F$3,'Course 5'!$I224," ")</f>
        <v xml:space="preserve"> </v>
      </c>
      <c r="G226" s="8" t="str">
        <f>IF('Course 5'!$H224='tab5'!G$3,'Course 5'!$I224," ")</f>
        <v xml:space="preserve"> </v>
      </c>
      <c r="H226" s="8" t="str">
        <f>IF('Course 5'!$H224='tab5'!H$3,'Course 5'!$I224," ")</f>
        <v xml:space="preserve"> </v>
      </c>
      <c r="I226" s="8" t="str">
        <f>IF('Course 5'!$H224='tab5'!I$3,'Course 5'!$I224," ")</f>
        <v xml:space="preserve"> </v>
      </c>
      <c r="J226" s="8" t="str">
        <f>IF('Course 5'!$H224='tab5'!J$3,'Course 5'!$I224," ")</f>
        <v xml:space="preserve"> </v>
      </c>
      <c r="K226" s="8" t="str">
        <f>IF('Course 5'!$H224='tab5'!K$3,'Course 5'!$I224," ")</f>
        <v xml:space="preserve"> </v>
      </c>
      <c r="L226" s="8" t="str">
        <f>IF('Course 5'!$H224='tab5'!L$3,'Course 5'!$I224," ")</f>
        <v xml:space="preserve"> </v>
      </c>
      <c r="M226" s="8" t="str">
        <f>IF('Course 5'!$H224='tab5'!M$3,'Course 5'!$I224," ")</f>
        <v xml:space="preserve"> </v>
      </c>
      <c r="N226" s="9" t="str">
        <f>IF('Course 5'!$H224='tab5'!N$3,'Course 5'!$I224," ")</f>
        <v xml:space="preserve"> </v>
      </c>
    </row>
    <row r="227" spans="2:14">
      <c r="B227">
        <v>223</v>
      </c>
      <c r="C227" s="7" t="str">
        <f>IF('Course 5'!$H225='tab5'!C$3,'Course 5'!$I225," ")</f>
        <v xml:space="preserve"> </v>
      </c>
      <c r="D227" s="8" t="str">
        <f>IF('Course 5'!$H225='tab5'!D$3,'Course 5'!$I225," ")</f>
        <v xml:space="preserve"> </v>
      </c>
      <c r="E227" s="8" t="str">
        <f>IF('Course 5'!$H225='tab5'!E$3,'Course 5'!$I225," ")</f>
        <v xml:space="preserve"> </v>
      </c>
      <c r="F227" s="8" t="str">
        <f>IF('Course 5'!$H225='tab5'!F$3,'Course 5'!$I225," ")</f>
        <v xml:space="preserve"> </v>
      </c>
      <c r="G227" s="8" t="str">
        <f>IF('Course 5'!$H225='tab5'!G$3,'Course 5'!$I225," ")</f>
        <v xml:space="preserve"> </v>
      </c>
      <c r="H227" s="8" t="str">
        <f>IF('Course 5'!$H225='tab5'!H$3,'Course 5'!$I225," ")</f>
        <v xml:space="preserve"> </v>
      </c>
      <c r="I227" s="8" t="str">
        <f>IF('Course 5'!$H225='tab5'!I$3,'Course 5'!$I225," ")</f>
        <v xml:space="preserve"> </v>
      </c>
      <c r="J227" s="8" t="str">
        <f>IF('Course 5'!$H225='tab5'!J$3,'Course 5'!$I225," ")</f>
        <v xml:space="preserve"> </v>
      </c>
      <c r="K227" s="8" t="str">
        <f>IF('Course 5'!$H225='tab5'!K$3,'Course 5'!$I225," ")</f>
        <v xml:space="preserve"> </v>
      </c>
      <c r="L227" s="8" t="str">
        <f>IF('Course 5'!$H225='tab5'!L$3,'Course 5'!$I225," ")</f>
        <v xml:space="preserve"> </v>
      </c>
      <c r="M227" s="8" t="str">
        <f>IF('Course 5'!$H225='tab5'!M$3,'Course 5'!$I225," ")</f>
        <v xml:space="preserve"> </v>
      </c>
      <c r="N227" s="9" t="str">
        <f>IF('Course 5'!$H225='tab5'!N$3,'Course 5'!$I225," ")</f>
        <v xml:space="preserve"> </v>
      </c>
    </row>
    <row r="228" spans="2:14">
      <c r="B228">
        <v>224</v>
      </c>
      <c r="C228" s="7" t="str">
        <f>IF('Course 5'!$H226='tab5'!C$3,'Course 5'!$I226," ")</f>
        <v xml:space="preserve"> </v>
      </c>
      <c r="D228" s="8" t="str">
        <f>IF('Course 5'!$H226='tab5'!D$3,'Course 5'!$I226," ")</f>
        <v xml:space="preserve"> </v>
      </c>
      <c r="E228" s="8" t="str">
        <f>IF('Course 5'!$H226='tab5'!E$3,'Course 5'!$I226," ")</f>
        <v xml:space="preserve"> </v>
      </c>
      <c r="F228" s="8" t="str">
        <f>IF('Course 5'!$H226='tab5'!F$3,'Course 5'!$I226," ")</f>
        <v xml:space="preserve"> </v>
      </c>
      <c r="G228" s="8" t="str">
        <f>IF('Course 5'!$H226='tab5'!G$3,'Course 5'!$I226," ")</f>
        <v xml:space="preserve"> </v>
      </c>
      <c r="H228" s="8" t="str">
        <f>IF('Course 5'!$H226='tab5'!H$3,'Course 5'!$I226," ")</f>
        <v xml:space="preserve"> </v>
      </c>
      <c r="I228" s="8" t="str">
        <f>IF('Course 5'!$H226='tab5'!I$3,'Course 5'!$I226," ")</f>
        <v xml:space="preserve"> </v>
      </c>
      <c r="J228" s="8" t="str">
        <f>IF('Course 5'!$H226='tab5'!J$3,'Course 5'!$I226," ")</f>
        <v xml:space="preserve"> </v>
      </c>
      <c r="K228" s="8" t="str">
        <f>IF('Course 5'!$H226='tab5'!K$3,'Course 5'!$I226," ")</f>
        <v xml:space="preserve"> </v>
      </c>
      <c r="L228" s="8" t="str">
        <f>IF('Course 5'!$H226='tab5'!L$3,'Course 5'!$I226," ")</f>
        <v xml:space="preserve"> </v>
      </c>
      <c r="M228" s="8" t="str">
        <f>IF('Course 5'!$H226='tab5'!M$3,'Course 5'!$I226," ")</f>
        <v xml:space="preserve"> </v>
      </c>
      <c r="N228" s="9" t="str">
        <f>IF('Course 5'!$H226='tab5'!N$3,'Course 5'!$I226," ")</f>
        <v xml:space="preserve"> </v>
      </c>
    </row>
    <row r="229" spans="2:14">
      <c r="B229">
        <v>225</v>
      </c>
      <c r="C229" s="7" t="str">
        <f>IF('Course 5'!$H227='tab5'!C$3,'Course 5'!$I227," ")</f>
        <v xml:space="preserve"> </v>
      </c>
      <c r="D229" s="8" t="str">
        <f>IF('Course 5'!$H227='tab5'!D$3,'Course 5'!$I227," ")</f>
        <v xml:space="preserve"> </v>
      </c>
      <c r="E229" s="8" t="str">
        <f>IF('Course 5'!$H227='tab5'!E$3,'Course 5'!$I227," ")</f>
        <v xml:space="preserve"> </v>
      </c>
      <c r="F229" s="8" t="str">
        <f>IF('Course 5'!$H227='tab5'!F$3,'Course 5'!$I227," ")</f>
        <v xml:space="preserve"> </v>
      </c>
      <c r="G229" s="8" t="str">
        <f>IF('Course 5'!$H227='tab5'!G$3,'Course 5'!$I227," ")</f>
        <v xml:space="preserve"> </v>
      </c>
      <c r="H229" s="8" t="str">
        <f>IF('Course 5'!$H227='tab5'!H$3,'Course 5'!$I227," ")</f>
        <v xml:space="preserve"> </v>
      </c>
      <c r="I229" s="8" t="str">
        <f>IF('Course 5'!$H227='tab5'!I$3,'Course 5'!$I227," ")</f>
        <v xml:space="preserve"> </v>
      </c>
      <c r="J229" s="8" t="str">
        <f>IF('Course 5'!$H227='tab5'!J$3,'Course 5'!$I227," ")</f>
        <v xml:space="preserve"> </v>
      </c>
      <c r="K229" s="8" t="str">
        <f>IF('Course 5'!$H227='tab5'!K$3,'Course 5'!$I227," ")</f>
        <v xml:space="preserve"> </v>
      </c>
      <c r="L229" s="8" t="str">
        <f>IF('Course 5'!$H227='tab5'!L$3,'Course 5'!$I227," ")</f>
        <v xml:space="preserve"> </v>
      </c>
      <c r="M229" s="8" t="str">
        <f>IF('Course 5'!$H227='tab5'!M$3,'Course 5'!$I227," ")</f>
        <v xml:space="preserve"> </v>
      </c>
      <c r="N229" s="9" t="str">
        <f>IF('Course 5'!$H227='tab5'!N$3,'Course 5'!$I227," ")</f>
        <v xml:space="preserve"> </v>
      </c>
    </row>
    <row r="230" spans="2:14">
      <c r="B230">
        <v>226</v>
      </c>
      <c r="C230" s="7" t="str">
        <f>IF('Course 5'!$H228='tab5'!C$3,'Course 5'!$I228," ")</f>
        <v xml:space="preserve"> </v>
      </c>
      <c r="D230" s="8" t="str">
        <f>IF('Course 5'!$H228='tab5'!D$3,'Course 5'!$I228," ")</f>
        <v xml:space="preserve"> </v>
      </c>
      <c r="E230" s="8" t="str">
        <f>IF('Course 5'!$H228='tab5'!E$3,'Course 5'!$I228," ")</f>
        <v xml:space="preserve"> </v>
      </c>
      <c r="F230" s="8" t="str">
        <f>IF('Course 5'!$H228='tab5'!F$3,'Course 5'!$I228," ")</f>
        <v xml:space="preserve"> </v>
      </c>
      <c r="G230" s="8" t="str">
        <f>IF('Course 5'!$H228='tab5'!G$3,'Course 5'!$I228," ")</f>
        <v xml:space="preserve"> </v>
      </c>
      <c r="H230" s="8" t="str">
        <f>IF('Course 5'!$H228='tab5'!H$3,'Course 5'!$I228," ")</f>
        <v xml:space="preserve"> </v>
      </c>
      <c r="I230" s="8" t="str">
        <f>IF('Course 5'!$H228='tab5'!I$3,'Course 5'!$I228," ")</f>
        <v xml:space="preserve"> </v>
      </c>
      <c r="J230" s="8" t="str">
        <f>IF('Course 5'!$H228='tab5'!J$3,'Course 5'!$I228," ")</f>
        <v xml:space="preserve"> </v>
      </c>
      <c r="K230" s="8" t="str">
        <f>IF('Course 5'!$H228='tab5'!K$3,'Course 5'!$I228," ")</f>
        <v xml:space="preserve"> </v>
      </c>
      <c r="L230" s="8" t="str">
        <f>IF('Course 5'!$H228='tab5'!L$3,'Course 5'!$I228," ")</f>
        <v xml:space="preserve"> </v>
      </c>
      <c r="M230" s="8" t="str">
        <f>IF('Course 5'!$H228='tab5'!M$3,'Course 5'!$I228," ")</f>
        <v xml:space="preserve"> </v>
      </c>
      <c r="N230" s="9" t="str">
        <f>IF('Course 5'!$H228='tab5'!N$3,'Course 5'!$I228," ")</f>
        <v xml:space="preserve"> </v>
      </c>
    </row>
    <row r="231" spans="2:14">
      <c r="B231">
        <v>227</v>
      </c>
      <c r="C231" s="7" t="str">
        <f>IF('Course 5'!$H229='tab5'!C$3,'Course 5'!$I229," ")</f>
        <v xml:space="preserve"> </v>
      </c>
      <c r="D231" s="8" t="str">
        <f>IF('Course 5'!$H229='tab5'!D$3,'Course 5'!$I229," ")</f>
        <v xml:space="preserve"> </v>
      </c>
      <c r="E231" s="8" t="str">
        <f>IF('Course 5'!$H229='tab5'!E$3,'Course 5'!$I229," ")</f>
        <v xml:space="preserve"> </v>
      </c>
      <c r="F231" s="8" t="str">
        <f>IF('Course 5'!$H229='tab5'!F$3,'Course 5'!$I229," ")</f>
        <v xml:space="preserve"> </v>
      </c>
      <c r="G231" s="8" t="str">
        <f>IF('Course 5'!$H229='tab5'!G$3,'Course 5'!$I229," ")</f>
        <v xml:space="preserve"> </v>
      </c>
      <c r="H231" s="8" t="str">
        <f>IF('Course 5'!$H229='tab5'!H$3,'Course 5'!$I229," ")</f>
        <v xml:space="preserve"> </v>
      </c>
      <c r="I231" s="8" t="str">
        <f>IF('Course 5'!$H229='tab5'!I$3,'Course 5'!$I229," ")</f>
        <v xml:space="preserve"> </v>
      </c>
      <c r="J231" s="8" t="str">
        <f>IF('Course 5'!$H229='tab5'!J$3,'Course 5'!$I229," ")</f>
        <v xml:space="preserve"> </v>
      </c>
      <c r="K231" s="8" t="str">
        <f>IF('Course 5'!$H229='tab5'!K$3,'Course 5'!$I229," ")</f>
        <v xml:space="preserve"> </v>
      </c>
      <c r="L231" s="8" t="str">
        <f>IF('Course 5'!$H229='tab5'!L$3,'Course 5'!$I229," ")</f>
        <v xml:space="preserve"> </v>
      </c>
      <c r="M231" s="8" t="str">
        <f>IF('Course 5'!$H229='tab5'!M$3,'Course 5'!$I229," ")</f>
        <v xml:space="preserve"> </v>
      </c>
      <c r="N231" s="9" t="str">
        <f>IF('Course 5'!$H229='tab5'!N$3,'Course 5'!$I229," ")</f>
        <v xml:space="preserve"> </v>
      </c>
    </row>
    <row r="232" spans="2:14">
      <c r="B232">
        <v>228</v>
      </c>
      <c r="C232" s="7" t="str">
        <f>IF('Course 5'!$H230='tab5'!C$3,'Course 5'!$I230," ")</f>
        <v xml:space="preserve"> </v>
      </c>
      <c r="D232" s="8" t="str">
        <f>IF('Course 5'!$H230='tab5'!D$3,'Course 5'!$I230," ")</f>
        <v xml:space="preserve"> </v>
      </c>
      <c r="E232" s="8" t="str">
        <f>IF('Course 5'!$H230='tab5'!E$3,'Course 5'!$I230," ")</f>
        <v xml:space="preserve"> </v>
      </c>
      <c r="F232" s="8" t="str">
        <f>IF('Course 5'!$H230='tab5'!F$3,'Course 5'!$I230," ")</f>
        <v xml:space="preserve"> </v>
      </c>
      <c r="G232" s="8" t="str">
        <f>IF('Course 5'!$H230='tab5'!G$3,'Course 5'!$I230," ")</f>
        <v xml:space="preserve"> </v>
      </c>
      <c r="H232" s="8" t="str">
        <f>IF('Course 5'!$H230='tab5'!H$3,'Course 5'!$I230," ")</f>
        <v xml:space="preserve"> </v>
      </c>
      <c r="I232" s="8" t="str">
        <f>IF('Course 5'!$H230='tab5'!I$3,'Course 5'!$I230," ")</f>
        <v xml:space="preserve"> </v>
      </c>
      <c r="J232" s="8" t="str">
        <f>IF('Course 5'!$H230='tab5'!J$3,'Course 5'!$I230," ")</f>
        <v xml:space="preserve"> </v>
      </c>
      <c r="K232" s="8" t="str">
        <f>IF('Course 5'!$H230='tab5'!K$3,'Course 5'!$I230," ")</f>
        <v xml:space="preserve"> </v>
      </c>
      <c r="L232" s="8" t="str">
        <f>IF('Course 5'!$H230='tab5'!L$3,'Course 5'!$I230," ")</f>
        <v xml:space="preserve"> </v>
      </c>
      <c r="M232" s="8" t="str">
        <f>IF('Course 5'!$H230='tab5'!M$3,'Course 5'!$I230," ")</f>
        <v xml:space="preserve"> </v>
      </c>
      <c r="N232" s="9" t="str">
        <f>IF('Course 5'!$H230='tab5'!N$3,'Course 5'!$I230," ")</f>
        <v xml:space="preserve"> </v>
      </c>
    </row>
    <row r="233" spans="2:14">
      <c r="B233">
        <v>229</v>
      </c>
      <c r="C233" s="7" t="str">
        <f>IF('Course 5'!$H231='tab5'!C$3,'Course 5'!$I231," ")</f>
        <v xml:space="preserve"> </v>
      </c>
      <c r="D233" s="8" t="str">
        <f>IF('Course 5'!$H231='tab5'!D$3,'Course 5'!$I231," ")</f>
        <v xml:space="preserve"> </v>
      </c>
      <c r="E233" s="8" t="str">
        <f>IF('Course 5'!$H231='tab5'!E$3,'Course 5'!$I231," ")</f>
        <v xml:space="preserve"> </v>
      </c>
      <c r="F233" s="8" t="str">
        <f>IF('Course 5'!$H231='tab5'!F$3,'Course 5'!$I231," ")</f>
        <v xml:space="preserve"> </v>
      </c>
      <c r="G233" s="8" t="str">
        <f>IF('Course 5'!$H231='tab5'!G$3,'Course 5'!$I231," ")</f>
        <v xml:space="preserve"> </v>
      </c>
      <c r="H233" s="8" t="str">
        <f>IF('Course 5'!$H231='tab5'!H$3,'Course 5'!$I231," ")</f>
        <v xml:space="preserve"> </v>
      </c>
      <c r="I233" s="8" t="str">
        <f>IF('Course 5'!$H231='tab5'!I$3,'Course 5'!$I231," ")</f>
        <v xml:space="preserve"> </v>
      </c>
      <c r="J233" s="8" t="str">
        <f>IF('Course 5'!$H231='tab5'!J$3,'Course 5'!$I231," ")</f>
        <v xml:space="preserve"> </v>
      </c>
      <c r="K233" s="8" t="str">
        <f>IF('Course 5'!$H231='tab5'!K$3,'Course 5'!$I231," ")</f>
        <v xml:space="preserve"> </v>
      </c>
      <c r="L233" s="8" t="str">
        <f>IF('Course 5'!$H231='tab5'!L$3,'Course 5'!$I231," ")</f>
        <v xml:space="preserve"> </v>
      </c>
      <c r="M233" s="8" t="str">
        <f>IF('Course 5'!$H231='tab5'!M$3,'Course 5'!$I231," ")</f>
        <v xml:space="preserve"> </v>
      </c>
      <c r="N233" s="9" t="str">
        <f>IF('Course 5'!$H231='tab5'!N$3,'Course 5'!$I231," ")</f>
        <v xml:space="preserve"> </v>
      </c>
    </row>
    <row r="234" spans="2:14">
      <c r="B234">
        <v>230</v>
      </c>
      <c r="C234" s="7" t="str">
        <f>IF('Course 5'!$H232='tab5'!C$3,'Course 5'!$I232," ")</f>
        <v xml:space="preserve"> </v>
      </c>
      <c r="D234" s="8" t="str">
        <f>IF('Course 5'!$H232='tab5'!D$3,'Course 5'!$I232," ")</f>
        <v xml:space="preserve"> </v>
      </c>
      <c r="E234" s="8" t="str">
        <f>IF('Course 5'!$H232='tab5'!E$3,'Course 5'!$I232," ")</f>
        <v xml:space="preserve"> </v>
      </c>
      <c r="F234" s="8" t="str">
        <f>IF('Course 5'!$H232='tab5'!F$3,'Course 5'!$I232," ")</f>
        <v xml:space="preserve"> </v>
      </c>
      <c r="G234" s="8" t="str">
        <f>IF('Course 5'!$H232='tab5'!G$3,'Course 5'!$I232," ")</f>
        <v xml:space="preserve"> </v>
      </c>
      <c r="H234" s="8" t="str">
        <f>IF('Course 5'!$H232='tab5'!H$3,'Course 5'!$I232," ")</f>
        <v xml:space="preserve"> </v>
      </c>
      <c r="I234" s="8" t="str">
        <f>IF('Course 5'!$H232='tab5'!I$3,'Course 5'!$I232," ")</f>
        <v xml:space="preserve"> </v>
      </c>
      <c r="J234" s="8" t="str">
        <f>IF('Course 5'!$H232='tab5'!J$3,'Course 5'!$I232," ")</f>
        <v xml:space="preserve"> </v>
      </c>
      <c r="K234" s="8" t="str">
        <f>IF('Course 5'!$H232='tab5'!K$3,'Course 5'!$I232," ")</f>
        <v xml:space="preserve"> </v>
      </c>
      <c r="L234" s="8" t="str">
        <f>IF('Course 5'!$H232='tab5'!L$3,'Course 5'!$I232," ")</f>
        <v xml:space="preserve"> </v>
      </c>
      <c r="M234" s="8" t="str">
        <f>IF('Course 5'!$H232='tab5'!M$3,'Course 5'!$I232," ")</f>
        <v xml:space="preserve"> </v>
      </c>
      <c r="N234" s="9" t="str">
        <f>IF('Course 5'!$H232='tab5'!N$3,'Course 5'!$I232," ")</f>
        <v xml:space="preserve"> </v>
      </c>
    </row>
    <row r="235" spans="2:14">
      <c r="B235">
        <v>231</v>
      </c>
      <c r="C235" s="7" t="str">
        <f>IF('Course 5'!$H233='tab5'!C$3,'Course 5'!$I233," ")</f>
        <v xml:space="preserve"> </v>
      </c>
      <c r="D235" s="8" t="str">
        <f>IF('Course 5'!$H233='tab5'!D$3,'Course 5'!$I233," ")</f>
        <v xml:space="preserve"> </v>
      </c>
      <c r="E235" s="8" t="str">
        <f>IF('Course 5'!$H233='tab5'!E$3,'Course 5'!$I233," ")</f>
        <v xml:space="preserve"> </v>
      </c>
      <c r="F235" s="8" t="str">
        <f>IF('Course 5'!$H233='tab5'!F$3,'Course 5'!$I233," ")</f>
        <v xml:space="preserve"> </v>
      </c>
      <c r="G235" s="8" t="str">
        <f>IF('Course 5'!$H233='tab5'!G$3,'Course 5'!$I233," ")</f>
        <v xml:space="preserve"> </v>
      </c>
      <c r="H235" s="8" t="str">
        <f>IF('Course 5'!$H233='tab5'!H$3,'Course 5'!$I233," ")</f>
        <v xml:space="preserve"> </v>
      </c>
      <c r="I235" s="8" t="str">
        <f>IF('Course 5'!$H233='tab5'!I$3,'Course 5'!$I233," ")</f>
        <v xml:space="preserve"> </v>
      </c>
      <c r="J235" s="8" t="str">
        <f>IF('Course 5'!$H233='tab5'!J$3,'Course 5'!$I233," ")</f>
        <v xml:space="preserve"> </v>
      </c>
      <c r="K235" s="8" t="str">
        <f>IF('Course 5'!$H233='tab5'!K$3,'Course 5'!$I233," ")</f>
        <v xml:space="preserve"> </v>
      </c>
      <c r="L235" s="8" t="str">
        <f>IF('Course 5'!$H233='tab5'!L$3,'Course 5'!$I233," ")</f>
        <v xml:space="preserve"> </v>
      </c>
      <c r="M235" s="8" t="str">
        <f>IF('Course 5'!$H233='tab5'!M$3,'Course 5'!$I233," ")</f>
        <v xml:space="preserve"> </v>
      </c>
      <c r="N235" s="9" t="str">
        <f>IF('Course 5'!$H233='tab5'!N$3,'Course 5'!$I233," ")</f>
        <v xml:space="preserve"> </v>
      </c>
    </row>
    <row r="236" spans="2:14">
      <c r="B236">
        <v>232</v>
      </c>
      <c r="C236" s="7" t="str">
        <f>IF('Course 5'!$H234='tab5'!C$3,'Course 5'!$I234," ")</f>
        <v xml:space="preserve"> </v>
      </c>
      <c r="D236" s="8" t="str">
        <f>IF('Course 5'!$H234='tab5'!D$3,'Course 5'!$I234," ")</f>
        <v xml:space="preserve"> </v>
      </c>
      <c r="E236" s="8" t="str">
        <f>IF('Course 5'!$H234='tab5'!E$3,'Course 5'!$I234," ")</f>
        <v xml:space="preserve"> </v>
      </c>
      <c r="F236" s="8" t="str">
        <f>IF('Course 5'!$H234='tab5'!F$3,'Course 5'!$I234," ")</f>
        <v xml:space="preserve"> </v>
      </c>
      <c r="G236" s="8" t="str">
        <f>IF('Course 5'!$H234='tab5'!G$3,'Course 5'!$I234," ")</f>
        <v xml:space="preserve"> </v>
      </c>
      <c r="H236" s="8" t="str">
        <f>IF('Course 5'!$H234='tab5'!H$3,'Course 5'!$I234," ")</f>
        <v xml:space="preserve"> </v>
      </c>
      <c r="I236" s="8" t="str">
        <f>IF('Course 5'!$H234='tab5'!I$3,'Course 5'!$I234," ")</f>
        <v xml:space="preserve"> </v>
      </c>
      <c r="J236" s="8" t="str">
        <f>IF('Course 5'!$H234='tab5'!J$3,'Course 5'!$I234," ")</f>
        <v xml:space="preserve"> </v>
      </c>
      <c r="K236" s="8" t="str">
        <f>IF('Course 5'!$H234='tab5'!K$3,'Course 5'!$I234," ")</f>
        <v xml:space="preserve"> </v>
      </c>
      <c r="L236" s="8" t="str">
        <f>IF('Course 5'!$H234='tab5'!L$3,'Course 5'!$I234," ")</f>
        <v xml:space="preserve"> </v>
      </c>
      <c r="M236" s="8" t="str">
        <f>IF('Course 5'!$H234='tab5'!M$3,'Course 5'!$I234," ")</f>
        <v xml:space="preserve"> </v>
      </c>
      <c r="N236" s="9" t="str">
        <f>IF('Course 5'!$H234='tab5'!N$3,'Course 5'!$I234," ")</f>
        <v xml:space="preserve"> </v>
      </c>
    </row>
    <row r="237" spans="2:14">
      <c r="B237">
        <v>233</v>
      </c>
      <c r="C237" s="7" t="str">
        <f>IF('Course 5'!$H235='tab5'!C$3,'Course 5'!$I235," ")</f>
        <v xml:space="preserve"> </v>
      </c>
      <c r="D237" s="8" t="str">
        <f>IF('Course 5'!$H235='tab5'!D$3,'Course 5'!$I235," ")</f>
        <v xml:space="preserve"> </v>
      </c>
      <c r="E237" s="8" t="str">
        <f>IF('Course 5'!$H235='tab5'!E$3,'Course 5'!$I235," ")</f>
        <v xml:space="preserve"> </v>
      </c>
      <c r="F237" s="8" t="str">
        <f>IF('Course 5'!$H235='tab5'!F$3,'Course 5'!$I235," ")</f>
        <v xml:space="preserve"> </v>
      </c>
      <c r="G237" s="8" t="str">
        <f>IF('Course 5'!$H235='tab5'!G$3,'Course 5'!$I235," ")</f>
        <v xml:space="preserve"> </v>
      </c>
      <c r="H237" s="8" t="str">
        <f>IF('Course 5'!$H235='tab5'!H$3,'Course 5'!$I235," ")</f>
        <v xml:space="preserve"> </v>
      </c>
      <c r="I237" s="8" t="str">
        <f>IF('Course 5'!$H235='tab5'!I$3,'Course 5'!$I235," ")</f>
        <v xml:space="preserve"> </v>
      </c>
      <c r="J237" s="8" t="str">
        <f>IF('Course 5'!$H235='tab5'!J$3,'Course 5'!$I235," ")</f>
        <v xml:space="preserve"> </v>
      </c>
      <c r="K237" s="8" t="str">
        <f>IF('Course 5'!$H235='tab5'!K$3,'Course 5'!$I235," ")</f>
        <v xml:space="preserve"> </v>
      </c>
      <c r="L237" s="8" t="str">
        <f>IF('Course 5'!$H235='tab5'!L$3,'Course 5'!$I235," ")</f>
        <v xml:space="preserve"> </v>
      </c>
      <c r="M237" s="8" t="str">
        <f>IF('Course 5'!$H235='tab5'!M$3,'Course 5'!$I235," ")</f>
        <v xml:space="preserve"> </v>
      </c>
      <c r="N237" s="9" t="str">
        <f>IF('Course 5'!$H235='tab5'!N$3,'Course 5'!$I235," ")</f>
        <v xml:space="preserve"> </v>
      </c>
    </row>
    <row r="238" spans="2:14">
      <c r="B238">
        <v>234</v>
      </c>
      <c r="C238" s="7" t="str">
        <f>IF('Course 5'!$H236='tab5'!C$3,'Course 5'!$I236," ")</f>
        <v xml:space="preserve"> </v>
      </c>
      <c r="D238" s="8" t="str">
        <f>IF('Course 5'!$H236='tab5'!D$3,'Course 5'!$I236," ")</f>
        <v xml:space="preserve"> </v>
      </c>
      <c r="E238" s="8" t="str">
        <f>IF('Course 5'!$H236='tab5'!E$3,'Course 5'!$I236," ")</f>
        <v xml:space="preserve"> </v>
      </c>
      <c r="F238" s="8" t="str">
        <f>IF('Course 5'!$H236='tab5'!F$3,'Course 5'!$I236," ")</f>
        <v xml:space="preserve"> </v>
      </c>
      <c r="G238" s="8" t="str">
        <f>IF('Course 5'!$H236='tab5'!G$3,'Course 5'!$I236," ")</f>
        <v xml:space="preserve"> </v>
      </c>
      <c r="H238" s="8" t="str">
        <f>IF('Course 5'!$H236='tab5'!H$3,'Course 5'!$I236," ")</f>
        <v xml:space="preserve"> </v>
      </c>
      <c r="I238" s="8" t="str">
        <f>IF('Course 5'!$H236='tab5'!I$3,'Course 5'!$I236," ")</f>
        <v xml:space="preserve"> </v>
      </c>
      <c r="J238" s="8" t="str">
        <f>IF('Course 5'!$H236='tab5'!J$3,'Course 5'!$I236," ")</f>
        <v xml:space="preserve"> </v>
      </c>
      <c r="K238" s="8" t="str">
        <f>IF('Course 5'!$H236='tab5'!K$3,'Course 5'!$I236," ")</f>
        <v xml:space="preserve"> </v>
      </c>
      <c r="L238" s="8" t="str">
        <f>IF('Course 5'!$H236='tab5'!L$3,'Course 5'!$I236," ")</f>
        <v xml:space="preserve"> </v>
      </c>
      <c r="M238" s="8" t="str">
        <f>IF('Course 5'!$H236='tab5'!M$3,'Course 5'!$I236," ")</f>
        <v xml:space="preserve"> </v>
      </c>
      <c r="N238" s="9" t="str">
        <f>IF('Course 5'!$H236='tab5'!N$3,'Course 5'!$I236," ")</f>
        <v xml:space="preserve"> </v>
      </c>
    </row>
    <row r="239" spans="2:14">
      <c r="B239">
        <v>235</v>
      </c>
      <c r="C239" s="7" t="str">
        <f>IF('Course 5'!$H237='tab5'!C$3,'Course 5'!$I237," ")</f>
        <v xml:space="preserve"> </v>
      </c>
      <c r="D239" s="8" t="str">
        <f>IF('Course 5'!$H237='tab5'!D$3,'Course 5'!$I237," ")</f>
        <v xml:space="preserve"> </v>
      </c>
      <c r="E239" s="8" t="str">
        <f>IF('Course 5'!$H237='tab5'!E$3,'Course 5'!$I237," ")</f>
        <v xml:space="preserve"> </v>
      </c>
      <c r="F239" s="8" t="str">
        <f>IF('Course 5'!$H237='tab5'!F$3,'Course 5'!$I237," ")</f>
        <v xml:space="preserve"> </v>
      </c>
      <c r="G239" s="8" t="str">
        <f>IF('Course 5'!$H237='tab5'!G$3,'Course 5'!$I237," ")</f>
        <v xml:space="preserve"> </v>
      </c>
      <c r="H239" s="8" t="str">
        <f>IF('Course 5'!$H237='tab5'!H$3,'Course 5'!$I237," ")</f>
        <v xml:space="preserve"> </v>
      </c>
      <c r="I239" s="8" t="str">
        <f>IF('Course 5'!$H237='tab5'!I$3,'Course 5'!$I237," ")</f>
        <v xml:space="preserve"> </v>
      </c>
      <c r="J239" s="8" t="str">
        <f>IF('Course 5'!$H237='tab5'!J$3,'Course 5'!$I237," ")</f>
        <v xml:space="preserve"> </v>
      </c>
      <c r="K239" s="8" t="str">
        <f>IF('Course 5'!$H237='tab5'!K$3,'Course 5'!$I237," ")</f>
        <v xml:space="preserve"> </v>
      </c>
      <c r="L239" s="8" t="str">
        <f>IF('Course 5'!$H237='tab5'!L$3,'Course 5'!$I237," ")</f>
        <v xml:space="preserve"> </v>
      </c>
      <c r="M239" s="8" t="str">
        <f>IF('Course 5'!$H237='tab5'!M$3,'Course 5'!$I237," ")</f>
        <v xml:space="preserve"> </v>
      </c>
      <c r="N239" s="9" t="str">
        <f>IF('Course 5'!$H237='tab5'!N$3,'Course 5'!$I237," ")</f>
        <v xml:space="preserve"> </v>
      </c>
    </row>
    <row r="240" spans="2:14">
      <c r="B240">
        <v>236</v>
      </c>
      <c r="C240" s="7" t="str">
        <f>IF('Course 5'!$H238='tab5'!C$3,'Course 5'!$I238," ")</f>
        <v xml:space="preserve"> </v>
      </c>
      <c r="D240" s="8" t="str">
        <f>IF('Course 5'!$H238='tab5'!D$3,'Course 5'!$I238," ")</f>
        <v xml:space="preserve"> </v>
      </c>
      <c r="E240" s="8" t="str">
        <f>IF('Course 5'!$H238='tab5'!E$3,'Course 5'!$I238," ")</f>
        <v xml:space="preserve"> </v>
      </c>
      <c r="F240" s="8" t="str">
        <f>IF('Course 5'!$H238='tab5'!F$3,'Course 5'!$I238," ")</f>
        <v xml:space="preserve"> </v>
      </c>
      <c r="G240" s="8" t="str">
        <f>IF('Course 5'!$H238='tab5'!G$3,'Course 5'!$I238," ")</f>
        <v xml:space="preserve"> </v>
      </c>
      <c r="H240" s="8" t="str">
        <f>IF('Course 5'!$H238='tab5'!H$3,'Course 5'!$I238," ")</f>
        <v xml:space="preserve"> </v>
      </c>
      <c r="I240" s="8" t="str">
        <f>IF('Course 5'!$H238='tab5'!I$3,'Course 5'!$I238," ")</f>
        <v xml:space="preserve"> </v>
      </c>
      <c r="J240" s="8" t="str">
        <f>IF('Course 5'!$H238='tab5'!J$3,'Course 5'!$I238," ")</f>
        <v xml:space="preserve"> </v>
      </c>
      <c r="K240" s="8" t="str">
        <f>IF('Course 5'!$H238='tab5'!K$3,'Course 5'!$I238," ")</f>
        <v xml:space="preserve"> </v>
      </c>
      <c r="L240" s="8" t="str">
        <f>IF('Course 5'!$H238='tab5'!L$3,'Course 5'!$I238," ")</f>
        <v xml:space="preserve"> </v>
      </c>
      <c r="M240" s="8" t="str">
        <f>IF('Course 5'!$H238='tab5'!M$3,'Course 5'!$I238," ")</f>
        <v xml:space="preserve"> </v>
      </c>
      <c r="N240" s="9" t="str">
        <f>IF('Course 5'!$H238='tab5'!N$3,'Course 5'!$I238," ")</f>
        <v xml:space="preserve"> </v>
      </c>
    </row>
    <row r="241" spans="2:14">
      <c r="B241">
        <v>237</v>
      </c>
      <c r="C241" s="7" t="str">
        <f>IF('Course 5'!$H239='tab5'!C$3,'Course 5'!$I239," ")</f>
        <v xml:space="preserve"> </v>
      </c>
      <c r="D241" s="8" t="str">
        <f>IF('Course 5'!$H239='tab5'!D$3,'Course 5'!$I239," ")</f>
        <v xml:space="preserve"> </v>
      </c>
      <c r="E241" s="8" t="str">
        <f>IF('Course 5'!$H239='tab5'!E$3,'Course 5'!$I239," ")</f>
        <v xml:space="preserve"> </v>
      </c>
      <c r="F241" s="8" t="str">
        <f>IF('Course 5'!$H239='tab5'!F$3,'Course 5'!$I239," ")</f>
        <v xml:space="preserve"> </v>
      </c>
      <c r="G241" s="8" t="str">
        <f>IF('Course 5'!$H239='tab5'!G$3,'Course 5'!$I239," ")</f>
        <v xml:space="preserve"> </v>
      </c>
      <c r="H241" s="8" t="str">
        <f>IF('Course 5'!$H239='tab5'!H$3,'Course 5'!$I239," ")</f>
        <v xml:space="preserve"> </v>
      </c>
      <c r="I241" s="8" t="str">
        <f>IF('Course 5'!$H239='tab5'!I$3,'Course 5'!$I239," ")</f>
        <v xml:space="preserve"> </v>
      </c>
      <c r="J241" s="8" t="str">
        <f>IF('Course 5'!$H239='tab5'!J$3,'Course 5'!$I239," ")</f>
        <v xml:space="preserve"> </v>
      </c>
      <c r="K241" s="8" t="str">
        <f>IF('Course 5'!$H239='tab5'!K$3,'Course 5'!$I239," ")</f>
        <v xml:space="preserve"> </v>
      </c>
      <c r="L241" s="8" t="str">
        <f>IF('Course 5'!$H239='tab5'!L$3,'Course 5'!$I239," ")</f>
        <v xml:space="preserve"> </v>
      </c>
      <c r="M241" s="8" t="str">
        <f>IF('Course 5'!$H239='tab5'!M$3,'Course 5'!$I239," ")</f>
        <v xml:space="preserve"> </v>
      </c>
      <c r="N241" s="9" t="str">
        <f>IF('Course 5'!$H239='tab5'!N$3,'Course 5'!$I239," ")</f>
        <v xml:space="preserve"> </v>
      </c>
    </row>
    <row r="242" spans="2:14">
      <c r="B242">
        <v>238</v>
      </c>
      <c r="C242" s="7" t="str">
        <f>IF('Course 5'!$H240='tab5'!C$3,'Course 5'!$I240," ")</f>
        <v xml:space="preserve"> </v>
      </c>
      <c r="D242" s="8" t="str">
        <f>IF('Course 5'!$H240='tab5'!D$3,'Course 5'!$I240," ")</f>
        <v xml:space="preserve"> </v>
      </c>
      <c r="E242" s="8" t="str">
        <f>IF('Course 5'!$H240='tab5'!E$3,'Course 5'!$I240," ")</f>
        <v xml:space="preserve"> </v>
      </c>
      <c r="F242" s="8" t="str">
        <f>IF('Course 5'!$H240='tab5'!F$3,'Course 5'!$I240," ")</f>
        <v xml:space="preserve"> </v>
      </c>
      <c r="G242" s="8" t="str">
        <f>IF('Course 5'!$H240='tab5'!G$3,'Course 5'!$I240," ")</f>
        <v xml:space="preserve"> </v>
      </c>
      <c r="H242" s="8" t="str">
        <f>IF('Course 5'!$H240='tab5'!H$3,'Course 5'!$I240," ")</f>
        <v xml:space="preserve"> </v>
      </c>
      <c r="I242" s="8" t="str">
        <f>IF('Course 5'!$H240='tab5'!I$3,'Course 5'!$I240," ")</f>
        <v xml:space="preserve"> </v>
      </c>
      <c r="J242" s="8" t="str">
        <f>IF('Course 5'!$H240='tab5'!J$3,'Course 5'!$I240," ")</f>
        <v xml:space="preserve"> </v>
      </c>
      <c r="K242" s="8" t="str">
        <f>IF('Course 5'!$H240='tab5'!K$3,'Course 5'!$I240," ")</f>
        <v xml:space="preserve"> </v>
      </c>
      <c r="L242" s="8" t="str">
        <f>IF('Course 5'!$H240='tab5'!L$3,'Course 5'!$I240," ")</f>
        <v xml:space="preserve"> </v>
      </c>
      <c r="M242" s="8" t="str">
        <f>IF('Course 5'!$H240='tab5'!M$3,'Course 5'!$I240," ")</f>
        <v xml:space="preserve"> </v>
      </c>
      <c r="N242" s="9" t="str">
        <f>IF('Course 5'!$H240='tab5'!N$3,'Course 5'!$I240," ")</f>
        <v xml:space="preserve"> </v>
      </c>
    </row>
    <row r="243" spans="2:14">
      <c r="B243">
        <v>239</v>
      </c>
      <c r="C243" s="7" t="str">
        <f>IF('Course 5'!$H241='tab5'!C$3,'Course 5'!$I241," ")</f>
        <v xml:space="preserve"> </v>
      </c>
      <c r="D243" s="8" t="str">
        <f>IF('Course 5'!$H241='tab5'!D$3,'Course 5'!$I241," ")</f>
        <v xml:space="preserve"> </v>
      </c>
      <c r="E243" s="8" t="str">
        <f>IF('Course 5'!$H241='tab5'!E$3,'Course 5'!$I241," ")</f>
        <v xml:space="preserve"> </v>
      </c>
      <c r="F243" s="8" t="str">
        <f>IF('Course 5'!$H241='tab5'!F$3,'Course 5'!$I241," ")</f>
        <v xml:space="preserve"> </v>
      </c>
      <c r="G243" s="8" t="str">
        <f>IF('Course 5'!$H241='tab5'!G$3,'Course 5'!$I241," ")</f>
        <v xml:space="preserve"> </v>
      </c>
      <c r="H243" s="8" t="str">
        <f>IF('Course 5'!$H241='tab5'!H$3,'Course 5'!$I241," ")</f>
        <v xml:space="preserve"> </v>
      </c>
      <c r="I243" s="8" t="str">
        <f>IF('Course 5'!$H241='tab5'!I$3,'Course 5'!$I241," ")</f>
        <v xml:space="preserve"> </v>
      </c>
      <c r="J243" s="8" t="str">
        <f>IF('Course 5'!$H241='tab5'!J$3,'Course 5'!$I241," ")</f>
        <v xml:space="preserve"> </v>
      </c>
      <c r="K243" s="8" t="str">
        <f>IF('Course 5'!$H241='tab5'!K$3,'Course 5'!$I241," ")</f>
        <v xml:space="preserve"> </v>
      </c>
      <c r="L243" s="8" t="str">
        <f>IF('Course 5'!$H241='tab5'!L$3,'Course 5'!$I241," ")</f>
        <v xml:space="preserve"> </v>
      </c>
      <c r="M243" s="8" t="str">
        <f>IF('Course 5'!$H241='tab5'!M$3,'Course 5'!$I241," ")</f>
        <v xml:space="preserve"> </v>
      </c>
      <c r="N243" s="9" t="str">
        <f>IF('Course 5'!$H241='tab5'!N$3,'Course 5'!$I241," ")</f>
        <v xml:space="preserve"> </v>
      </c>
    </row>
    <row r="244" spans="2:14">
      <c r="B244">
        <v>240</v>
      </c>
      <c r="C244" s="7" t="str">
        <f>IF('Course 5'!$H242='tab5'!C$3,'Course 5'!$I242," ")</f>
        <v xml:space="preserve"> </v>
      </c>
      <c r="D244" s="8" t="str">
        <f>IF('Course 5'!$H242='tab5'!D$3,'Course 5'!$I242," ")</f>
        <v xml:space="preserve"> </v>
      </c>
      <c r="E244" s="8" t="str">
        <f>IF('Course 5'!$H242='tab5'!E$3,'Course 5'!$I242," ")</f>
        <v xml:space="preserve"> </v>
      </c>
      <c r="F244" s="8" t="str">
        <f>IF('Course 5'!$H242='tab5'!F$3,'Course 5'!$I242," ")</f>
        <v xml:space="preserve"> </v>
      </c>
      <c r="G244" s="8" t="str">
        <f>IF('Course 5'!$H242='tab5'!G$3,'Course 5'!$I242," ")</f>
        <v xml:space="preserve"> </v>
      </c>
      <c r="H244" s="8" t="str">
        <f>IF('Course 5'!$H242='tab5'!H$3,'Course 5'!$I242," ")</f>
        <v xml:space="preserve"> </v>
      </c>
      <c r="I244" s="8" t="str">
        <f>IF('Course 5'!$H242='tab5'!I$3,'Course 5'!$I242," ")</f>
        <v xml:space="preserve"> </v>
      </c>
      <c r="J244" s="8" t="str">
        <f>IF('Course 5'!$H242='tab5'!J$3,'Course 5'!$I242," ")</f>
        <v xml:space="preserve"> </v>
      </c>
      <c r="K244" s="8" t="str">
        <f>IF('Course 5'!$H242='tab5'!K$3,'Course 5'!$I242," ")</f>
        <v xml:space="preserve"> </v>
      </c>
      <c r="L244" s="8" t="str">
        <f>IF('Course 5'!$H242='tab5'!L$3,'Course 5'!$I242," ")</f>
        <v xml:space="preserve"> </v>
      </c>
      <c r="M244" s="8" t="str">
        <f>IF('Course 5'!$H242='tab5'!M$3,'Course 5'!$I242," ")</f>
        <v xml:space="preserve"> </v>
      </c>
      <c r="N244" s="9" t="str">
        <f>IF('Course 5'!$H242='tab5'!N$3,'Course 5'!$I242," ")</f>
        <v xml:space="preserve"> </v>
      </c>
    </row>
    <row r="245" spans="2:14">
      <c r="B245">
        <v>241</v>
      </c>
      <c r="C245" s="7" t="str">
        <f>IF('Course 5'!$H243='tab5'!C$3,'Course 5'!$I243," ")</f>
        <v xml:space="preserve"> </v>
      </c>
      <c r="D245" s="8" t="str">
        <f>IF('Course 5'!$H243='tab5'!D$3,'Course 5'!$I243," ")</f>
        <v xml:space="preserve"> </v>
      </c>
      <c r="E245" s="8" t="str">
        <f>IF('Course 5'!$H243='tab5'!E$3,'Course 5'!$I243," ")</f>
        <v xml:space="preserve"> </v>
      </c>
      <c r="F245" s="8" t="str">
        <f>IF('Course 5'!$H243='tab5'!F$3,'Course 5'!$I243," ")</f>
        <v xml:space="preserve"> </v>
      </c>
      <c r="G245" s="8" t="str">
        <f>IF('Course 5'!$H243='tab5'!G$3,'Course 5'!$I243," ")</f>
        <v xml:space="preserve"> </v>
      </c>
      <c r="H245" s="8" t="str">
        <f>IF('Course 5'!$H243='tab5'!H$3,'Course 5'!$I243," ")</f>
        <v xml:space="preserve"> </v>
      </c>
      <c r="I245" s="8" t="str">
        <f>IF('Course 5'!$H243='tab5'!I$3,'Course 5'!$I243," ")</f>
        <v xml:space="preserve"> </v>
      </c>
      <c r="J245" s="8" t="str">
        <f>IF('Course 5'!$H243='tab5'!J$3,'Course 5'!$I243," ")</f>
        <v xml:space="preserve"> </v>
      </c>
      <c r="K245" s="8" t="str">
        <f>IF('Course 5'!$H243='tab5'!K$3,'Course 5'!$I243," ")</f>
        <v xml:space="preserve"> </v>
      </c>
      <c r="L245" s="8" t="str">
        <f>IF('Course 5'!$H243='tab5'!L$3,'Course 5'!$I243," ")</f>
        <v xml:space="preserve"> </v>
      </c>
      <c r="M245" s="8" t="str">
        <f>IF('Course 5'!$H243='tab5'!M$3,'Course 5'!$I243," ")</f>
        <v xml:space="preserve"> </v>
      </c>
      <c r="N245" s="9" t="str">
        <f>IF('Course 5'!$H243='tab5'!N$3,'Course 5'!$I243," ")</f>
        <v xml:space="preserve"> </v>
      </c>
    </row>
    <row r="246" spans="2:14">
      <c r="B246">
        <v>242</v>
      </c>
      <c r="C246" s="7" t="str">
        <f>IF('Course 5'!$H244='tab5'!C$3,'Course 5'!$I244," ")</f>
        <v xml:space="preserve"> </v>
      </c>
      <c r="D246" s="8" t="str">
        <f>IF('Course 5'!$H244='tab5'!D$3,'Course 5'!$I244," ")</f>
        <v xml:space="preserve"> </v>
      </c>
      <c r="E246" s="8" t="str">
        <f>IF('Course 5'!$H244='tab5'!E$3,'Course 5'!$I244," ")</f>
        <v xml:space="preserve"> </v>
      </c>
      <c r="F246" s="8" t="str">
        <f>IF('Course 5'!$H244='tab5'!F$3,'Course 5'!$I244," ")</f>
        <v xml:space="preserve"> </v>
      </c>
      <c r="G246" s="8" t="str">
        <f>IF('Course 5'!$H244='tab5'!G$3,'Course 5'!$I244," ")</f>
        <v xml:space="preserve"> </v>
      </c>
      <c r="H246" s="8" t="str">
        <f>IF('Course 5'!$H244='tab5'!H$3,'Course 5'!$I244," ")</f>
        <v xml:space="preserve"> </v>
      </c>
      <c r="I246" s="8" t="str">
        <f>IF('Course 5'!$H244='tab5'!I$3,'Course 5'!$I244," ")</f>
        <v xml:space="preserve"> </v>
      </c>
      <c r="J246" s="8" t="str">
        <f>IF('Course 5'!$H244='tab5'!J$3,'Course 5'!$I244," ")</f>
        <v xml:space="preserve"> </v>
      </c>
      <c r="K246" s="8" t="str">
        <f>IF('Course 5'!$H244='tab5'!K$3,'Course 5'!$I244," ")</f>
        <v xml:space="preserve"> </v>
      </c>
      <c r="L246" s="8" t="str">
        <f>IF('Course 5'!$H244='tab5'!L$3,'Course 5'!$I244," ")</f>
        <v xml:space="preserve"> </v>
      </c>
      <c r="M246" s="8" t="str">
        <f>IF('Course 5'!$H244='tab5'!M$3,'Course 5'!$I244," ")</f>
        <v xml:space="preserve"> </v>
      </c>
      <c r="N246" s="9" t="str">
        <f>IF('Course 5'!$H244='tab5'!N$3,'Course 5'!$I244," ")</f>
        <v xml:space="preserve"> </v>
      </c>
    </row>
    <row r="247" spans="2:14">
      <c r="B247">
        <v>243</v>
      </c>
      <c r="C247" s="7" t="str">
        <f>IF('Course 5'!$H245='tab5'!C$3,'Course 5'!$I245," ")</f>
        <v xml:space="preserve"> </v>
      </c>
      <c r="D247" s="8" t="str">
        <f>IF('Course 5'!$H245='tab5'!D$3,'Course 5'!$I245," ")</f>
        <v xml:space="preserve"> </v>
      </c>
      <c r="E247" s="8" t="str">
        <f>IF('Course 5'!$H245='tab5'!E$3,'Course 5'!$I245," ")</f>
        <v xml:space="preserve"> </v>
      </c>
      <c r="F247" s="8" t="str">
        <f>IF('Course 5'!$H245='tab5'!F$3,'Course 5'!$I245," ")</f>
        <v xml:space="preserve"> </v>
      </c>
      <c r="G247" s="8" t="str">
        <f>IF('Course 5'!$H245='tab5'!G$3,'Course 5'!$I245," ")</f>
        <v xml:space="preserve"> </v>
      </c>
      <c r="H247" s="8" t="str">
        <f>IF('Course 5'!$H245='tab5'!H$3,'Course 5'!$I245," ")</f>
        <v xml:space="preserve"> </v>
      </c>
      <c r="I247" s="8" t="str">
        <f>IF('Course 5'!$H245='tab5'!I$3,'Course 5'!$I245," ")</f>
        <v xml:space="preserve"> </v>
      </c>
      <c r="J247" s="8" t="str">
        <f>IF('Course 5'!$H245='tab5'!J$3,'Course 5'!$I245," ")</f>
        <v xml:space="preserve"> </v>
      </c>
      <c r="K247" s="8" t="str">
        <f>IF('Course 5'!$H245='tab5'!K$3,'Course 5'!$I245," ")</f>
        <v xml:space="preserve"> </v>
      </c>
      <c r="L247" s="8" t="str">
        <f>IF('Course 5'!$H245='tab5'!L$3,'Course 5'!$I245," ")</f>
        <v xml:space="preserve"> </v>
      </c>
      <c r="M247" s="8" t="str">
        <f>IF('Course 5'!$H245='tab5'!M$3,'Course 5'!$I245," ")</f>
        <v xml:space="preserve"> </v>
      </c>
      <c r="N247" s="9" t="str">
        <f>IF('Course 5'!$H245='tab5'!N$3,'Course 5'!$I245," ")</f>
        <v xml:space="preserve"> </v>
      </c>
    </row>
    <row r="248" spans="2:14">
      <c r="B248">
        <v>244</v>
      </c>
      <c r="C248" s="7" t="str">
        <f>IF('Course 5'!$H246='tab5'!C$3,'Course 5'!$I246," ")</f>
        <v xml:space="preserve"> </v>
      </c>
      <c r="D248" s="8" t="str">
        <f>IF('Course 5'!$H246='tab5'!D$3,'Course 5'!$I246," ")</f>
        <v xml:space="preserve"> </v>
      </c>
      <c r="E248" s="8" t="str">
        <f>IF('Course 5'!$H246='tab5'!E$3,'Course 5'!$I246," ")</f>
        <v xml:space="preserve"> </v>
      </c>
      <c r="F248" s="8" t="str">
        <f>IF('Course 5'!$H246='tab5'!F$3,'Course 5'!$I246," ")</f>
        <v xml:space="preserve"> </v>
      </c>
      <c r="G248" s="8" t="str">
        <f>IF('Course 5'!$H246='tab5'!G$3,'Course 5'!$I246," ")</f>
        <v xml:space="preserve"> </v>
      </c>
      <c r="H248" s="8" t="str">
        <f>IF('Course 5'!$H246='tab5'!H$3,'Course 5'!$I246," ")</f>
        <v xml:space="preserve"> </v>
      </c>
      <c r="I248" s="8" t="str">
        <f>IF('Course 5'!$H246='tab5'!I$3,'Course 5'!$I246," ")</f>
        <v xml:space="preserve"> </v>
      </c>
      <c r="J248" s="8" t="str">
        <f>IF('Course 5'!$H246='tab5'!J$3,'Course 5'!$I246," ")</f>
        <v xml:space="preserve"> </v>
      </c>
      <c r="K248" s="8" t="str">
        <f>IF('Course 5'!$H246='tab5'!K$3,'Course 5'!$I246," ")</f>
        <v xml:space="preserve"> </v>
      </c>
      <c r="L248" s="8" t="str">
        <f>IF('Course 5'!$H246='tab5'!L$3,'Course 5'!$I246," ")</f>
        <v xml:space="preserve"> </v>
      </c>
      <c r="M248" s="8" t="str">
        <f>IF('Course 5'!$H246='tab5'!M$3,'Course 5'!$I246," ")</f>
        <v xml:space="preserve"> </v>
      </c>
      <c r="N248" s="9" t="str">
        <f>IF('Course 5'!$H246='tab5'!N$3,'Course 5'!$I246," ")</f>
        <v xml:space="preserve"> </v>
      </c>
    </row>
    <row r="249" spans="2:14">
      <c r="B249">
        <v>245</v>
      </c>
      <c r="C249" s="7" t="str">
        <f>IF('Course 5'!$H247='tab5'!C$3,'Course 5'!$I247," ")</f>
        <v xml:space="preserve"> </v>
      </c>
      <c r="D249" s="8" t="str">
        <f>IF('Course 5'!$H247='tab5'!D$3,'Course 5'!$I247," ")</f>
        <v xml:space="preserve"> </v>
      </c>
      <c r="E249" s="8" t="str">
        <f>IF('Course 5'!$H247='tab5'!E$3,'Course 5'!$I247," ")</f>
        <v xml:space="preserve"> </v>
      </c>
      <c r="F249" s="8" t="str">
        <f>IF('Course 5'!$H247='tab5'!F$3,'Course 5'!$I247," ")</f>
        <v xml:space="preserve"> </v>
      </c>
      <c r="G249" s="8" t="str">
        <f>IF('Course 5'!$H247='tab5'!G$3,'Course 5'!$I247," ")</f>
        <v xml:space="preserve"> </v>
      </c>
      <c r="H249" s="8" t="str">
        <f>IF('Course 5'!$H247='tab5'!H$3,'Course 5'!$I247," ")</f>
        <v xml:space="preserve"> </v>
      </c>
      <c r="I249" s="8" t="str">
        <f>IF('Course 5'!$H247='tab5'!I$3,'Course 5'!$I247," ")</f>
        <v xml:space="preserve"> </v>
      </c>
      <c r="J249" s="8" t="str">
        <f>IF('Course 5'!$H247='tab5'!J$3,'Course 5'!$I247," ")</f>
        <v xml:space="preserve"> </v>
      </c>
      <c r="K249" s="8" t="str">
        <f>IF('Course 5'!$H247='tab5'!K$3,'Course 5'!$I247," ")</f>
        <v xml:space="preserve"> </v>
      </c>
      <c r="L249" s="8" t="str">
        <f>IF('Course 5'!$H247='tab5'!L$3,'Course 5'!$I247," ")</f>
        <v xml:space="preserve"> </v>
      </c>
      <c r="M249" s="8" t="str">
        <f>IF('Course 5'!$H247='tab5'!M$3,'Course 5'!$I247," ")</f>
        <v xml:space="preserve"> </v>
      </c>
      <c r="N249" s="9" t="str">
        <f>IF('Course 5'!$H247='tab5'!N$3,'Course 5'!$I247," ")</f>
        <v xml:space="preserve"> </v>
      </c>
    </row>
    <row r="250" spans="2:14">
      <c r="B250">
        <v>246</v>
      </c>
      <c r="C250" s="7" t="str">
        <f>IF('Course 5'!$H248='tab5'!C$3,'Course 5'!$I248," ")</f>
        <v xml:space="preserve"> </v>
      </c>
      <c r="D250" s="8" t="str">
        <f>IF('Course 5'!$H248='tab5'!D$3,'Course 5'!$I248," ")</f>
        <v xml:space="preserve"> </v>
      </c>
      <c r="E250" s="8" t="str">
        <f>IF('Course 5'!$H248='tab5'!E$3,'Course 5'!$I248," ")</f>
        <v xml:space="preserve"> </v>
      </c>
      <c r="F250" s="8" t="str">
        <f>IF('Course 5'!$H248='tab5'!F$3,'Course 5'!$I248," ")</f>
        <v xml:space="preserve"> </v>
      </c>
      <c r="G250" s="8" t="str">
        <f>IF('Course 5'!$H248='tab5'!G$3,'Course 5'!$I248," ")</f>
        <v xml:space="preserve"> </v>
      </c>
      <c r="H250" s="8" t="str">
        <f>IF('Course 5'!$H248='tab5'!H$3,'Course 5'!$I248," ")</f>
        <v xml:space="preserve"> </v>
      </c>
      <c r="I250" s="8" t="str">
        <f>IF('Course 5'!$H248='tab5'!I$3,'Course 5'!$I248," ")</f>
        <v xml:space="preserve"> </v>
      </c>
      <c r="J250" s="8" t="str">
        <f>IF('Course 5'!$H248='tab5'!J$3,'Course 5'!$I248," ")</f>
        <v xml:space="preserve"> </v>
      </c>
      <c r="K250" s="8" t="str">
        <f>IF('Course 5'!$H248='tab5'!K$3,'Course 5'!$I248," ")</f>
        <v xml:space="preserve"> </v>
      </c>
      <c r="L250" s="8" t="str">
        <f>IF('Course 5'!$H248='tab5'!L$3,'Course 5'!$I248," ")</f>
        <v xml:space="preserve"> </v>
      </c>
      <c r="M250" s="8" t="str">
        <f>IF('Course 5'!$H248='tab5'!M$3,'Course 5'!$I248," ")</f>
        <v xml:space="preserve"> </v>
      </c>
      <c r="N250" s="9" t="str">
        <f>IF('Course 5'!$H248='tab5'!N$3,'Course 5'!$I248," ")</f>
        <v xml:space="preserve"> </v>
      </c>
    </row>
    <row r="251" spans="2:14">
      <c r="B251">
        <v>247</v>
      </c>
      <c r="C251" s="7" t="str">
        <f>IF('Course 5'!$H249='tab5'!C$3,'Course 5'!$I249," ")</f>
        <v xml:space="preserve"> </v>
      </c>
      <c r="D251" s="8" t="str">
        <f>IF('Course 5'!$H249='tab5'!D$3,'Course 5'!$I249," ")</f>
        <v xml:space="preserve"> </v>
      </c>
      <c r="E251" s="8" t="str">
        <f>IF('Course 5'!$H249='tab5'!E$3,'Course 5'!$I249," ")</f>
        <v xml:space="preserve"> </v>
      </c>
      <c r="F251" s="8" t="str">
        <f>IF('Course 5'!$H249='tab5'!F$3,'Course 5'!$I249," ")</f>
        <v xml:space="preserve"> </v>
      </c>
      <c r="G251" s="8" t="str">
        <f>IF('Course 5'!$H249='tab5'!G$3,'Course 5'!$I249," ")</f>
        <v xml:space="preserve"> </v>
      </c>
      <c r="H251" s="8" t="str">
        <f>IF('Course 5'!$H249='tab5'!H$3,'Course 5'!$I249," ")</f>
        <v xml:space="preserve"> </v>
      </c>
      <c r="I251" s="8" t="str">
        <f>IF('Course 5'!$H249='tab5'!I$3,'Course 5'!$I249," ")</f>
        <v xml:space="preserve"> </v>
      </c>
      <c r="J251" s="8" t="str">
        <f>IF('Course 5'!$H249='tab5'!J$3,'Course 5'!$I249," ")</f>
        <v xml:space="preserve"> </v>
      </c>
      <c r="K251" s="8" t="str">
        <f>IF('Course 5'!$H249='tab5'!K$3,'Course 5'!$I249," ")</f>
        <v xml:space="preserve"> </v>
      </c>
      <c r="L251" s="8" t="str">
        <f>IF('Course 5'!$H249='tab5'!L$3,'Course 5'!$I249," ")</f>
        <v xml:space="preserve"> </v>
      </c>
      <c r="M251" s="8" t="str">
        <f>IF('Course 5'!$H249='tab5'!M$3,'Course 5'!$I249," ")</f>
        <v xml:space="preserve"> </v>
      </c>
      <c r="N251" s="9" t="str">
        <f>IF('Course 5'!$H249='tab5'!N$3,'Course 5'!$I249," ")</f>
        <v xml:space="preserve"> </v>
      </c>
    </row>
    <row r="252" spans="2:14">
      <c r="B252">
        <v>248</v>
      </c>
      <c r="C252" s="7" t="str">
        <f>IF('Course 5'!$H250='tab5'!C$3,'Course 5'!$I250," ")</f>
        <v xml:space="preserve"> </v>
      </c>
      <c r="D252" s="8" t="str">
        <f>IF('Course 5'!$H250='tab5'!D$3,'Course 5'!$I250," ")</f>
        <v xml:space="preserve"> </v>
      </c>
      <c r="E252" s="8" t="str">
        <f>IF('Course 5'!$H250='tab5'!E$3,'Course 5'!$I250," ")</f>
        <v xml:space="preserve"> </v>
      </c>
      <c r="F252" s="8" t="str">
        <f>IF('Course 5'!$H250='tab5'!F$3,'Course 5'!$I250," ")</f>
        <v xml:space="preserve"> </v>
      </c>
      <c r="G252" s="8" t="str">
        <f>IF('Course 5'!$H250='tab5'!G$3,'Course 5'!$I250," ")</f>
        <v xml:space="preserve"> </v>
      </c>
      <c r="H252" s="8" t="str">
        <f>IF('Course 5'!$H250='tab5'!H$3,'Course 5'!$I250," ")</f>
        <v xml:space="preserve"> </v>
      </c>
      <c r="I252" s="8" t="str">
        <f>IF('Course 5'!$H250='tab5'!I$3,'Course 5'!$I250," ")</f>
        <v xml:space="preserve"> </v>
      </c>
      <c r="J252" s="8" t="str">
        <f>IF('Course 5'!$H250='tab5'!J$3,'Course 5'!$I250," ")</f>
        <v xml:space="preserve"> </v>
      </c>
      <c r="K252" s="8" t="str">
        <f>IF('Course 5'!$H250='tab5'!K$3,'Course 5'!$I250," ")</f>
        <v xml:space="preserve"> </v>
      </c>
      <c r="L252" s="8" t="str">
        <f>IF('Course 5'!$H250='tab5'!L$3,'Course 5'!$I250," ")</f>
        <v xml:space="preserve"> </v>
      </c>
      <c r="M252" s="8" t="str">
        <f>IF('Course 5'!$H250='tab5'!M$3,'Course 5'!$I250," ")</f>
        <v xml:space="preserve"> </v>
      </c>
      <c r="N252" s="9" t="str">
        <f>IF('Course 5'!$H250='tab5'!N$3,'Course 5'!$I250," ")</f>
        <v xml:space="preserve"> </v>
      </c>
    </row>
    <row r="253" spans="2:14">
      <c r="B253">
        <v>249</v>
      </c>
      <c r="C253" s="7" t="str">
        <f>IF('Course 5'!$H251='tab5'!C$3,'Course 5'!$I251," ")</f>
        <v xml:space="preserve"> </v>
      </c>
      <c r="D253" s="8" t="str">
        <f>IF('Course 5'!$H251='tab5'!D$3,'Course 5'!$I251," ")</f>
        <v xml:space="preserve"> </v>
      </c>
      <c r="E253" s="8" t="str">
        <f>IF('Course 5'!$H251='tab5'!E$3,'Course 5'!$I251," ")</f>
        <v xml:space="preserve"> </v>
      </c>
      <c r="F253" s="8" t="str">
        <f>IF('Course 5'!$H251='tab5'!F$3,'Course 5'!$I251," ")</f>
        <v xml:space="preserve"> </v>
      </c>
      <c r="G253" s="8" t="str">
        <f>IF('Course 5'!$H251='tab5'!G$3,'Course 5'!$I251," ")</f>
        <v xml:space="preserve"> </v>
      </c>
      <c r="H253" s="8" t="str">
        <f>IF('Course 5'!$H251='tab5'!H$3,'Course 5'!$I251," ")</f>
        <v xml:space="preserve"> </v>
      </c>
      <c r="I253" s="8" t="str">
        <f>IF('Course 5'!$H251='tab5'!I$3,'Course 5'!$I251," ")</f>
        <v xml:space="preserve"> </v>
      </c>
      <c r="J253" s="8" t="str">
        <f>IF('Course 5'!$H251='tab5'!J$3,'Course 5'!$I251," ")</f>
        <v xml:space="preserve"> </v>
      </c>
      <c r="K253" s="8" t="str">
        <f>IF('Course 5'!$H251='tab5'!K$3,'Course 5'!$I251," ")</f>
        <v xml:space="preserve"> </v>
      </c>
      <c r="L253" s="8" t="str">
        <f>IF('Course 5'!$H251='tab5'!L$3,'Course 5'!$I251," ")</f>
        <v xml:space="preserve"> </v>
      </c>
      <c r="M253" s="8" t="str">
        <f>IF('Course 5'!$H251='tab5'!M$3,'Course 5'!$I251," ")</f>
        <v xml:space="preserve"> </v>
      </c>
      <c r="N253" s="9" t="str">
        <f>IF('Course 5'!$H251='tab5'!N$3,'Course 5'!$I251," ")</f>
        <v xml:space="preserve"> </v>
      </c>
    </row>
    <row r="254" spans="2:14">
      <c r="B254">
        <v>250</v>
      </c>
      <c r="C254" s="7" t="str">
        <f>IF('Course 5'!$H252='tab5'!C$3,'Course 5'!$I252," ")</f>
        <v xml:space="preserve"> </v>
      </c>
      <c r="D254" s="8" t="str">
        <f>IF('Course 5'!$H252='tab5'!D$3,'Course 5'!$I252," ")</f>
        <v xml:space="preserve"> </v>
      </c>
      <c r="E254" s="8" t="str">
        <f>IF('Course 5'!$H252='tab5'!E$3,'Course 5'!$I252," ")</f>
        <v xml:space="preserve"> </v>
      </c>
      <c r="F254" s="8" t="str">
        <f>IF('Course 5'!$H252='tab5'!F$3,'Course 5'!$I252," ")</f>
        <v xml:space="preserve"> </v>
      </c>
      <c r="G254" s="8" t="str">
        <f>IF('Course 5'!$H252='tab5'!G$3,'Course 5'!$I252," ")</f>
        <v xml:space="preserve"> </v>
      </c>
      <c r="H254" s="8" t="str">
        <f>IF('Course 5'!$H252='tab5'!H$3,'Course 5'!$I252," ")</f>
        <v xml:space="preserve"> </v>
      </c>
      <c r="I254" s="8" t="str">
        <f>IF('Course 5'!$H252='tab5'!I$3,'Course 5'!$I252," ")</f>
        <v xml:space="preserve"> </v>
      </c>
      <c r="J254" s="8" t="str">
        <f>IF('Course 5'!$H252='tab5'!J$3,'Course 5'!$I252," ")</f>
        <v xml:space="preserve"> </v>
      </c>
      <c r="K254" s="8" t="str">
        <f>IF('Course 5'!$H252='tab5'!K$3,'Course 5'!$I252," ")</f>
        <v xml:space="preserve"> </v>
      </c>
      <c r="L254" s="8" t="str">
        <f>IF('Course 5'!$H252='tab5'!L$3,'Course 5'!$I252," ")</f>
        <v xml:space="preserve"> </v>
      </c>
      <c r="M254" s="8" t="str">
        <f>IF('Course 5'!$H252='tab5'!M$3,'Course 5'!$I252," ")</f>
        <v xml:space="preserve"> </v>
      </c>
      <c r="N254" s="9" t="str">
        <f>IF('Course 5'!$H252='tab5'!N$3,'Course 5'!$I252," ")</f>
        <v xml:space="preserve"> </v>
      </c>
    </row>
    <row r="255" spans="2:14">
      <c r="B255">
        <v>251</v>
      </c>
      <c r="C255" s="7" t="str">
        <f>IF('Course 5'!$H253='tab5'!C$3,'Course 5'!$I253," ")</f>
        <v xml:space="preserve"> </v>
      </c>
      <c r="D255" s="8" t="str">
        <f>IF('Course 5'!$H253='tab5'!D$3,'Course 5'!$I253," ")</f>
        <v xml:space="preserve"> </v>
      </c>
      <c r="E255" s="8" t="str">
        <f>IF('Course 5'!$H253='tab5'!E$3,'Course 5'!$I253," ")</f>
        <v xml:space="preserve"> </v>
      </c>
      <c r="F255" s="8" t="str">
        <f>IF('Course 5'!$H253='tab5'!F$3,'Course 5'!$I253," ")</f>
        <v xml:space="preserve"> </v>
      </c>
      <c r="G255" s="8" t="str">
        <f>IF('Course 5'!$H253='tab5'!G$3,'Course 5'!$I253," ")</f>
        <v xml:space="preserve"> </v>
      </c>
      <c r="H255" s="8" t="str">
        <f>IF('Course 5'!$H253='tab5'!H$3,'Course 5'!$I253," ")</f>
        <v xml:space="preserve"> </v>
      </c>
      <c r="I255" s="8" t="str">
        <f>IF('Course 5'!$H253='tab5'!I$3,'Course 5'!$I253," ")</f>
        <v xml:space="preserve"> </v>
      </c>
      <c r="J255" s="8" t="str">
        <f>IF('Course 5'!$H253='tab5'!J$3,'Course 5'!$I253," ")</f>
        <v xml:space="preserve"> </v>
      </c>
      <c r="K255" s="8" t="str">
        <f>IF('Course 5'!$H253='tab5'!K$3,'Course 5'!$I253," ")</f>
        <v xml:space="preserve"> </v>
      </c>
      <c r="L255" s="8" t="str">
        <f>IF('Course 5'!$H253='tab5'!L$3,'Course 5'!$I253," ")</f>
        <v xml:space="preserve"> </v>
      </c>
      <c r="M255" s="8" t="str">
        <f>IF('Course 5'!$H253='tab5'!M$3,'Course 5'!$I253," ")</f>
        <v xml:space="preserve"> </v>
      </c>
      <c r="N255" s="9" t="str">
        <f>IF('Course 5'!$H253='tab5'!N$3,'Course 5'!$I253," ")</f>
        <v xml:space="preserve"> </v>
      </c>
    </row>
    <row r="256" spans="2:14">
      <c r="B256">
        <v>252</v>
      </c>
      <c r="C256" s="7" t="str">
        <f>IF('Course 5'!$H254='tab5'!C$3,'Course 5'!$I254," ")</f>
        <v xml:space="preserve"> </v>
      </c>
      <c r="D256" s="8" t="str">
        <f>IF('Course 5'!$H254='tab5'!D$3,'Course 5'!$I254," ")</f>
        <v xml:space="preserve"> </v>
      </c>
      <c r="E256" s="8" t="str">
        <f>IF('Course 5'!$H254='tab5'!E$3,'Course 5'!$I254," ")</f>
        <v xml:space="preserve"> </v>
      </c>
      <c r="F256" s="8" t="str">
        <f>IF('Course 5'!$H254='tab5'!F$3,'Course 5'!$I254," ")</f>
        <v xml:space="preserve"> </v>
      </c>
      <c r="G256" s="8" t="str">
        <f>IF('Course 5'!$H254='tab5'!G$3,'Course 5'!$I254," ")</f>
        <v xml:space="preserve"> </v>
      </c>
      <c r="H256" s="8" t="str">
        <f>IF('Course 5'!$H254='tab5'!H$3,'Course 5'!$I254," ")</f>
        <v xml:space="preserve"> </v>
      </c>
      <c r="I256" s="8" t="str">
        <f>IF('Course 5'!$H254='tab5'!I$3,'Course 5'!$I254," ")</f>
        <v xml:space="preserve"> </v>
      </c>
      <c r="J256" s="8" t="str">
        <f>IF('Course 5'!$H254='tab5'!J$3,'Course 5'!$I254," ")</f>
        <v xml:space="preserve"> </v>
      </c>
      <c r="K256" s="8" t="str">
        <f>IF('Course 5'!$H254='tab5'!K$3,'Course 5'!$I254," ")</f>
        <v xml:space="preserve"> </v>
      </c>
      <c r="L256" s="8" t="str">
        <f>IF('Course 5'!$H254='tab5'!L$3,'Course 5'!$I254," ")</f>
        <v xml:space="preserve"> </v>
      </c>
      <c r="M256" s="8" t="str">
        <f>IF('Course 5'!$H254='tab5'!M$3,'Course 5'!$I254," ")</f>
        <v xml:space="preserve"> </v>
      </c>
      <c r="N256" s="9" t="str">
        <f>IF('Course 5'!$H254='tab5'!N$3,'Course 5'!$I254," ")</f>
        <v xml:space="preserve"> </v>
      </c>
    </row>
    <row r="257" spans="2:14">
      <c r="B257">
        <v>253</v>
      </c>
      <c r="C257" s="7" t="str">
        <f>IF('Course 5'!$H255='tab5'!C$3,'Course 5'!$I255," ")</f>
        <v xml:space="preserve"> </v>
      </c>
      <c r="D257" s="8" t="str">
        <f>IF('Course 5'!$H255='tab5'!D$3,'Course 5'!$I255," ")</f>
        <v xml:space="preserve"> </v>
      </c>
      <c r="E257" s="8" t="str">
        <f>IF('Course 5'!$H255='tab5'!E$3,'Course 5'!$I255," ")</f>
        <v xml:space="preserve"> </v>
      </c>
      <c r="F257" s="8" t="str">
        <f>IF('Course 5'!$H255='tab5'!F$3,'Course 5'!$I255," ")</f>
        <v xml:space="preserve"> </v>
      </c>
      <c r="G257" s="8" t="str">
        <f>IF('Course 5'!$H255='tab5'!G$3,'Course 5'!$I255," ")</f>
        <v xml:space="preserve"> </v>
      </c>
      <c r="H257" s="8" t="str">
        <f>IF('Course 5'!$H255='tab5'!H$3,'Course 5'!$I255," ")</f>
        <v xml:space="preserve"> </v>
      </c>
      <c r="I257" s="8" t="str">
        <f>IF('Course 5'!$H255='tab5'!I$3,'Course 5'!$I255," ")</f>
        <v xml:space="preserve"> </v>
      </c>
      <c r="J257" s="8" t="str">
        <f>IF('Course 5'!$H255='tab5'!J$3,'Course 5'!$I255," ")</f>
        <v xml:space="preserve"> </v>
      </c>
      <c r="K257" s="8" t="str">
        <f>IF('Course 5'!$H255='tab5'!K$3,'Course 5'!$I255," ")</f>
        <v xml:space="preserve"> </v>
      </c>
      <c r="L257" s="8" t="str">
        <f>IF('Course 5'!$H255='tab5'!L$3,'Course 5'!$I255," ")</f>
        <v xml:space="preserve"> </v>
      </c>
      <c r="M257" s="8" t="str">
        <f>IF('Course 5'!$H255='tab5'!M$3,'Course 5'!$I255," ")</f>
        <v xml:space="preserve"> </v>
      </c>
      <c r="N257" s="9" t="str">
        <f>IF('Course 5'!$H255='tab5'!N$3,'Course 5'!$I255," ")</f>
        <v xml:space="preserve"> </v>
      </c>
    </row>
    <row r="258" spans="2:14">
      <c r="B258">
        <v>254</v>
      </c>
      <c r="C258" s="7" t="str">
        <f>IF('Course 5'!$H256='tab5'!C$3,'Course 5'!$I256," ")</f>
        <v xml:space="preserve"> </v>
      </c>
      <c r="D258" s="8" t="str">
        <f>IF('Course 5'!$H256='tab5'!D$3,'Course 5'!$I256," ")</f>
        <v xml:space="preserve"> </v>
      </c>
      <c r="E258" s="8" t="str">
        <f>IF('Course 5'!$H256='tab5'!E$3,'Course 5'!$I256," ")</f>
        <v xml:space="preserve"> </v>
      </c>
      <c r="F258" s="8" t="str">
        <f>IF('Course 5'!$H256='tab5'!F$3,'Course 5'!$I256," ")</f>
        <v xml:space="preserve"> </v>
      </c>
      <c r="G258" s="8" t="str">
        <f>IF('Course 5'!$H256='tab5'!G$3,'Course 5'!$I256," ")</f>
        <v xml:space="preserve"> </v>
      </c>
      <c r="H258" s="8" t="str">
        <f>IF('Course 5'!$H256='tab5'!H$3,'Course 5'!$I256," ")</f>
        <v xml:space="preserve"> </v>
      </c>
      <c r="I258" s="8" t="str">
        <f>IF('Course 5'!$H256='tab5'!I$3,'Course 5'!$I256," ")</f>
        <v xml:space="preserve"> </v>
      </c>
      <c r="J258" s="8" t="str">
        <f>IF('Course 5'!$H256='tab5'!J$3,'Course 5'!$I256," ")</f>
        <v xml:space="preserve"> </v>
      </c>
      <c r="K258" s="8" t="str">
        <f>IF('Course 5'!$H256='tab5'!K$3,'Course 5'!$I256," ")</f>
        <v xml:space="preserve"> </v>
      </c>
      <c r="L258" s="8" t="str">
        <f>IF('Course 5'!$H256='tab5'!L$3,'Course 5'!$I256," ")</f>
        <v xml:space="preserve"> </v>
      </c>
      <c r="M258" s="8" t="str">
        <f>IF('Course 5'!$H256='tab5'!M$3,'Course 5'!$I256," ")</f>
        <v xml:space="preserve"> </v>
      </c>
      <c r="N258" s="9" t="str">
        <f>IF('Course 5'!$H256='tab5'!N$3,'Course 5'!$I256," ")</f>
        <v xml:space="preserve"> </v>
      </c>
    </row>
    <row r="259" spans="2:14">
      <c r="B259">
        <v>255</v>
      </c>
      <c r="C259" s="7" t="str">
        <f>IF('Course 5'!$H257='tab5'!C$3,'Course 5'!$I257," ")</f>
        <v xml:space="preserve"> </v>
      </c>
      <c r="D259" s="8" t="str">
        <f>IF('Course 5'!$H257='tab5'!D$3,'Course 5'!$I257," ")</f>
        <v xml:space="preserve"> </v>
      </c>
      <c r="E259" s="8" t="str">
        <f>IF('Course 5'!$H257='tab5'!E$3,'Course 5'!$I257," ")</f>
        <v xml:space="preserve"> </v>
      </c>
      <c r="F259" s="8" t="str">
        <f>IF('Course 5'!$H257='tab5'!F$3,'Course 5'!$I257," ")</f>
        <v xml:space="preserve"> </v>
      </c>
      <c r="G259" s="8" t="str">
        <f>IF('Course 5'!$H257='tab5'!G$3,'Course 5'!$I257," ")</f>
        <v xml:space="preserve"> </v>
      </c>
      <c r="H259" s="8" t="str">
        <f>IF('Course 5'!$H257='tab5'!H$3,'Course 5'!$I257," ")</f>
        <v xml:space="preserve"> </v>
      </c>
      <c r="I259" s="8" t="str">
        <f>IF('Course 5'!$H257='tab5'!I$3,'Course 5'!$I257," ")</f>
        <v xml:space="preserve"> </v>
      </c>
      <c r="J259" s="8" t="str">
        <f>IF('Course 5'!$H257='tab5'!J$3,'Course 5'!$I257," ")</f>
        <v xml:space="preserve"> </v>
      </c>
      <c r="K259" s="8" t="str">
        <f>IF('Course 5'!$H257='tab5'!K$3,'Course 5'!$I257," ")</f>
        <v xml:space="preserve"> </v>
      </c>
      <c r="L259" s="8" t="str">
        <f>IF('Course 5'!$H257='tab5'!L$3,'Course 5'!$I257," ")</f>
        <v xml:space="preserve"> </v>
      </c>
      <c r="M259" s="8" t="str">
        <f>IF('Course 5'!$H257='tab5'!M$3,'Course 5'!$I257," ")</f>
        <v xml:space="preserve"> </v>
      </c>
      <c r="N259" s="9" t="str">
        <f>IF('Course 5'!$H257='tab5'!N$3,'Course 5'!$I257," ")</f>
        <v xml:space="preserve"> </v>
      </c>
    </row>
    <row r="260" spans="2:14">
      <c r="B260">
        <v>256</v>
      </c>
      <c r="C260" s="7" t="str">
        <f>IF('Course 5'!$H258='tab5'!C$3,'Course 5'!$I258," ")</f>
        <v xml:space="preserve"> </v>
      </c>
      <c r="D260" s="8" t="str">
        <f>IF('Course 5'!$H258='tab5'!D$3,'Course 5'!$I258," ")</f>
        <v xml:space="preserve"> </v>
      </c>
      <c r="E260" s="8" t="str">
        <f>IF('Course 5'!$H258='tab5'!E$3,'Course 5'!$I258," ")</f>
        <v xml:space="preserve"> </v>
      </c>
      <c r="F260" s="8" t="str">
        <f>IF('Course 5'!$H258='tab5'!F$3,'Course 5'!$I258," ")</f>
        <v xml:space="preserve"> </v>
      </c>
      <c r="G260" s="8" t="str">
        <f>IF('Course 5'!$H258='tab5'!G$3,'Course 5'!$I258," ")</f>
        <v xml:space="preserve"> </v>
      </c>
      <c r="H260" s="8" t="str">
        <f>IF('Course 5'!$H258='tab5'!H$3,'Course 5'!$I258," ")</f>
        <v xml:space="preserve"> </v>
      </c>
      <c r="I260" s="8" t="str">
        <f>IF('Course 5'!$H258='tab5'!I$3,'Course 5'!$I258," ")</f>
        <v xml:space="preserve"> </v>
      </c>
      <c r="J260" s="8" t="str">
        <f>IF('Course 5'!$H258='tab5'!J$3,'Course 5'!$I258," ")</f>
        <v xml:space="preserve"> </v>
      </c>
      <c r="K260" s="8" t="str">
        <f>IF('Course 5'!$H258='tab5'!K$3,'Course 5'!$I258," ")</f>
        <v xml:space="preserve"> </v>
      </c>
      <c r="L260" s="8" t="str">
        <f>IF('Course 5'!$H258='tab5'!L$3,'Course 5'!$I258," ")</f>
        <v xml:space="preserve"> </v>
      </c>
      <c r="M260" s="8" t="str">
        <f>IF('Course 5'!$H258='tab5'!M$3,'Course 5'!$I258," ")</f>
        <v xml:space="preserve"> </v>
      </c>
      <c r="N260" s="9" t="str">
        <f>IF('Course 5'!$H258='tab5'!N$3,'Course 5'!$I258," ")</f>
        <v xml:space="preserve"> </v>
      </c>
    </row>
    <row r="261" spans="2:14">
      <c r="B261">
        <v>257</v>
      </c>
      <c r="C261" s="7" t="str">
        <f>IF('Course 5'!$H259='tab5'!C$3,'Course 5'!$I259," ")</f>
        <v xml:space="preserve"> </v>
      </c>
      <c r="D261" s="8" t="str">
        <f>IF('Course 5'!$H259='tab5'!D$3,'Course 5'!$I259," ")</f>
        <v xml:space="preserve"> </v>
      </c>
      <c r="E261" s="8" t="str">
        <f>IF('Course 5'!$H259='tab5'!E$3,'Course 5'!$I259," ")</f>
        <v xml:space="preserve"> </v>
      </c>
      <c r="F261" s="8" t="str">
        <f>IF('Course 5'!$H259='tab5'!F$3,'Course 5'!$I259," ")</f>
        <v xml:space="preserve"> </v>
      </c>
      <c r="G261" s="8" t="str">
        <f>IF('Course 5'!$H259='tab5'!G$3,'Course 5'!$I259," ")</f>
        <v xml:space="preserve"> </v>
      </c>
      <c r="H261" s="8" t="str">
        <f>IF('Course 5'!$H259='tab5'!H$3,'Course 5'!$I259," ")</f>
        <v xml:space="preserve"> </v>
      </c>
      <c r="I261" s="8" t="str">
        <f>IF('Course 5'!$H259='tab5'!I$3,'Course 5'!$I259," ")</f>
        <v xml:space="preserve"> </v>
      </c>
      <c r="J261" s="8" t="str">
        <f>IF('Course 5'!$H259='tab5'!J$3,'Course 5'!$I259," ")</f>
        <v xml:space="preserve"> </v>
      </c>
      <c r="K261" s="8" t="str">
        <f>IF('Course 5'!$H259='tab5'!K$3,'Course 5'!$I259," ")</f>
        <v xml:space="preserve"> </v>
      </c>
      <c r="L261" s="8" t="str">
        <f>IF('Course 5'!$H259='tab5'!L$3,'Course 5'!$I259," ")</f>
        <v xml:space="preserve"> </v>
      </c>
      <c r="M261" s="8" t="str">
        <f>IF('Course 5'!$H259='tab5'!M$3,'Course 5'!$I259," ")</f>
        <v xml:space="preserve"> </v>
      </c>
      <c r="N261" s="9" t="str">
        <f>IF('Course 5'!$H259='tab5'!N$3,'Course 5'!$I259," ")</f>
        <v xml:space="preserve"> </v>
      </c>
    </row>
    <row r="262" spans="2:14">
      <c r="B262">
        <v>258</v>
      </c>
      <c r="C262" s="7" t="str">
        <f>IF('Course 5'!$H260='tab5'!C$3,'Course 5'!$I260," ")</f>
        <v xml:space="preserve"> </v>
      </c>
      <c r="D262" s="8" t="str">
        <f>IF('Course 5'!$H260='tab5'!D$3,'Course 5'!$I260," ")</f>
        <v xml:space="preserve"> </v>
      </c>
      <c r="E262" s="8" t="str">
        <f>IF('Course 5'!$H260='tab5'!E$3,'Course 5'!$I260," ")</f>
        <v xml:space="preserve"> </v>
      </c>
      <c r="F262" s="8" t="str">
        <f>IF('Course 5'!$H260='tab5'!F$3,'Course 5'!$I260," ")</f>
        <v xml:space="preserve"> </v>
      </c>
      <c r="G262" s="8" t="str">
        <f>IF('Course 5'!$H260='tab5'!G$3,'Course 5'!$I260," ")</f>
        <v xml:space="preserve"> </v>
      </c>
      <c r="H262" s="8" t="str">
        <f>IF('Course 5'!$H260='tab5'!H$3,'Course 5'!$I260," ")</f>
        <v xml:space="preserve"> </v>
      </c>
      <c r="I262" s="8" t="str">
        <f>IF('Course 5'!$H260='tab5'!I$3,'Course 5'!$I260," ")</f>
        <v xml:space="preserve"> </v>
      </c>
      <c r="J262" s="8" t="str">
        <f>IF('Course 5'!$H260='tab5'!J$3,'Course 5'!$I260," ")</f>
        <v xml:space="preserve"> </v>
      </c>
      <c r="K262" s="8" t="str">
        <f>IF('Course 5'!$H260='tab5'!K$3,'Course 5'!$I260," ")</f>
        <v xml:space="preserve"> </v>
      </c>
      <c r="L262" s="8" t="str">
        <f>IF('Course 5'!$H260='tab5'!L$3,'Course 5'!$I260," ")</f>
        <v xml:space="preserve"> </v>
      </c>
      <c r="M262" s="8" t="str">
        <f>IF('Course 5'!$H260='tab5'!M$3,'Course 5'!$I260," ")</f>
        <v xml:space="preserve"> </v>
      </c>
      <c r="N262" s="9" t="str">
        <f>IF('Course 5'!$H260='tab5'!N$3,'Course 5'!$I260," ")</f>
        <v xml:space="preserve"> </v>
      </c>
    </row>
    <row r="263" spans="2:14">
      <c r="B263">
        <v>259</v>
      </c>
      <c r="C263" s="7" t="str">
        <f>IF('Course 5'!$H261='tab5'!C$3,'Course 5'!$I261," ")</f>
        <v xml:space="preserve"> </v>
      </c>
      <c r="D263" s="8" t="str">
        <f>IF('Course 5'!$H261='tab5'!D$3,'Course 5'!$I261," ")</f>
        <v xml:space="preserve"> </v>
      </c>
      <c r="E263" s="8" t="str">
        <f>IF('Course 5'!$H261='tab5'!E$3,'Course 5'!$I261," ")</f>
        <v xml:space="preserve"> </v>
      </c>
      <c r="F263" s="8" t="str">
        <f>IF('Course 5'!$H261='tab5'!F$3,'Course 5'!$I261," ")</f>
        <v xml:space="preserve"> </v>
      </c>
      <c r="G263" s="8" t="str">
        <f>IF('Course 5'!$H261='tab5'!G$3,'Course 5'!$I261," ")</f>
        <v xml:space="preserve"> </v>
      </c>
      <c r="H263" s="8" t="str">
        <f>IF('Course 5'!$H261='tab5'!H$3,'Course 5'!$I261," ")</f>
        <v xml:space="preserve"> </v>
      </c>
      <c r="I263" s="8" t="str">
        <f>IF('Course 5'!$H261='tab5'!I$3,'Course 5'!$I261," ")</f>
        <v xml:space="preserve"> </v>
      </c>
      <c r="J263" s="8" t="str">
        <f>IF('Course 5'!$H261='tab5'!J$3,'Course 5'!$I261," ")</f>
        <v xml:space="preserve"> </v>
      </c>
      <c r="K263" s="8" t="str">
        <f>IF('Course 5'!$H261='tab5'!K$3,'Course 5'!$I261," ")</f>
        <v xml:space="preserve"> </v>
      </c>
      <c r="L263" s="8" t="str">
        <f>IF('Course 5'!$H261='tab5'!L$3,'Course 5'!$I261," ")</f>
        <v xml:space="preserve"> </v>
      </c>
      <c r="M263" s="8" t="str">
        <f>IF('Course 5'!$H261='tab5'!M$3,'Course 5'!$I261," ")</f>
        <v xml:space="preserve"> </v>
      </c>
      <c r="N263" s="9" t="str">
        <f>IF('Course 5'!$H261='tab5'!N$3,'Course 5'!$I261," ")</f>
        <v xml:space="preserve"> </v>
      </c>
    </row>
    <row r="264" spans="2:14">
      <c r="B264">
        <v>260</v>
      </c>
      <c r="C264" s="7" t="str">
        <f>IF('Course 5'!$H262='tab5'!C$3,'Course 5'!$I262," ")</f>
        <v xml:space="preserve"> </v>
      </c>
      <c r="D264" s="8" t="str">
        <f>IF('Course 5'!$H262='tab5'!D$3,'Course 5'!$I262," ")</f>
        <v xml:space="preserve"> </v>
      </c>
      <c r="E264" s="8" t="str">
        <f>IF('Course 5'!$H262='tab5'!E$3,'Course 5'!$I262," ")</f>
        <v xml:space="preserve"> </v>
      </c>
      <c r="F264" s="8" t="str">
        <f>IF('Course 5'!$H262='tab5'!F$3,'Course 5'!$I262," ")</f>
        <v xml:space="preserve"> </v>
      </c>
      <c r="G264" s="8" t="str">
        <f>IF('Course 5'!$H262='tab5'!G$3,'Course 5'!$I262," ")</f>
        <v xml:space="preserve"> </v>
      </c>
      <c r="H264" s="8" t="str">
        <f>IF('Course 5'!$H262='tab5'!H$3,'Course 5'!$I262," ")</f>
        <v xml:space="preserve"> </v>
      </c>
      <c r="I264" s="8" t="str">
        <f>IF('Course 5'!$H262='tab5'!I$3,'Course 5'!$I262," ")</f>
        <v xml:space="preserve"> </v>
      </c>
      <c r="J264" s="8" t="str">
        <f>IF('Course 5'!$H262='tab5'!J$3,'Course 5'!$I262," ")</f>
        <v xml:space="preserve"> </v>
      </c>
      <c r="K264" s="8" t="str">
        <f>IF('Course 5'!$H262='tab5'!K$3,'Course 5'!$I262," ")</f>
        <v xml:space="preserve"> </v>
      </c>
      <c r="L264" s="8" t="str">
        <f>IF('Course 5'!$H262='tab5'!L$3,'Course 5'!$I262," ")</f>
        <v xml:space="preserve"> </v>
      </c>
      <c r="M264" s="8" t="str">
        <f>IF('Course 5'!$H262='tab5'!M$3,'Course 5'!$I262," ")</f>
        <v xml:space="preserve"> </v>
      </c>
      <c r="N264" s="9" t="str">
        <f>IF('Course 5'!$H262='tab5'!N$3,'Course 5'!$I262," ")</f>
        <v xml:space="preserve"> </v>
      </c>
    </row>
    <row r="265" spans="2:14">
      <c r="B265">
        <v>261</v>
      </c>
      <c r="C265" s="7" t="str">
        <f>IF('Course 5'!$H263='tab5'!C$3,'Course 5'!$I263," ")</f>
        <v xml:space="preserve"> </v>
      </c>
      <c r="D265" s="8" t="str">
        <f>IF('Course 5'!$H263='tab5'!D$3,'Course 5'!$I263," ")</f>
        <v xml:space="preserve"> </v>
      </c>
      <c r="E265" s="8" t="str">
        <f>IF('Course 5'!$H263='tab5'!E$3,'Course 5'!$I263," ")</f>
        <v xml:space="preserve"> </v>
      </c>
      <c r="F265" s="8" t="str">
        <f>IF('Course 5'!$H263='tab5'!F$3,'Course 5'!$I263," ")</f>
        <v xml:space="preserve"> </v>
      </c>
      <c r="G265" s="8" t="str">
        <f>IF('Course 5'!$H263='tab5'!G$3,'Course 5'!$I263," ")</f>
        <v xml:space="preserve"> </v>
      </c>
      <c r="H265" s="8" t="str">
        <f>IF('Course 5'!$H263='tab5'!H$3,'Course 5'!$I263," ")</f>
        <v xml:space="preserve"> </v>
      </c>
      <c r="I265" s="8" t="str">
        <f>IF('Course 5'!$H263='tab5'!I$3,'Course 5'!$I263," ")</f>
        <v xml:space="preserve"> </v>
      </c>
      <c r="J265" s="8" t="str">
        <f>IF('Course 5'!$H263='tab5'!J$3,'Course 5'!$I263," ")</f>
        <v xml:space="preserve"> </v>
      </c>
      <c r="K265" s="8" t="str">
        <f>IF('Course 5'!$H263='tab5'!K$3,'Course 5'!$I263," ")</f>
        <v xml:space="preserve"> </v>
      </c>
      <c r="L265" s="8" t="str">
        <f>IF('Course 5'!$H263='tab5'!L$3,'Course 5'!$I263," ")</f>
        <v xml:space="preserve"> </v>
      </c>
      <c r="M265" s="8" t="str">
        <f>IF('Course 5'!$H263='tab5'!M$3,'Course 5'!$I263," ")</f>
        <v xml:space="preserve"> </v>
      </c>
      <c r="N265" s="9" t="str">
        <f>IF('Course 5'!$H263='tab5'!N$3,'Course 5'!$I263," ")</f>
        <v xml:space="preserve"> </v>
      </c>
    </row>
    <row r="266" spans="2:14">
      <c r="B266">
        <v>262</v>
      </c>
      <c r="C266" s="7" t="str">
        <f>IF('Course 5'!$H264='tab5'!C$3,'Course 5'!$I264," ")</f>
        <v xml:space="preserve"> </v>
      </c>
      <c r="D266" s="8" t="str">
        <f>IF('Course 5'!$H264='tab5'!D$3,'Course 5'!$I264," ")</f>
        <v xml:space="preserve"> </v>
      </c>
      <c r="E266" s="8" t="str">
        <f>IF('Course 5'!$H264='tab5'!E$3,'Course 5'!$I264," ")</f>
        <v xml:space="preserve"> </v>
      </c>
      <c r="F266" s="8" t="str">
        <f>IF('Course 5'!$H264='tab5'!F$3,'Course 5'!$I264," ")</f>
        <v xml:space="preserve"> </v>
      </c>
      <c r="G266" s="8" t="str">
        <f>IF('Course 5'!$H264='tab5'!G$3,'Course 5'!$I264," ")</f>
        <v xml:space="preserve"> </v>
      </c>
      <c r="H266" s="8" t="str">
        <f>IF('Course 5'!$H264='tab5'!H$3,'Course 5'!$I264," ")</f>
        <v xml:space="preserve"> </v>
      </c>
      <c r="I266" s="8" t="str">
        <f>IF('Course 5'!$H264='tab5'!I$3,'Course 5'!$I264," ")</f>
        <v xml:space="preserve"> </v>
      </c>
      <c r="J266" s="8" t="str">
        <f>IF('Course 5'!$H264='tab5'!J$3,'Course 5'!$I264," ")</f>
        <v xml:space="preserve"> </v>
      </c>
      <c r="K266" s="8" t="str">
        <f>IF('Course 5'!$H264='tab5'!K$3,'Course 5'!$I264," ")</f>
        <v xml:space="preserve"> </v>
      </c>
      <c r="L266" s="8" t="str">
        <f>IF('Course 5'!$H264='tab5'!L$3,'Course 5'!$I264," ")</f>
        <v xml:space="preserve"> </v>
      </c>
      <c r="M266" s="8" t="str">
        <f>IF('Course 5'!$H264='tab5'!M$3,'Course 5'!$I264," ")</f>
        <v xml:space="preserve"> </v>
      </c>
      <c r="N266" s="9" t="str">
        <f>IF('Course 5'!$H264='tab5'!N$3,'Course 5'!$I264," ")</f>
        <v xml:space="preserve"> </v>
      </c>
    </row>
    <row r="267" spans="2:14">
      <c r="B267">
        <v>263</v>
      </c>
      <c r="C267" s="7" t="str">
        <f>IF('Course 5'!$H265='tab5'!C$3,'Course 5'!$I265," ")</f>
        <v xml:space="preserve"> </v>
      </c>
      <c r="D267" s="8" t="str">
        <f>IF('Course 5'!$H265='tab5'!D$3,'Course 5'!$I265," ")</f>
        <v xml:space="preserve"> </v>
      </c>
      <c r="E267" s="8" t="str">
        <f>IF('Course 5'!$H265='tab5'!E$3,'Course 5'!$I265," ")</f>
        <v xml:space="preserve"> </v>
      </c>
      <c r="F267" s="8" t="str">
        <f>IF('Course 5'!$H265='tab5'!F$3,'Course 5'!$I265," ")</f>
        <v xml:space="preserve"> </v>
      </c>
      <c r="G267" s="8" t="str">
        <f>IF('Course 5'!$H265='tab5'!G$3,'Course 5'!$I265," ")</f>
        <v xml:space="preserve"> </v>
      </c>
      <c r="H267" s="8" t="str">
        <f>IF('Course 5'!$H265='tab5'!H$3,'Course 5'!$I265," ")</f>
        <v xml:space="preserve"> </v>
      </c>
      <c r="I267" s="8" t="str">
        <f>IF('Course 5'!$H265='tab5'!I$3,'Course 5'!$I265," ")</f>
        <v xml:space="preserve"> </v>
      </c>
      <c r="J267" s="8" t="str">
        <f>IF('Course 5'!$H265='tab5'!J$3,'Course 5'!$I265," ")</f>
        <v xml:space="preserve"> </v>
      </c>
      <c r="K267" s="8" t="str">
        <f>IF('Course 5'!$H265='tab5'!K$3,'Course 5'!$I265," ")</f>
        <v xml:space="preserve"> </v>
      </c>
      <c r="L267" s="8" t="str">
        <f>IF('Course 5'!$H265='tab5'!L$3,'Course 5'!$I265," ")</f>
        <v xml:space="preserve"> </v>
      </c>
      <c r="M267" s="8" t="str">
        <f>IF('Course 5'!$H265='tab5'!M$3,'Course 5'!$I265," ")</f>
        <v xml:space="preserve"> </v>
      </c>
      <c r="N267" s="9" t="str">
        <f>IF('Course 5'!$H265='tab5'!N$3,'Course 5'!$I265," ")</f>
        <v xml:space="preserve"> </v>
      </c>
    </row>
    <row r="268" spans="2:14">
      <c r="B268">
        <v>264</v>
      </c>
      <c r="C268" s="7" t="str">
        <f>IF('Course 5'!$H266='tab5'!C$3,'Course 5'!$I266," ")</f>
        <v xml:space="preserve"> </v>
      </c>
      <c r="D268" s="8" t="str">
        <f>IF('Course 5'!$H266='tab5'!D$3,'Course 5'!$I266," ")</f>
        <v xml:space="preserve"> </v>
      </c>
      <c r="E268" s="8" t="str">
        <f>IF('Course 5'!$H266='tab5'!E$3,'Course 5'!$I266," ")</f>
        <v xml:space="preserve"> </v>
      </c>
      <c r="F268" s="8" t="str">
        <f>IF('Course 5'!$H266='tab5'!F$3,'Course 5'!$I266," ")</f>
        <v xml:space="preserve"> </v>
      </c>
      <c r="G268" s="8" t="str">
        <f>IF('Course 5'!$H266='tab5'!G$3,'Course 5'!$I266," ")</f>
        <v xml:space="preserve"> </v>
      </c>
      <c r="H268" s="8" t="str">
        <f>IF('Course 5'!$H266='tab5'!H$3,'Course 5'!$I266," ")</f>
        <v xml:space="preserve"> </v>
      </c>
      <c r="I268" s="8" t="str">
        <f>IF('Course 5'!$H266='tab5'!I$3,'Course 5'!$I266," ")</f>
        <v xml:space="preserve"> </v>
      </c>
      <c r="J268" s="8" t="str">
        <f>IF('Course 5'!$H266='tab5'!J$3,'Course 5'!$I266," ")</f>
        <v xml:space="preserve"> </v>
      </c>
      <c r="K268" s="8" t="str">
        <f>IF('Course 5'!$H266='tab5'!K$3,'Course 5'!$I266," ")</f>
        <v xml:space="preserve"> </v>
      </c>
      <c r="L268" s="8" t="str">
        <f>IF('Course 5'!$H266='tab5'!L$3,'Course 5'!$I266," ")</f>
        <v xml:space="preserve"> </v>
      </c>
      <c r="M268" s="8" t="str">
        <f>IF('Course 5'!$H266='tab5'!M$3,'Course 5'!$I266," ")</f>
        <v xml:space="preserve"> </v>
      </c>
      <c r="N268" s="9" t="str">
        <f>IF('Course 5'!$H266='tab5'!N$3,'Course 5'!$I266," ")</f>
        <v xml:space="preserve"> </v>
      </c>
    </row>
    <row r="269" spans="2:14">
      <c r="B269">
        <v>265</v>
      </c>
      <c r="C269" s="7" t="str">
        <f>IF('Course 5'!$H267='tab5'!C$3,'Course 5'!$I267," ")</f>
        <v xml:space="preserve"> </v>
      </c>
      <c r="D269" s="8" t="str">
        <f>IF('Course 5'!$H267='tab5'!D$3,'Course 5'!$I267," ")</f>
        <v xml:space="preserve"> </v>
      </c>
      <c r="E269" s="8" t="str">
        <f>IF('Course 5'!$H267='tab5'!E$3,'Course 5'!$I267," ")</f>
        <v xml:space="preserve"> </v>
      </c>
      <c r="F269" s="8" t="str">
        <f>IF('Course 5'!$H267='tab5'!F$3,'Course 5'!$I267," ")</f>
        <v xml:space="preserve"> </v>
      </c>
      <c r="G269" s="8" t="str">
        <f>IF('Course 5'!$H267='tab5'!G$3,'Course 5'!$I267," ")</f>
        <v xml:space="preserve"> </v>
      </c>
      <c r="H269" s="8" t="str">
        <f>IF('Course 5'!$H267='tab5'!H$3,'Course 5'!$I267," ")</f>
        <v xml:space="preserve"> </v>
      </c>
      <c r="I269" s="8" t="str">
        <f>IF('Course 5'!$H267='tab5'!I$3,'Course 5'!$I267," ")</f>
        <v xml:space="preserve"> </v>
      </c>
      <c r="J269" s="8" t="str">
        <f>IF('Course 5'!$H267='tab5'!J$3,'Course 5'!$I267," ")</f>
        <v xml:space="preserve"> </v>
      </c>
      <c r="K269" s="8" t="str">
        <f>IF('Course 5'!$H267='tab5'!K$3,'Course 5'!$I267," ")</f>
        <v xml:space="preserve"> </v>
      </c>
      <c r="L269" s="8" t="str">
        <f>IF('Course 5'!$H267='tab5'!L$3,'Course 5'!$I267," ")</f>
        <v xml:space="preserve"> </v>
      </c>
      <c r="M269" s="8" t="str">
        <f>IF('Course 5'!$H267='tab5'!M$3,'Course 5'!$I267," ")</f>
        <v xml:space="preserve"> </v>
      </c>
      <c r="N269" s="9" t="str">
        <f>IF('Course 5'!$H267='tab5'!N$3,'Course 5'!$I267," ")</f>
        <v xml:space="preserve"> </v>
      </c>
    </row>
    <row r="270" spans="2:14">
      <c r="B270">
        <v>266</v>
      </c>
      <c r="C270" s="7" t="str">
        <f>IF('Course 5'!$H268='tab5'!C$3,'Course 5'!$I268," ")</f>
        <v xml:space="preserve"> </v>
      </c>
      <c r="D270" s="8" t="str">
        <f>IF('Course 5'!$H268='tab5'!D$3,'Course 5'!$I268," ")</f>
        <v xml:space="preserve"> </v>
      </c>
      <c r="E270" s="8" t="str">
        <f>IF('Course 5'!$H268='tab5'!E$3,'Course 5'!$I268," ")</f>
        <v xml:space="preserve"> </v>
      </c>
      <c r="F270" s="8" t="str">
        <f>IF('Course 5'!$H268='tab5'!F$3,'Course 5'!$I268," ")</f>
        <v xml:space="preserve"> </v>
      </c>
      <c r="G270" s="8" t="str">
        <f>IF('Course 5'!$H268='tab5'!G$3,'Course 5'!$I268," ")</f>
        <v xml:space="preserve"> </v>
      </c>
      <c r="H270" s="8" t="str">
        <f>IF('Course 5'!$H268='tab5'!H$3,'Course 5'!$I268," ")</f>
        <v xml:space="preserve"> </v>
      </c>
      <c r="I270" s="8" t="str">
        <f>IF('Course 5'!$H268='tab5'!I$3,'Course 5'!$I268," ")</f>
        <v xml:space="preserve"> </v>
      </c>
      <c r="J270" s="8" t="str">
        <f>IF('Course 5'!$H268='tab5'!J$3,'Course 5'!$I268," ")</f>
        <v xml:space="preserve"> </v>
      </c>
      <c r="K270" s="8" t="str">
        <f>IF('Course 5'!$H268='tab5'!K$3,'Course 5'!$I268," ")</f>
        <v xml:space="preserve"> </v>
      </c>
      <c r="L270" s="8" t="str">
        <f>IF('Course 5'!$H268='tab5'!L$3,'Course 5'!$I268," ")</f>
        <v xml:space="preserve"> </v>
      </c>
      <c r="M270" s="8" t="str">
        <f>IF('Course 5'!$H268='tab5'!M$3,'Course 5'!$I268," ")</f>
        <v xml:space="preserve"> </v>
      </c>
      <c r="N270" s="9" t="str">
        <f>IF('Course 5'!$H268='tab5'!N$3,'Course 5'!$I268," ")</f>
        <v xml:space="preserve"> </v>
      </c>
    </row>
    <row r="271" spans="2:14">
      <c r="B271">
        <v>267</v>
      </c>
      <c r="C271" s="7" t="str">
        <f>IF('Course 5'!$H269='tab5'!C$3,'Course 5'!$I269," ")</f>
        <v xml:space="preserve"> </v>
      </c>
      <c r="D271" s="8" t="str">
        <f>IF('Course 5'!$H269='tab5'!D$3,'Course 5'!$I269," ")</f>
        <v xml:space="preserve"> </v>
      </c>
      <c r="E271" s="8" t="str">
        <f>IF('Course 5'!$H269='tab5'!E$3,'Course 5'!$I269," ")</f>
        <v xml:space="preserve"> </v>
      </c>
      <c r="F271" s="8" t="str">
        <f>IF('Course 5'!$H269='tab5'!F$3,'Course 5'!$I269," ")</f>
        <v xml:space="preserve"> </v>
      </c>
      <c r="G271" s="8" t="str">
        <f>IF('Course 5'!$H269='tab5'!G$3,'Course 5'!$I269," ")</f>
        <v xml:space="preserve"> </v>
      </c>
      <c r="H271" s="8" t="str">
        <f>IF('Course 5'!$H269='tab5'!H$3,'Course 5'!$I269," ")</f>
        <v xml:space="preserve"> </v>
      </c>
      <c r="I271" s="8" t="str">
        <f>IF('Course 5'!$H269='tab5'!I$3,'Course 5'!$I269," ")</f>
        <v xml:space="preserve"> </v>
      </c>
      <c r="J271" s="8" t="str">
        <f>IF('Course 5'!$H269='tab5'!J$3,'Course 5'!$I269," ")</f>
        <v xml:space="preserve"> </v>
      </c>
      <c r="K271" s="8" t="str">
        <f>IF('Course 5'!$H269='tab5'!K$3,'Course 5'!$I269," ")</f>
        <v xml:space="preserve"> </v>
      </c>
      <c r="L271" s="8" t="str">
        <f>IF('Course 5'!$H269='tab5'!L$3,'Course 5'!$I269," ")</f>
        <v xml:space="preserve"> </v>
      </c>
      <c r="M271" s="8" t="str">
        <f>IF('Course 5'!$H269='tab5'!M$3,'Course 5'!$I269," ")</f>
        <v xml:space="preserve"> </v>
      </c>
      <c r="N271" s="9" t="str">
        <f>IF('Course 5'!$H269='tab5'!N$3,'Course 5'!$I269," ")</f>
        <v xml:space="preserve"> </v>
      </c>
    </row>
    <row r="272" spans="2:14">
      <c r="B272">
        <v>268</v>
      </c>
      <c r="C272" s="7" t="str">
        <f>IF('Course 5'!$H270='tab5'!C$3,'Course 5'!$I270," ")</f>
        <v xml:space="preserve"> </v>
      </c>
      <c r="D272" s="8" t="str">
        <f>IF('Course 5'!$H270='tab5'!D$3,'Course 5'!$I270," ")</f>
        <v xml:space="preserve"> </v>
      </c>
      <c r="E272" s="8" t="str">
        <f>IF('Course 5'!$H270='tab5'!E$3,'Course 5'!$I270," ")</f>
        <v xml:space="preserve"> </v>
      </c>
      <c r="F272" s="8" t="str">
        <f>IF('Course 5'!$H270='tab5'!F$3,'Course 5'!$I270," ")</f>
        <v xml:space="preserve"> </v>
      </c>
      <c r="G272" s="8" t="str">
        <f>IF('Course 5'!$H270='tab5'!G$3,'Course 5'!$I270," ")</f>
        <v xml:space="preserve"> </v>
      </c>
      <c r="H272" s="8" t="str">
        <f>IF('Course 5'!$H270='tab5'!H$3,'Course 5'!$I270," ")</f>
        <v xml:space="preserve"> </v>
      </c>
      <c r="I272" s="8" t="str">
        <f>IF('Course 5'!$H270='tab5'!I$3,'Course 5'!$I270," ")</f>
        <v xml:space="preserve"> </v>
      </c>
      <c r="J272" s="8" t="str">
        <f>IF('Course 5'!$H270='tab5'!J$3,'Course 5'!$I270," ")</f>
        <v xml:space="preserve"> </v>
      </c>
      <c r="K272" s="8" t="str">
        <f>IF('Course 5'!$H270='tab5'!K$3,'Course 5'!$I270," ")</f>
        <v xml:space="preserve"> </v>
      </c>
      <c r="L272" s="8" t="str">
        <f>IF('Course 5'!$H270='tab5'!L$3,'Course 5'!$I270," ")</f>
        <v xml:space="preserve"> </v>
      </c>
      <c r="M272" s="8" t="str">
        <f>IF('Course 5'!$H270='tab5'!M$3,'Course 5'!$I270," ")</f>
        <v xml:space="preserve"> </v>
      </c>
      <c r="N272" s="9" t="str">
        <f>IF('Course 5'!$H270='tab5'!N$3,'Course 5'!$I270," ")</f>
        <v xml:space="preserve"> </v>
      </c>
    </row>
    <row r="273" spans="2:14">
      <c r="B273">
        <v>269</v>
      </c>
      <c r="C273" s="7" t="str">
        <f>IF('Course 5'!$H271='tab5'!C$3,'Course 5'!$I271," ")</f>
        <v xml:space="preserve"> </v>
      </c>
      <c r="D273" s="8" t="str">
        <f>IF('Course 5'!$H271='tab5'!D$3,'Course 5'!$I271," ")</f>
        <v xml:space="preserve"> </v>
      </c>
      <c r="E273" s="8" t="str">
        <f>IF('Course 5'!$H271='tab5'!E$3,'Course 5'!$I271," ")</f>
        <v xml:space="preserve"> </v>
      </c>
      <c r="F273" s="8" t="str">
        <f>IF('Course 5'!$H271='tab5'!F$3,'Course 5'!$I271," ")</f>
        <v xml:space="preserve"> </v>
      </c>
      <c r="G273" s="8" t="str">
        <f>IF('Course 5'!$H271='tab5'!G$3,'Course 5'!$I271," ")</f>
        <v xml:space="preserve"> </v>
      </c>
      <c r="H273" s="8" t="str">
        <f>IF('Course 5'!$H271='tab5'!H$3,'Course 5'!$I271," ")</f>
        <v xml:space="preserve"> </v>
      </c>
      <c r="I273" s="8" t="str">
        <f>IF('Course 5'!$H271='tab5'!I$3,'Course 5'!$I271," ")</f>
        <v xml:space="preserve"> </v>
      </c>
      <c r="J273" s="8" t="str">
        <f>IF('Course 5'!$H271='tab5'!J$3,'Course 5'!$I271," ")</f>
        <v xml:space="preserve"> </v>
      </c>
      <c r="K273" s="8" t="str">
        <f>IF('Course 5'!$H271='tab5'!K$3,'Course 5'!$I271," ")</f>
        <v xml:space="preserve"> </v>
      </c>
      <c r="L273" s="8" t="str">
        <f>IF('Course 5'!$H271='tab5'!L$3,'Course 5'!$I271," ")</f>
        <v xml:space="preserve"> </v>
      </c>
      <c r="M273" s="8" t="str">
        <f>IF('Course 5'!$H271='tab5'!M$3,'Course 5'!$I271," ")</f>
        <v xml:space="preserve"> </v>
      </c>
      <c r="N273" s="9" t="str">
        <f>IF('Course 5'!$H271='tab5'!N$3,'Course 5'!$I271," ")</f>
        <v xml:space="preserve"> </v>
      </c>
    </row>
    <row r="274" spans="2:14">
      <c r="B274">
        <v>270</v>
      </c>
      <c r="C274" s="7" t="str">
        <f>IF('Course 5'!$H272='tab5'!C$3,'Course 5'!$I272," ")</f>
        <v xml:space="preserve"> </v>
      </c>
      <c r="D274" s="8" t="str">
        <f>IF('Course 5'!$H272='tab5'!D$3,'Course 5'!$I272," ")</f>
        <v xml:space="preserve"> </v>
      </c>
      <c r="E274" s="8" t="str">
        <f>IF('Course 5'!$H272='tab5'!E$3,'Course 5'!$I272," ")</f>
        <v xml:space="preserve"> </v>
      </c>
      <c r="F274" s="8" t="str">
        <f>IF('Course 5'!$H272='tab5'!F$3,'Course 5'!$I272," ")</f>
        <v xml:space="preserve"> </v>
      </c>
      <c r="G274" s="8" t="str">
        <f>IF('Course 5'!$H272='tab5'!G$3,'Course 5'!$I272," ")</f>
        <v xml:space="preserve"> </v>
      </c>
      <c r="H274" s="8" t="str">
        <f>IF('Course 5'!$H272='tab5'!H$3,'Course 5'!$I272," ")</f>
        <v xml:space="preserve"> </v>
      </c>
      <c r="I274" s="8" t="str">
        <f>IF('Course 5'!$H272='tab5'!I$3,'Course 5'!$I272," ")</f>
        <v xml:space="preserve"> </v>
      </c>
      <c r="J274" s="8" t="str">
        <f>IF('Course 5'!$H272='tab5'!J$3,'Course 5'!$I272," ")</f>
        <v xml:space="preserve"> </v>
      </c>
      <c r="K274" s="8" t="str">
        <f>IF('Course 5'!$H272='tab5'!K$3,'Course 5'!$I272," ")</f>
        <v xml:space="preserve"> </v>
      </c>
      <c r="L274" s="8" t="str">
        <f>IF('Course 5'!$H272='tab5'!L$3,'Course 5'!$I272," ")</f>
        <v xml:space="preserve"> </v>
      </c>
      <c r="M274" s="8" t="str">
        <f>IF('Course 5'!$H272='tab5'!M$3,'Course 5'!$I272," ")</f>
        <v xml:space="preserve"> </v>
      </c>
      <c r="N274" s="9" t="str">
        <f>IF('Course 5'!$H272='tab5'!N$3,'Course 5'!$I272," ")</f>
        <v xml:space="preserve"> </v>
      </c>
    </row>
    <row r="275" spans="2:14">
      <c r="B275">
        <v>271</v>
      </c>
      <c r="C275" s="7" t="str">
        <f>IF('Course 5'!$H273='tab5'!C$3,'Course 5'!$I273," ")</f>
        <v xml:space="preserve"> </v>
      </c>
      <c r="D275" s="8" t="str">
        <f>IF('Course 5'!$H273='tab5'!D$3,'Course 5'!$I273," ")</f>
        <v xml:space="preserve"> </v>
      </c>
      <c r="E275" s="8" t="str">
        <f>IF('Course 5'!$H273='tab5'!E$3,'Course 5'!$I273," ")</f>
        <v xml:space="preserve"> </v>
      </c>
      <c r="F275" s="8" t="str">
        <f>IF('Course 5'!$H273='tab5'!F$3,'Course 5'!$I273," ")</f>
        <v xml:space="preserve"> </v>
      </c>
      <c r="G275" s="8" t="str">
        <f>IF('Course 5'!$H273='tab5'!G$3,'Course 5'!$I273," ")</f>
        <v xml:space="preserve"> </v>
      </c>
      <c r="H275" s="8" t="str">
        <f>IF('Course 5'!$H273='tab5'!H$3,'Course 5'!$I273," ")</f>
        <v xml:space="preserve"> </v>
      </c>
      <c r="I275" s="8" t="str">
        <f>IF('Course 5'!$H273='tab5'!I$3,'Course 5'!$I273," ")</f>
        <v xml:space="preserve"> </v>
      </c>
      <c r="J275" s="8" t="str">
        <f>IF('Course 5'!$H273='tab5'!J$3,'Course 5'!$I273," ")</f>
        <v xml:space="preserve"> </v>
      </c>
      <c r="K275" s="8" t="str">
        <f>IF('Course 5'!$H273='tab5'!K$3,'Course 5'!$I273," ")</f>
        <v xml:space="preserve"> </v>
      </c>
      <c r="L275" s="8" t="str">
        <f>IF('Course 5'!$H273='tab5'!L$3,'Course 5'!$I273," ")</f>
        <v xml:space="preserve"> </v>
      </c>
      <c r="M275" s="8" t="str">
        <f>IF('Course 5'!$H273='tab5'!M$3,'Course 5'!$I273," ")</f>
        <v xml:space="preserve"> </v>
      </c>
      <c r="N275" s="9" t="str">
        <f>IF('Course 5'!$H273='tab5'!N$3,'Course 5'!$I273," ")</f>
        <v xml:space="preserve"> </v>
      </c>
    </row>
    <row r="276" spans="2:14">
      <c r="B276">
        <v>272</v>
      </c>
      <c r="C276" s="7" t="str">
        <f>IF('Course 5'!$H274='tab5'!C$3,'Course 5'!$I274," ")</f>
        <v xml:space="preserve"> </v>
      </c>
      <c r="D276" s="8" t="str">
        <f>IF('Course 5'!$H274='tab5'!D$3,'Course 5'!$I274," ")</f>
        <v xml:space="preserve"> </v>
      </c>
      <c r="E276" s="8" t="str">
        <f>IF('Course 5'!$H274='tab5'!E$3,'Course 5'!$I274," ")</f>
        <v xml:space="preserve"> </v>
      </c>
      <c r="F276" s="8" t="str">
        <f>IF('Course 5'!$H274='tab5'!F$3,'Course 5'!$I274," ")</f>
        <v xml:space="preserve"> </v>
      </c>
      <c r="G276" s="8" t="str">
        <f>IF('Course 5'!$H274='tab5'!G$3,'Course 5'!$I274," ")</f>
        <v xml:space="preserve"> </v>
      </c>
      <c r="H276" s="8" t="str">
        <f>IF('Course 5'!$H274='tab5'!H$3,'Course 5'!$I274," ")</f>
        <v xml:space="preserve"> </v>
      </c>
      <c r="I276" s="8" t="str">
        <f>IF('Course 5'!$H274='tab5'!I$3,'Course 5'!$I274," ")</f>
        <v xml:space="preserve"> </v>
      </c>
      <c r="J276" s="8" t="str">
        <f>IF('Course 5'!$H274='tab5'!J$3,'Course 5'!$I274," ")</f>
        <v xml:space="preserve"> </v>
      </c>
      <c r="K276" s="8" t="str">
        <f>IF('Course 5'!$H274='tab5'!K$3,'Course 5'!$I274," ")</f>
        <v xml:space="preserve"> </v>
      </c>
      <c r="L276" s="8" t="str">
        <f>IF('Course 5'!$H274='tab5'!L$3,'Course 5'!$I274," ")</f>
        <v xml:space="preserve"> </v>
      </c>
      <c r="M276" s="8" t="str">
        <f>IF('Course 5'!$H274='tab5'!M$3,'Course 5'!$I274," ")</f>
        <v xml:space="preserve"> </v>
      </c>
      <c r="N276" s="9" t="str">
        <f>IF('Course 5'!$H274='tab5'!N$3,'Course 5'!$I274," ")</f>
        <v xml:space="preserve"> </v>
      </c>
    </row>
    <row r="277" spans="2:14">
      <c r="B277">
        <v>273</v>
      </c>
      <c r="C277" s="7" t="str">
        <f>IF('Course 5'!$H275='tab5'!C$3,'Course 5'!$I275," ")</f>
        <v xml:space="preserve"> </v>
      </c>
      <c r="D277" s="8" t="str">
        <f>IF('Course 5'!$H275='tab5'!D$3,'Course 5'!$I275," ")</f>
        <v xml:space="preserve"> </v>
      </c>
      <c r="E277" s="8" t="str">
        <f>IF('Course 5'!$H275='tab5'!E$3,'Course 5'!$I275," ")</f>
        <v xml:space="preserve"> </v>
      </c>
      <c r="F277" s="8" t="str">
        <f>IF('Course 5'!$H275='tab5'!F$3,'Course 5'!$I275," ")</f>
        <v xml:space="preserve"> </v>
      </c>
      <c r="G277" s="8" t="str">
        <f>IF('Course 5'!$H275='tab5'!G$3,'Course 5'!$I275," ")</f>
        <v xml:space="preserve"> </v>
      </c>
      <c r="H277" s="8" t="str">
        <f>IF('Course 5'!$H275='tab5'!H$3,'Course 5'!$I275," ")</f>
        <v xml:space="preserve"> </v>
      </c>
      <c r="I277" s="8" t="str">
        <f>IF('Course 5'!$H275='tab5'!I$3,'Course 5'!$I275," ")</f>
        <v xml:space="preserve"> </v>
      </c>
      <c r="J277" s="8" t="str">
        <f>IF('Course 5'!$H275='tab5'!J$3,'Course 5'!$I275," ")</f>
        <v xml:space="preserve"> </v>
      </c>
      <c r="K277" s="8" t="str">
        <f>IF('Course 5'!$H275='tab5'!K$3,'Course 5'!$I275," ")</f>
        <v xml:space="preserve"> </v>
      </c>
      <c r="L277" s="8" t="str">
        <f>IF('Course 5'!$H275='tab5'!L$3,'Course 5'!$I275," ")</f>
        <v xml:space="preserve"> </v>
      </c>
      <c r="M277" s="8" t="str">
        <f>IF('Course 5'!$H275='tab5'!M$3,'Course 5'!$I275," ")</f>
        <v xml:space="preserve"> </v>
      </c>
      <c r="N277" s="9" t="str">
        <f>IF('Course 5'!$H275='tab5'!N$3,'Course 5'!$I275," ")</f>
        <v xml:space="preserve"> </v>
      </c>
    </row>
    <row r="278" spans="2:14">
      <c r="B278">
        <v>274</v>
      </c>
      <c r="C278" s="7" t="str">
        <f>IF('Course 5'!$H276='tab5'!C$3,'Course 5'!$I276," ")</f>
        <v xml:space="preserve"> </v>
      </c>
      <c r="D278" s="8" t="str">
        <f>IF('Course 5'!$H276='tab5'!D$3,'Course 5'!$I276," ")</f>
        <v xml:space="preserve"> </v>
      </c>
      <c r="E278" s="8" t="str">
        <f>IF('Course 5'!$H276='tab5'!E$3,'Course 5'!$I276," ")</f>
        <v xml:space="preserve"> </v>
      </c>
      <c r="F278" s="8" t="str">
        <f>IF('Course 5'!$H276='tab5'!F$3,'Course 5'!$I276," ")</f>
        <v xml:space="preserve"> </v>
      </c>
      <c r="G278" s="8" t="str">
        <f>IF('Course 5'!$H276='tab5'!G$3,'Course 5'!$I276," ")</f>
        <v xml:space="preserve"> </v>
      </c>
      <c r="H278" s="8" t="str">
        <f>IF('Course 5'!$H276='tab5'!H$3,'Course 5'!$I276," ")</f>
        <v xml:space="preserve"> </v>
      </c>
      <c r="I278" s="8" t="str">
        <f>IF('Course 5'!$H276='tab5'!I$3,'Course 5'!$I276," ")</f>
        <v xml:space="preserve"> </v>
      </c>
      <c r="J278" s="8" t="str">
        <f>IF('Course 5'!$H276='tab5'!J$3,'Course 5'!$I276," ")</f>
        <v xml:space="preserve"> </v>
      </c>
      <c r="K278" s="8" t="str">
        <f>IF('Course 5'!$H276='tab5'!K$3,'Course 5'!$I276," ")</f>
        <v xml:space="preserve"> </v>
      </c>
      <c r="L278" s="8" t="str">
        <f>IF('Course 5'!$H276='tab5'!L$3,'Course 5'!$I276," ")</f>
        <v xml:space="preserve"> </v>
      </c>
      <c r="M278" s="8" t="str">
        <f>IF('Course 5'!$H276='tab5'!M$3,'Course 5'!$I276," ")</f>
        <v xml:space="preserve"> </v>
      </c>
      <c r="N278" s="9" t="str">
        <f>IF('Course 5'!$H276='tab5'!N$3,'Course 5'!$I276," ")</f>
        <v xml:space="preserve"> </v>
      </c>
    </row>
    <row r="279" spans="2:14">
      <c r="B279">
        <v>275</v>
      </c>
      <c r="C279" s="7" t="str">
        <f>IF('Course 5'!$H277='tab5'!C$3,'Course 5'!$I277," ")</f>
        <v xml:space="preserve"> </v>
      </c>
      <c r="D279" s="8" t="str">
        <f>IF('Course 5'!$H277='tab5'!D$3,'Course 5'!$I277," ")</f>
        <v xml:space="preserve"> </v>
      </c>
      <c r="E279" s="8" t="str">
        <f>IF('Course 5'!$H277='tab5'!E$3,'Course 5'!$I277," ")</f>
        <v xml:space="preserve"> </v>
      </c>
      <c r="F279" s="8" t="str">
        <f>IF('Course 5'!$H277='tab5'!F$3,'Course 5'!$I277," ")</f>
        <v xml:space="preserve"> </v>
      </c>
      <c r="G279" s="8" t="str">
        <f>IF('Course 5'!$H277='tab5'!G$3,'Course 5'!$I277," ")</f>
        <v xml:space="preserve"> </v>
      </c>
      <c r="H279" s="8" t="str">
        <f>IF('Course 5'!$H277='tab5'!H$3,'Course 5'!$I277," ")</f>
        <v xml:space="preserve"> </v>
      </c>
      <c r="I279" s="8" t="str">
        <f>IF('Course 5'!$H277='tab5'!I$3,'Course 5'!$I277," ")</f>
        <v xml:space="preserve"> </v>
      </c>
      <c r="J279" s="8" t="str">
        <f>IF('Course 5'!$H277='tab5'!J$3,'Course 5'!$I277," ")</f>
        <v xml:space="preserve"> </v>
      </c>
      <c r="K279" s="8" t="str">
        <f>IF('Course 5'!$H277='tab5'!K$3,'Course 5'!$I277," ")</f>
        <v xml:space="preserve"> </v>
      </c>
      <c r="L279" s="8" t="str">
        <f>IF('Course 5'!$H277='tab5'!L$3,'Course 5'!$I277," ")</f>
        <v xml:space="preserve"> </v>
      </c>
      <c r="M279" s="8" t="str">
        <f>IF('Course 5'!$H277='tab5'!M$3,'Course 5'!$I277," ")</f>
        <v xml:space="preserve"> </v>
      </c>
      <c r="N279" s="9" t="str">
        <f>IF('Course 5'!$H277='tab5'!N$3,'Course 5'!$I277," ")</f>
        <v xml:space="preserve"> </v>
      </c>
    </row>
    <row r="280" spans="2:14">
      <c r="B280">
        <v>276</v>
      </c>
      <c r="C280" s="7" t="str">
        <f>IF('Course 5'!$H278='tab5'!C$3,'Course 5'!$I278," ")</f>
        <v xml:space="preserve"> </v>
      </c>
      <c r="D280" s="8" t="str">
        <f>IF('Course 5'!$H278='tab5'!D$3,'Course 5'!$I278," ")</f>
        <v xml:space="preserve"> </v>
      </c>
      <c r="E280" s="8" t="str">
        <f>IF('Course 5'!$H278='tab5'!E$3,'Course 5'!$I278," ")</f>
        <v xml:space="preserve"> </v>
      </c>
      <c r="F280" s="8" t="str">
        <f>IF('Course 5'!$H278='tab5'!F$3,'Course 5'!$I278," ")</f>
        <v xml:space="preserve"> </v>
      </c>
      <c r="G280" s="8" t="str">
        <f>IF('Course 5'!$H278='tab5'!G$3,'Course 5'!$I278," ")</f>
        <v xml:space="preserve"> </v>
      </c>
      <c r="H280" s="8" t="str">
        <f>IF('Course 5'!$H278='tab5'!H$3,'Course 5'!$I278," ")</f>
        <v xml:space="preserve"> </v>
      </c>
      <c r="I280" s="8" t="str">
        <f>IF('Course 5'!$H278='tab5'!I$3,'Course 5'!$I278," ")</f>
        <v xml:space="preserve"> </v>
      </c>
      <c r="J280" s="8" t="str">
        <f>IF('Course 5'!$H278='tab5'!J$3,'Course 5'!$I278," ")</f>
        <v xml:space="preserve"> </v>
      </c>
      <c r="K280" s="8" t="str">
        <f>IF('Course 5'!$H278='tab5'!K$3,'Course 5'!$I278," ")</f>
        <v xml:space="preserve"> </v>
      </c>
      <c r="L280" s="8" t="str">
        <f>IF('Course 5'!$H278='tab5'!L$3,'Course 5'!$I278," ")</f>
        <v xml:space="preserve"> </v>
      </c>
      <c r="M280" s="8" t="str">
        <f>IF('Course 5'!$H278='tab5'!M$3,'Course 5'!$I278," ")</f>
        <v xml:space="preserve"> </v>
      </c>
      <c r="N280" s="9" t="str">
        <f>IF('Course 5'!$H278='tab5'!N$3,'Course 5'!$I278," ")</f>
        <v xml:space="preserve"> </v>
      </c>
    </row>
    <row r="281" spans="2:14">
      <c r="B281">
        <v>277</v>
      </c>
      <c r="C281" s="7" t="str">
        <f>IF('Course 5'!$H279='tab5'!C$3,'Course 5'!$I279," ")</f>
        <v xml:space="preserve"> </v>
      </c>
      <c r="D281" s="8" t="str">
        <f>IF('Course 5'!$H279='tab5'!D$3,'Course 5'!$I279," ")</f>
        <v xml:space="preserve"> </v>
      </c>
      <c r="E281" s="8" t="str">
        <f>IF('Course 5'!$H279='tab5'!E$3,'Course 5'!$I279," ")</f>
        <v xml:space="preserve"> </v>
      </c>
      <c r="F281" s="8" t="str">
        <f>IF('Course 5'!$H279='tab5'!F$3,'Course 5'!$I279," ")</f>
        <v xml:space="preserve"> </v>
      </c>
      <c r="G281" s="8" t="str">
        <f>IF('Course 5'!$H279='tab5'!G$3,'Course 5'!$I279," ")</f>
        <v xml:space="preserve"> </v>
      </c>
      <c r="H281" s="8" t="str">
        <f>IF('Course 5'!$H279='tab5'!H$3,'Course 5'!$I279," ")</f>
        <v xml:space="preserve"> </v>
      </c>
      <c r="I281" s="8" t="str">
        <f>IF('Course 5'!$H279='tab5'!I$3,'Course 5'!$I279," ")</f>
        <v xml:space="preserve"> </v>
      </c>
      <c r="J281" s="8" t="str">
        <f>IF('Course 5'!$H279='tab5'!J$3,'Course 5'!$I279," ")</f>
        <v xml:space="preserve"> </v>
      </c>
      <c r="K281" s="8" t="str">
        <f>IF('Course 5'!$H279='tab5'!K$3,'Course 5'!$I279," ")</f>
        <v xml:space="preserve"> </v>
      </c>
      <c r="L281" s="8" t="str">
        <f>IF('Course 5'!$H279='tab5'!L$3,'Course 5'!$I279," ")</f>
        <v xml:space="preserve"> </v>
      </c>
      <c r="M281" s="8" t="str">
        <f>IF('Course 5'!$H279='tab5'!M$3,'Course 5'!$I279," ")</f>
        <v xml:space="preserve"> </v>
      </c>
      <c r="N281" s="9" t="str">
        <f>IF('Course 5'!$H279='tab5'!N$3,'Course 5'!$I279," ")</f>
        <v xml:space="preserve"> </v>
      </c>
    </row>
    <row r="282" spans="2:14">
      <c r="B282">
        <v>278</v>
      </c>
      <c r="C282" s="7" t="str">
        <f>IF('Course 5'!$H280='tab5'!C$3,'Course 5'!$I280," ")</f>
        <v xml:space="preserve"> </v>
      </c>
      <c r="D282" s="8" t="str">
        <f>IF('Course 5'!$H280='tab5'!D$3,'Course 5'!$I280," ")</f>
        <v xml:space="preserve"> </v>
      </c>
      <c r="E282" s="8" t="str">
        <f>IF('Course 5'!$H280='tab5'!E$3,'Course 5'!$I280," ")</f>
        <v xml:space="preserve"> </v>
      </c>
      <c r="F282" s="8" t="str">
        <f>IF('Course 5'!$H280='tab5'!F$3,'Course 5'!$I280," ")</f>
        <v xml:space="preserve"> </v>
      </c>
      <c r="G282" s="8" t="str">
        <f>IF('Course 5'!$H280='tab5'!G$3,'Course 5'!$I280," ")</f>
        <v xml:space="preserve"> </v>
      </c>
      <c r="H282" s="8" t="str">
        <f>IF('Course 5'!$H280='tab5'!H$3,'Course 5'!$I280," ")</f>
        <v xml:space="preserve"> </v>
      </c>
      <c r="I282" s="8" t="str">
        <f>IF('Course 5'!$H280='tab5'!I$3,'Course 5'!$I280," ")</f>
        <v xml:space="preserve"> </v>
      </c>
      <c r="J282" s="8" t="str">
        <f>IF('Course 5'!$H280='tab5'!J$3,'Course 5'!$I280," ")</f>
        <v xml:space="preserve"> </v>
      </c>
      <c r="K282" s="8" t="str">
        <f>IF('Course 5'!$H280='tab5'!K$3,'Course 5'!$I280," ")</f>
        <v xml:space="preserve"> </v>
      </c>
      <c r="L282" s="8" t="str">
        <f>IF('Course 5'!$H280='tab5'!L$3,'Course 5'!$I280," ")</f>
        <v xml:space="preserve"> </v>
      </c>
      <c r="M282" s="8" t="str">
        <f>IF('Course 5'!$H280='tab5'!M$3,'Course 5'!$I280," ")</f>
        <v xml:space="preserve"> </v>
      </c>
      <c r="N282" s="9" t="str">
        <f>IF('Course 5'!$H280='tab5'!N$3,'Course 5'!$I280," ")</f>
        <v xml:space="preserve"> </v>
      </c>
    </row>
    <row r="283" spans="2:14">
      <c r="B283">
        <v>279</v>
      </c>
      <c r="C283" s="7" t="str">
        <f>IF('Course 5'!$H281='tab5'!C$3,'Course 5'!$I281," ")</f>
        <v xml:space="preserve"> </v>
      </c>
      <c r="D283" s="8" t="str">
        <f>IF('Course 5'!$H281='tab5'!D$3,'Course 5'!$I281," ")</f>
        <v xml:space="preserve"> </v>
      </c>
      <c r="E283" s="8" t="str">
        <f>IF('Course 5'!$H281='tab5'!E$3,'Course 5'!$I281," ")</f>
        <v xml:space="preserve"> </v>
      </c>
      <c r="F283" s="8" t="str">
        <f>IF('Course 5'!$H281='tab5'!F$3,'Course 5'!$I281," ")</f>
        <v xml:space="preserve"> </v>
      </c>
      <c r="G283" s="8" t="str">
        <f>IF('Course 5'!$H281='tab5'!G$3,'Course 5'!$I281," ")</f>
        <v xml:space="preserve"> </v>
      </c>
      <c r="H283" s="8" t="str">
        <f>IF('Course 5'!$H281='tab5'!H$3,'Course 5'!$I281," ")</f>
        <v xml:space="preserve"> </v>
      </c>
      <c r="I283" s="8" t="str">
        <f>IF('Course 5'!$H281='tab5'!I$3,'Course 5'!$I281," ")</f>
        <v xml:space="preserve"> </v>
      </c>
      <c r="J283" s="8" t="str">
        <f>IF('Course 5'!$H281='tab5'!J$3,'Course 5'!$I281," ")</f>
        <v xml:space="preserve"> </v>
      </c>
      <c r="K283" s="8" t="str">
        <f>IF('Course 5'!$H281='tab5'!K$3,'Course 5'!$I281," ")</f>
        <v xml:space="preserve"> </v>
      </c>
      <c r="L283" s="8" t="str">
        <f>IF('Course 5'!$H281='tab5'!L$3,'Course 5'!$I281," ")</f>
        <v xml:space="preserve"> </v>
      </c>
      <c r="M283" s="8" t="str">
        <f>IF('Course 5'!$H281='tab5'!M$3,'Course 5'!$I281," ")</f>
        <v xml:space="preserve"> </v>
      </c>
      <c r="N283" s="9" t="str">
        <f>IF('Course 5'!$H281='tab5'!N$3,'Course 5'!$I281," ")</f>
        <v xml:space="preserve"> </v>
      </c>
    </row>
    <row r="284" spans="2:14">
      <c r="B284">
        <v>280</v>
      </c>
      <c r="C284" s="7" t="str">
        <f>IF('Course 5'!$H282='tab5'!C$3,'Course 5'!$I282," ")</f>
        <v xml:space="preserve"> </v>
      </c>
      <c r="D284" s="8" t="str">
        <f>IF('Course 5'!$H282='tab5'!D$3,'Course 5'!$I282," ")</f>
        <v xml:space="preserve"> </v>
      </c>
      <c r="E284" s="8" t="str">
        <f>IF('Course 5'!$H282='tab5'!E$3,'Course 5'!$I282," ")</f>
        <v xml:space="preserve"> </v>
      </c>
      <c r="F284" s="8" t="str">
        <f>IF('Course 5'!$H282='tab5'!F$3,'Course 5'!$I282," ")</f>
        <v xml:space="preserve"> </v>
      </c>
      <c r="G284" s="8" t="str">
        <f>IF('Course 5'!$H282='tab5'!G$3,'Course 5'!$I282," ")</f>
        <v xml:space="preserve"> </v>
      </c>
      <c r="H284" s="8" t="str">
        <f>IF('Course 5'!$H282='tab5'!H$3,'Course 5'!$I282," ")</f>
        <v xml:space="preserve"> </v>
      </c>
      <c r="I284" s="8" t="str">
        <f>IF('Course 5'!$H282='tab5'!I$3,'Course 5'!$I282," ")</f>
        <v xml:space="preserve"> </v>
      </c>
      <c r="J284" s="8" t="str">
        <f>IF('Course 5'!$H282='tab5'!J$3,'Course 5'!$I282," ")</f>
        <v xml:space="preserve"> </v>
      </c>
      <c r="K284" s="8" t="str">
        <f>IF('Course 5'!$H282='tab5'!K$3,'Course 5'!$I282," ")</f>
        <v xml:space="preserve"> </v>
      </c>
      <c r="L284" s="8" t="str">
        <f>IF('Course 5'!$H282='tab5'!L$3,'Course 5'!$I282," ")</f>
        <v xml:space="preserve"> </v>
      </c>
      <c r="M284" s="8" t="str">
        <f>IF('Course 5'!$H282='tab5'!M$3,'Course 5'!$I282," ")</f>
        <v xml:space="preserve"> </v>
      </c>
      <c r="N284" s="9" t="str">
        <f>IF('Course 5'!$H282='tab5'!N$3,'Course 5'!$I282," ")</f>
        <v xml:space="preserve"> </v>
      </c>
    </row>
    <row r="285" spans="2:14">
      <c r="B285">
        <v>281</v>
      </c>
      <c r="C285" s="7" t="str">
        <f>IF('Course 5'!$H283='tab5'!C$3,'Course 5'!$I283," ")</f>
        <v xml:space="preserve"> </v>
      </c>
      <c r="D285" s="8" t="str">
        <f>IF('Course 5'!$H283='tab5'!D$3,'Course 5'!$I283," ")</f>
        <v xml:space="preserve"> </v>
      </c>
      <c r="E285" s="8" t="str">
        <f>IF('Course 5'!$H283='tab5'!E$3,'Course 5'!$I283," ")</f>
        <v xml:space="preserve"> </v>
      </c>
      <c r="F285" s="8" t="str">
        <f>IF('Course 5'!$H283='tab5'!F$3,'Course 5'!$I283," ")</f>
        <v xml:space="preserve"> </v>
      </c>
      <c r="G285" s="8" t="str">
        <f>IF('Course 5'!$H283='tab5'!G$3,'Course 5'!$I283," ")</f>
        <v xml:space="preserve"> </v>
      </c>
      <c r="H285" s="8" t="str">
        <f>IF('Course 5'!$H283='tab5'!H$3,'Course 5'!$I283," ")</f>
        <v xml:space="preserve"> </v>
      </c>
      <c r="I285" s="8" t="str">
        <f>IF('Course 5'!$H283='tab5'!I$3,'Course 5'!$I283," ")</f>
        <v xml:space="preserve"> </v>
      </c>
      <c r="J285" s="8" t="str">
        <f>IF('Course 5'!$H283='tab5'!J$3,'Course 5'!$I283," ")</f>
        <v xml:space="preserve"> </v>
      </c>
      <c r="K285" s="8" t="str">
        <f>IF('Course 5'!$H283='tab5'!K$3,'Course 5'!$I283," ")</f>
        <v xml:space="preserve"> </v>
      </c>
      <c r="L285" s="8" t="str">
        <f>IF('Course 5'!$H283='tab5'!L$3,'Course 5'!$I283," ")</f>
        <v xml:space="preserve"> </v>
      </c>
      <c r="M285" s="8" t="str">
        <f>IF('Course 5'!$H283='tab5'!M$3,'Course 5'!$I283," ")</f>
        <v xml:space="preserve"> </v>
      </c>
      <c r="N285" s="9" t="str">
        <f>IF('Course 5'!$H283='tab5'!N$3,'Course 5'!$I283," ")</f>
        <v xml:space="preserve"> </v>
      </c>
    </row>
    <row r="286" spans="2:14">
      <c r="B286">
        <v>282</v>
      </c>
      <c r="C286" s="7" t="str">
        <f>IF('Course 5'!$H284='tab5'!C$3,'Course 5'!$I284," ")</f>
        <v xml:space="preserve"> </v>
      </c>
      <c r="D286" s="8" t="str">
        <f>IF('Course 5'!$H284='tab5'!D$3,'Course 5'!$I284," ")</f>
        <v xml:space="preserve"> </v>
      </c>
      <c r="E286" s="8" t="str">
        <f>IF('Course 5'!$H284='tab5'!E$3,'Course 5'!$I284," ")</f>
        <v xml:space="preserve"> </v>
      </c>
      <c r="F286" s="8" t="str">
        <f>IF('Course 5'!$H284='tab5'!F$3,'Course 5'!$I284," ")</f>
        <v xml:space="preserve"> </v>
      </c>
      <c r="G286" s="8" t="str">
        <f>IF('Course 5'!$H284='tab5'!G$3,'Course 5'!$I284," ")</f>
        <v xml:space="preserve"> </v>
      </c>
      <c r="H286" s="8" t="str">
        <f>IF('Course 5'!$H284='tab5'!H$3,'Course 5'!$I284," ")</f>
        <v xml:space="preserve"> </v>
      </c>
      <c r="I286" s="8" t="str">
        <f>IF('Course 5'!$H284='tab5'!I$3,'Course 5'!$I284," ")</f>
        <v xml:space="preserve"> </v>
      </c>
      <c r="J286" s="8" t="str">
        <f>IF('Course 5'!$H284='tab5'!J$3,'Course 5'!$I284," ")</f>
        <v xml:space="preserve"> </v>
      </c>
      <c r="K286" s="8" t="str">
        <f>IF('Course 5'!$H284='tab5'!K$3,'Course 5'!$I284," ")</f>
        <v xml:space="preserve"> </v>
      </c>
      <c r="L286" s="8" t="str">
        <f>IF('Course 5'!$H284='tab5'!L$3,'Course 5'!$I284," ")</f>
        <v xml:space="preserve"> </v>
      </c>
      <c r="M286" s="8" t="str">
        <f>IF('Course 5'!$H284='tab5'!M$3,'Course 5'!$I284," ")</f>
        <v xml:space="preserve"> </v>
      </c>
      <c r="N286" s="9" t="str">
        <f>IF('Course 5'!$H284='tab5'!N$3,'Course 5'!$I284," ")</f>
        <v xml:space="preserve"> </v>
      </c>
    </row>
    <row r="287" spans="2:14">
      <c r="B287">
        <v>283</v>
      </c>
      <c r="C287" s="7" t="str">
        <f>IF('Course 5'!$H285='tab5'!C$3,'Course 5'!$I285," ")</f>
        <v xml:space="preserve"> </v>
      </c>
      <c r="D287" s="8" t="str">
        <f>IF('Course 5'!$H285='tab5'!D$3,'Course 5'!$I285," ")</f>
        <v xml:space="preserve"> </v>
      </c>
      <c r="E287" s="8" t="str">
        <f>IF('Course 5'!$H285='tab5'!E$3,'Course 5'!$I285," ")</f>
        <v xml:space="preserve"> </v>
      </c>
      <c r="F287" s="8" t="str">
        <f>IF('Course 5'!$H285='tab5'!F$3,'Course 5'!$I285," ")</f>
        <v xml:space="preserve"> </v>
      </c>
      <c r="G287" s="8" t="str">
        <f>IF('Course 5'!$H285='tab5'!G$3,'Course 5'!$I285," ")</f>
        <v xml:space="preserve"> </v>
      </c>
      <c r="H287" s="8" t="str">
        <f>IF('Course 5'!$H285='tab5'!H$3,'Course 5'!$I285," ")</f>
        <v xml:space="preserve"> </v>
      </c>
      <c r="I287" s="8" t="str">
        <f>IF('Course 5'!$H285='tab5'!I$3,'Course 5'!$I285," ")</f>
        <v xml:space="preserve"> </v>
      </c>
      <c r="J287" s="8" t="str">
        <f>IF('Course 5'!$H285='tab5'!J$3,'Course 5'!$I285," ")</f>
        <v xml:space="preserve"> </v>
      </c>
      <c r="K287" s="8" t="str">
        <f>IF('Course 5'!$H285='tab5'!K$3,'Course 5'!$I285," ")</f>
        <v xml:space="preserve"> </v>
      </c>
      <c r="L287" s="8" t="str">
        <f>IF('Course 5'!$H285='tab5'!L$3,'Course 5'!$I285," ")</f>
        <v xml:space="preserve"> </v>
      </c>
      <c r="M287" s="8" t="str">
        <f>IF('Course 5'!$H285='tab5'!M$3,'Course 5'!$I285," ")</f>
        <v xml:space="preserve"> </v>
      </c>
      <c r="N287" s="9" t="str">
        <f>IF('Course 5'!$H285='tab5'!N$3,'Course 5'!$I285," ")</f>
        <v xml:space="preserve"> </v>
      </c>
    </row>
    <row r="288" spans="2:14">
      <c r="B288">
        <v>284</v>
      </c>
      <c r="C288" s="7" t="str">
        <f>IF('Course 5'!$H286='tab5'!C$3,'Course 5'!$I286," ")</f>
        <v xml:space="preserve"> </v>
      </c>
      <c r="D288" s="8" t="str">
        <f>IF('Course 5'!$H286='tab5'!D$3,'Course 5'!$I286," ")</f>
        <v xml:space="preserve"> </v>
      </c>
      <c r="E288" s="8" t="str">
        <f>IF('Course 5'!$H286='tab5'!E$3,'Course 5'!$I286," ")</f>
        <v xml:space="preserve"> </v>
      </c>
      <c r="F288" s="8" t="str">
        <f>IF('Course 5'!$H286='tab5'!F$3,'Course 5'!$I286," ")</f>
        <v xml:space="preserve"> </v>
      </c>
      <c r="G288" s="8" t="str">
        <f>IF('Course 5'!$H286='tab5'!G$3,'Course 5'!$I286," ")</f>
        <v xml:space="preserve"> </v>
      </c>
      <c r="H288" s="8" t="str">
        <f>IF('Course 5'!$H286='tab5'!H$3,'Course 5'!$I286," ")</f>
        <v xml:space="preserve"> </v>
      </c>
      <c r="I288" s="8" t="str">
        <f>IF('Course 5'!$H286='tab5'!I$3,'Course 5'!$I286," ")</f>
        <v xml:space="preserve"> </v>
      </c>
      <c r="J288" s="8" t="str">
        <f>IF('Course 5'!$H286='tab5'!J$3,'Course 5'!$I286," ")</f>
        <v xml:space="preserve"> </v>
      </c>
      <c r="K288" s="8" t="str">
        <f>IF('Course 5'!$H286='tab5'!K$3,'Course 5'!$I286," ")</f>
        <v xml:space="preserve"> </v>
      </c>
      <c r="L288" s="8" t="str">
        <f>IF('Course 5'!$H286='tab5'!L$3,'Course 5'!$I286," ")</f>
        <v xml:space="preserve"> </v>
      </c>
      <c r="M288" s="8" t="str">
        <f>IF('Course 5'!$H286='tab5'!M$3,'Course 5'!$I286," ")</f>
        <v xml:space="preserve"> </v>
      </c>
      <c r="N288" s="9" t="str">
        <f>IF('Course 5'!$H286='tab5'!N$3,'Course 5'!$I286," ")</f>
        <v xml:space="preserve"> </v>
      </c>
    </row>
    <row r="289" spans="2:14">
      <c r="B289">
        <v>285</v>
      </c>
      <c r="C289" s="7" t="str">
        <f>IF('Course 5'!$H287='tab5'!C$3,'Course 5'!$I287," ")</f>
        <v xml:space="preserve"> </v>
      </c>
      <c r="D289" s="8" t="str">
        <f>IF('Course 5'!$H287='tab5'!D$3,'Course 5'!$I287," ")</f>
        <v xml:space="preserve"> </v>
      </c>
      <c r="E289" s="8" t="str">
        <f>IF('Course 5'!$H287='tab5'!E$3,'Course 5'!$I287," ")</f>
        <v xml:space="preserve"> </v>
      </c>
      <c r="F289" s="8" t="str">
        <f>IF('Course 5'!$H287='tab5'!F$3,'Course 5'!$I287," ")</f>
        <v xml:space="preserve"> </v>
      </c>
      <c r="G289" s="8" t="str">
        <f>IF('Course 5'!$H287='tab5'!G$3,'Course 5'!$I287," ")</f>
        <v xml:space="preserve"> </v>
      </c>
      <c r="H289" s="8" t="str">
        <f>IF('Course 5'!$H287='tab5'!H$3,'Course 5'!$I287," ")</f>
        <v xml:space="preserve"> </v>
      </c>
      <c r="I289" s="8" t="str">
        <f>IF('Course 5'!$H287='tab5'!I$3,'Course 5'!$I287," ")</f>
        <v xml:space="preserve"> </v>
      </c>
      <c r="J289" s="8" t="str">
        <f>IF('Course 5'!$H287='tab5'!J$3,'Course 5'!$I287," ")</f>
        <v xml:space="preserve"> </v>
      </c>
      <c r="K289" s="8" t="str">
        <f>IF('Course 5'!$H287='tab5'!K$3,'Course 5'!$I287," ")</f>
        <v xml:space="preserve"> </v>
      </c>
      <c r="L289" s="8" t="str">
        <f>IF('Course 5'!$H287='tab5'!L$3,'Course 5'!$I287," ")</f>
        <v xml:space="preserve"> </v>
      </c>
      <c r="M289" s="8" t="str">
        <f>IF('Course 5'!$H287='tab5'!M$3,'Course 5'!$I287," ")</f>
        <v xml:space="preserve"> </v>
      </c>
      <c r="N289" s="9" t="str">
        <f>IF('Course 5'!$H287='tab5'!N$3,'Course 5'!$I287," ")</f>
        <v xml:space="preserve"> </v>
      </c>
    </row>
    <row r="290" spans="2:14">
      <c r="B290">
        <v>286</v>
      </c>
      <c r="C290" s="7" t="str">
        <f>IF('Course 5'!$H288='tab5'!C$3,'Course 5'!$I288," ")</f>
        <v xml:space="preserve"> </v>
      </c>
      <c r="D290" s="8" t="str">
        <f>IF('Course 5'!$H288='tab5'!D$3,'Course 5'!$I288," ")</f>
        <v xml:space="preserve"> </v>
      </c>
      <c r="E290" s="8" t="str">
        <f>IF('Course 5'!$H288='tab5'!E$3,'Course 5'!$I288," ")</f>
        <v xml:space="preserve"> </v>
      </c>
      <c r="F290" s="8" t="str">
        <f>IF('Course 5'!$H288='tab5'!F$3,'Course 5'!$I288," ")</f>
        <v xml:space="preserve"> </v>
      </c>
      <c r="G290" s="8" t="str">
        <f>IF('Course 5'!$H288='tab5'!G$3,'Course 5'!$I288," ")</f>
        <v xml:space="preserve"> </v>
      </c>
      <c r="H290" s="8" t="str">
        <f>IF('Course 5'!$H288='tab5'!H$3,'Course 5'!$I288," ")</f>
        <v xml:space="preserve"> </v>
      </c>
      <c r="I290" s="8" t="str">
        <f>IF('Course 5'!$H288='tab5'!I$3,'Course 5'!$I288," ")</f>
        <v xml:space="preserve"> </v>
      </c>
      <c r="J290" s="8" t="str">
        <f>IF('Course 5'!$H288='tab5'!J$3,'Course 5'!$I288," ")</f>
        <v xml:space="preserve"> </v>
      </c>
      <c r="K290" s="8" t="str">
        <f>IF('Course 5'!$H288='tab5'!K$3,'Course 5'!$I288," ")</f>
        <v xml:space="preserve"> </v>
      </c>
      <c r="L290" s="8" t="str">
        <f>IF('Course 5'!$H288='tab5'!L$3,'Course 5'!$I288," ")</f>
        <v xml:space="preserve"> </v>
      </c>
      <c r="M290" s="8" t="str">
        <f>IF('Course 5'!$H288='tab5'!M$3,'Course 5'!$I288," ")</f>
        <v xml:space="preserve"> </v>
      </c>
      <c r="N290" s="9" t="str">
        <f>IF('Course 5'!$H288='tab5'!N$3,'Course 5'!$I288," ")</f>
        <v xml:space="preserve"> </v>
      </c>
    </row>
    <row r="291" spans="2:14">
      <c r="B291">
        <v>287</v>
      </c>
      <c r="C291" s="7" t="str">
        <f>IF('Course 5'!$H289='tab5'!C$3,'Course 5'!$I289," ")</f>
        <v xml:space="preserve"> </v>
      </c>
      <c r="D291" s="8" t="str">
        <f>IF('Course 5'!$H289='tab5'!D$3,'Course 5'!$I289," ")</f>
        <v xml:space="preserve"> </v>
      </c>
      <c r="E291" s="8" t="str">
        <f>IF('Course 5'!$H289='tab5'!E$3,'Course 5'!$I289," ")</f>
        <v xml:space="preserve"> </v>
      </c>
      <c r="F291" s="8" t="str">
        <f>IF('Course 5'!$H289='tab5'!F$3,'Course 5'!$I289," ")</f>
        <v xml:space="preserve"> </v>
      </c>
      <c r="G291" s="8" t="str">
        <f>IF('Course 5'!$H289='tab5'!G$3,'Course 5'!$I289," ")</f>
        <v xml:space="preserve"> </v>
      </c>
      <c r="H291" s="8" t="str">
        <f>IF('Course 5'!$H289='tab5'!H$3,'Course 5'!$I289," ")</f>
        <v xml:space="preserve"> </v>
      </c>
      <c r="I291" s="8" t="str">
        <f>IF('Course 5'!$H289='tab5'!I$3,'Course 5'!$I289," ")</f>
        <v xml:space="preserve"> </v>
      </c>
      <c r="J291" s="8" t="str">
        <f>IF('Course 5'!$H289='tab5'!J$3,'Course 5'!$I289," ")</f>
        <v xml:space="preserve"> </v>
      </c>
      <c r="K291" s="8" t="str">
        <f>IF('Course 5'!$H289='tab5'!K$3,'Course 5'!$I289," ")</f>
        <v xml:space="preserve"> </v>
      </c>
      <c r="L291" s="8" t="str">
        <f>IF('Course 5'!$H289='tab5'!L$3,'Course 5'!$I289," ")</f>
        <v xml:space="preserve"> </v>
      </c>
      <c r="M291" s="8" t="str">
        <f>IF('Course 5'!$H289='tab5'!M$3,'Course 5'!$I289," ")</f>
        <v xml:space="preserve"> </v>
      </c>
      <c r="N291" s="9" t="str">
        <f>IF('Course 5'!$H289='tab5'!N$3,'Course 5'!$I289," ")</f>
        <v xml:space="preserve"> </v>
      </c>
    </row>
    <row r="292" spans="2:14">
      <c r="B292">
        <v>288</v>
      </c>
      <c r="C292" s="7" t="str">
        <f>IF('Course 5'!$H290='tab5'!C$3,'Course 5'!$I290," ")</f>
        <v xml:space="preserve"> </v>
      </c>
      <c r="D292" s="8" t="str">
        <f>IF('Course 5'!$H290='tab5'!D$3,'Course 5'!$I290," ")</f>
        <v xml:space="preserve"> </v>
      </c>
      <c r="E292" s="8" t="str">
        <f>IF('Course 5'!$H290='tab5'!E$3,'Course 5'!$I290," ")</f>
        <v xml:space="preserve"> </v>
      </c>
      <c r="F292" s="8" t="str">
        <f>IF('Course 5'!$H290='tab5'!F$3,'Course 5'!$I290," ")</f>
        <v xml:space="preserve"> </v>
      </c>
      <c r="G292" s="8" t="str">
        <f>IF('Course 5'!$H290='tab5'!G$3,'Course 5'!$I290," ")</f>
        <v xml:space="preserve"> </v>
      </c>
      <c r="H292" s="8" t="str">
        <f>IF('Course 5'!$H290='tab5'!H$3,'Course 5'!$I290," ")</f>
        <v xml:space="preserve"> </v>
      </c>
      <c r="I292" s="8" t="str">
        <f>IF('Course 5'!$H290='tab5'!I$3,'Course 5'!$I290," ")</f>
        <v xml:space="preserve"> </v>
      </c>
      <c r="J292" s="8" t="str">
        <f>IF('Course 5'!$H290='tab5'!J$3,'Course 5'!$I290," ")</f>
        <v xml:space="preserve"> </v>
      </c>
      <c r="K292" s="8" t="str">
        <f>IF('Course 5'!$H290='tab5'!K$3,'Course 5'!$I290," ")</f>
        <v xml:space="preserve"> </v>
      </c>
      <c r="L292" s="8" t="str">
        <f>IF('Course 5'!$H290='tab5'!L$3,'Course 5'!$I290," ")</f>
        <v xml:space="preserve"> </v>
      </c>
      <c r="M292" s="8" t="str">
        <f>IF('Course 5'!$H290='tab5'!M$3,'Course 5'!$I290," ")</f>
        <v xml:space="preserve"> </v>
      </c>
      <c r="N292" s="9" t="str">
        <f>IF('Course 5'!$H290='tab5'!N$3,'Course 5'!$I290," ")</f>
        <v xml:space="preserve"> </v>
      </c>
    </row>
    <row r="293" spans="2:14">
      <c r="B293">
        <v>289</v>
      </c>
      <c r="C293" s="7" t="str">
        <f>IF('Course 5'!$H291='tab5'!C$3,'Course 5'!$I291," ")</f>
        <v xml:space="preserve"> </v>
      </c>
      <c r="D293" s="8" t="str">
        <f>IF('Course 5'!$H291='tab5'!D$3,'Course 5'!$I291," ")</f>
        <v xml:space="preserve"> </v>
      </c>
      <c r="E293" s="8" t="str">
        <f>IF('Course 5'!$H291='tab5'!E$3,'Course 5'!$I291," ")</f>
        <v xml:space="preserve"> </v>
      </c>
      <c r="F293" s="8" t="str">
        <f>IF('Course 5'!$H291='tab5'!F$3,'Course 5'!$I291," ")</f>
        <v xml:space="preserve"> </v>
      </c>
      <c r="G293" s="8" t="str">
        <f>IF('Course 5'!$H291='tab5'!G$3,'Course 5'!$I291," ")</f>
        <v xml:space="preserve"> </v>
      </c>
      <c r="H293" s="8" t="str">
        <f>IF('Course 5'!$H291='tab5'!H$3,'Course 5'!$I291," ")</f>
        <v xml:space="preserve"> </v>
      </c>
      <c r="I293" s="8" t="str">
        <f>IF('Course 5'!$H291='tab5'!I$3,'Course 5'!$I291," ")</f>
        <v xml:space="preserve"> </v>
      </c>
      <c r="J293" s="8" t="str">
        <f>IF('Course 5'!$H291='tab5'!J$3,'Course 5'!$I291," ")</f>
        <v xml:space="preserve"> </v>
      </c>
      <c r="K293" s="8" t="str">
        <f>IF('Course 5'!$H291='tab5'!K$3,'Course 5'!$I291," ")</f>
        <v xml:space="preserve"> </v>
      </c>
      <c r="L293" s="8" t="str">
        <f>IF('Course 5'!$H291='tab5'!L$3,'Course 5'!$I291," ")</f>
        <v xml:space="preserve"> </v>
      </c>
      <c r="M293" s="8" t="str">
        <f>IF('Course 5'!$H291='tab5'!M$3,'Course 5'!$I291," ")</f>
        <v xml:space="preserve"> </v>
      </c>
      <c r="N293" s="9" t="str">
        <f>IF('Course 5'!$H291='tab5'!N$3,'Course 5'!$I291," ")</f>
        <v xml:space="preserve"> </v>
      </c>
    </row>
    <row r="294" spans="2:14">
      <c r="B294">
        <v>290</v>
      </c>
      <c r="C294" s="7" t="str">
        <f>IF('Course 5'!$H292='tab5'!C$3,'Course 5'!$I292," ")</f>
        <v xml:space="preserve"> </v>
      </c>
      <c r="D294" s="8" t="str">
        <f>IF('Course 5'!$H292='tab5'!D$3,'Course 5'!$I292," ")</f>
        <v xml:space="preserve"> </v>
      </c>
      <c r="E294" s="8" t="str">
        <f>IF('Course 5'!$H292='tab5'!E$3,'Course 5'!$I292," ")</f>
        <v xml:space="preserve"> </v>
      </c>
      <c r="F294" s="8" t="str">
        <f>IF('Course 5'!$H292='tab5'!F$3,'Course 5'!$I292," ")</f>
        <v xml:space="preserve"> </v>
      </c>
      <c r="G294" s="8" t="str">
        <f>IF('Course 5'!$H292='tab5'!G$3,'Course 5'!$I292," ")</f>
        <v xml:space="preserve"> </v>
      </c>
      <c r="H294" s="8" t="str">
        <f>IF('Course 5'!$H292='tab5'!H$3,'Course 5'!$I292," ")</f>
        <v xml:space="preserve"> </v>
      </c>
      <c r="I294" s="8" t="str">
        <f>IF('Course 5'!$H292='tab5'!I$3,'Course 5'!$I292," ")</f>
        <v xml:space="preserve"> </v>
      </c>
      <c r="J294" s="8" t="str">
        <f>IF('Course 5'!$H292='tab5'!J$3,'Course 5'!$I292," ")</f>
        <v xml:space="preserve"> </v>
      </c>
      <c r="K294" s="8" t="str">
        <f>IF('Course 5'!$H292='tab5'!K$3,'Course 5'!$I292," ")</f>
        <v xml:space="preserve"> </v>
      </c>
      <c r="L294" s="8" t="str">
        <f>IF('Course 5'!$H292='tab5'!L$3,'Course 5'!$I292," ")</f>
        <v xml:space="preserve"> </v>
      </c>
      <c r="M294" s="8" t="str">
        <f>IF('Course 5'!$H292='tab5'!M$3,'Course 5'!$I292," ")</f>
        <v xml:space="preserve"> </v>
      </c>
      <c r="N294" s="9" t="str">
        <f>IF('Course 5'!$H292='tab5'!N$3,'Course 5'!$I292," ")</f>
        <v xml:space="preserve"> </v>
      </c>
    </row>
    <row r="295" spans="2:14">
      <c r="B295">
        <v>291</v>
      </c>
      <c r="C295" s="7" t="str">
        <f>IF('Course 5'!$H293='tab5'!C$3,'Course 5'!$I293," ")</f>
        <v xml:space="preserve"> </v>
      </c>
      <c r="D295" s="8" t="str">
        <f>IF('Course 5'!$H293='tab5'!D$3,'Course 5'!$I293," ")</f>
        <v xml:space="preserve"> </v>
      </c>
      <c r="E295" s="8" t="str">
        <f>IF('Course 5'!$H293='tab5'!E$3,'Course 5'!$I293," ")</f>
        <v xml:space="preserve"> </v>
      </c>
      <c r="F295" s="8" t="str">
        <f>IF('Course 5'!$H293='tab5'!F$3,'Course 5'!$I293," ")</f>
        <v xml:space="preserve"> </v>
      </c>
      <c r="G295" s="8" t="str">
        <f>IF('Course 5'!$H293='tab5'!G$3,'Course 5'!$I293," ")</f>
        <v xml:space="preserve"> </v>
      </c>
      <c r="H295" s="8" t="str">
        <f>IF('Course 5'!$H293='tab5'!H$3,'Course 5'!$I293," ")</f>
        <v xml:space="preserve"> </v>
      </c>
      <c r="I295" s="8" t="str">
        <f>IF('Course 5'!$H293='tab5'!I$3,'Course 5'!$I293," ")</f>
        <v xml:space="preserve"> </v>
      </c>
      <c r="J295" s="8" t="str">
        <f>IF('Course 5'!$H293='tab5'!J$3,'Course 5'!$I293," ")</f>
        <v xml:space="preserve"> </v>
      </c>
      <c r="K295" s="8" t="str">
        <f>IF('Course 5'!$H293='tab5'!K$3,'Course 5'!$I293," ")</f>
        <v xml:space="preserve"> </v>
      </c>
      <c r="L295" s="8" t="str">
        <f>IF('Course 5'!$H293='tab5'!L$3,'Course 5'!$I293," ")</f>
        <v xml:space="preserve"> </v>
      </c>
      <c r="M295" s="8" t="str">
        <f>IF('Course 5'!$H293='tab5'!M$3,'Course 5'!$I293," ")</f>
        <v xml:space="preserve"> </v>
      </c>
      <c r="N295" s="9" t="str">
        <f>IF('Course 5'!$H293='tab5'!N$3,'Course 5'!$I293," ")</f>
        <v xml:space="preserve"> </v>
      </c>
    </row>
    <row r="296" spans="2:14">
      <c r="B296">
        <v>292</v>
      </c>
      <c r="C296" s="7" t="str">
        <f>IF('Course 5'!$H294='tab5'!C$3,'Course 5'!$I294," ")</f>
        <v xml:space="preserve"> </v>
      </c>
      <c r="D296" s="8" t="str">
        <f>IF('Course 5'!$H294='tab5'!D$3,'Course 5'!$I294," ")</f>
        <v xml:space="preserve"> </v>
      </c>
      <c r="E296" s="8" t="str">
        <f>IF('Course 5'!$H294='tab5'!E$3,'Course 5'!$I294," ")</f>
        <v xml:space="preserve"> </v>
      </c>
      <c r="F296" s="8" t="str">
        <f>IF('Course 5'!$H294='tab5'!F$3,'Course 5'!$I294," ")</f>
        <v xml:space="preserve"> </v>
      </c>
      <c r="G296" s="8" t="str">
        <f>IF('Course 5'!$H294='tab5'!G$3,'Course 5'!$I294," ")</f>
        <v xml:space="preserve"> </v>
      </c>
      <c r="H296" s="8" t="str">
        <f>IF('Course 5'!$H294='tab5'!H$3,'Course 5'!$I294," ")</f>
        <v xml:space="preserve"> </v>
      </c>
      <c r="I296" s="8" t="str">
        <f>IF('Course 5'!$H294='tab5'!I$3,'Course 5'!$I294," ")</f>
        <v xml:space="preserve"> </v>
      </c>
      <c r="J296" s="8" t="str">
        <f>IF('Course 5'!$H294='tab5'!J$3,'Course 5'!$I294," ")</f>
        <v xml:space="preserve"> </v>
      </c>
      <c r="K296" s="8" t="str">
        <f>IF('Course 5'!$H294='tab5'!K$3,'Course 5'!$I294," ")</f>
        <v xml:space="preserve"> </v>
      </c>
      <c r="L296" s="8" t="str">
        <f>IF('Course 5'!$H294='tab5'!L$3,'Course 5'!$I294," ")</f>
        <v xml:space="preserve"> </v>
      </c>
      <c r="M296" s="8" t="str">
        <f>IF('Course 5'!$H294='tab5'!M$3,'Course 5'!$I294," ")</f>
        <v xml:space="preserve"> </v>
      </c>
      <c r="N296" s="9" t="str">
        <f>IF('Course 5'!$H294='tab5'!N$3,'Course 5'!$I294," ")</f>
        <v xml:space="preserve"> </v>
      </c>
    </row>
    <row r="297" spans="2:14">
      <c r="B297">
        <v>293</v>
      </c>
      <c r="C297" s="7" t="str">
        <f>IF('Course 5'!$H295='tab5'!C$3,'Course 5'!$I295," ")</f>
        <v xml:space="preserve"> </v>
      </c>
      <c r="D297" s="8" t="str">
        <f>IF('Course 5'!$H295='tab5'!D$3,'Course 5'!$I295," ")</f>
        <v xml:space="preserve"> </v>
      </c>
      <c r="E297" s="8" t="str">
        <f>IF('Course 5'!$H295='tab5'!E$3,'Course 5'!$I295," ")</f>
        <v xml:space="preserve"> </v>
      </c>
      <c r="F297" s="8" t="str">
        <f>IF('Course 5'!$H295='tab5'!F$3,'Course 5'!$I295," ")</f>
        <v xml:space="preserve"> </v>
      </c>
      <c r="G297" s="8" t="str">
        <f>IF('Course 5'!$H295='tab5'!G$3,'Course 5'!$I295," ")</f>
        <v xml:space="preserve"> </v>
      </c>
      <c r="H297" s="8" t="str">
        <f>IF('Course 5'!$H295='tab5'!H$3,'Course 5'!$I295," ")</f>
        <v xml:space="preserve"> </v>
      </c>
      <c r="I297" s="8" t="str">
        <f>IF('Course 5'!$H295='tab5'!I$3,'Course 5'!$I295," ")</f>
        <v xml:space="preserve"> </v>
      </c>
      <c r="J297" s="8" t="str">
        <f>IF('Course 5'!$H295='tab5'!J$3,'Course 5'!$I295," ")</f>
        <v xml:space="preserve"> </v>
      </c>
      <c r="K297" s="8" t="str">
        <f>IF('Course 5'!$H295='tab5'!K$3,'Course 5'!$I295," ")</f>
        <v xml:space="preserve"> </v>
      </c>
      <c r="L297" s="8" t="str">
        <f>IF('Course 5'!$H295='tab5'!L$3,'Course 5'!$I295," ")</f>
        <v xml:space="preserve"> </v>
      </c>
      <c r="M297" s="8" t="str">
        <f>IF('Course 5'!$H295='tab5'!M$3,'Course 5'!$I295," ")</f>
        <v xml:space="preserve"> </v>
      </c>
      <c r="N297" s="9" t="str">
        <f>IF('Course 5'!$H295='tab5'!N$3,'Course 5'!$I295," ")</f>
        <v xml:space="preserve"> </v>
      </c>
    </row>
    <row r="298" spans="2:14">
      <c r="B298">
        <v>294</v>
      </c>
      <c r="C298" s="7" t="str">
        <f>IF('Course 5'!$H296='tab5'!C$3,'Course 5'!$I296," ")</f>
        <v xml:space="preserve"> </v>
      </c>
      <c r="D298" s="8" t="str">
        <f>IF('Course 5'!$H296='tab5'!D$3,'Course 5'!$I296," ")</f>
        <v xml:space="preserve"> </v>
      </c>
      <c r="E298" s="8" t="str">
        <f>IF('Course 5'!$H296='tab5'!E$3,'Course 5'!$I296," ")</f>
        <v xml:space="preserve"> </v>
      </c>
      <c r="F298" s="8" t="str">
        <f>IF('Course 5'!$H296='tab5'!F$3,'Course 5'!$I296," ")</f>
        <v xml:space="preserve"> </v>
      </c>
      <c r="G298" s="8" t="str">
        <f>IF('Course 5'!$H296='tab5'!G$3,'Course 5'!$I296," ")</f>
        <v xml:space="preserve"> </v>
      </c>
      <c r="H298" s="8" t="str">
        <f>IF('Course 5'!$H296='tab5'!H$3,'Course 5'!$I296," ")</f>
        <v xml:space="preserve"> </v>
      </c>
      <c r="I298" s="8" t="str">
        <f>IF('Course 5'!$H296='tab5'!I$3,'Course 5'!$I296," ")</f>
        <v xml:space="preserve"> </v>
      </c>
      <c r="J298" s="8" t="str">
        <f>IF('Course 5'!$H296='tab5'!J$3,'Course 5'!$I296," ")</f>
        <v xml:space="preserve"> </v>
      </c>
      <c r="K298" s="8" t="str">
        <f>IF('Course 5'!$H296='tab5'!K$3,'Course 5'!$I296," ")</f>
        <v xml:space="preserve"> </v>
      </c>
      <c r="L298" s="8" t="str">
        <f>IF('Course 5'!$H296='tab5'!L$3,'Course 5'!$I296," ")</f>
        <v xml:space="preserve"> </v>
      </c>
      <c r="M298" s="8" t="str">
        <f>IF('Course 5'!$H296='tab5'!M$3,'Course 5'!$I296," ")</f>
        <v xml:space="preserve"> </v>
      </c>
      <c r="N298" s="9" t="str">
        <f>IF('Course 5'!$H296='tab5'!N$3,'Course 5'!$I296," ")</f>
        <v xml:space="preserve"> </v>
      </c>
    </row>
    <row r="299" spans="2:14">
      <c r="B299">
        <v>295</v>
      </c>
      <c r="C299" s="7" t="str">
        <f>IF('Course 5'!$H297='tab5'!C$3,'Course 5'!$I297," ")</f>
        <v xml:space="preserve"> </v>
      </c>
      <c r="D299" s="8" t="str">
        <f>IF('Course 5'!$H297='tab5'!D$3,'Course 5'!$I297," ")</f>
        <v xml:space="preserve"> </v>
      </c>
      <c r="E299" s="8" t="str">
        <f>IF('Course 5'!$H297='tab5'!E$3,'Course 5'!$I297," ")</f>
        <v xml:space="preserve"> </v>
      </c>
      <c r="F299" s="8" t="str">
        <f>IF('Course 5'!$H297='tab5'!F$3,'Course 5'!$I297," ")</f>
        <v xml:space="preserve"> </v>
      </c>
      <c r="G299" s="8" t="str">
        <f>IF('Course 5'!$H297='tab5'!G$3,'Course 5'!$I297," ")</f>
        <v xml:space="preserve"> </v>
      </c>
      <c r="H299" s="8" t="str">
        <f>IF('Course 5'!$H297='tab5'!H$3,'Course 5'!$I297," ")</f>
        <v xml:space="preserve"> </v>
      </c>
      <c r="I299" s="8" t="str">
        <f>IF('Course 5'!$H297='tab5'!I$3,'Course 5'!$I297," ")</f>
        <v xml:space="preserve"> </v>
      </c>
      <c r="J299" s="8" t="str">
        <f>IF('Course 5'!$H297='tab5'!J$3,'Course 5'!$I297," ")</f>
        <v xml:space="preserve"> </v>
      </c>
      <c r="K299" s="8" t="str">
        <f>IF('Course 5'!$H297='tab5'!K$3,'Course 5'!$I297," ")</f>
        <v xml:space="preserve"> </v>
      </c>
      <c r="L299" s="8" t="str">
        <f>IF('Course 5'!$H297='tab5'!L$3,'Course 5'!$I297," ")</f>
        <v xml:space="preserve"> </v>
      </c>
      <c r="M299" s="8" t="str">
        <f>IF('Course 5'!$H297='tab5'!M$3,'Course 5'!$I297," ")</f>
        <v xml:space="preserve"> </v>
      </c>
      <c r="N299" s="9" t="str">
        <f>IF('Course 5'!$H297='tab5'!N$3,'Course 5'!$I297," ")</f>
        <v xml:space="preserve"> </v>
      </c>
    </row>
    <row r="300" spans="2:14">
      <c r="B300">
        <v>296</v>
      </c>
      <c r="C300" s="7" t="str">
        <f>IF('Course 5'!$H298='tab5'!C$3,'Course 5'!$I298," ")</f>
        <v xml:space="preserve"> </v>
      </c>
      <c r="D300" s="8" t="str">
        <f>IF('Course 5'!$H298='tab5'!D$3,'Course 5'!$I298," ")</f>
        <v xml:space="preserve"> </v>
      </c>
      <c r="E300" s="8" t="str">
        <f>IF('Course 5'!$H298='tab5'!E$3,'Course 5'!$I298," ")</f>
        <v xml:space="preserve"> </v>
      </c>
      <c r="F300" s="8" t="str">
        <f>IF('Course 5'!$H298='tab5'!F$3,'Course 5'!$I298," ")</f>
        <v xml:space="preserve"> </v>
      </c>
      <c r="G300" s="8" t="str">
        <f>IF('Course 5'!$H298='tab5'!G$3,'Course 5'!$I298," ")</f>
        <v xml:space="preserve"> </v>
      </c>
      <c r="H300" s="8" t="str">
        <f>IF('Course 5'!$H298='tab5'!H$3,'Course 5'!$I298," ")</f>
        <v xml:space="preserve"> </v>
      </c>
      <c r="I300" s="8" t="str">
        <f>IF('Course 5'!$H298='tab5'!I$3,'Course 5'!$I298," ")</f>
        <v xml:space="preserve"> </v>
      </c>
      <c r="J300" s="8" t="str">
        <f>IF('Course 5'!$H298='tab5'!J$3,'Course 5'!$I298," ")</f>
        <v xml:space="preserve"> </v>
      </c>
      <c r="K300" s="8" t="str">
        <f>IF('Course 5'!$H298='tab5'!K$3,'Course 5'!$I298," ")</f>
        <v xml:space="preserve"> </v>
      </c>
      <c r="L300" s="8" t="str">
        <f>IF('Course 5'!$H298='tab5'!L$3,'Course 5'!$I298," ")</f>
        <v xml:space="preserve"> </v>
      </c>
      <c r="M300" s="8" t="str">
        <f>IF('Course 5'!$H298='tab5'!M$3,'Course 5'!$I298," ")</f>
        <v xml:space="preserve"> </v>
      </c>
      <c r="N300" s="9" t="str">
        <f>IF('Course 5'!$H298='tab5'!N$3,'Course 5'!$I298," ")</f>
        <v xml:space="preserve"> </v>
      </c>
    </row>
    <row r="301" spans="2:14">
      <c r="B301">
        <v>297</v>
      </c>
      <c r="C301" s="7" t="str">
        <f>IF('Course 5'!$H299='tab5'!C$3,'Course 5'!$I299," ")</f>
        <v xml:space="preserve"> </v>
      </c>
      <c r="D301" s="8" t="str">
        <f>IF('Course 5'!$H299='tab5'!D$3,'Course 5'!$I299," ")</f>
        <v xml:space="preserve"> </v>
      </c>
      <c r="E301" s="8" t="str">
        <f>IF('Course 5'!$H299='tab5'!E$3,'Course 5'!$I299," ")</f>
        <v xml:space="preserve"> </v>
      </c>
      <c r="F301" s="8" t="str">
        <f>IF('Course 5'!$H299='tab5'!F$3,'Course 5'!$I299," ")</f>
        <v xml:space="preserve"> </v>
      </c>
      <c r="G301" s="8" t="str">
        <f>IF('Course 5'!$H299='tab5'!G$3,'Course 5'!$I299," ")</f>
        <v xml:space="preserve"> </v>
      </c>
      <c r="H301" s="8" t="str">
        <f>IF('Course 5'!$H299='tab5'!H$3,'Course 5'!$I299," ")</f>
        <v xml:space="preserve"> </v>
      </c>
      <c r="I301" s="8" t="str">
        <f>IF('Course 5'!$H299='tab5'!I$3,'Course 5'!$I299," ")</f>
        <v xml:space="preserve"> </v>
      </c>
      <c r="J301" s="8" t="str">
        <f>IF('Course 5'!$H299='tab5'!J$3,'Course 5'!$I299," ")</f>
        <v xml:space="preserve"> </v>
      </c>
      <c r="K301" s="8" t="str">
        <f>IF('Course 5'!$H299='tab5'!K$3,'Course 5'!$I299," ")</f>
        <v xml:space="preserve"> </v>
      </c>
      <c r="L301" s="8" t="str">
        <f>IF('Course 5'!$H299='tab5'!L$3,'Course 5'!$I299," ")</f>
        <v xml:space="preserve"> </v>
      </c>
      <c r="M301" s="8" t="str">
        <f>IF('Course 5'!$H299='tab5'!M$3,'Course 5'!$I299," ")</f>
        <v xml:space="preserve"> </v>
      </c>
      <c r="N301" s="9" t="str">
        <f>IF('Course 5'!$H299='tab5'!N$3,'Course 5'!$I299," ")</f>
        <v xml:space="preserve"> </v>
      </c>
    </row>
    <row r="302" spans="2:14">
      <c r="B302">
        <v>298</v>
      </c>
      <c r="C302" s="7" t="str">
        <f>IF('Course 5'!$H300='tab5'!C$3,'Course 5'!$I300," ")</f>
        <v xml:space="preserve"> </v>
      </c>
      <c r="D302" s="8" t="str">
        <f>IF('Course 5'!$H300='tab5'!D$3,'Course 5'!$I300," ")</f>
        <v xml:space="preserve"> </v>
      </c>
      <c r="E302" s="8" t="str">
        <f>IF('Course 5'!$H300='tab5'!E$3,'Course 5'!$I300," ")</f>
        <v xml:space="preserve"> </v>
      </c>
      <c r="F302" s="8" t="str">
        <f>IF('Course 5'!$H300='tab5'!F$3,'Course 5'!$I300," ")</f>
        <v xml:space="preserve"> </v>
      </c>
      <c r="G302" s="8" t="str">
        <f>IF('Course 5'!$H300='tab5'!G$3,'Course 5'!$I300," ")</f>
        <v xml:space="preserve"> </v>
      </c>
      <c r="H302" s="8" t="str">
        <f>IF('Course 5'!$H300='tab5'!H$3,'Course 5'!$I300," ")</f>
        <v xml:space="preserve"> </v>
      </c>
      <c r="I302" s="8" t="str">
        <f>IF('Course 5'!$H300='tab5'!I$3,'Course 5'!$I300," ")</f>
        <v xml:space="preserve"> </v>
      </c>
      <c r="J302" s="8" t="str">
        <f>IF('Course 5'!$H300='tab5'!J$3,'Course 5'!$I300," ")</f>
        <v xml:space="preserve"> </v>
      </c>
      <c r="K302" s="8" t="str">
        <f>IF('Course 5'!$H300='tab5'!K$3,'Course 5'!$I300," ")</f>
        <v xml:space="preserve"> </v>
      </c>
      <c r="L302" s="8" t="str">
        <f>IF('Course 5'!$H300='tab5'!L$3,'Course 5'!$I300," ")</f>
        <v xml:space="preserve"> </v>
      </c>
      <c r="M302" s="8" t="str">
        <f>IF('Course 5'!$H300='tab5'!M$3,'Course 5'!$I300," ")</f>
        <v xml:space="preserve"> </v>
      </c>
      <c r="N302" s="9" t="str">
        <f>IF('Course 5'!$H300='tab5'!N$3,'Course 5'!$I300," ")</f>
        <v xml:space="preserve"> </v>
      </c>
    </row>
    <row r="303" spans="2:14">
      <c r="B303">
        <v>299</v>
      </c>
      <c r="C303" s="7" t="str">
        <f>IF('Course 5'!$H301='tab5'!C$3,'Course 5'!$I301," ")</f>
        <v xml:space="preserve"> </v>
      </c>
      <c r="D303" s="8" t="str">
        <f>IF('Course 5'!$H301='tab5'!D$3,'Course 5'!$I301," ")</f>
        <v xml:space="preserve"> </v>
      </c>
      <c r="E303" s="8" t="str">
        <f>IF('Course 5'!$H301='tab5'!E$3,'Course 5'!$I301," ")</f>
        <v xml:space="preserve"> </v>
      </c>
      <c r="F303" s="8" t="str">
        <f>IF('Course 5'!$H301='tab5'!F$3,'Course 5'!$I301," ")</f>
        <v xml:space="preserve"> </v>
      </c>
      <c r="G303" s="8" t="str">
        <f>IF('Course 5'!$H301='tab5'!G$3,'Course 5'!$I301," ")</f>
        <v xml:space="preserve"> </v>
      </c>
      <c r="H303" s="8" t="str">
        <f>IF('Course 5'!$H301='tab5'!H$3,'Course 5'!$I301," ")</f>
        <v xml:space="preserve"> </v>
      </c>
      <c r="I303" s="8" t="str">
        <f>IF('Course 5'!$H301='tab5'!I$3,'Course 5'!$I301," ")</f>
        <v xml:space="preserve"> </v>
      </c>
      <c r="J303" s="8" t="str">
        <f>IF('Course 5'!$H301='tab5'!J$3,'Course 5'!$I301," ")</f>
        <v xml:space="preserve"> </v>
      </c>
      <c r="K303" s="8" t="str">
        <f>IF('Course 5'!$H301='tab5'!K$3,'Course 5'!$I301," ")</f>
        <v xml:space="preserve"> </v>
      </c>
      <c r="L303" s="8" t="str">
        <f>IF('Course 5'!$H301='tab5'!L$3,'Course 5'!$I301," ")</f>
        <v xml:space="preserve"> </v>
      </c>
      <c r="M303" s="8" t="str">
        <f>IF('Course 5'!$H301='tab5'!M$3,'Course 5'!$I301," ")</f>
        <v xml:space="preserve"> </v>
      </c>
      <c r="N303" s="9" t="str">
        <f>IF('Course 5'!$H301='tab5'!N$3,'Course 5'!$I301," ")</f>
        <v xml:space="preserve"> </v>
      </c>
    </row>
    <row r="304" spans="2:14">
      <c r="B304">
        <v>300</v>
      </c>
      <c r="C304" s="7" t="str">
        <f>IF('Course 5'!$H302='tab5'!C$3,'Course 5'!$I302," ")</f>
        <v xml:space="preserve"> </v>
      </c>
      <c r="D304" s="8" t="str">
        <f>IF('Course 5'!$H302='tab5'!D$3,'Course 5'!$I302," ")</f>
        <v xml:space="preserve"> </v>
      </c>
      <c r="E304" s="8" t="str">
        <f>IF('Course 5'!$H302='tab5'!E$3,'Course 5'!$I302," ")</f>
        <v xml:space="preserve"> </v>
      </c>
      <c r="F304" s="8" t="str">
        <f>IF('Course 5'!$H302='tab5'!F$3,'Course 5'!$I302," ")</f>
        <v xml:space="preserve"> </v>
      </c>
      <c r="G304" s="8" t="str">
        <f>IF('Course 5'!$H302='tab5'!G$3,'Course 5'!$I302," ")</f>
        <v xml:space="preserve"> </v>
      </c>
      <c r="H304" s="8" t="str">
        <f>IF('Course 5'!$H302='tab5'!H$3,'Course 5'!$I302," ")</f>
        <v xml:space="preserve"> </v>
      </c>
      <c r="I304" s="8" t="str">
        <f>IF('Course 5'!$H302='tab5'!I$3,'Course 5'!$I302," ")</f>
        <v xml:space="preserve"> </v>
      </c>
      <c r="J304" s="8" t="str">
        <f>IF('Course 5'!$H302='tab5'!J$3,'Course 5'!$I302," ")</f>
        <v xml:space="preserve"> </v>
      </c>
      <c r="K304" s="8" t="str">
        <f>IF('Course 5'!$H302='tab5'!K$3,'Course 5'!$I302," ")</f>
        <v xml:space="preserve"> </v>
      </c>
      <c r="L304" s="8" t="str">
        <f>IF('Course 5'!$H302='tab5'!L$3,'Course 5'!$I302," ")</f>
        <v xml:space="preserve"> </v>
      </c>
      <c r="M304" s="8" t="str">
        <f>IF('Course 5'!$H302='tab5'!M$3,'Course 5'!$I302," ")</f>
        <v xml:space="preserve"> </v>
      </c>
      <c r="N304" s="9" t="str">
        <f>IF('Course 5'!$H302='tab5'!N$3,'Course 5'!$I302," ")</f>
        <v xml:space="preserve"> </v>
      </c>
    </row>
  </sheetData>
  <sheetProtection password="CFA8" sheet="1" objects="1" scenarios="1"/>
  <mergeCells count="1">
    <mergeCell ref="C1:N1"/>
  </mergeCells>
  <phoneticPr fontId="0" type="noConversion"/>
  <pageMargins left="0.78740157499999996" right="0.78740157499999996" top="0.984251969" bottom="0.984251969" header="0.4921259845" footer="0.492125984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14</vt:i4>
      </vt:variant>
    </vt:vector>
  </HeadingPairs>
  <TitlesOfParts>
    <vt:vector size="14" baseType="lpstr">
      <vt:lpstr>Règles et points</vt:lpstr>
      <vt:lpstr>Coureurs</vt:lpstr>
      <vt:lpstr>Course 1</vt:lpstr>
      <vt:lpstr>Course 2</vt:lpstr>
      <vt:lpstr>Course 3</vt:lpstr>
      <vt:lpstr>Course 4</vt:lpstr>
      <vt:lpstr>Course 5</vt:lpstr>
      <vt:lpstr>Total points</vt:lpstr>
      <vt:lpstr>Classement général</vt:lpstr>
      <vt:lpstr>tab1</vt:lpstr>
      <vt:lpstr>tab2</vt:lpstr>
      <vt:lpstr>tab3</vt:lpstr>
      <vt:lpstr>tab4</vt:lpstr>
      <vt:lpstr>tab5</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Alain</dc:creator>
  <cp:lastModifiedBy>Utilisateur</cp:lastModifiedBy>
  <cp:lastPrinted>2016-02-15T22:55:45Z</cp:lastPrinted>
  <dcterms:created xsi:type="dcterms:W3CDTF">2006-08-16T14:57:04Z</dcterms:created>
  <dcterms:modified xsi:type="dcterms:W3CDTF">2021-05-22T18:02:35Z</dcterms:modified>
</cp:coreProperties>
</file>